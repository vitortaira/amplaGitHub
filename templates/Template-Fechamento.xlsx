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1325" documentId="8_{C6C56A3F-2425-44CF-8BE3-ECE51A50A5D5}" xr6:coauthVersionLast="47" xr6:coauthVersionMax="47" xr10:uidLastSave="{22EA18BE-F16A-4EEC-B077-576FFE7B6AD0}"/>
  <bookViews>
    <workbookView xWindow="-120" yWindow="-11640" windowWidth="20640" windowHeight="11160" activeTab="3" xr2:uid="{26656082-8D2E-49DA-9B70-36C00236C0A6}"/>
  </bookViews>
  <sheets>
    <sheet name="fechamento" sheetId="31" r:id="rId1"/>
    <sheet name="n&amp;cn" sheetId="30" r:id="rId2"/>
    <sheet name="fin" sheetId="29" r:id="rId3"/>
    <sheet name="inputs" sheetId="28" r:id="rId4"/>
    <sheet name="viabs" sheetId="12" r:id="rId5"/>
    <sheet name="vgv" sheetId="3" r:id="rId6"/>
    <sheet name="status.unis" sheetId="5" r:id="rId7"/>
    <sheet name="rec.uni" sheetId="10" r:id="rId8"/>
    <sheet name="ik-&gt;viab" sheetId="27" r:id="rId9"/>
    <sheet name="cef" sheetId="21" r:id="rId10"/>
    <sheet name="cef.detalhado" sheetId="22" r:id="rId11"/>
    <sheet name="cef.mensal" sheetId="23" r:id="rId12"/>
    <sheet name="cmfcns.mensal" sheetId="19" r:id="rId13"/>
    <sheet name="cmfcn.xcef" sheetId="24" r:id="rId14"/>
    <sheet name="cmfcn.xcef.mensal" sheetId="25" r:id="rId15"/>
    <sheet name="rec" sheetId="9" r:id="rId16"/>
    <sheet name="unis.cruzado" sheetId="26" r:id="rId17"/>
    <sheet name="xcef.mensal" sheetId="20" r:id="rId18"/>
    <sheet name="car" sheetId="13" r:id="rId19"/>
    <sheet name="cmfcns" sheetId="14" r:id="rId20"/>
    <sheet name="contr" sheetId="15" r:id="rId21"/>
    <sheet name="cr" sheetId="16" r:id="rId22"/>
    <sheet name="desp" sheetId="17" r:id="rId23"/>
    <sheet name="ecns" sheetId="8" r:id="rId24"/>
    <sheet name="estq" sheetId="7" r:id="rId25"/>
    <sheet name="unis" sheetId="11" r:id="rId26"/>
    <sheet name="xcef" sheetId="18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3" l="1"/>
  <c r="K10" i="3"/>
  <c r="J10" i="3"/>
  <c r="K6" i="3"/>
  <c r="J6" i="3"/>
  <c r="K12" i="5"/>
  <c r="J12" i="5"/>
  <c r="I12" i="5"/>
  <c r="F12" i="5"/>
  <c r="E12" i="5"/>
  <c r="D12" i="5"/>
  <c r="C12" i="5"/>
  <c r="G12" i="5" s="1"/>
  <c r="H12" i="5" s="1"/>
  <c r="G15" i="5"/>
  <c r="H15" i="5" s="1"/>
  <c r="K13" i="5"/>
  <c r="J13" i="5"/>
  <c r="I13" i="5"/>
  <c r="F13" i="5"/>
  <c r="E13" i="5"/>
  <c r="D13" i="5"/>
  <c r="C13" i="5"/>
  <c r="Y6" i="5"/>
  <c r="X6" i="5"/>
  <c r="W6" i="5"/>
  <c r="V6" i="5"/>
  <c r="U6" i="5"/>
  <c r="T6" i="5"/>
  <c r="S6" i="5"/>
  <c r="Y10" i="5"/>
  <c r="F28" i="5" s="1"/>
  <c r="X10" i="5"/>
  <c r="W10" i="5"/>
  <c r="V10" i="5"/>
  <c r="E28" i="5" s="1"/>
  <c r="U10" i="5"/>
  <c r="T10" i="5"/>
  <c r="D28" i="5" s="1"/>
  <c r="S10" i="5"/>
  <c r="C28" i="5" s="1"/>
  <c r="G31" i="5"/>
  <c r="H31" i="5" s="1"/>
  <c r="K29" i="5"/>
  <c r="J29" i="5"/>
  <c r="I29" i="5"/>
  <c r="F29" i="5"/>
  <c r="E29" i="5"/>
  <c r="D29" i="5"/>
  <c r="C29" i="5"/>
  <c r="K28" i="5"/>
  <c r="J28" i="5"/>
  <c r="I28" i="5"/>
  <c r="A1" i="3"/>
  <c r="CY122" i="28" a="1"/>
  <c r="CY122" i="28" s="1"/>
  <c r="CX122" i="28"/>
  <c r="CX122" i="28" a="1"/>
  <c r="CW122" i="28" a="1"/>
  <c r="CW122" i="28" s="1"/>
  <c r="CV122" i="28"/>
  <c r="CV122" i="28" a="1"/>
  <c r="CU122" i="28" a="1"/>
  <c r="CU122" i="28" s="1"/>
  <c r="CY121" i="28"/>
  <c r="CY121" i="28" a="1"/>
  <c r="CX121" i="28" a="1"/>
  <c r="CX121" i="28" s="1"/>
  <c r="CW121" i="28"/>
  <c r="CW121" i="28" a="1"/>
  <c r="CV121" i="28" a="1"/>
  <c r="CV121" i="28" s="1"/>
  <c r="CU121" i="28"/>
  <c r="CU121" i="28" a="1"/>
  <c r="CY120" i="28" a="1"/>
  <c r="CY120" i="28" s="1"/>
  <c r="CX120" i="28"/>
  <c r="CX120" i="28" a="1"/>
  <c r="CW120" i="28" a="1"/>
  <c r="CW120" i="28" s="1"/>
  <c r="CV120" i="28"/>
  <c r="CV120" i="28" a="1"/>
  <c r="CU120" i="28" a="1"/>
  <c r="CU120" i="28" s="1"/>
  <c r="CY119" i="28"/>
  <c r="CY119" i="28" a="1"/>
  <c r="CX119" i="28" a="1"/>
  <c r="CX119" i="28" s="1"/>
  <c r="CW119" i="28"/>
  <c r="CW119" i="28" a="1"/>
  <c r="CV119" i="28" a="1"/>
  <c r="CV119" i="28" s="1"/>
  <c r="CU119" i="28"/>
  <c r="CU119" i="28" a="1"/>
  <c r="CY118" i="28" a="1"/>
  <c r="CY118" i="28" s="1"/>
  <c r="CX118" i="28"/>
  <c r="CX118" i="28" a="1"/>
  <c r="CW118" i="28" a="1"/>
  <c r="CW118" i="28" s="1"/>
  <c r="CV118" i="28"/>
  <c r="CV118" i="28" a="1"/>
  <c r="CU118" i="28" a="1"/>
  <c r="CU118" i="28" s="1"/>
  <c r="CY117" i="28"/>
  <c r="CY117" i="28" a="1"/>
  <c r="CX117" i="28" a="1"/>
  <c r="CX117" i="28" s="1"/>
  <c r="CW117" i="28"/>
  <c r="CW117" i="28" a="1"/>
  <c r="CV117" i="28" a="1"/>
  <c r="CV117" i="28" s="1"/>
  <c r="CU117" i="28"/>
  <c r="CU117" i="28" a="1"/>
  <c r="CY116" i="28" a="1"/>
  <c r="CY116" i="28" s="1"/>
  <c r="CX116" i="28"/>
  <c r="CX116" i="28" a="1"/>
  <c r="CW116" i="28" a="1"/>
  <c r="CW116" i="28" s="1"/>
  <c r="CV116" i="28"/>
  <c r="CV116" i="28" a="1"/>
  <c r="CU116" i="28" a="1"/>
  <c r="CU116" i="28" s="1"/>
  <c r="CY115" i="28"/>
  <c r="CY115" i="28" a="1"/>
  <c r="CX115" i="28" a="1"/>
  <c r="CX115" i="28" s="1"/>
  <c r="CW115" i="28"/>
  <c r="CW115" i="28" a="1"/>
  <c r="CV115" i="28" a="1"/>
  <c r="CV115" i="28" s="1"/>
  <c r="CU115" i="28"/>
  <c r="CU115" i="28" a="1"/>
  <c r="CY114" i="28" a="1"/>
  <c r="CY114" i="28" s="1"/>
  <c r="CX114" i="28"/>
  <c r="CX114" i="28" a="1"/>
  <c r="CW114" i="28" a="1"/>
  <c r="CW114" i="28" s="1"/>
  <c r="CV114" i="28"/>
  <c r="CV114" i="28" a="1"/>
  <c r="CU114" i="28" a="1"/>
  <c r="CU114" i="28" s="1"/>
  <c r="CY113" i="28"/>
  <c r="CY113" i="28" a="1"/>
  <c r="CX113" i="28" a="1"/>
  <c r="CX113" i="28" s="1"/>
  <c r="CW113" i="28"/>
  <c r="CW113" i="28" a="1"/>
  <c r="CV113" i="28" a="1"/>
  <c r="CV113" i="28" s="1"/>
  <c r="CU113" i="28"/>
  <c r="CU113" i="28" a="1"/>
  <c r="CY112" i="28" a="1"/>
  <c r="CY112" i="28" s="1"/>
  <c r="CX112" i="28"/>
  <c r="CX112" i="28" a="1"/>
  <c r="CW112" i="28" a="1"/>
  <c r="CW112" i="28" s="1"/>
  <c r="CV112" i="28"/>
  <c r="CV112" i="28" a="1"/>
  <c r="CU112" i="28" a="1"/>
  <c r="CU112" i="28" s="1"/>
  <c r="CY111" i="28"/>
  <c r="CY111" i="28" a="1"/>
  <c r="CX111" i="28" a="1"/>
  <c r="CX111" i="28" s="1"/>
  <c r="CW111" i="28"/>
  <c r="CW111" i="28" a="1"/>
  <c r="CV111" i="28" a="1"/>
  <c r="CV111" i="28" s="1"/>
  <c r="CU111" i="28"/>
  <c r="CU111" i="28" a="1"/>
  <c r="CY110" i="28" a="1"/>
  <c r="CY110" i="28" s="1"/>
  <c r="CX110" i="28"/>
  <c r="CX110" i="28" a="1"/>
  <c r="CW110" i="28" a="1"/>
  <c r="CW110" i="28" s="1"/>
  <c r="CV110" i="28"/>
  <c r="CV110" i="28" a="1"/>
  <c r="CU110" i="28" a="1"/>
  <c r="CU110" i="28" s="1"/>
  <c r="CY109" i="28"/>
  <c r="CY109" i="28" a="1"/>
  <c r="CX109" i="28" a="1"/>
  <c r="CX109" i="28" s="1"/>
  <c r="CW109" i="28"/>
  <c r="CW109" i="28" a="1"/>
  <c r="CV109" i="28" a="1"/>
  <c r="CV109" i="28" s="1"/>
  <c r="CU109" i="28"/>
  <c r="CU109" i="28" a="1"/>
  <c r="CY108" i="28" a="1"/>
  <c r="CY108" i="28" s="1"/>
  <c r="CX108" i="28"/>
  <c r="CX108" i="28" a="1"/>
  <c r="CW108" i="28" a="1"/>
  <c r="CW108" i="28" s="1"/>
  <c r="CV108" i="28"/>
  <c r="CV108" i="28" a="1"/>
  <c r="CU108" i="28" a="1"/>
  <c r="CU108" i="28" s="1"/>
  <c r="CY107" i="28"/>
  <c r="CY107" i="28" a="1"/>
  <c r="CX107" i="28" a="1"/>
  <c r="CX107" i="28" s="1"/>
  <c r="CW107" i="28"/>
  <c r="CW107" i="28" a="1"/>
  <c r="CV107" i="28" a="1"/>
  <c r="CV107" i="28" s="1"/>
  <c r="CU107" i="28"/>
  <c r="CU107" i="28" a="1"/>
  <c r="CY106" i="28" a="1"/>
  <c r="CY106" i="28" s="1"/>
  <c r="CX106" i="28"/>
  <c r="CX106" i="28" a="1"/>
  <c r="CW106" i="28" a="1"/>
  <c r="CW106" i="28" s="1"/>
  <c r="CV106" i="28"/>
  <c r="CV106" i="28" a="1"/>
  <c r="CU106" i="28" a="1"/>
  <c r="CU106" i="28" s="1"/>
  <c r="CY105" i="28"/>
  <c r="CY105" i="28" a="1"/>
  <c r="CX105" i="28" a="1"/>
  <c r="CX105" i="28" s="1"/>
  <c r="CW105" i="28"/>
  <c r="CW105" i="28" a="1"/>
  <c r="CV105" i="28" a="1"/>
  <c r="CV105" i="28" s="1"/>
  <c r="CU105" i="28"/>
  <c r="CU105" i="28" a="1"/>
  <c r="CY104" i="28" a="1"/>
  <c r="CY104" i="28" s="1"/>
  <c r="CX104" i="28"/>
  <c r="CX104" i="28" a="1"/>
  <c r="CW104" i="28" a="1"/>
  <c r="CW104" i="28" s="1"/>
  <c r="CV104" i="28"/>
  <c r="CV104" i="28" a="1"/>
  <c r="CU104" i="28" a="1"/>
  <c r="CU104" i="28" s="1"/>
  <c r="CY103" i="28"/>
  <c r="CY103" i="28" a="1"/>
  <c r="CX103" i="28" a="1"/>
  <c r="CX103" i="28" s="1"/>
  <c r="CW103" i="28"/>
  <c r="CW103" i="28" a="1"/>
  <c r="CV103" i="28" a="1"/>
  <c r="CV103" i="28" s="1"/>
  <c r="CU103" i="28"/>
  <c r="CU103" i="28" a="1"/>
  <c r="CY102" i="28" a="1"/>
  <c r="CY102" i="28" s="1"/>
  <c r="CX102" i="28"/>
  <c r="CX102" i="28" a="1"/>
  <c r="CW102" i="28" a="1"/>
  <c r="CW102" i="28" s="1"/>
  <c r="CV102" i="28"/>
  <c r="CV102" i="28" a="1"/>
  <c r="CU102" i="28" a="1"/>
  <c r="CU102" i="28" s="1"/>
  <c r="CY101" i="28"/>
  <c r="CY101" i="28" a="1"/>
  <c r="CX101" i="28" a="1"/>
  <c r="CX101" i="28" s="1"/>
  <c r="CW101" i="28"/>
  <c r="CW101" i="28" a="1"/>
  <c r="CV101" i="28" a="1"/>
  <c r="CV101" i="28" s="1"/>
  <c r="CU101" i="28"/>
  <c r="CU101" i="28" a="1"/>
  <c r="CY100" i="28" a="1"/>
  <c r="CY100" i="28" s="1"/>
  <c r="CX100" i="28"/>
  <c r="CX100" i="28" a="1"/>
  <c r="CW100" i="28" a="1"/>
  <c r="CW100" i="28" s="1"/>
  <c r="CV100" i="28"/>
  <c r="CV100" i="28" a="1"/>
  <c r="CU100" i="28" a="1"/>
  <c r="CU100" i="28" s="1"/>
  <c r="CY99" i="28"/>
  <c r="CY99" i="28" a="1"/>
  <c r="CX99" i="28" a="1"/>
  <c r="CX99" i="28" s="1"/>
  <c r="CW99" i="28"/>
  <c r="CW99" i="28" a="1"/>
  <c r="CV99" i="28" a="1"/>
  <c r="CV99" i="28" s="1"/>
  <c r="CU99" i="28"/>
  <c r="CU99" i="28" a="1"/>
  <c r="CY98" i="28" a="1"/>
  <c r="CY98" i="28" s="1"/>
  <c r="CX98" i="28"/>
  <c r="CX98" i="28" a="1"/>
  <c r="CW98" i="28" a="1"/>
  <c r="CW98" i="28" s="1"/>
  <c r="CV98" i="28"/>
  <c r="CV98" i="28" a="1"/>
  <c r="CU98" i="28" a="1"/>
  <c r="CU98" i="28" s="1"/>
  <c r="CY97" i="28"/>
  <c r="CY97" i="28" a="1"/>
  <c r="CX97" i="28" a="1"/>
  <c r="CX97" i="28" s="1"/>
  <c r="CW97" i="28"/>
  <c r="CW97" i="28" a="1"/>
  <c r="CV97" i="28" a="1"/>
  <c r="CV97" i="28" s="1"/>
  <c r="CU97" i="28"/>
  <c r="CU97" i="28" a="1"/>
  <c r="CY96" i="28" a="1"/>
  <c r="CY96" i="28" s="1"/>
  <c r="CX96" i="28"/>
  <c r="CX96" i="28" a="1"/>
  <c r="CW96" i="28" a="1"/>
  <c r="CW96" i="28" s="1"/>
  <c r="CV96" i="28"/>
  <c r="CV96" i="28" a="1"/>
  <c r="CU96" i="28" a="1"/>
  <c r="CU96" i="28" s="1"/>
  <c r="CY95" i="28"/>
  <c r="CY95" i="28" a="1"/>
  <c r="CX95" i="28" a="1"/>
  <c r="CX95" i="28" s="1"/>
  <c r="CW95" i="28"/>
  <c r="CW95" i="28" a="1"/>
  <c r="CV95" i="28" a="1"/>
  <c r="CV95" i="28" s="1"/>
  <c r="CU95" i="28"/>
  <c r="CU95" i="28" a="1"/>
  <c r="CY94" i="28" a="1"/>
  <c r="CY94" i="28" s="1"/>
  <c r="CX94" i="28"/>
  <c r="CX94" i="28" a="1"/>
  <c r="CW94" i="28" a="1"/>
  <c r="CW94" i="28" s="1"/>
  <c r="CV94" i="28"/>
  <c r="CV94" i="28" a="1"/>
  <c r="CU94" i="28" a="1"/>
  <c r="CU94" i="28" s="1"/>
  <c r="CY93" i="28"/>
  <c r="CY93" i="28" a="1"/>
  <c r="CX93" i="28" a="1"/>
  <c r="CX93" i="28" s="1"/>
  <c r="CW93" i="28"/>
  <c r="CW93" i="28" a="1"/>
  <c r="CV93" i="28" a="1"/>
  <c r="CV93" i="28" s="1"/>
  <c r="CU93" i="28"/>
  <c r="CU93" i="28" a="1"/>
  <c r="CY92" i="28" a="1"/>
  <c r="CY92" i="28" s="1"/>
  <c r="CX92" i="28"/>
  <c r="CX92" i="28" a="1"/>
  <c r="CW92" i="28" a="1"/>
  <c r="CW92" i="28" s="1"/>
  <c r="CV92" i="28"/>
  <c r="CV92" i="28" a="1"/>
  <c r="CU92" i="28" a="1"/>
  <c r="CU92" i="28" s="1"/>
  <c r="CY91" i="28"/>
  <c r="CY91" i="28" a="1"/>
  <c r="CX91" i="28" a="1"/>
  <c r="CX91" i="28" s="1"/>
  <c r="CW91" i="28"/>
  <c r="CW91" i="28" a="1"/>
  <c r="CV91" i="28" a="1"/>
  <c r="CV91" i="28" s="1"/>
  <c r="CU91" i="28"/>
  <c r="CU91" i="28" a="1"/>
  <c r="CY90" i="28" a="1"/>
  <c r="CY90" i="28" s="1"/>
  <c r="CX90" i="28" a="1"/>
  <c r="CX90" i="28" s="1"/>
  <c r="CW90" i="28" a="1"/>
  <c r="CW90" i="28" s="1"/>
  <c r="CV90" i="28"/>
  <c r="CV90" i="28" a="1"/>
  <c r="CU90" i="28" a="1"/>
  <c r="CU90" i="28" s="1"/>
  <c r="CY89" i="28" a="1"/>
  <c r="CY89" i="28" s="1"/>
  <c r="CX89" i="28" a="1"/>
  <c r="CX89" i="28" s="1"/>
  <c r="CW89" i="28" a="1"/>
  <c r="CW89" i="28" s="1"/>
  <c r="CV89" i="28" a="1"/>
  <c r="CV89" i="28" s="1"/>
  <c r="CU89" i="28" a="1"/>
  <c r="CU89" i="28" s="1"/>
  <c r="CY88" i="28" a="1"/>
  <c r="CY88" i="28" s="1"/>
  <c r="CX88" i="28" a="1"/>
  <c r="CX88" i="28" s="1"/>
  <c r="CW88" i="28" a="1"/>
  <c r="CW88" i="28" s="1"/>
  <c r="CV88" i="28" a="1"/>
  <c r="CV88" i="28" s="1"/>
  <c r="CU88" i="28" a="1"/>
  <c r="CU88" i="28" s="1"/>
  <c r="CY87" i="28" a="1"/>
  <c r="CY87" i="28" s="1"/>
  <c r="CX87" i="28" a="1"/>
  <c r="CX87" i="28" s="1"/>
  <c r="CW87" i="28" a="1"/>
  <c r="CW87" i="28" s="1"/>
  <c r="CV87" i="28" a="1"/>
  <c r="CV87" i="28" s="1"/>
  <c r="CU87" i="28"/>
  <c r="CU87" i="28" a="1"/>
  <c r="CY86" i="28" a="1"/>
  <c r="CY86" i="28" s="1"/>
  <c r="CX86" i="28" a="1"/>
  <c r="CX86" i="28" s="1"/>
  <c r="CW86" i="28" a="1"/>
  <c r="CW86" i="28" s="1"/>
  <c r="CV86" i="28" a="1"/>
  <c r="CV86" i="28" s="1"/>
  <c r="CU86" i="28" a="1"/>
  <c r="CU86" i="28" s="1"/>
  <c r="CY85" i="28" a="1"/>
  <c r="CY85" i="28" s="1"/>
  <c r="CX85" i="28" a="1"/>
  <c r="CX85" i="28" s="1"/>
  <c r="CW85" i="28"/>
  <c r="CW85" i="28" a="1"/>
  <c r="CV85" i="28" a="1"/>
  <c r="CV85" i="28" s="1"/>
  <c r="CU85" i="28" a="1"/>
  <c r="CU85" i="28" s="1"/>
  <c r="CY84" i="28" a="1"/>
  <c r="CY84" i="28" s="1"/>
  <c r="CX84" i="28" a="1"/>
  <c r="CX84" i="28" s="1"/>
  <c r="CW84" i="28" a="1"/>
  <c r="CW84" i="28" s="1"/>
  <c r="CV84" i="28" a="1"/>
  <c r="CV84" i="28" s="1"/>
  <c r="CU84" i="28" a="1"/>
  <c r="CU84" i="28" s="1"/>
  <c r="CY83" i="28"/>
  <c r="CY83" i="28" a="1"/>
  <c r="CX83" i="28" a="1"/>
  <c r="CX83" i="28" s="1"/>
  <c r="CW83" i="28" a="1"/>
  <c r="CW83" i="28" s="1"/>
  <c r="CV83" i="28" a="1"/>
  <c r="CV83" i="28" s="1"/>
  <c r="CU83" i="28" a="1"/>
  <c r="CU83" i="28" s="1"/>
  <c r="CY82" i="28" a="1"/>
  <c r="CY82" i="28" s="1"/>
  <c r="CX82" i="28" a="1"/>
  <c r="CX82" i="28" s="1"/>
  <c r="CW82" i="28" a="1"/>
  <c r="CW82" i="28" s="1"/>
  <c r="CV82" i="28" a="1"/>
  <c r="CV82" i="28" s="1"/>
  <c r="CU82" i="28" a="1"/>
  <c r="CU82" i="28" s="1"/>
  <c r="CY81" i="28" a="1"/>
  <c r="CY81" i="28" s="1"/>
  <c r="CX81" i="28" a="1"/>
  <c r="CX81" i="28" s="1"/>
  <c r="CW81" i="28"/>
  <c r="CW81" i="28" a="1"/>
  <c r="CV81" i="28" a="1"/>
  <c r="CV81" i="28" s="1"/>
  <c r="CU81" i="28" a="1"/>
  <c r="CU81" i="28" s="1"/>
  <c r="CY80" i="28" a="1"/>
  <c r="CY80" i="28" s="1"/>
  <c r="CX80" i="28"/>
  <c r="CX80" i="28" a="1"/>
  <c r="CW80" i="28" a="1"/>
  <c r="CW80" i="28" s="1"/>
  <c r="CV80" i="28" a="1"/>
  <c r="CV80" i="28" s="1"/>
  <c r="CU80" i="28" a="1"/>
  <c r="CU80" i="28" s="1"/>
  <c r="CY79" i="28" a="1"/>
  <c r="CY79" i="28" s="1"/>
  <c r="CX79" i="28" a="1"/>
  <c r="CX79" i="28" s="1"/>
  <c r="CW79" i="28" a="1"/>
  <c r="CW79" i="28" s="1"/>
  <c r="CV79" i="28" a="1"/>
  <c r="CV79" i="28" s="1"/>
  <c r="CU79" i="28"/>
  <c r="CU79" i="28" a="1"/>
  <c r="CY78" i="28" a="1"/>
  <c r="CY78" i="28" s="1"/>
  <c r="CX78" i="28" a="1"/>
  <c r="CX78" i="28" s="1"/>
  <c r="CW78" i="28" a="1"/>
  <c r="CW78" i="28" s="1"/>
  <c r="CV78" i="28" a="1"/>
  <c r="CV78" i="28" s="1"/>
  <c r="CU78" i="28" a="1"/>
  <c r="CU78" i="28" s="1"/>
  <c r="CY77" i="28" a="1"/>
  <c r="CY77" i="28" s="1"/>
  <c r="CX77" i="28" a="1"/>
  <c r="CX77" i="28" s="1"/>
  <c r="CW77" i="28" a="1"/>
  <c r="CW77" i="28" s="1"/>
  <c r="CV77" i="28" a="1"/>
  <c r="CV77" i="28" s="1"/>
  <c r="CU77" i="28" a="1"/>
  <c r="CU77" i="28" s="1"/>
  <c r="CY76" i="28" a="1"/>
  <c r="CY76" i="28" s="1"/>
  <c r="CX76" i="28" a="1"/>
  <c r="CX76" i="28" s="1"/>
  <c r="CW76" i="28" a="1"/>
  <c r="CW76" i="28" s="1"/>
  <c r="CV76" i="28" a="1"/>
  <c r="CV76" i="28" s="1"/>
  <c r="CU76" i="28" a="1"/>
  <c r="CU76" i="28" s="1"/>
  <c r="CY75" i="28" a="1"/>
  <c r="CY75" i="28" s="1"/>
  <c r="CX75" i="28" a="1"/>
  <c r="CX75" i="28" s="1"/>
  <c r="CW75" i="28" a="1"/>
  <c r="CW75" i="28" s="1"/>
  <c r="CV75" i="28" a="1"/>
  <c r="CV75" i="28" s="1"/>
  <c r="CU75" i="28"/>
  <c r="CU75" i="28" a="1"/>
  <c r="CY74" i="28" a="1"/>
  <c r="CY74" i="28" s="1"/>
  <c r="CX74" i="28" a="1"/>
  <c r="CX74" i="28" s="1"/>
  <c r="CW74" i="28" a="1"/>
  <c r="CW74" i="28" s="1"/>
  <c r="CV74" i="28"/>
  <c r="CV74" i="28" a="1"/>
  <c r="CU74" i="28" a="1"/>
  <c r="CU74" i="28" s="1"/>
  <c r="CY73" i="28"/>
  <c r="CY73" i="28" a="1"/>
  <c r="CX73" i="28" a="1"/>
  <c r="CX73" i="28" s="1"/>
  <c r="CW73" i="28" a="1"/>
  <c r="CW73" i="28" s="1"/>
  <c r="CV73" i="28" a="1"/>
  <c r="CV73" i="28" s="1"/>
  <c r="CU73" i="28" a="1"/>
  <c r="CU73" i="28" s="1"/>
  <c r="CY72" i="28" a="1"/>
  <c r="CY72" i="28" s="1"/>
  <c r="CX72" i="28"/>
  <c r="CX72" i="28" a="1"/>
  <c r="CW72" i="28" a="1"/>
  <c r="CW72" i="28" s="1"/>
  <c r="CV72" i="28" a="1"/>
  <c r="CV72" i="28" s="1"/>
  <c r="CU72" i="28" a="1"/>
  <c r="CU72" i="28" s="1"/>
  <c r="CY71" i="28"/>
  <c r="CY71" i="28" a="1"/>
  <c r="CX71" i="28" a="1"/>
  <c r="CX71" i="28" s="1"/>
  <c r="CW71" i="28"/>
  <c r="CW71" i="28" a="1"/>
  <c r="CV71" i="28" a="1"/>
  <c r="CV71" i="28" s="1"/>
  <c r="CU71" i="28" a="1"/>
  <c r="CU71" i="28" s="1"/>
  <c r="CY70" i="28" a="1"/>
  <c r="CY70" i="28" s="1"/>
  <c r="CX70" i="28" a="1"/>
  <c r="CX70" i="28" s="1"/>
  <c r="CW70" i="28" a="1"/>
  <c r="CW70" i="28" s="1"/>
  <c r="CV70" i="28"/>
  <c r="CV70" i="28" a="1"/>
  <c r="CU70" i="28" a="1"/>
  <c r="CU70" i="28" s="1"/>
  <c r="CY69" i="28" a="1"/>
  <c r="CY69" i="28" s="1"/>
  <c r="CX69" i="28" a="1"/>
  <c r="CX69" i="28" s="1"/>
  <c r="CW69" i="28"/>
  <c r="CW69" i="28" a="1"/>
  <c r="CV69" i="28" a="1"/>
  <c r="CV69" i="28" s="1"/>
  <c r="CU69" i="28" a="1"/>
  <c r="CU69" i="28" s="1"/>
  <c r="CY68" i="28" a="1"/>
  <c r="CY68" i="28" s="1"/>
  <c r="CX68" i="28"/>
  <c r="CX68" i="28" a="1"/>
  <c r="CW68" i="28" a="1"/>
  <c r="CW68" i="28" s="1"/>
  <c r="CV68" i="28"/>
  <c r="CV68" i="28" a="1"/>
  <c r="CU68" i="28" a="1"/>
  <c r="CU68" i="28" s="1"/>
  <c r="CY67" i="28" a="1"/>
  <c r="CY67" i="28" s="1"/>
  <c r="CX67" i="28" a="1"/>
  <c r="CX67" i="28" s="1"/>
  <c r="CW67" i="28" a="1"/>
  <c r="CW67" i="28" s="1"/>
  <c r="CV67" i="28" a="1"/>
  <c r="CV67" i="28" s="1"/>
  <c r="CU67" i="28" a="1"/>
  <c r="CU67" i="28" s="1"/>
  <c r="CY66" i="28" a="1"/>
  <c r="CY66" i="28" s="1"/>
  <c r="CX66" i="28" a="1"/>
  <c r="CX66" i="28" s="1"/>
  <c r="CW66" i="28" a="1"/>
  <c r="CW66" i="28" s="1"/>
  <c r="CV66" i="28"/>
  <c r="CV66" i="28" a="1"/>
  <c r="CU66" i="28" a="1"/>
  <c r="CU66" i="28" s="1"/>
  <c r="CY65" i="28"/>
  <c r="CY65" i="28" a="1"/>
  <c r="CX65" i="28" a="1"/>
  <c r="CX65" i="28" s="1"/>
  <c r="CW65" i="28"/>
  <c r="CW65" i="28" a="1"/>
  <c r="CV65" i="28" a="1"/>
  <c r="CV65" i="28" s="1"/>
  <c r="CU65" i="28"/>
  <c r="CU65" i="28" a="1"/>
  <c r="CY64" i="28" a="1"/>
  <c r="CY64" i="28" s="1"/>
  <c r="CX64" i="28" a="1"/>
  <c r="CX64" i="28" s="1"/>
  <c r="CW64" i="28" a="1"/>
  <c r="CW64" i="28" s="1"/>
  <c r="CV64" i="28" a="1"/>
  <c r="CV64" i="28" s="1"/>
  <c r="CU64" i="28" a="1"/>
  <c r="CU64" i="28" s="1"/>
  <c r="CM122" i="28" a="1"/>
  <c r="CM122" i="28" s="1"/>
  <c r="CL122" i="28" a="1"/>
  <c r="CL122" i="28" s="1"/>
  <c r="CK122" i="28"/>
  <c r="CK122" i="28" a="1"/>
  <c r="CJ122" i="28" a="1"/>
  <c r="CJ122" i="28" s="1"/>
  <c r="CI122" i="28" a="1"/>
  <c r="CI122" i="28" s="1"/>
  <c r="CM121" i="28" a="1"/>
  <c r="CM121" i="28" s="1"/>
  <c r="CL121" i="28"/>
  <c r="CL121" i="28" a="1"/>
  <c r="CK121" i="28" a="1"/>
  <c r="CK121" i="28" s="1"/>
  <c r="CJ121" i="28" a="1"/>
  <c r="CJ121" i="28" s="1"/>
  <c r="CI121" i="28" a="1"/>
  <c r="CI121" i="28" s="1"/>
  <c r="CM120" i="28"/>
  <c r="CM120" i="28" a="1"/>
  <c r="CL120" i="28" a="1"/>
  <c r="CL120" i="28" s="1"/>
  <c r="CK120" i="28" a="1"/>
  <c r="CK120" i="28" s="1"/>
  <c r="CJ120" i="28" a="1"/>
  <c r="CJ120" i="28" s="1"/>
  <c r="CI120" i="28"/>
  <c r="CI120" i="28" a="1"/>
  <c r="CM119" i="28" a="1"/>
  <c r="CM119" i="28" s="1"/>
  <c r="CL119" i="28" a="1"/>
  <c r="CL119" i="28" s="1"/>
  <c r="CK119" i="28" a="1"/>
  <c r="CK119" i="28" s="1"/>
  <c r="CJ119" i="28"/>
  <c r="CJ119" i="28" a="1"/>
  <c r="CI119" i="28" a="1"/>
  <c r="CI119" i="28" s="1"/>
  <c r="CM118" i="28" a="1"/>
  <c r="CM118" i="28" s="1"/>
  <c r="CL118" i="28" a="1"/>
  <c r="CL118" i="28" s="1"/>
  <c r="CK118" i="28"/>
  <c r="CK118" i="28" a="1"/>
  <c r="CJ118" i="28" a="1"/>
  <c r="CJ118" i="28" s="1"/>
  <c r="CI118" i="28" a="1"/>
  <c r="CI118" i="28" s="1"/>
  <c r="CM117" i="28" a="1"/>
  <c r="CM117" i="28" s="1"/>
  <c r="CL117" i="28"/>
  <c r="CL117" i="28" a="1"/>
  <c r="CK117" i="28" a="1"/>
  <c r="CK117" i="28" s="1"/>
  <c r="CJ117" i="28" a="1"/>
  <c r="CJ117" i="28" s="1"/>
  <c r="CI117" i="28" a="1"/>
  <c r="CI117" i="28" s="1"/>
  <c r="CM116" i="28"/>
  <c r="CM116" i="28" a="1"/>
  <c r="CL116" i="28" a="1"/>
  <c r="CL116" i="28" s="1"/>
  <c r="CK116" i="28" a="1"/>
  <c r="CK116" i="28" s="1"/>
  <c r="CJ116" i="28" a="1"/>
  <c r="CJ116" i="28" s="1"/>
  <c r="CI116" i="28"/>
  <c r="CI116" i="28" a="1"/>
  <c r="CM115" i="28" a="1"/>
  <c r="CM115" i="28" s="1"/>
  <c r="CL115" i="28" a="1"/>
  <c r="CL115" i="28" s="1"/>
  <c r="CK115" i="28" a="1"/>
  <c r="CK115" i="28" s="1"/>
  <c r="CJ115" i="28"/>
  <c r="CJ115" i="28" a="1"/>
  <c r="CI115" i="28" a="1"/>
  <c r="CI115" i="28" s="1"/>
  <c r="CM114" i="28" a="1"/>
  <c r="CM114" i="28" s="1"/>
  <c r="CL114" i="28" a="1"/>
  <c r="CL114" i="28" s="1"/>
  <c r="CK114" i="28"/>
  <c r="CK114" i="28" a="1"/>
  <c r="CJ114" i="28" a="1"/>
  <c r="CJ114" i="28" s="1"/>
  <c r="CI114" i="28" a="1"/>
  <c r="CI114" i="28" s="1"/>
  <c r="CM113" i="28" a="1"/>
  <c r="CM113" i="28" s="1"/>
  <c r="CL113" i="28"/>
  <c r="CL113" i="28" a="1"/>
  <c r="CK113" i="28" a="1"/>
  <c r="CK113" i="28" s="1"/>
  <c r="CJ113" i="28" a="1"/>
  <c r="CJ113" i="28" s="1"/>
  <c r="CI113" i="28" a="1"/>
  <c r="CI113" i="28" s="1"/>
  <c r="CM112" i="28"/>
  <c r="CM112" i="28" a="1"/>
  <c r="CL112" i="28" a="1"/>
  <c r="CL112" i="28" s="1"/>
  <c r="CK112" i="28" a="1"/>
  <c r="CK112" i="28" s="1"/>
  <c r="CJ112" i="28" a="1"/>
  <c r="CJ112" i="28" s="1"/>
  <c r="CI112" i="28"/>
  <c r="CI112" i="28" a="1"/>
  <c r="CM111" i="28" a="1"/>
  <c r="CM111" i="28" s="1"/>
  <c r="CL111" i="28" a="1"/>
  <c r="CL111" i="28" s="1"/>
  <c r="CK111" i="28" a="1"/>
  <c r="CK111" i="28" s="1"/>
  <c r="CJ111" i="28"/>
  <c r="CJ111" i="28" a="1"/>
  <c r="CI111" i="28" a="1"/>
  <c r="CI111" i="28" s="1"/>
  <c r="CM110" i="28" a="1"/>
  <c r="CM110" i="28" s="1"/>
  <c r="CL110" i="28" a="1"/>
  <c r="CL110" i="28" s="1"/>
  <c r="CK110" i="28"/>
  <c r="CK110" i="28" a="1"/>
  <c r="CJ110" i="28" a="1"/>
  <c r="CJ110" i="28" s="1"/>
  <c r="CI110" i="28" a="1"/>
  <c r="CI110" i="28" s="1"/>
  <c r="CM109" i="28" a="1"/>
  <c r="CM109" i="28" s="1"/>
  <c r="CL109" i="28"/>
  <c r="CL109" i="28" a="1"/>
  <c r="CK109" i="28" a="1"/>
  <c r="CK109" i="28" s="1"/>
  <c r="CJ109" i="28" a="1"/>
  <c r="CJ109" i="28" s="1"/>
  <c r="CI109" i="28" a="1"/>
  <c r="CI109" i="28" s="1"/>
  <c r="CM108" i="28"/>
  <c r="CM108" i="28" a="1"/>
  <c r="CL108" i="28" a="1"/>
  <c r="CL108" i="28" s="1"/>
  <c r="CK108" i="28" a="1"/>
  <c r="CK108" i="28" s="1"/>
  <c r="CJ108" i="28" a="1"/>
  <c r="CJ108" i="28" s="1"/>
  <c r="CI108" i="28"/>
  <c r="CI108" i="28" a="1"/>
  <c r="CM107" i="28" a="1"/>
  <c r="CM107" i="28" s="1"/>
  <c r="CL107" i="28" a="1"/>
  <c r="CL107" i="28" s="1"/>
  <c r="CK107" i="28" a="1"/>
  <c r="CK107" i="28" s="1"/>
  <c r="CJ107" i="28"/>
  <c r="CJ107" i="28" a="1"/>
  <c r="CI107" i="28" a="1"/>
  <c r="CI107" i="28" s="1"/>
  <c r="CM106" i="28" a="1"/>
  <c r="CM106" i="28" s="1"/>
  <c r="CL106" i="28" a="1"/>
  <c r="CL106" i="28" s="1"/>
  <c r="CK106" i="28"/>
  <c r="CK106" i="28" a="1"/>
  <c r="CJ106" i="28" a="1"/>
  <c r="CJ106" i="28" s="1"/>
  <c r="CI106" i="28" a="1"/>
  <c r="CI106" i="28" s="1"/>
  <c r="CM105" i="28" a="1"/>
  <c r="CM105" i="28" s="1"/>
  <c r="CL105" i="28"/>
  <c r="CL105" i="28" a="1"/>
  <c r="CK105" i="28" a="1"/>
  <c r="CK105" i="28" s="1"/>
  <c r="CJ105" i="28" a="1"/>
  <c r="CJ105" i="28" s="1"/>
  <c r="CI105" i="28" a="1"/>
  <c r="CI105" i="28" s="1"/>
  <c r="CM104" i="28"/>
  <c r="CM104" i="28" a="1"/>
  <c r="CL104" i="28" a="1"/>
  <c r="CL104" i="28" s="1"/>
  <c r="CK104" i="28" a="1"/>
  <c r="CK104" i="28" s="1"/>
  <c r="CJ104" i="28" a="1"/>
  <c r="CJ104" i="28" s="1"/>
  <c r="CI104" i="28"/>
  <c r="CI104" i="28" a="1"/>
  <c r="CM103" i="28" a="1"/>
  <c r="CM103" i="28" s="1"/>
  <c r="CL103" i="28" a="1"/>
  <c r="CL103" i="28" s="1"/>
  <c r="CK103" i="28" a="1"/>
  <c r="CK103" i="28" s="1"/>
  <c r="CJ103" i="28"/>
  <c r="CJ103" i="28" a="1"/>
  <c r="CI103" i="28" a="1"/>
  <c r="CI103" i="28" s="1"/>
  <c r="CM102" i="28" a="1"/>
  <c r="CM102" i="28" s="1"/>
  <c r="CL102" i="28" a="1"/>
  <c r="CL102" i="28" s="1"/>
  <c r="CK102" i="28"/>
  <c r="CK102" i="28" a="1"/>
  <c r="CJ102" i="28" a="1"/>
  <c r="CJ102" i="28" s="1"/>
  <c r="CI102" i="28" a="1"/>
  <c r="CI102" i="28" s="1"/>
  <c r="CM101" i="28" a="1"/>
  <c r="CM101" i="28" s="1"/>
  <c r="CL101" i="28"/>
  <c r="CL101" i="28" a="1"/>
  <c r="CK101" i="28" a="1"/>
  <c r="CK101" i="28" s="1"/>
  <c r="CJ101" i="28" a="1"/>
  <c r="CJ101" i="28" s="1"/>
  <c r="CI101" i="28" a="1"/>
  <c r="CI101" i="28" s="1"/>
  <c r="CM100" i="28"/>
  <c r="CM100" i="28" a="1"/>
  <c r="CL100" i="28" a="1"/>
  <c r="CL100" i="28" s="1"/>
  <c r="CK100" i="28" a="1"/>
  <c r="CK100" i="28" s="1"/>
  <c r="CJ100" i="28" a="1"/>
  <c r="CJ100" i="28" s="1"/>
  <c r="CI100" i="28"/>
  <c r="CI100" i="28" a="1"/>
  <c r="CM99" i="28" a="1"/>
  <c r="CM99" i="28" s="1"/>
  <c r="CL99" i="28" a="1"/>
  <c r="CL99" i="28" s="1"/>
  <c r="CK99" i="28" a="1"/>
  <c r="CK99" i="28" s="1"/>
  <c r="CJ99" i="28"/>
  <c r="CJ99" i="28" a="1"/>
  <c r="CI99" i="28" a="1"/>
  <c r="CI99" i="28" s="1"/>
  <c r="CM98" i="28" a="1"/>
  <c r="CM98" i="28" s="1"/>
  <c r="CL98" i="28" a="1"/>
  <c r="CL98" i="28" s="1"/>
  <c r="CK98" i="28" a="1"/>
  <c r="CK98" i="28" s="1"/>
  <c r="CJ98" i="28" a="1"/>
  <c r="CJ98" i="28" s="1"/>
  <c r="CI98" i="28" a="1"/>
  <c r="CI98" i="28" s="1"/>
  <c r="CM97" i="28" a="1"/>
  <c r="CM97" i="28" s="1"/>
  <c r="CL97" i="28" a="1"/>
  <c r="CL97" i="28" s="1"/>
  <c r="CK97" i="28" a="1"/>
  <c r="CK97" i="28" s="1"/>
  <c r="CJ97" i="28" a="1"/>
  <c r="CJ97" i="28" s="1"/>
  <c r="CI97" i="28" a="1"/>
  <c r="CI97" i="28" s="1"/>
  <c r="CM96" i="28" a="1"/>
  <c r="CM96" i="28" s="1"/>
  <c r="CL96" i="28" a="1"/>
  <c r="CL96" i="28" s="1"/>
  <c r="CK96" i="28" a="1"/>
  <c r="CK96" i="28" s="1"/>
  <c r="CJ96" i="28" a="1"/>
  <c r="CJ96" i="28" s="1"/>
  <c r="CI96" i="28" a="1"/>
  <c r="CI96" i="28" s="1"/>
  <c r="CM95" i="28" a="1"/>
  <c r="CM95" i="28" s="1"/>
  <c r="CL95" i="28" a="1"/>
  <c r="CL95" i="28" s="1"/>
  <c r="CK95" i="28" a="1"/>
  <c r="CK95" i="28" s="1"/>
  <c r="CJ95" i="28" a="1"/>
  <c r="CJ95" i="28" s="1"/>
  <c r="CI95" i="28" a="1"/>
  <c r="CI95" i="28" s="1"/>
  <c r="CM94" i="28" a="1"/>
  <c r="CM94" i="28" s="1"/>
  <c r="CL94" i="28" a="1"/>
  <c r="CL94" i="28" s="1"/>
  <c r="CK94" i="28" a="1"/>
  <c r="CK94" i="28" s="1"/>
  <c r="CJ94" i="28" a="1"/>
  <c r="CJ94" i="28" s="1"/>
  <c r="CI94" i="28" a="1"/>
  <c r="CI94" i="28" s="1"/>
  <c r="CM93" i="28" a="1"/>
  <c r="CM93" i="28" s="1"/>
  <c r="CL93" i="28" a="1"/>
  <c r="CL93" i="28" s="1"/>
  <c r="CK93" i="28" a="1"/>
  <c r="CK93" i="28" s="1"/>
  <c r="CJ93" i="28" a="1"/>
  <c r="CJ93" i="28" s="1"/>
  <c r="CI93" i="28" a="1"/>
  <c r="CI93" i="28" s="1"/>
  <c r="CM92" i="28" a="1"/>
  <c r="CM92" i="28" s="1"/>
  <c r="CL92" i="28" a="1"/>
  <c r="CL92" i="28" s="1"/>
  <c r="CK92" i="28" a="1"/>
  <c r="CK92" i="28" s="1"/>
  <c r="CJ92" i="28" a="1"/>
  <c r="CJ92" i="28" s="1"/>
  <c r="CI92" i="28" a="1"/>
  <c r="CI92" i="28" s="1"/>
  <c r="CM91" i="28" a="1"/>
  <c r="CM91" i="28" s="1"/>
  <c r="CL91" i="28" a="1"/>
  <c r="CL91" i="28" s="1"/>
  <c r="CK91" i="28" a="1"/>
  <c r="CK91" i="28" s="1"/>
  <c r="CJ91" i="28" a="1"/>
  <c r="CJ91" i="28" s="1"/>
  <c r="CI91" i="28" a="1"/>
  <c r="CI91" i="28" s="1"/>
  <c r="CM90" i="28" a="1"/>
  <c r="CM90" i="28" s="1"/>
  <c r="CL90" i="28" a="1"/>
  <c r="CL90" i="28" s="1"/>
  <c r="CK90" i="28" a="1"/>
  <c r="CK90" i="28" s="1"/>
  <c r="CJ90" i="28" a="1"/>
  <c r="CJ90" i="28" s="1"/>
  <c r="CI90" i="28" a="1"/>
  <c r="CI90" i="28" s="1"/>
  <c r="CM89" i="28" a="1"/>
  <c r="CM89" i="28" s="1"/>
  <c r="CL89" i="28" a="1"/>
  <c r="CL89" i="28" s="1"/>
  <c r="CK89" i="28" a="1"/>
  <c r="CK89" i="28" s="1"/>
  <c r="CJ89" i="28" a="1"/>
  <c r="CJ89" i="28" s="1"/>
  <c r="CI89" i="28" a="1"/>
  <c r="CI89" i="28" s="1"/>
  <c r="CM88" i="28" a="1"/>
  <c r="CM88" i="28" s="1"/>
  <c r="CL88" i="28" a="1"/>
  <c r="CL88" i="28" s="1"/>
  <c r="CK88" i="28" a="1"/>
  <c r="CK88" i="28" s="1"/>
  <c r="CJ88" i="28" a="1"/>
  <c r="CJ88" i="28" s="1"/>
  <c r="CI88" i="28" a="1"/>
  <c r="CI88" i="28" s="1"/>
  <c r="CM87" i="28" a="1"/>
  <c r="CM87" i="28" s="1"/>
  <c r="CL87" i="28" a="1"/>
  <c r="CL87" i="28" s="1"/>
  <c r="CK87" i="28" a="1"/>
  <c r="CK87" i="28" s="1"/>
  <c r="CJ87" i="28" a="1"/>
  <c r="CJ87" i="28" s="1"/>
  <c r="CI87" i="28" a="1"/>
  <c r="CI87" i="28" s="1"/>
  <c r="CM86" i="28" a="1"/>
  <c r="CM86" i="28" s="1"/>
  <c r="CL86" i="28" a="1"/>
  <c r="CL86" i="28" s="1"/>
  <c r="CK86" i="28" a="1"/>
  <c r="CK86" i="28" s="1"/>
  <c r="CJ86" i="28" a="1"/>
  <c r="CJ86" i="28" s="1"/>
  <c r="CI86" i="28" a="1"/>
  <c r="CI86" i="28" s="1"/>
  <c r="CM85" i="28" a="1"/>
  <c r="CM85" i="28" s="1"/>
  <c r="CL85" i="28" a="1"/>
  <c r="CL85" i="28" s="1"/>
  <c r="CK85" i="28" a="1"/>
  <c r="CK85" i="28" s="1"/>
  <c r="CJ85" i="28" a="1"/>
  <c r="CJ85" i="28" s="1"/>
  <c r="CI85" i="28" a="1"/>
  <c r="CI85" i="28" s="1"/>
  <c r="CM84" i="28" a="1"/>
  <c r="CM84" i="28" s="1"/>
  <c r="CL84" i="28" a="1"/>
  <c r="CL84" i="28" s="1"/>
  <c r="CK84" i="28" a="1"/>
  <c r="CK84" i="28" s="1"/>
  <c r="CJ84" i="28" a="1"/>
  <c r="CJ84" i="28" s="1"/>
  <c r="CI84" i="28" a="1"/>
  <c r="CI84" i="28" s="1"/>
  <c r="CM83" i="28" a="1"/>
  <c r="CM83" i="28" s="1"/>
  <c r="CL83" i="28" a="1"/>
  <c r="CL83" i="28" s="1"/>
  <c r="CK83" i="28" a="1"/>
  <c r="CK83" i="28" s="1"/>
  <c r="CJ83" i="28" a="1"/>
  <c r="CJ83" i="28" s="1"/>
  <c r="CI83" i="28" a="1"/>
  <c r="CI83" i="28" s="1"/>
  <c r="CM82" i="28" a="1"/>
  <c r="CM82" i="28" s="1"/>
  <c r="CL82" i="28" a="1"/>
  <c r="CL82" i="28" s="1"/>
  <c r="CK82" i="28" a="1"/>
  <c r="CK82" i="28" s="1"/>
  <c r="CJ82" i="28" a="1"/>
  <c r="CJ82" i="28" s="1"/>
  <c r="CI82" i="28" a="1"/>
  <c r="CI82" i="28" s="1"/>
  <c r="CM81" i="28" a="1"/>
  <c r="CM81" i="28" s="1"/>
  <c r="CL81" i="28" a="1"/>
  <c r="CL81" i="28" s="1"/>
  <c r="CK81" i="28" a="1"/>
  <c r="CK81" i="28" s="1"/>
  <c r="CJ81" i="28" a="1"/>
  <c r="CJ81" i="28" s="1"/>
  <c r="CI81" i="28" a="1"/>
  <c r="CI81" i="28" s="1"/>
  <c r="CM80" i="28" a="1"/>
  <c r="CM80" i="28" s="1"/>
  <c r="CL80" i="28" a="1"/>
  <c r="CL80" i="28" s="1"/>
  <c r="CK80" i="28" a="1"/>
  <c r="CK80" i="28" s="1"/>
  <c r="CJ80" i="28" a="1"/>
  <c r="CJ80" i="28" s="1"/>
  <c r="CI80" i="28" a="1"/>
  <c r="CI80" i="28" s="1"/>
  <c r="CM79" i="28" a="1"/>
  <c r="CM79" i="28" s="1"/>
  <c r="CL79" i="28" a="1"/>
  <c r="CL79" i="28" s="1"/>
  <c r="CK79" i="28" a="1"/>
  <c r="CK79" i="28" s="1"/>
  <c r="CJ79" i="28" a="1"/>
  <c r="CJ79" i="28" s="1"/>
  <c r="CI79" i="28" a="1"/>
  <c r="CI79" i="28" s="1"/>
  <c r="CM78" i="28" a="1"/>
  <c r="CM78" i="28" s="1"/>
  <c r="CL78" i="28" a="1"/>
  <c r="CL78" i="28" s="1"/>
  <c r="CK78" i="28" a="1"/>
  <c r="CK78" i="28" s="1"/>
  <c r="CJ78" i="28" a="1"/>
  <c r="CJ78" i="28" s="1"/>
  <c r="CI78" i="28" a="1"/>
  <c r="CI78" i="28" s="1"/>
  <c r="CM77" i="28" a="1"/>
  <c r="CM77" i="28" s="1"/>
  <c r="CL77" i="28"/>
  <c r="CL77" i="28" a="1"/>
  <c r="CK77" i="28" a="1"/>
  <c r="CK77" i="28" s="1"/>
  <c r="CJ77" i="28" a="1"/>
  <c r="CJ77" i="28" s="1"/>
  <c r="CI77" i="28" a="1"/>
  <c r="CI77" i="28" s="1"/>
  <c r="CM76" i="28" a="1"/>
  <c r="CM76" i="28" s="1"/>
  <c r="CL76" i="28" a="1"/>
  <c r="CL76" i="28" s="1"/>
  <c r="CK76" i="28" a="1"/>
  <c r="CK76" i="28" s="1"/>
  <c r="CJ76" i="28" a="1"/>
  <c r="CJ76" i="28" s="1"/>
  <c r="CI76" i="28" a="1"/>
  <c r="CI76" i="28" s="1"/>
  <c r="CM75" i="28" a="1"/>
  <c r="CM75" i="28" s="1"/>
  <c r="CL75" i="28" a="1"/>
  <c r="CL75" i="28" s="1"/>
  <c r="CK75" i="28" a="1"/>
  <c r="CK75" i="28" s="1"/>
  <c r="CJ75" i="28" a="1"/>
  <c r="CJ75" i="28" s="1"/>
  <c r="CI75" i="28" a="1"/>
  <c r="CI75" i="28" s="1"/>
  <c r="CM74" i="28" a="1"/>
  <c r="CM74" i="28" s="1"/>
  <c r="CL74" i="28" a="1"/>
  <c r="CL74" i="28" s="1"/>
  <c r="CK74" i="28" a="1"/>
  <c r="CK74" i="28" s="1"/>
  <c r="CJ74" i="28" a="1"/>
  <c r="CJ74" i="28" s="1"/>
  <c r="CI74" i="28" a="1"/>
  <c r="CI74" i="28" s="1"/>
  <c r="CM73" i="28" a="1"/>
  <c r="CM73" i="28" s="1"/>
  <c r="CL73" i="28"/>
  <c r="CL73" i="28" a="1"/>
  <c r="CK73" i="28" a="1"/>
  <c r="CK73" i="28" s="1"/>
  <c r="CJ73" i="28" a="1"/>
  <c r="CJ73" i="28" s="1"/>
  <c r="CI73" i="28" a="1"/>
  <c r="CI73" i="28" s="1"/>
  <c r="CM72" i="28"/>
  <c r="CM72" i="28" a="1"/>
  <c r="CL72" i="28" a="1"/>
  <c r="CL72" i="28" s="1"/>
  <c r="CK72" i="28" a="1"/>
  <c r="CK72" i="28" s="1"/>
  <c r="CJ72" i="28" a="1"/>
  <c r="CJ72" i="28" s="1"/>
  <c r="CI72" i="28" a="1"/>
  <c r="CI72" i="28" s="1"/>
  <c r="CM71" i="28" a="1"/>
  <c r="CM71" i="28" s="1"/>
  <c r="CL71" i="28" a="1"/>
  <c r="CL71" i="28" s="1"/>
  <c r="CK71" i="28" a="1"/>
  <c r="CK71" i="28" s="1"/>
  <c r="CJ71" i="28"/>
  <c r="CJ71" i="28" a="1"/>
  <c r="CI71" i="28" a="1"/>
  <c r="CI71" i="28" s="1"/>
  <c r="CM70" i="28" a="1"/>
  <c r="CM70" i="28" s="1"/>
  <c r="CL70" i="28" a="1"/>
  <c r="CL70" i="28" s="1"/>
  <c r="CK70" i="28" a="1"/>
  <c r="CK70" i="28" s="1"/>
  <c r="CJ70" i="28" a="1"/>
  <c r="CJ70" i="28" s="1"/>
  <c r="CI70" i="28" a="1"/>
  <c r="CI70" i="28" s="1"/>
  <c r="CM69" i="28" a="1"/>
  <c r="CM69" i="28" s="1"/>
  <c r="CL69" i="28" a="1"/>
  <c r="CL69" i="28" s="1"/>
  <c r="CK69" i="28" a="1"/>
  <c r="CK69" i="28" s="1"/>
  <c r="CJ69" i="28" a="1"/>
  <c r="CJ69" i="28" s="1"/>
  <c r="CI69" i="28" a="1"/>
  <c r="CI69" i="28" s="1"/>
  <c r="CM68" i="28" a="1"/>
  <c r="CM68" i="28" s="1"/>
  <c r="CL68" i="28" a="1"/>
  <c r="CL68" i="28" s="1"/>
  <c r="CK68" i="28" a="1"/>
  <c r="CK68" i="28" s="1"/>
  <c r="CJ68" i="28" a="1"/>
  <c r="CJ68" i="28" s="1"/>
  <c r="CI68" i="28" a="1"/>
  <c r="CI68" i="28" s="1"/>
  <c r="CM67" i="28" a="1"/>
  <c r="CM67" i="28" s="1"/>
  <c r="CL67" i="28" a="1"/>
  <c r="CL67" i="28" s="1"/>
  <c r="CK67" i="28" a="1"/>
  <c r="CK67" i="28" s="1"/>
  <c r="CJ67" i="28"/>
  <c r="CJ67" i="28" a="1"/>
  <c r="CI67" i="28" a="1"/>
  <c r="CI67" i="28" s="1"/>
  <c r="CM66" i="28" a="1"/>
  <c r="CM66" i="28" s="1"/>
  <c r="CL66" i="28" a="1"/>
  <c r="CL66" i="28" s="1"/>
  <c r="CK66" i="28"/>
  <c r="CK66" i="28" a="1"/>
  <c r="CJ66" i="28" a="1"/>
  <c r="CJ66" i="28" s="1"/>
  <c r="CI66" i="28" a="1"/>
  <c r="CI66" i="28" s="1"/>
  <c r="CM65" i="28" a="1"/>
  <c r="CM65" i="28" s="1"/>
  <c r="CL65" i="28" a="1"/>
  <c r="CL65" i="28" s="1"/>
  <c r="CK65" i="28" a="1"/>
  <c r="CK65" i="28" s="1"/>
  <c r="CJ65" i="28" a="1"/>
  <c r="CJ65" i="28" s="1"/>
  <c r="CI65" i="28" a="1"/>
  <c r="CI65" i="28" s="1"/>
  <c r="CM64" i="28"/>
  <c r="CM64" i="28" a="1"/>
  <c r="CL64" i="28" a="1"/>
  <c r="CL64" i="28" s="1"/>
  <c r="CK64" i="28" a="1"/>
  <c r="CK64" i="28" s="1"/>
  <c r="CJ64" i="28" a="1"/>
  <c r="CJ64" i="28" s="1"/>
  <c r="CI64" i="28" a="1"/>
  <c r="CI64" i="28" s="1"/>
  <c r="CA122" i="28" a="1"/>
  <c r="CA122" i="28" s="1"/>
  <c r="BZ122" i="28" a="1"/>
  <c r="BZ122" i="28" s="1"/>
  <c r="BY122" i="28" a="1"/>
  <c r="BY122" i="28" s="1"/>
  <c r="BX122" i="28" a="1"/>
  <c r="BX122" i="28" s="1"/>
  <c r="BW122" i="28" a="1"/>
  <c r="BW122" i="28" s="1"/>
  <c r="CA121" i="28" a="1"/>
  <c r="CA121" i="28" s="1"/>
  <c r="BZ121" i="28" a="1"/>
  <c r="BZ121" i="28" s="1"/>
  <c r="BY121" i="28" a="1"/>
  <c r="BY121" i="28" s="1"/>
  <c r="BX121" i="28" a="1"/>
  <c r="BX121" i="28" s="1"/>
  <c r="BW121" i="28" a="1"/>
  <c r="BW121" i="28" s="1"/>
  <c r="CA120" i="28" a="1"/>
  <c r="CA120" i="28" s="1"/>
  <c r="BZ120" i="28" a="1"/>
  <c r="BZ120" i="28" s="1"/>
  <c r="BY120" i="28" a="1"/>
  <c r="BY120" i="28" s="1"/>
  <c r="BX120" i="28" a="1"/>
  <c r="BX120" i="28" s="1"/>
  <c r="BW120" i="28" a="1"/>
  <c r="BW120" i="28" s="1"/>
  <c r="CA119" i="28" a="1"/>
  <c r="CA119" i="28" s="1"/>
  <c r="BZ119" i="28" a="1"/>
  <c r="BZ119" i="28" s="1"/>
  <c r="BY119" i="28" a="1"/>
  <c r="BY119" i="28" s="1"/>
  <c r="BX119" i="28" a="1"/>
  <c r="BX119" i="28" s="1"/>
  <c r="BW119" i="28" a="1"/>
  <c r="BW119" i="28" s="1"/>
  <c r="CA118" i="28" a="1"/>
  <c r="CA118" i="28" s="1"/>
  <c r="BZ118" i="28" a="1"/>
  <c r="BZ118" i="28" s="1"/>
  <c r="BY118" i="28" a="1"/>
  <c r="BY118" i="28" s="1"/>
  <c r="BX118" i="28" a="1"/>
  <c r="BX118" i="28" s="1"/>
  <c r="BW118" i="28" a="1"/>
  <c r="BW118" i="28" s="1"/>
  <c r="CA117" i="28" a="1"/>
  <c r="CA117" i="28" s="1"/>
  <c r="BZ117" i="28" a="1"/>
  <c r="BZ117" i="28" s="1"/>
  <c r="BY117" i="28" a="1"/>
  <c r="BY117" i="28" s="1"/>
  <c r="BX117" i="28" a="1"/>
  <c r="BX117" i="28" s="1"/>
  <c r="BW117" i="28" a="1"/>
  <c r="BW117" i="28" s="1"/>
  <c r="CA116" i="28" a="1"/>
  <c r="CA116" i="28" s="1"/>
  <c r="BZ116" i="28" a="1"/>
  <c r="BZ116" i="28" s="1"/>
  <c r="BY116" i="28" a="1"/>
  <c r="BY116" i="28" s="1"/>
  <c r="BX116" i="28" a="1"/>
  <c r="BX116" i="28" s="1"/>
  <c r="BW116" i="28" a="1"/>
  <c r="BW116" i="28" s="1"/>
  <c r="CA115" i="28" a="1"/>
  <c r="CA115" i="28" s="1"/>
  <c r="BZ115" i="28" a="1"/>
  <c r="BZ115" i="28" s="1"/>
  <c r="BY115" i="28" a="1"/>
  <c r="BY115" i="28" s="1"/>
  <c r="BX115" i="28" a="1"/>
  <c r="BX115" i="28" s="1"/>
  <c r="BW115" i="28" a="1"/>
  <c r="BW115" i="28" s="1"/>
  <c r="CA114" i="28" a="1"/>
  <c r="CA114" i="28" s="1"/>
  <c r="BZ114" i="28" a="1"/>
  <c r="BZ114" i="28" s="1"/>
  <c r="BY114" i="28" a="1"/>
  <c r="BY114" i="28" s="1"/>
  <c r="BX114" i="28" a="1"/>
  <c r="BX114" i="28" s="1"/>
  <c r="BW114" i="28" a="1"/>
  <c r="BW114" i="28" s="1"/>
  <c r="CA113" i="28" a="1"/>
  <c r="CA113" i="28" s="1"/>
  <c r="BZ113" i="28" a="1"/>
  <c r="BZ113" i="28" s="1"/>
  <c r="BY113" i="28" a="1"/>
  <c r="BY113" i="28" s="1"/>
  <c r="BX113" i="28" a="1"/>
  <c r="BX113" i="28" s="1"/>
  <c r="BW113" i="28" a="1"/>
  <c r="BW113" i="28" s="1"/>
  <c r="CA112" i="28" a="1"/>
  <c r="CA112" i="28" s="1"/>
  <c r="BZ112" i="28" a="1"/>
  <c r="BZ112" i="28" s="1"/>
  <c r="BY112" i="28" a="1"/>
  <c r="BY112" i="28" s="1"/>
  <c r="BX112" i="28" a="1"/>
  <c r="BX112" i="28" s="1"/>
  <c r="BW112" i="28" a="1"/>
  <c r="BW112" i="28" s="1"/>
  <c r="CA111" i="28" a="1"/>
  <c r="CA111" i="28" s="1"/>
  <c r="BZ111" i="28" a="1"/>
  <c r="BZ111" i="28" s="1"/>
  <c r="BY111" i="28" a="1"/>
  <c r="BY111" i="28" s="1"/>
  <c r="BX111" i="28" a="1"/>
  <c r="BX111" i="28" s="1"/>
  <c r="BW111" i="28" a="1"/>
  <c r="BW111" i="28" s="1"/>
  <c r="CA110" i="28" a="1"/>
  <c r="CA110" i="28" s="1"/>
  <c r="BZ110" i="28" a="1"/>
  <c r="BZ110" i="28" s="1"/>
  <c r="BY110" i="28" a="1"/>
  <c r="BY110" i="28" s="1"/>
  <c r="BX110" i="28" a="1"/>
  <c r="BX110" i="28" s="1"/>
  <c r="BW110" i="28" a="1"/>
  <c r="BW110" i="28" s="1"/>
  <c r="CA109" i="28" a="1"/>
  <c r="CA109" i="28" s="1"/>
  <c r="BZ109" i="28" a="1"/>
  <c r="BZ109" i="28" s="1"/>
  <c r="BY109" i="28" a="1"/>
  <c r="BY109" i="28" s="1"/>
  <c r="BX109" i="28" a="1"/>
  <c r="BX109" i="28" s="1"/>
  <c r="BW109" i="28" a="1"/>
  <c r="BW109" i="28" s="1"/>
  <c r="CA108" i="28" a="1"/>
  <c r="CA108" i="28" s="1"/>
  <c r="BZ108" i="28" a="1"/>
  <c r="BZ108" i="28" s="1"/>
  <c r="BY108" i="28" a="1"/>
  <c r="BY108" i="28" s="1"/>
  <c r="BX108" i="28" a="1"/>
  <c r="BX108" i="28" s="1"/>
  <c r="BW108" i="28" a="1"/>
  <c r="BW108" i="28" s="1"/>
  <c r="CA107" i="28" a="1"/>
  <c r="CA107" i="28" s="1"/>
  <c r="BZ107" i="28" a="1"/>
  <c r="BZ107" i="28" s="1"/>
  <c r="BY107" i="28" a="1"/>
  <c r="BY107" i="28" s="1"/>
  <c r="BX107" i="28" a="1"/>
  <c r="BX107" i="28" s="1"/>
  <c r="BW107" i="28" a="1"/>
  <c r="BW107" i="28" s="1"/>
  <c r="CA106" i="28" a="1"/>
  <c r="CA106" i="28" s="1"/>
  <c r="BZ106" i="28" a="1"/>
  <c r="BZ106" i="28" s="1"/>
  <c r="BY106" i="28" a="1"/>
  <c r="BY106" i="28" s="1"/>
  <c r="BX106" i="28" a="1"/>
  <c r="BX106" i="28" s="1"/>
  <c r="BW106" i="28" a="1"/>
  <c r="BW106" i="28" s="1"/>
  <c r="CA105" i="28" a="1"/>
  <c r="CA105" i="28" s="1"/>
  <c r="BZ105" i="28" a="1"/>
  <c r="BZ105" i="28" s="1"/>
  <c r="BY105" i="28" a="1"/>
  <c r="BY105" i="28" s="1"/>
  <c r="BX105" i="28" a="1"/>
  <c r="BX105" i="28" s="1"/>
  <c r="BW105" i="28" a="1"/>
  <c r="BW105" i="28" s="1"/>
  <c r="CA104" i="28" a="1"/>
  <c r="CA104" i="28" s="1"/>
  <c r="BZ104" i="28" a="1"/>
  <c r="BZ104" i="28" s="1"/>
  <c r="BY104" i="28" a="1"/>
  <c r="BY104" i="28" s="1"/>
  <c r="BX104" i="28" a="1"/>
  <c r="BX104" i="28" s="1"/>
  <c r="BW104" i="28" a="1"/>
  <c r="BW104" i="28" s="1"/>
  <c r="CA103" i="28"/>
  <c r="CA103" i="28" a="1"/>
  <c r="BZ103" i="28" a="1"/>
  <c r="BZ103" i="28" s="1"/>
  <c r="BY103" i="28" a="1"/>
  <c r="BY103" i="28" s="1"/>
  <c r="BX103" i="28" a="1"/>
  <c r="BX103" i="28" s="1"/>
  <c r="BW103" i="28" a="1"/>
  <c r="BW103" i="28" s="1"/>
  <c r="CA102" i="28" a="1"/>
  <c r="CA102" i="28" s="1"/>
  <c r="BZ102" i="28" a="1"/>
  <c r="BZ102" i="28" s="1"/>
  <c r="BY102" i="28" a="1"/>
  <c r="BY102" i="28" s="1"/>
  <c r="BX102" i="28" a="1"/>
  <c r="BX102" i="28" s="1"/>
  <c r="BW102" i="28" a="1"/>
  <c r="BW102" i="28" s="1"/>
  <c r="CA101" i="28" a="1"/>
  <c r="CA101" i="28" s="1"/>
  <c r="BZ101" i="28" a="1"/>
  <c r="BZ101" i="28" s="1"/>
  <c r="BY101" i="28" a="1"/>
  <c r="BY101" i="28" s="1"/>
  <c r="BX101" i="28" a="1"/>
  <c r="BX101" i="28" s="1"/>
  <c r="BW101" i="28" a="1"/>
  <c r="BW101" i="28" s="1"/>
  <c r="CA100" i="28" a="1"/>
  <c r="CA100" i="28" s="1"/>
  <c r="BZ100" i="28"/>
  <c r="BZ100" i="28" a="1"/>
  <c r="BY100" i="28" a="1"/>
  <c r="BY100" i="28" s="1"/>
  <c r="BX100" i="28" a="1"/>
  <c r="BX100" i="28" s="1"/>
  <c r="BW100" i="28" a="1"/>
  <c r="BW100" i="28" s="1"/>
  <c r="CA99" i="28" a="1"/>
  <c r="CA99" i="28" s="1"/>
  <c r="BZ99" i="28" a="1"/>
  <c r="BZ99" i="28" s="1"/>
  <c r="BY99" i="28" a="1"/>
  <c r="BY99" i="28" s="1"/>
  <c r="BX99" i="28" a="1"/>
  <c r="BX99" i="28" s="1"/>
  <c r="BW99" i="28" a="1"/>
  <c r="BW99" i="28" s="1"/>
  <c r="CA98" i="28" a="1"/>
  <c r="CA98" i="28" s="1"/>
  <c r="BZ98" i="28" a="1"/>
  <c r="BZ98" i="28" s="1"/>
  <c r="BY98" i="28" a="1"/>
  <c r="BY98" i="28" s="1"/>
  <c r="BX98" i="28"/>
  <c r="BX98" i="28" a="1"/>
  <c r="BW98" i="28" a="1"/>
  <c r="BW98" i="28" s="1"/>
  <c r="CA97" i="28" a="1"/>
  <c r="CA97" i="28" s="1"/>
  <c r="BZ97" i="28" a="1"/>
  <c r="BZ97" i="28" s="1"/>
  <c r="BY97" i="28" a="1"/>
  <c r="BY97" i="28" s="1"/>
  <c r="BX97" i="28" a="1"/>
  <c r="BX97" i="28" s="1"/>
  <c r="BW97" i="28" a="1"/>
  <c r="BW97" i="28" s="1"/>
  <c r="CA96" i="28" a="1"/>
  <c r="CA96" i="28" s="1"/>
  <c r="BZ96" i="28" a="1"/>
  <c r="BZ96" i="28" s="1"/>
  <c r="BY96" i="28" a="1"/>
  <c r="BY96" i="28" s="1"/>
  <c r="BX96" i="28" a="1"/>
  <c r="BX96" i="28" s="1"/>
  <c r="BW96" i="28" a="1"/>
  <c r="BW96" i="28" s="1"/>
  <c r="CA95" i="28"/>
  <c r="CA95" i="28" a="1"/>
  <c r="BZ95" i="28" a="1"/>
  <c r="BZ95" i="28" s="1"/>
  <c r="BY95" i="28" a="1"/>
  <c r="BY95" i="28" s="1"/>
  <c r="BX95" i="28" a="1"/>
  <c r="BX95" i="28" s="1"/>
  <c r="BW95" i="28"/>
  <c r="BW95" i="28" a="1"/>
  <c r="CA94" i="28" a="1"/>
  <c r="CA94" i="28" s="1"/>
  <c r="BZ94" i="28" a="1"/>
  <c r="BZ94" i="28" s="1"/>
  <c r="BY94" i="28" a="1"/>
  <c r="BY94" i="28" s="1"/>
  <c r="BX94" i="28"/>
  <c r="BX94" i="28" a="1"/>
  <c r="BW94" i="28" a="1"/>
  <c r="BW94" i="28" s="1"/>
  <c r="CA93" i="28" a="1"/>
  <c r="CA93" i="28" s="1"/>
  <c r="BZ93" i="28" a="1"/>
  <c r="BZ93" i="28" s="1"/>
  <c r="BY93" i="28" a="1"/>
  <c r="BY93" i="28" s="1"/>
  <c r="BX93" i="28" a="1"/>
  <c r="BX93" i="28" s="1"/>
  <c r="BW93" i="28" a="1"/>
  <c r="BW93" i="28" s="1"/>
  <c r="CA92" i="28" a="1"/>
  <c r="CA92" i="28" s="1"/>
  <c r="BZ92" i="28" a="1"/>
  <c r="BZ92" i="28" s="1"/>
  <c r="BY92" i="28" a="1"/>
  <c r="BY92" i="28" s="1"/>
  <c r="BX92" i="28" a="1"/>
  <c r="BX92" i="28" s="1"/>
  <c r="BW92" i="28" a="1"/>
  <c r="BW92" i="28" s="1"/>
  <c r="CA91" i="28"/>
  <c r="CA91" i="28" a="1"/>
  <c r="BZ91" i="28" a="1"/>
  <c r="BZ91" i="28" s="1"/>
  <c r="BY91" i="28" a="1"/>
  <c r="BY91" i="28" s="1"/>
  <c r="BX91" i="28" a="1"/>
  <c r="BX91" i="28" s="1"/>
  <c r="BW91" i="28" a="1"/>
  <c r="BW91" i="28" s="1"/>
  <c r="CA90" i="28" a="1"/>
  <c r="CA90" i="28" s="1"/>
  <c r="BZ90" i="28" a="1"/>
  <c r="BZ90" i="28" s="1"/>
  <c r="BY90" i="28" a="1"/>
  <c r="BY90" i="28" s="1"/>
  <c r="BX90" i="28" a="1"/>
  <c r="BX90" i="28" s="1"/>
  <c r="BW90" i="28" a="1"/>
  <c r="BW90" i="28" s="1"/>
  <c r="CA89" i="28" a="1"/>
  <c r="CA89" i="28" s="1"/>
  <c r="BZ89" i="28" a="1"/>
  <c r="BZ89" i="28" s="1"/>
  <c r="BY89" i="28"/>
  <c r="BY89" i="28" a="1"/>
  <c r="BX89" i="28" a="1"/>
  <c r="BX89" i="28" s="1"/>
  <c r="BW89" i="28" a="1"/>
  <c r="BW89" i="28" s="1"/>
  <c r="CA88" i="28" a="1"/>
  <c r="CA88" i="28" s="1"/>
  <c r="BZ88" i="28"/>
  <c r="BZ88" i="28" a="1"/>
  <c r="BY88" i="28" a="1"/>
  <c r="BY88" i="28" s="1"/>
  <c r="BX88" i="28" a="1"/>
  <c r="BX88" i="28" s="1"/>
  <c r="BW88" i="28" a="1"/>
  <c r="BW88" i="28" s="1"/>
  <c r="CA87" i="28"/>
  <c r="CA87" i="28" a="1"/>
  <c r="BZ87" i="28" a="1"/>
  <c r="BZ87" i="28" s="1"/>
  <c r="BY87" i="28" a="1"/>
  <c r="BY87" i="28" s="1"/>
  <c r="BX87" i="28" a="1"/>
  <c r="BX87" i="28" s="1"/>
  <c r="BW87" i="28" a="1"/>
  <c r="BW87" i="28" s="1"/>
  <c r="CA86" i="28" a="1"/>
  <c r="CA86" i="28" s="1"/>
  <c r="BZ86" i="28" a="1"/>
  <c r="BZ86" i="28" s="1"/>
  <c r="BY86" i="28" a="1"/>
  <c r="BY86" i="28" s="1"/>
  <c r="BX86" i="28" a="1"/>
  <c r="BX86" i="28" s="1"/>
  <c r="BW86" i="28" a="1"/>
  <c r="BW86" i="28" s="1"/>
  <c r="CA85" i="28" a="1"/>
  <c r="CA85" i="28" s="1"/>
  <c r="BZ85" i="28" a="1"/>
  <c r="BZ85" i="28" s="1"/>
  <c r="BY85" i="28"/>
  <c r="BY85" i="28" a="1"/>
  <c r="BX85" i="28" a="1"/>
  <c r="BX85" i="28" s="1"/>
  <c r="BW85" i="28" a="1"/>
  <c r="BW85" i="28" s="1"/>
  <c r="CA84" i="28" a="1"/>
  <c r="CA84" i="28" s="1"/>
  <c r="BZ84" i="28" a="1"/>
  <c r="BZ84" i="28" s="1"/>
  <c r="BY84" i="28" a="1"/>
  <c r="BY84" i="28" s="1"/>
  <c r="BX84" i="28" a="1"/>
  <c r="BX84" i="28" s="1"/>
  <c r="BW84" i="28" a="1"/>
  <c r="BW84" i="28" s="1"/>
  <c r="CA83" i="28" a="1"/>
  <c r="CA83" i="28" s="1"/>
  <c r="BZ83" i="28" a="1"/>
  <c r="BZ83" i="28" s="1"/>
  <c r="BY83" i="28" a="1"/>
  <c r="BY83" i="28" s="1"/>
  <c r="BX83" i="28" a="1"/>
  <c r="BX83" i="28" s="1"/>
  <c r="BW83" i="28"/>
  <c r="BW83" i="28" a="1"/>
  <c r="CA82" i="28" a="1"/>
  <c r="CA82" i="28" s="1"/>
  <c r="BZ82" i="28" a="1"/>
  <c r="BZ82" i="28" s="1"/>
  <c r="BY82" i="28" a="1"/>
  <c r="BY82" i="28" s="1"/>
  <c r="BX82" i="28"/>
  <c r="BX82" i="28" a="1"/>
  <c r="BW82" i="28" a="1"/>
  <c r="BW82" i="28" s="1"/>
  <c r="CA81" i="28" a="1"/>
  <c r="CA81" i="28" s="1"/>
  <c r="BZ81" i="28" a="1"/>
  <c r="BZ81" i="28" s="1"/>
  <c r="BY81" i="28" a="1"/>
  <c r="BY81" i="28" s="1"/>
  <c r="BX81" i="28" a="1"/>
  <c r="BX81" i="28" s="1"/>
  <c r="BW81" i="28" a="1"/>
  <c r="BW81" i="28" s="1"/>
  <c r="CA80" i="28" a="1"/>
  <c r="CA80" i="28" s="1"/>
  <c r="BZ80" i="28" a="1"/>
  <c r="BZ80" i="28" s="1"/>
  <c r="BY80" i="28" a="1"/>
  <c r="BY80" i="28" s="1"/>
  <c r="BX80" i="28" a="1"/>
  <c r="BX80" i="28" s="1"/>
  <c r="BW80" i="28" a="1"/>
  <c r="BW80" i="28" s="1"/>
  <c r="CA79" i="28" a="1"/>
  <c r="CA79" i="28" s="1"/>
  <c r="BZ79" i="28" a="1"/>
  <c r="BZ79" i="28" s="1"/>
  <c r="BY79" i="28" a="1"/>
  <c r="BY79" i="28" s="1"/>
  <c r="BX79" i="28" a="1"/>
  <c r="BX79" i="28" s="1"/>
  <c r="BW79" i="28"/>
  <c r="BW79" i="28" a="1"/>
  <c r="CA78" i="28" a="1"/>
  <c r="CA78" i="28" s="1"/>
  <c r="BZ78" i="28" a="1"/>
  <c r="BZ78" i="28" s="1"/>
  <c r="BY78" i="28" a="1"/>
  <c r="BY78" i="28" s="1"/>
  <c r="BX78" i="28" a="1"/>
  <c r="BX78" i="28" s="1"/>
  <c r="BW78" i="28" a="1"/>
  <c r="BW78" i="28" s="1"/>
  <c r="CA77" i="28" a="1"/>
  <c r="CA77" i="28" s="1"/>
  <c r="BZ77" i="28" a="1"/>
  <c r="BZ77" i="28" s="1"/>
  <c r="BY77" i="28" a="1"/>
  <c r="BY77" i="28" s="1"/>
  <c r="BX77" i="28" a="1"/>
  <c r="BX77" i="28" s="1"/>
  <c r="BW77" i="28" a="1"/>
  <c r="BW77" i="28" s="1"/>
  <c r="CA76" i="28" a="1"/>
  <c r="CA76" i="28" s="1"/>
  <c r="BZ76" i="28"/>
  <c r="BZ76" i="28" a="1"/>
  <c r="BY76" i="28" a="1"/>
  <c r="BY76" i="28" s="1"/>
  <c r="BX76" i="28" a="1"/>
  <c r="BX76" i="28" s="1"/>
  <c r="BW76" i="28" a="1"/>
  <c r="BW76" i="28" s="1"/>
  <c r="CA75" i="28"/>
  <c r="CA75" i="28" a="1"/>
  <c r="BZ75" i="28" a="1"/>
  <c r="BZ75" i="28" s="1"/>
  <c r="BY75" i="28" a="1"/>
  <c r="BY75" i="28" s="1"/>
  <c r="BX75" i="28" a="1"/>
  <c r="BX75" i="28" s="1"/>
  <c r="BW75" i="28"/>
  <c r="BW75" i="28" a="1"/>
  <c r="CA74" i="28" a="1"/>
  <c r="CA74" i="28" s="1"/>
  <c r="BZ74" i="28" a="1"/>
  <c r="BZ74" i="28" s="1"/>
  <c r="BY74" i="28" a="1"/>
  <c r="BY74" i="28" s="1"/>
  <c r="BX74" i="28" a="1"/>
  <c r="BX74" i="28" s="1"/>
  <c r="BW74" i="28" a="1"/>
  <c r="BW74" i="28" s="1"/>
  <c r="CA73" i="28" a="1"/>
  <c r="CA73" i="28" s="1"/>
  <c r="BZ73" i="28" a="1"/>
  <c r="BZ73" i="28" s="1"/>
  <c r="BY73" i="28" a="1"/>
  <c r="BY73" i="28" s="1"/>
  <c r="BX73" i="28" a="1"/>
  <c r="BX73" i="28" s="1"/>
  <c r="BW73" i="28" a="1"/>
  <c r="BW73" i="28" s="1"/>
  <c r="CA72" i="28" a="1"/>
  <c r="CA72" i="28" s="1"/>
  <c r="BZ72" i="28"/>
  <c r="BZ72" i="28" a="1"/>
  <c r="BY72" i="28" a="1"/>
  <c r="BY72" i="28" s="1"/>
  <c r="BX72" i="28" a="1"/>
  <c r="BX72" i="28" s="1"/>
  <c r="BW72" i="28" a="1"/>
  <c r="BW72" i="28" s="1"/>
  <c r="CA71" i="28" a="1"/>
  <c r="CA71" i="28" s="1"/>
  <c r="BZ71" i="28" a="1"/>
  <c r="BZ71" i="28" s="1"/>
  <c r="BY71" i="28" a="1"/>
  <c r="BY71" i="28" s="1"/>
  <c r="BX71" i="28" a="1"/>
  <c r="BX71" i="28" s="1"/>
  <c r="BW71" i="28" a="1"/>
  <c r="BW71" i="28" s="1"/>
  <c r="CA70" i="28" a="1"/>
  <c r="CA70" i="28" s="1"/>
  <c r="BZ70" i="28" a="1"/>
  <c r="BZ70" i="28" s="1"/>
  <c r="BY70" i="28" a="1"/>
  <c r="BY70" i="28" s="1"/>
  <c r="BX70" i="28"/>
  <c r="BX70" i="28" a="1"/>
  <c r="BW70" i="28" a="1"/>
  <c r="BW70" i="28" s="1"/>
  <c r="CA69" i="28" a="1"/>
  <c r="CA69" i="28" s="1"/>
  <c r="BZ69" i="28" a="1"/>
  <c r="BZ69" i="28" s="1"/>
  <c r="BY69" i="28"/>
  <c r="BY69" i="28" a="1"/>
  <c r="BX69" i="28" a="1"/>
  <c r="BX69" i="28" s="1"/>
  <c r="BW69" i="28" a="1"/>
  <c r="BW69" i="28" s="1"/>
  <c r="CA68" i="28" a="1"/>
  <c r="CA68" i="28" s="1"/>
  <c r="BZ68" i="28"/>
  <c r="BZ68" i="28" a="1"/>
  <c r="BY68" i="28" a="1"/>
  <c r="BY68" i="28" s="1"/>
  <c r="BX68" i="28" a="1"/>
  <c r="BX68" i="28" s="1"/>
  <c r="BW68" i="28" a="1"/>
  <c r="BW68" i="28" s="1"/>
  <c r="CA67" i="28" a="1"/>
  <c r="CA67" i="28" s="1"/>
  <c r="BZ67" i="28" a="1"/>
  <c r="BZ67" i="28" s="1"/>
  <c r="BY67" i="28" a="1"/>
  <c r="BY67" i="28" s="1"/>
  <c r="BX67" i="28" a="1"/>
  <c r="BX67" i="28" s="1"/>
  <c r="BW67" i="28" a="1"/>
  <c r="BW67" i="28" s="1"/>
  <c r="CA66" i="28" a="1"/>
  <c r="CA66" i="28" s="1"/>
  <c r="BZ66" i="28" a="1"/>
  <c r="BZ66" i="28" s="1"/>
  <c r="BY66" i="28" a="1"/>
  <c r="BY66" i="28" s="1"/>
  <c r="BX66" i="28"/>
  <c r="BX66" i="28" a="1"/>
  <c r="BW66" i="28" a="1"/>
  <c r="BW66" i="28" s="1"/>
  <c r="CA65" i="28" a="1"/>
  <c r="CA65" i="28" s="1"/>
  <c r="BZ65" i="28" a="1"/>
  <c r="BZ65" i="28" s="1"/>
  <c r="BY65" i="28" a="1"/>
  <c r="BY65" i="28" s="1"/>
  <c r="BX65" i="28" a="1"/>
  <c r="BX65" i="28" s="1"/>
  <c r="BW65" i="28" a="1"/>
  <c r="BW65" i="28" s="1"/>
  <c r="CA64" i="28" a="1"/>
  <c r="CA64" i="28" s="1"/>
  <c r="BZ64" i="28" a="1"/>
  <c r="BZ64" i="28" s="1"/>
  <c r="BY64" i="28" a="1"/>
  <c r="BY64" i="28" s="1"/>
  <c r="BX64" i="28" a="1"/>
  <c r="BX64" i="28" s="1"/>
  <c r="BW64" i="28" a="1"/>
  <c r="BW64" i="28" s="1"/>
  <c r="BQ122" i="28" a="1"/>
  <c r="BQ122" i="28" s="1"/>
  <c r="BP122" i="28" a="1"/>
  <c r="BP122" i="28" s="1"/>
  <c r="BO122" i="28"/>
  <c r="BO122" i="28" a="1"/>
  <c r="BN122" i="28" a="1"/>
  <c r="BN122" i="28" s="1"/>
  <c r="BM122" i="28" a="1"/>
  <c r="BM122" i="28" s="1"/>
  <c r="BQ121" i="28" a="1"/>
  <c r="BQ121" i="28" s="1"/>
  <c r="BP121" i="28"/>
  <c r="BP121" i="28" a="1"/>
  <c r="BO121" i="28" a="1"/>
  <c r="BO121" i="28" s="1"/>
  <c r="BN121" i="28" a="1"/>
  <c r="BN121" i="28" s="1"/>
  <c r="BM121" i="28" a="1"/>
  <c r="BM121" i="28" s="1"/>
  <c r="BQ120" i="28"/>
  <c r="BQ120" i="28" a="1"/>
  <c r="BP120" i="28" a="1"/>
  <c r="BP120" i="28" s="1"/>
  <c r="BO120" i="28" a="1"/>
  <c r="BO120" i="28" s="1"/>
  <c r="BN120" i="28" a="1"/>
  <c r="BN120" i="28" s="1"/>
  <c r="BM120" i="28"/>
  <c r="BM120" i="28" a="1"/>
  <c r="BQ119" i="28"/>
  <c r="BQ119" i="28" a="1"/>
  <c r="BP119" i="28" a="1"/>
  <c r="BP119" i="28" s="1"/>
  <c r="BO119" i="28" a="1"/>
  <c r="BO119" i="28" s="1"/>
  <c r="BN119" i="28"/>
  <c r="BN119" i="28" a="1"/>
  <c r="BM119" i="28" a="1"/>
  <c r="BM119" i="28" s="1"/>
  <c r="BQ118" i="28" a="1"/>
  <c r="BQ118" i="28" s="1"/>
  <c r="BP118" i="28" a="1"/>
  <c r="BP118" i="28" s="1"/>
  <c r="BO118" i="28"/>
  <c r="BO118" i="28" a="1"/>
  <c r="BN118" i="28" a="1"/>
  <c r="BN118" i="28" s="1"/>
  <c r="BM118" i="28" a="1"/>
  <c r="BM118" i="28" s="1"/>
  <c r="BQ117" i="28" a="1"/>
  <c r="BQ117" i="28" s="1"/>
  <c r="BP117" i="28"/>
  <c r="BP117" i="28" a="1"/>
  <c r="BO117" i="28" a="1"/>
  <c r="BO117" i="28" s="1"/>
  <c r="BN117" i="28" a="1"/>
  <c r="BN117" i="28" s="1"/>
  <c r="BM117" i="28" a="1"/>
  <c r="BM117" i="28" s="1"/>
  <c r="BQ116" i="28"/>
  <c r="BQ116" i="28" a="1"/>
  <c r="BP116" i="28"/>
  <c r="BP116" i="28" a="1"/>
  <c r="BO116" i="28" a="1"/>
  <c r="BO116" i="28" s="1"/>
  <c r="BN116" i="28" a="1"/>
  <c r="BN116" i="28" s="1"/>
  <c r="BM116" i="28"/>
  <c r="BM116" i="28" a="1"/>
  <c r="BQ115" i="28" a="1"/>
  <c r="BQ115" i="28" s="1"/>
  <c r="BP115" i="28" a="1"/>
  <c r="BP115" i="28" s="1"/>
  <c r="BO115" i="28" a="1"/>
  <c r="BO115" i="28" s="1"/>
  <c r="BN115" i="28"/>
  <c r="BN115" i="28" a="1"/>
  <c r="BM115" i="28" a="1"/>
  <c r="BM115" i="28" s="1"/>
  <c r="BQ114" i="28" a="1"/>
  <c r="BQ114" i="28" s="1"/>
  <c r="BP114" i="28" a="1"/>
  <c r="BP114" i="28" s="1"/>
  <c r="BO114" i="28"/>
  <c r="BO114" i="28" a="1"/>
  <c r="BN114" i="28" a="1"/>
  <c r="BN114" i="28" s="1"/>
  <c r="BM114" i="28" a="1"/>
  <c r="BM114" i="28" s="1"/>
  <c r="BQ113" i="28" a="1"/>
  <c r="BQ113" i="28" s="1"/>
  <c r="BP113" i="28"/>
  <c r="BP113" i="28" a="1"/>
  <c r="BO113" i="28"/>
  <c r="BO113" i="28" a="1"/>
  <c r="BN113" i="28" a="1"/>
  <c r="BN113" i="28" s="1"/>
  <c r="BM113" i="28" a="1"/>
  <c r="BM113" i="28" s="1"/>
  <c r="BQ112" i="28"/>
  <c r="BQ112" i="28" a="1"/>
  <c r="BP112" i="28" a="1"/>
  <c r="BP112" i="28" s="1"/>
  <c r="BO112" i="28" a="1"/>
  <c r="BO112" i="28" s="1"/>
  <c r="BN112" i="28" a="1"/>
  <c r="BN112" i="28" s="1"/>
  <c r="BM112" i="28"/>
  <c r="BM112" i="28" a="1"/>
  <c r="BQ111" i="28" a="1"/>
  <c r="BQ111" i="28" s="1"/>
  <c r="BP111" i="28" a="1"/>
  <c r="BP111" i="28" s="1"/>
  <c r="BO111" i="28" a="1"/>
  <c r="BO111" i="28" s="1"/>
  <c r="BN111" i="28"/>
  <c r="BN111" i="28" a="1"/>
  <c r="BM111" i="28" a="1"/>
  <c r="BM111" i="28" s="1"/>
  <c r="BQ110" i="28" a="1"/>
  <c r="BQ110" i="28" s="1"/>
  <c r="BP110" i="28" a="1"/>
  <c r="BP110" i="28" s="1"/>
  <c r="BO110" i="28"/>
  <c r="BO110" i="28" a="1"/>
  <c r="BN110" i="28"/>
  <c r="BN110" i="28" a="1"/>
  <c r="BM110" i="28" a="1"/>
  <c r="BM110" i="28" s="1"/>
  <c r="BQ109" i="28" a="1"/>
  <c r="BQ109" i="28" s="1"/>
  <c r="BP109" i="28"/>
  <c r="BP109" i="28" a="1"/>
  <c r="BO109" i="28" a="1"/>
  <c r="BO109" i="28" s="1"/>
  <c r="BN109" i="28" a="1"/>
  <c r="BN109" i="28" s="1"/>
  <c r="BM109" i="28" a="1"/>
  <c r="BM109" i="28" s="1"/>
  <c r="BQ108" i="28"/>
  <c r="BQ108" i="28" a="1"/>
  <c r="BP108" i="28" a="1"/>
  <c r="BP108" i="28" s="1"/>
  <c r="BO108" i="28" a="1"/>
  <c r="BO108" i="28" s="1"/>
  <c r="BN108" i="28" a="1"/>
  <c r="BN108" i="28" s="1"/>
  <c r="BM108" i="28"/>
  <c r="BM108" i="28" a="1"/>
  <c r="BQ107" i="28" a="1"/>
  <c r="BQ107" i="28" s="1"/>
  <c r="BP107" i="28" a="1"/>
  <c r="BP107" i="28" s="1"/>
  <c r="BO107" i="28" a="1"/>
  <c r="BO107" i="28" s="1"/>
  <c r="BN107" i="28"/>
  <c r="BN107" i="28" a="1"/>
  <c r="BM107" i="28"/>
  <c r="BM107" i="28" a="1"/>
  <c r="BQ106" i="28" a="1"/>
  <c r="BQ106" i="28" s="1"/>
  <c r="BP106" i="28" a="1"/>
  <c r="BP106" i="28" s="1"/>
  <c r="BO106" i="28"/>
  <c r="BO106" i="28" a="1"/>
  <c r="BN106" i="28" a="1"/>
  <c r="BN106" i="28" s="1"/>
  <c r="BM106" i="28" a="1"/>
  <c r="BM106" i="28" s="1"/>
  <c r="BQ105" i="28" a="1"/>
  <c r="BQ105" i="28" s="1"/>
  <c r="BP105" i="28"/>
  <c r="BP105" i="28" a="1"/>
  <c r="BO105" i="28" a="1"/>
  <c r="BO105" i="28" s="1"/>
  <c r="BN105" i="28" a="1"/>
  <c r="BN105" i="28" s="1"/>
  <c r="BM105" i="28" a="1"/>
  <c r="BM105" i="28" s="1"/>
  <c r="BQ104" i="28"/>
  <c r="BQ104" i="28" a="1"/>
  <c r="BP104" i="28" a="1"/>
  <c r="BP104" i="28" s="1"/>
  <c r="BO104" i="28" a="1"/>
  <c r="BO104" i="28" s="1"/>
  <c r="BN104" i="28" a="1"/>
  <c r="BN104" i="28" s="1"/>
  <c r="BM104" i="28"/>
  <c r="BM104" i="28" a="1"/>
  <c r="BQ103" i="28"/>
  <c r="BQ103" i="28" a="1"/>
  <c r="BP103" i="28" a="1"/>
  <c r="BP103" i="28" s="1"/>
  <c r="BO103" i="28" a="1"/>
  <c r="BO103" i="28" s="1"/>
  <c r="BN103" i="28"/>
  <c r="BN103" i="28" a="1"/>
  <c r="BM103" i="28" a="1"/>
  <c r="BM103" i="28" s="1"/>
  <c r="BQ102" i="28" a="1"/>
  <c r="BQ102" i="28" s="1"/>
  <c r="BP102" i="28" a="1"/>
  <c r="BP102" i="28" s="1"/>
  <c r="BO102" i="28"/>
  <c r="BO102" i="28" a="1"/>
  <c r="BN102" i="28" a="1"/>
  <c r="BN102" i="28" s="1"/>
  <c r="BM102" i="28" a="1"/>
  <c r="BM102" i="28" s="1"/>
  <c r="BQ101" i="28" a="1"/>
  <c r="BQ101" i="28" s="1"/>
  <c r="BP101" i="28"/>
  <c r="BP101" i="28" a="1"/>
  <c r="BO101" i="28" a="1"/>
  <c r="BO101" i="28" s="1"/>
  <c r="BN101" i="28" a="1"/>
  <c r="BN101" i="28" s="1"/>
  <c r="BM101" i="28" a="1"/>
  <c r="BM101" i="28" s="1"/>
  <c r="BQ100" i="28"/>
  <c r="BQ100" i="28" a="1"/>
  <c r="BP100" i="28"/>
  <c r="BP100" i="28" a="1"/>
  <c r="BO100" i="28" a="1"/>
  <c r="BO100" i="28" s="1"/>
  <c r="BN100" i="28" a="1"/>
  <c r="BN100" i="28" s="1"/>
  <c r="BM100" i="28"/>
  <c r="BM100" i="28" a="1"/>
  <c r="BQ99" i="28" a="1"/>
  <c r="BQ99" i="28" s="1"/>
  <c r="BP99" i="28" a="1"/>
  <c r="BP99" i="28" s="1"/>
  <c r="BO99" i="28" a="1"/>
  <c r="BO99" i="28" s="1"/>
  <c r="BN99" i="28"/>
  <c r="BN99" i="28" a="1"/>
  <c r="BM99" i="28" a="1"/>
  <c r="BM99" i="28" s="1"/>
  <c r="BQ98" i="28" a="1"/>
  <c r="BQ98" i="28" s="1"/>
  <c r="BP98" i="28" a="1"/>
  <c r="BP98" i="28" s="1"/>
  <c r="BO98" i="28"/>
  <c r="BO98" i="28" a="1"/>
  <c r="BN98" i="28" a="1"/>
  <c r="BN98" i="28" s="1"/>
  <c r="BM98" i="28" a="1"/>
  <c r="BM98" i="28" s="1"/>
  <c r="BQ97" i="28" a="1"/>
  <c r="BQ97" i="28" s="1"/>
  <c r="BP97" i="28"/>
  <c r="BP97" i="28" a="1"/>
  <c r="BO97" i="28"/>
  <c r="BO97" i="28" a="1"/>
  <c r="BN97" i="28" a="1"/>
  <c r="BN97" i="28" s="1"/>
  <c r="BM97" i="28" a="1"/>
  <c r="BM97" i="28" s="1"/>
  <c r="BQ96" i="28"/>
  <c r="BQ96" i="28" a="1"/>
  <c r="BP96" i="28" a="1"/>
  <c r="BP96" i="28" s="1"/>
  <c r="BO96" i="28" a="1"/>
  <c r="BO96" i="28" s="1"/>
  <c r="BN96" i="28" a="1"/>
  <c r="BN96" i="28" s="1"/>
  <c r="BM96" i="28" a="1"/>
  <c r="BM96" i="28" s="1"/>
  <c r="BQ95" i="28"/>
  <c r="BQ95" i="28" a="1"/>
  <c r="BP95" i="28" a="1"/>
  <c r="BP95" i="28" s="1"/>
  <c r="BO95" i="28" a="1"/>
  <c r="BO95" i="28" s="1"/>
  <c r="BN95" i="28" a="1"/>
  <c r="BN95" i="28" s="1"/>
  <c r="BM95" i="28"/>
  <c r="BM95" i="28" a="1"/>
  <c r="BQ94" i="28" a="1"/>
  <c r="BQ94" i="28" s="1"/>
  <c r="BP94" i="28" a="1"/>
  <c r="BP94" i="28" s="1"/>
  <c r="BO94" i="28" a="1"/>
  <c r="BO94" i="28" s="1"/>
  <c r="BN94" i="28"/>
  <c r="BN94" i="28" a="1"/>
  <c r="BM94" i="28" a="1"/>
  <c r="BM94" i="28" s="1"/>
  <c r="BQ93" i="28" a="1"/>
  <c r="BQ93" i="28" s="1"/>
  <c r="BP93" i="28" a="1"/>
  <c r="BP93" i="28" s="1"/>
  <c r="BO93" i="28" a="1"/>
  <c r="BO93" i="28" s="1"/>
  <c r="BN93" i="28" a="1"/>
  <c r="BN93" i="28" s="1"/>
  <c r="BM93" i="28" a="1"/>
  <c r="BM93" i="28" s="1"/>
  <c r="BQ92" i="28" a="1"/>
  <c r="BQ92" i="28" s="1"/>
  <c r="BP92" i="28" a="1"/>
  <c r="BP92" i="28" s="1"/>
  <c r="BO92" i="28" a="1"/>
  <c r="BO92" i="28" s="1"/>
  <c r="BN92" i="28" a="1"/>
  <c r="BN92" i="28" s="1"/>
  <c r="BM92" i="28" a="1"/>
  <c r="BM92" i="28" s="1"/>
  <c r="BQ91" i="28" a="1"/>
  <c r="BQ91" i="28" s="1"/>
  <c r="BP91" i="28" a="1"/>
  <c r="BP91" i="28" s="1"/>
  <c r="BO91" i="28" a="1"/>
  <c r="BO91" i="28" s="1"/>
  <c r="BN91" i="28" a="1"/>
  <c r="BN91" i="28" s="1"/>
  <c r="BM91" i="28" a="1"/>
  <c r="BM91" i="28" s="1"/>
  <c r="BQ90" i="28" a="1"/>
  <c r="BQ90" i="28" s="1"/>
  <c r="BP90" i="28" a="1"/>
  <c r="BP90" i="28" s="1"/>
  <c r="BO90" i="28" a="1"/>
  <c r="BO90" i="28" s="1"/>
  <c r="BN90" i="28" a="1"/>
  <c r="BN90" i="28" s="1"/>
  <c r="BM90" i="28" a="1"/>
  <c r="BM90" i="28" s="1"/>
  <c r="BQ89" i="28" a="1"/>
  <c r="BQ89" i="28" s="1"/>
  <c r="BP89" i="28" a="1"/>
  <c r="BP89" i="28" s="1"/>
  <c r="BO89" i="28"/>
  <c r="BO89" i="28" a="1"/>
  <c r="BN89" i="28" a="1"/>
  <c r="BN89" i="28" s="1"/>
  <c r="BM89" i="28" a="1"/>
  <c r="BM89" i="28" s="1"/>
  <c r="BQ88" i="28" a="1"/>
  <c r="BQ88" i="28" s="1"/>
  <c r="BP88" i="28"/>
  <c r="BP88" i="28" a="1"/>
  <c r="BO88" i="28" a="1"/>
  <c r="BO88" i="28" s="1"/>
  <c r="BN88" i="28" a="1"/>
  <c r="BN88" i="28" s="1"/>
  <c r="BM88" i="28" a="1"/>
  <c r="BM88" i="28" s="1"/>
  <c r="BQ87" i="28"/>
  <c r="BQ87" i="28" a="1"/>
  <c r="BP87" i="28" a="1"/>
  <c r="BP87" i="28" s="1"/>
  <c r="BO87" i="28" a="1"/>
  <c r="BO87" i="28" s="1"/>
  <c r="BN87" i="28" a="1"/>
  <c r="BN87" i="28" s="1"/>
  <c r="BM87" i="28"/>
  <c r="BM87" i="28" a="1"/>
  <c r="BQ86" i="28" a="1"/>
  <c r="BQ86" i="28" s="1"/>
  <c r="BP86" i="28" a="1"/>
  <c r="BP86" i="28" s="1"/>
  <c r="BO86" i="28" a="1"/>
  <c r="BO86" i="28" s="1"/>
  <c r="BN86" i="28" a="1"/>
  <c r="BN86" i="28" s="1"/>
  <c r="BM86" i="28" a="1"/>
  <c r="BM86" i="28" s="1"/>
  <c r="BQ85" i="28" a="1"/>
  <c r="BQ85" i="28" s="1"/>
  <c r="BP85" i="28" a="1"/>
  <c r="BP85" i="28" s="1"/>
  <c r="BO85" i="28" a="1"/>
  <c r="BO85" i="28" s="1"/>
  <c r="BN85" i="28" a="1"/>
  <c r="BN85" i="28" s="1"/>
  <c r="BM85" i="28" a="1"/>
  <c r="BM85" i="28" s="1"/>
  <c r="BQ84" i="28" a="1"/>
  <c r="BQ84" i="28" s="1"/>
  <c r="BP84" i="28" a="1"/>
  <c r="BP84" i="28" s="1"/>
  <c r="BO84" i="28" a="1"/>
  <c r="BO84" i="28" s="1"/>
  <c r="BN84" i="28" a="1"/>
  <c r="BN84" i="28" s="1"/>
  <c r="BM84" i="28" a="1"/>
  <c r="BM84" i="28" s="1"/>
  <c r="BQ83" i="28" a="1"/>
  <c r="BQ83" i="28" s="1"/>
  <c r="BP83" i="28" a="1"/>
  <c r="BP83" i="28" s="1"/>
  <c r="BO83" i="28" a="1"/>
  <c r="BO83" i="28" s="1"/>
  <c r="BN83" i="28" a="1"/>
  <c r="BN83" i="28" s="1"/>
  <c r="BM83" i="28"/>
  <c r="BM83" i="28" a="1"/>
  <c r="BQ82" i="28" a="1"/>
  <c r="BQ82" i="28" s="1"/>
  <c r="BP82" i="28" a="1"/>
  <c r="BP82" i="28" s="1"/>
  <c r="BO82" i="28" a="1"/>
  <c r="BO82" i="28" s="1"/>
  <c r="BN82" i="28"/>
  <c r="BN82" i="28" a="1"/>
  <c r="BM82" i="28" a="1"/>
  <c r="BM82" i="28" s="1"/>
  <c r="BQ81" i="28" a="1"/>
  <c r="BQ81" i="28" s="1"/>
  <c r="BP81" i="28" a="1"/>
  <c r="BP81" i="28" s="1"/>
  <c r="BO81" i="28"/>
  <c r="BO81" i="28" a="1"/>
  <c r="BN81" i="28" a="1"/>
  <c r="BN81" i="28" s="1"/>
  <c r="BM81" i="28" a="1"/>
  <c r="BM81" i="28" s="1"/>
  <c r="BQ80" i="28" a="1"/>
  <c r="BQ80" i="28" s="1"/>
  <c r="BP80" i="28"/>
  <c r="BP80" i="28" a="1"/>
  <c r="BO80" i="28" a="1"/>
  <c r="BO80" i="28" s="1"/>
  <c r="BN80" i="28" a="1"/>
  <c r="BN80" i="28" s="1"/>
  <c r="BM80" i="28" a="1"/>
  <c r="BM80" i="28" s="1"/>
  <c r="BQ79" i="28"/>
  <c r="BQ79" i="28" a="1"/>
  <c r="BP79" i="28" a="1"/>
  <c r="BP79" i="28" s="1"/>
  <c r="BO79" i="28" a="1"/>
  <c r="BO79" i="28" s="1"/>
  <c r="BN79" i="28" a="1"/>
  <c r="BN79" i="28" s="1"/>
  <c r="BM79" i="28"/>
  <c r="BM79" i="28" a="1"/>
  <c r="BQ78" i="28" a="1"/>
  <c r="BQ78" i="28" s="1"/>
  <c r="BP78" i="28" a="1"/>
  <c r="BP78" i="28" s="1"/>
  <c r="BO78" i="28" a="1"/>
  <c r="BO78" i="28" s="1"/>
  <c r="BN78" i="28"/>
  <c r="BN78" i="28" a="1"/>
  <c r="BM78" i="28" a="1"/>
  <c r="BM78" i="28" s="1"/>
  <c r="BQ77" i="28" a="1"/>
  <c r="BQ77" i="28" s="1"/>
  <c r="BP77" i="28" a="1"/>
  <c r="BP77" i="28" s="1"/>
  <c r="BO77" i="28" a="1"/>
  <c r="BO77" i="28" s="1"/>
  <c r="BN77" i="28" a="1"/>
  <c r="BN77" i="28" s="1"/>
  <c r="BM77" i="28" a="1"/>
  <c r="BM77" i="28" s="1"/>
  <c r="BQ76" i="28"/>
  <c r="BQ76" i="28" a="1"/>
  <c r="BP76" i="28" a="1"/>
  <c r="BP76" i="28" s="1"/>
  <c r="BO76" i="28" a="1"/>
  <c r="BO76" i="28" s="1"/>
  <c r="BN76" i="28" a="1"/>
  <c r="BN76" i="28" s="1"/>
  <c r="BM76" i="28"/>
  <c r="BM76" i="28" a="1"/>
  <c r="BQ75" i="28"/>
  <c r="BQ75" i="28" a="1"/>
  <c r="BP75" i="28" a="1"/>
  <c r="BP75" i="28" s="1"/>
  <c r="BO75" i="28" a="1"/>
  <c r="BO75" i="28" s="1"/>
  <c r="BN75" i="28" a="1"/>
  <c r="BN75" i="28" s="1"/>
  <c r="BM75" i="28" a="1"/>
  <c r="BM75" i="28" s="1"/>
  <c r="BQ74" i="28" a="1"/>
  <c r="BQ74" i="28" s="1"/>
  <c r="BP74" i="28" a="1"/>
  <c r="BP74" i="28" s="1"/>
  <c r="BO74" i="28" a="1"/>
  <c r="BO74" i="28" s="1"/>
  <c r="BN74" i="28" a="1"/>
  <c r="BN74" i="28" s="1"/>
  <c r="BM74" i="28" a="1"/>
  <c r="BM74" i="28" s="1"/>
  <c r="BQ73" i="28" a="1"/>
  <c r="BQ73" i="28" s="1"/>
  <c r="BP73" i="28"/>
  <c r="BP73" i="28" a="1"/>
  <c r="BO73" i="28" a="1"/>
  <c r="BO73" i="28" s="1"/>
  <c r="BN73" i="28" a="1"/>
  <c r="BN73" i="28" s="1"/>
  <c r="BM73" i="28" a="1"/>
  <c r="BM73" i="28" s="1"/>
  <c r="BQ72" i="28" a="1"/>
  <c r="BQ72" i="28" s="1"/>
  <c r="BP72" i="28"/>
  <c r="BP72" i="28" a="1"/>
  <c r="BO72" i="28" a="1"/>
  <c r="BO72" i="28" s="1"/>
  <c r="BN72" i="28" a="1"/>
  <c r="BN72" i="28" s="1"/>
  <c r="BM72" i="28" a="1"/>
  <c r="BM72" i="28" s="1"/>
  <c r="BQ71" i="28" a="1"/>
  <c r="BQ71" i="28" s="1"/>
  <c r="BP71" i="28" a="1"/>
  <c r="BP71" i="28" s="1"/>
  <c r="BO71" i="28" a="1"/>
  <c r="BO71" i="28" s="1"/>
  <c r="BN71" i="28" a="1"/>
  <c r="BN71" i="28" s="1"/>
  <c r="BM71" i="28" a="1"/>
  <c r="BM71" i="28" s="1"/>
  <c r="BQ70" i="28" a="1"/>
  <c r="BQ70" i="28" s="1"/>
  <c r="BP70" i="28" a="1"/>
  <c r="BP70" i="28" s="1"/>
  <c r="BO70" i="28"/>
  <c r="BO70" i="28" a="1"/>
  <c r="BN70" i="28" a="1"/>
  <c r="BN70" i="28" s="1"/>
  <c r="BM70" i="28" a="1"/>
  <c r="BM70" i="28" s="1"/>
  <c r="BQ69" i="28" a="1"/>
  <c r="BQ69" i="28" s="1"/>
  <c r="BP69" i="28" a="1"/>
  <c r="BP69" i="28" s="1"/>
  <c r="BO69" i="28"/>
  <c r="BO69" i="28" a="1"/>
  <c r="BN69" i="28" a="1"/>
  <c r="BN69" i="28" s="1"/>
  <c r="BM69" i="28" a="1"/>
  <c r="BM69" i="28" s="1"/>
  <c r="BQ68" i="28" a="1"/>
  <c r="BQ68" i="28" s="1"/>
  <c r="BP68" i="28" a="1"/>
  <c r="BP68" i="28" s="1"/>
  <c r="BO68" i="28" a="1"/>
  <c r="BO68" i="28" s="1"/>
  <c r="BN68" i="28" a="1"/>
  <c r="BN68" i="28" s="1"/>
  <c r="BM68" i="28" a="1"/>
  <c r="BM68" i="28" s="1"/>
  <c r="BQ67" i="28" a="1"/>
  <c r="BQ67" i="28" s="1"/>
  <c r="BP67" i="28" a="1"/>
  <c r="BP67" i="28" s="1"/>
  <c r="BO67" i="28" a="1"/>
  <c r="BO67" i="28" s="1"/>
  <c r="BN67" i="28" a="1"/>
  <c r="BN67" i="28" s="1"/>
  <c r="BM67" i="28" a="1"/>
  <c r="BM67" i="28" s="1"/>
  <c r="BQ66" i="28" a="1"/>
  <c r="BQ66" i="28" s="1"/>
  <c r="BP66" i="28" a="1"/>
  <c r="BP66" i="28" s="1"/>
  <c r="BO66" i="28" a="1"/>
  <c r="BO66" i="28" s="1"/>
  <c r="BN66" i="28" a="1"/>
  <c r="BN66" i="28" s="1"/>
  <c r="BM66" i="28" a="1"/>
  <c r="BM66" i="28" s="1"/>
  <c r="BQ65" i="28" a="1"/>
  <c r="BQ65" i="28" s="1"/>
  <c r="BP65" i="28" a="1"/>
  <c r="BP65" i="28" s="1"/>
  <c r="BO65" i="28" a="1"/>
  <c r="BO65" i="28" s="1"/>
  <c r="BN65" i="28" a="1"/>
  <c r="BN65" i="28" s="1"/>
  <c r="BM65" i="28" a="1"/>
  <c r="BM65" i="28" s="1"/>
  <c r="BQ64" i="28" a="1"/>
  <c r="BQ64" i="28" s="1"/>
  <c r="BP64" i="28" a="1"/>
  <c r="BP64" i="28" s="1"/>
  <c r="BO64" i="28" a="1"/>
  <c r="BO64" i="28" s="1"/>
  <c r="BN64" i="28" a="1"/>
  <c r="BN64" i="28" s="1"/>
  <c r="BM64" i="28" a="1"/>
  <c r="BM64" i="28" s="1"/>
  <c r="BG122" i="28" a="1"/>
  <c r="BG122" i="28" s="1"/>
  <c r="BF122" i="28" a="1"/>
  <c r="BF122" i="28" s="1"/>
  <c r="BE122" i="28"/>
  <c r="BE122" i="28" a="1"/>
  <c r="BD122" i="28" a="1"/>
  <c r="BD122" i="28" s="1"/>
  <c r="BC122" i="28" a="1"/>
  <c r="BC122" i="28" s="1"/>
  <c r="BG121" i="28" a="1"/>
  <c r="BG121" i="28" s="1"/>
  <c r="BF121" i="28"/>
  <c r="BF121" i="28" a="1"/>
  <c r="BE121" i="28" a="1"/>
  <c r="BE121" i="28" s="1"/>
  <c r="BD121" i="28" a="1"/>
  <c r="BD121" i="28" s="1"/>
  <c r="BC121" i="28" a="1"/>
  <c r="BC121" i="28" s="1"/>
  <c r="BG120" i="28"/>
  <c r="BG120" i="28" a="1"/>
  <c r="BF120" i="28" a="1"/>
  <c r="BF120" i="28" s="1"/>
  <c r="BE120" i="28" a="1"/>
  <c r="BE120" i="28" s="1"/>
  <c r="BD120" i="28" a="1"/>
  <c r="BD120" i="28" s="1"/>
  <c r="BC120" i="28"/>
  <c r="BC120" i="28" a="1"/>
  <c r="BG119" i="28" a="1"/>
  <c r="BG119" i="28" s="1"/>
  <c r="BF119" i="28" a="1"/>
  <c r="BF119" i="28" s="1"/>
  <c r="BE119" i="28" a="1"/>
  <c r="BE119" i="28" s="1"/>
  <c r="BD119" i="28"/>
  <c r="BD119" i="28" a="1"/>
  <c r="BC119" i="28" a="1"/>
  <c r="BC119" i="28" s="1"/>
  <c r="BG118" i="28" a="1"/>
  <c r="BG118" i="28" s="1"/>
  <c r="BF118" i="28" a="1"/>
  <c r="BF118" i="28" s="1"/>
  <c r="BE118" i="28"/>
  <c r="BE118" i="28" a="1"/>
  <c r="BD118" i="28" a="1"/>
  <c r="BD118" i="28" s="1"/>
  <c r="BC118" i="28" a="1"/>
  <c r="BC118" i="28" s="1"/>
  <c r="BG117" i="28" a="1"/>
  <c r="BG117" i="28" s="1"/>
  <c r="BF117" i="28"/>
  <c r="BF117" i="28" a="1"/>
  <c r="BE117" i="28" a="1"/>
  <c r="BE117" i="28" s="1"/>
  <c r="BD117" i="28" a="1"/>
  <c r="BD117" i="28" s="1"/>
  <c r="BC117" i="28" a="1"/>
  <c r="BC117" i="28" s="1"/>
  <c r="BG116" i="28"/>
  <c r="BG116" i="28" a="1"/>
  <c r="BF116" i="28" a="1"/>
  <c r="BF116" i="28" s="1"/>
  <c r="BE116" i="28" a="1"/>
  <c r="BE116" i="28" s="1"/>
  <c r="BD116" i="28" a="1"/>
  <c r="BD116" i="28" s="1"/>
  <c r="BC116" i="28"/>
  <c r="BC116" i="28" a="1"/>
  <c r="BG115" i="28" a="1"/>
  <c r="BG115" i="28" s="1"/>
  <c r="BF115" i="28" a="1"/>
  <c r="BF115" i="28" s="1"/>
  <c r="BE115" i="28" a="1"/>
  <c r="BE115" i="28" s="1"/>
  <c r="BD115" i="28"/>
  <c r="BD115" i="28" a="1"/>
  <c r="BC115" i="28" a="1"/>
  <c r="BC115" i="28" s="1"/>
  <c r="BG114" i="28" a="1"/>
  <c r="BG114" i="28" s="1"/>
  <c r="BF114" i="28" a="1"/>
  <c r="BF114" i="28" s="1"/>
  <c r="BE114" i="28"/>
  <c r="BE114" i="28" a="1"/>
  <c r="BD114" i="28" a="1"/>
  <c r="BD114" i="28" s="1"/>
  <c r="BC114" i="28" a="1"/>
  <c r="BC114" i="28" s="1"/>
  <c r="BG113" i="28" a="1"/>
  <c r="BG113" i="28" s="1"/>
  <c r="BF113" i="28"/>
  <c r="BF113" i="28" a="1"/>
  <c r="BE113" i="28" a="1"/>
  <c r="BE113" i="28" s="1"/>
  <c r="BD113" i="28" a="1"/>
  <c r="BD113" i="28" s="1"/>
  <c r="BC113" i="28" a="1"/>
  <c r="BC113" i="28" s="1"/>
  <c r="BG112" i="28"/>
  <c r="BG112" i="28" a="1"/>
  <c r="BF112" i="28" a="1"/>
  <c r="BF112" i="28" s="1"/>
  <c r="BE112" i="28" a="1"/>
  <c r="BE112" i="28" s="1"/>
  <c r="BD112" i="28" a="1"/>
  <c r="BD112" i="28" s="1"/>
  <c r="BC112" i="28"/>
  <c r="BC112" i="28" a="1"/>
  <c r="BG111" i="28" a="1"/>
  <c r="BG111" i="28" s="1"/>
  <c r="BF111" i="28" a="1"/>
  <c r="BF111" i="28" s="1"/>
  <c r="BE111" i="28" a="1"/>
  <c r="BE111" i="28" s="1"/>
  <c r="BD111" i="28"/>
  <c r="BD111" i="28" a="1"/>
  <c r="BC111" i="28" a="1"/>
  <c r="BC111" i="28" s="1"/>
  <c r="BG110" i="28" a="1"/>
  <c r="BG110" i="28" s="1"/>
  <c r="BF110" i="28" a="1"/>
  <c r="BF110" i="28" s="1"/>
  <c r="BE110" i="28"/>
  <c r="BE110" i="28" a="1"/>
  <c r="BD110" i="28" a="1"/>
  <c r="BD110" i="28" s="1"/>
  <c r="BC110" i="28" a="1"/>
  <c r="BC110" i="28" s="1"/>
  <c r="BG109" i="28" a="1"/>
  <c r="BG109" i="28" s="1"/>
  <c r="BF109" i="28"/>
  <c r="BF109" i="28" a="1"/>
  <c r="BE109" i="28" a="1"/>
  <c r="BE109" i="28" s="1"/>
  <c r="BD109" i="28" a="1"/>
  <c r="BD109" i="28" s="1"/>
  <c r="BC109" i="28" a="1"/>
  <c r="BC109" i="28" s="1"/>
  <c r="BG108" i="28"/>
  <c r="BG108" i="28" a="1"/>
  <c r="BF108" i="28" a="1"/>
  <c r="BF108" i="28" s="1"/>
  <c r="BE108" i="28" a="1"/>
  <c r="BE108" i="28" s="1"/>
  <c r="BD108" i="28" a="1"/>
  <c r="BD108" i="28" s="1"/>
  <c r="BC108" i="28"/>
  <c r="BC108" i="28" a="1"/>
  <c r="BG107" i="28" a="1"/>
  <c r="BG107" i="28" s="1"/>
  <c r="BF107" i="28" a="1"/>
  <c r="BF107" i="28" s="1"/>
  <c r="BE107" i="28" a="1"/>
  <c r="BE107" i="28" s="1"/>
  <c r="BD107" i="28"/>
  <c r="BD107" i="28" a="1"/>
  <c r="BC107" i="28" a="1"/>
  <c r="BC107" i="28" s="1"/>
  <c r="BG106" i="28" a="1"/>
  <c r="BG106" i="28" s="1"/>
  <c r="BF106" i="28" a="1"/>
  <c r="BF106" i="28" s="1"/>
  <c r="BE106" i="28"/>
  <c r="BE106" i="28" a="1"/>
  <c r="BD106" i="28" a="1"/>
  <c r="BD106" i="28" s="1"/>
  <c r="BC106" i="28" a="1"/>
  <c r="BC106" i="28" s="1"/>
  <c r="BG105" i="28" a="1"/>
  <c r="BG105" i="28" s="1"/>
  <c r="BF105" i="28"/>
  <c r="BF105" i="28" a="1"/>
  <c r="BE105" i="28" a="1"/>
  <c r="BE105" i="28" s="1"/>
  <c r="BD105" i="28" a="1"/>
  <c r="BD105" i="28" s="1"/>
  <c r="BC105" i="28" a="1"/>
  <c r="BC105" i="28" s="1"/>
  <c r="BG104" i="28"/>
  <c r="BG104" i="28" a="1"/>
  <c r="BF104" i="28" a="1"/>
  <c r="BF104" i="28" s="1"/>
  <c r="BE104" i="28" a="1"/>
  <c r="BE104" i="28" s="1"/>
  <c r="BD104" i="28" a="1"/>
  <c r="BD104" i="28" s="1"/>
  <c r="BC104" i="28"/>
  <c r="BC104" i="28" a="1"/>
  <c r="BG103" i="28" a="1"/>
  <c r="BG103" i="28" s="1"/>
  <c r="BF103" i="28" a="1"/>
  <c r="BF103" i="28" s="1"/>
  <c r="BE103" i="28" a="1"/>
  <c r="BE103" i="28" s="1"/>
  <c r="BD103" i="28"/>
  <c r="BD103" i="28" a="1"/>
  <c r="BC103" i="28" a="1"/>
  <c r="BC103" i="28" s="1"/>
  <c r="BG102" i="28" a="1"/>
  <c r="BG102" i="28" s="1"/>
  <c r="BF102" i="28" a="1"/>
  <c r="BF102" i="28" s="1"/>
  <c r="BE102" i="28"/>
  <c r="BE102" i="28" a="1"/>
  <c r="BD102" i="28" a="1"/>
  <c r="BD102" i="28" s="1"/>
  <c r="BC102" i="28" a="1"/>
  <c r="BC102" i="28" s="1"/>
  <c r="BG101" i="28" a="1"/>
  <c r="BG101" i="28" s="1"/>
  <c r="BF101" i="28"/>
  <c r="BF101" i="28" a="1"/>
  <c r="BE101" i="28" a="1"/>
  <c r="BE101" i="28" s="1"/>
  <c r="BD101" i="28" a="1"/>
  <c r="BD101" i="28" s="1"/>
  <c r="BC101" i="28" a="1"/>
  <c r="BC101" i="28" s="1"/>
  <c r="BG100" i="28"/>
  <c r="BG100" i="28" a="1"/>
  <c r="BF100" i="28" a="1"/>
  <c r="BF100" i="28" s="1"/>
  <c r="BE100" i="28" a="1"/>
  <c r="BE100" i="28" s="1"/>
  <c r="BD100" i="28" a="1"/>
  <c r="BD100" i="28" s="1"/>
  <c r="BC100" i="28"/>
  <c r="BC100" i="28" a="1"/>
  <c r="BG99" i="28" a="1"/>
  <c r="BG99" i="28" s="1"/>
  <c r="BF99" i="28" a="1"/>
  <c r="BF99" i="28" s="1"/>
  <c r="BE99" i="28" a="1"/>
  <c r="BE99" i="28" s="1"/>
  <c r="BD99" i="28"/>
  <c r="BD99" i="28" a="1"/>
  <c r="BC99" i="28" a="1"/>
  <c r="BC99" i="28" s="1"/>
  <c r="BG98" i="28" a="1"/>
  <c r="BG98" i="28" s="1"/>
  <c r="BF98" i="28" a="1"/>
  <c r="BF98" i="28" s="1"/>
  <c r="BE98" i="28"/>
  <c r="BE98" i="28" a="1"/>
  <c r="BD98" i="28" a="1"/>
  <c r="BD98" i="28" s="1"/>
  <c r="BC98" i="28" a="1"/>
  <c r="BC98" i="28" s="1"/>
  <c r="BG97" i="28" a="1"/>
  <c r="BG97" i="28" s="1"/>
  <c r="BF97" i="28"/>
  <c r="BF97" i="28" a="1"/>
  <c r="BE97" i="28" a="1"/>
  <c r="BE97" i="28" s="1"/>
  <c r="BD97" i="28" a="1"/>
  <c r="BD97" i="28" s="1"/>
  <c r="BC97" i="28" a="1"/>
  <c r="BC97" i="28" s="1"/>
  <c r="BG96" i="28"/>
  <c r="BG96" i="28" a="1"/>
  <c r="BF96" i="28" a="1"/>
  <c r="BF96" i="28" s="1"/>
  <c r="BE96" i="28" a="1"/>
  <c r="BE96" i="28" s="1"/>
  <c r="BD96" i="28" a="1"/>
  <c r="BD96" i="28" s="1"/>
  <c r="BC96" i="28"/>
  <c r="BC96" i="28" a="1"/>
  <c r="BG95" i="28" a="1"/>
  <c r="BG95" i="28" s="1"/>
  <c r="BF95" i="28" a="1"/>
  <c r="BF95" i="28" s="1"/>
  <c r="BE95" i="28" a="1"/>
  <c r="BE95" i="28" s="1"/>
  <c r="BD95" i="28"/>
  <c r="BD95" i="28" a="1"/>
  <c r="BC95" i="28" a="1"/>
  <c r="BC95" i="28" s="1"/>
  <c r="BG94" i="28" a="1"/>
  <c r="BG94" i="28" s="1"/>
  <c r="BF94" i="28" a="1"/>
  <c r="BF94" i="28" s="1"/>
  <c r="BE94" i="28"/>
  <c r="BE94" i="28" a="1"/>
  <c r="BD94" i="28" a="1"/>
  <c r="BD94" i="28" s="1"/>
  <c r="BC94" i="28" a="1"/>
  <c r="BC94" i="28" s="1"/>
  <c r="BG93" i="28" a="1"/>
  <c r="BG93" i="28" s="1"/>
  <c r="BF93" i="28"/>
  <c r="BF93" i="28" a="1"/>
  <c r="BE93" i="28" a="1"/>
  <c r="BE93" i="28" s="1"/>
  <c r="BD93" i="28" a="1"/>
  <c r="BD93" i="28" s="1"/>
  <c r="BC93" i="28" a="1"/>
  <c r="BC93" i="28" s="1"/>
  <c r="BG92" i="28"/>
  <c r="BG92" i="28" a="1"/>
  <c r="BF92" i="28" a="1"/>
  <c r="BF92" i="28" s="1"/>
  <c r="BE92" i="28" a="1"/>
  <c r="BE92" i="28" s="1"/>
  <c r="BD92" i="28" a="1"/>
  <c r="BD92" i="28" s="1"/>
  <c r="BC92" i="28"/>
  <c r="BC92" i="28" a="1"/>
  <c r="BG91" i="28" a="1"/>
  <c r="BG91" i="28" s="1"/>
  <c r="BF91" i="28" a="1"/>
  <c r="BF91" i="28" s="1"/>
  <c r="BE91" i="28" a="1"/>
  <c r="BE91" i="28" s="1"/>
  <c r="BD91" i="28"/>
  <c r="BD91" i="28" a="1"/>
  <c r="BC91" i="28" a="1"/>
  <c r="BC91" i="28" s="1"/>
  <c r="BG90" i="28" a="1"/>
  <c r="BG90" i="28" s="1"/>
  <c r="BF90" i="28" a="1"/>
  <c r="BF90" i="28" s="1"/>
  <c r="BE90" i="28"/>
  <c r="BE90" i="28" a="1"/>
  <c r="BD90" i="28" a="1"/>
  <c r="BD90" i="28" s="1"/>
  <c r="BC90" i="28" a="1"/>
  <c r="BC90" i="28" s="1"/>
  <c r="BG89" i="28" a="1"/>
  <c r="BG89" i="28" s="1"/>
  <c r="BF89" i="28"/>
  <c r="BF89" i="28" a="1"/>
  <c r="BE89" i="28" a="1"/>
  <c r="BE89" i="28" s="1"/>
  <c r="BD89" i="28" a="1"/>
  <c r="BD89" i="28" s="1"/>
  <c r="BC89" i="28" a="1"/>
  <c r="BC89" i="28" s="1"/>
  <c r="BG88" i="28"/>
  <c r="BG88" i="28" a="1"/>
  <c r="BF88" i="28" a="1"/>
  <c r="BF88" i="28" s="1"/>
  <c r="BE88" i="28" a="1"/>
  <c r="BE88" i="28" s="1"/>
  <c r="BD88" i="28" a="1"/>
  <c r="BD88" i="28" s="1"/>
  <c r="BC88" i="28"/>
  <c r="BC88" i="28" a="1"/>
  <c r="BG87" i="28" a="1"/>
  <c r="BG87" i="28" s="1"/>
  <c r="BF87" i="28" a="1"/>
  <c r="BF87" i="28" s="1"/>
  <c r="BE87" i="28" a="1"/>
  <c r="BE87" i="28" s="1"/>
  <c r="BD87" i="28"/>
  <c r="BD87" i="28" a="1"/>
  <c r="BC87" i="28" a="1"/>
  <c r="BC87" i="28" s="1"/>
  <c r="BG86" i="28" a="1"/>
  <c r="BG86" i="28" s="1"/>
  <c r="BF86" i="28" a="1"/>
  <c r="BF86" i="28" s="1"/>
  <c r="BE86" i="28"/>
  <c r="BE86" i="28" a="1"/>
  <c r="BD86" i="28" a="1"/>
  <c r="BD86" i="28" s="1"/>
  <c r="BC86" i="28" a="1"/>
  <c r="BC86" i="28" s="1"/>
  <c r="BG85" i="28" a="1"/>
  <c r="BG85" i="28" s="1"/>
  <c r="BF85" i="28"/>
  <c r="BF85" i="28" a="1"/>
  <c r="BE85" i="28" a="1"/>
  <c r="BE85" i="28" s="1"/>
  <c r="BD85" i="28" a="1"/>
  <c r="BD85" i="28" s="1"/>
  <c r="BC85" i="28" a="1"/>
  <c r="BC85" i="28" s="1"/>
  <c r="BG84" i="28"/>
  <c r="BG84" i="28" a="1"/>
  <c r="BF84" i="28" a="1"/>
  <c r="BF84" i="28" s="1"/>
  <c r="BE84" i="28" a="1"/>
  <c r="BE84" i="28" s="1"/>
  <c r="BD84" i="28" a="1"/>
  <c r="BD84" i="28" s="1"/>
  <c r="BC84" i="28"/>
  <c r="BC84" i="28" a="1"/>
  <c r="BG83" i="28" a="1"/>
  <c r="BG83" i="28" s="1"/>
  <c r="BF83" i="28" a="1"/>
  <c r="BF83" i="28" s="1"/>
  <c r="BE83" i="28" a="1"/>
  <c r="BE83" i="28" s="1"/>
  <c r="BD83" i="28"/>
  <c r="BD83" i="28" a="1"/>
  <c r="BC83" i="28" a="1"/>
  <c r="BC83" i="28" s="1"/>
  <c r="BG82" i="28" a="1"/>
  <c r="BG82" i="28" s="1"/>
  <c r="BF82" i="28" a="1"/>
  <c r="BF82" i="28" s="1"/>
  <c r="BE82" i="28"/>
  <c r="BE82" i="28" a="1"/>
  <c r="BD82" i="28" a="1"/>
  <c r="BD82" i="28" s="1"/>
  <c r="BC82" i="28" a="1"/>
  <c r="BC82" i="28" s="1"/>
  <c r="BG81" i="28" a="1"/>
  <c r="BG81" i="28" s="1"/>
  <c r="BF81" i="28" a="1"/>
  <c r="BF81" i="28" s="1"/>
  <c r="BE81" i="28" a="1"/>
  <c r="BE81" i="28" s="1"/>
  <c r="BD81" i="28" a="1"/>
  <c r="BD81" i="28" s="1"/>
  <c r="BC81" i="28" a="1"/>
  <c r="BC81" i="28" s="1"/>
  <c r="BG80" i="28" a="1"/>
  <c r="BG80" i="28" s="1"/>
  <c r="BF80" i="28" a="1"/>
  <c r="BF80" i="28" s="1"/>
  <c r="BE80" i="28" a="1"/>
  <c r="BE80" i="28" s="1"/>
  <c r="BD80" i="28" a="1"/>
  <c r="BD80" i="28" s="1"/>
  <c r="BC80" i="28" a="1"/>
  <c r="BC80" i="28" s="1"/>
  <c r="BG79" i="28" a="1"/>
  <c r="BG79" i="28" s="1"/>
  <c r="BF79" i="28" a="1"/>
  <c r="BF79" i="28" s="1"/>
  <c r="BE79" i="28" a="1"/>
  <c r="BE79" i="28" s="1"/>
  <c r="BD79" i="28" a="1"/>
  <c r="BD79" i="28" s="1"/>
  <c r="BC79" i="28" a="1"/>
  <c r="BC79" i="28" s="1"/>
  <c r="BG78" i="28" a="1"/>
  <c r="BG78" i="28" s="1"/>
  <c r="BF78" i="28" a="1"/>
  <c r="BF78" i="28" s="1"/>
  <c r="BE78" i="28" a="1"/>
  <c r="BE78" i="28" s="1"/>
  <c r="BD78" i="28" a="1"/>
  <c r="BD78" i="28" s="1"/>
  <c r="BC78" i="28" a="1"/>
  <c r="BC78" i="28" s="1"/>
  <c r="BG77" i="28" a="1"/>
  <c r="BG77" i="28" s="1"/>
  <c r="BF77" i="28" a="1"/>
  <c r="BF77" i="28" s="1"/>
  <c r="BE77" i="28" a="1"/>
  <c r="BE77" i="28" s="1"/>
  <c r="BD77" i="28" a="1"/>
  <c r="BD77" i="28" s="1"/>
  <c r="BC77" i="28" a="1"/>
  <c r="BC77" i="28" s="1"/>
  <c r="BG76" i="28" a="1"/>
  <c r="BG76" i="28" s="1"/>
  <c r="BF76" i="28" a="1"/>
  <c r="BF76" i="28" s="1"/>
  <c r="BE76" i="28" a="1"/>
  <c r="BE76" i="28" s="1"/>
  <c r="BD76" i="28" a="1"/>
  <c r="BD76" i="28" s="1"/>
  <c r="BC76" i="28" a="1"/>
  <c r="BC76" i="28" s="1"/>
  <c r="BG75" i="28" a="1"/>
  <c r="BG75" i="28" s="1"/>
  <c r="BF75" i="28" a="1"/>
  <c r="BF75" i="28" s="1"/>
  <c r="BE75" i="28" a="1"/>
  <c r="BE75" i="28" s="1"/>
  <c r="BD75" i="28" a="1"/>
  <c r="BD75" i="28" s="1"/>
  <c r="BC75" i="28" a="1"/>
  <c r="BC75" i="28" s="1"/>
  <c r="BG74" i="28" a="1"/>
  <c r="BG74" i="28" s="1"/>
  <c r="BF74" i="28" a="1"/>
  <c r="BF74" i="28" s="1"/>
  <c r="BE74" i="28" a="1"/>
  <c r="BE74" i="28" s="1"/>
  <c r="BD74" i="28" a="1"/>
  <c r="BD74" i="28" s="1"/>
  <c r="BC74" i="28" a="1"/>
  <c r="BC74" i="28" s="1"/>
  <c r="BG73" i="28" a="1"/>
  <c r="BG73" i="28" s="1"/>
  <c r="BF73" i="28" a="1"/>
  <c r="BF73" i="28" s="1"/>
  <c r="BE73" i="28" a="1"/>
  <c r="BE73" i="28" s="1"/>
  <c r="BD73" i="28" a="1"/>
  <c r="BD73" i="28" s="1"/>
  <c r="BC73" i="28" a="1"/>
  <c r="BC73" i="28" s="1"/>
  <c r="BG72" i="28" a="1"/>
  <c r="BG72" i="28" s="1"/>
  <c r="BF72" i="28" a="1"/>
  <c r="BF72" i="28" s="1"/>
  <c r="BE72" i="28" a="1"/>
  <c r="BE72" i="28" s="1"/>
  <c r="BD72" i="28" a="1"/>
  <c r="BD72" i="28" s="1"/>
  <c r="BC72" i="28"/>
  <c r="BC72" i="28" a="1"/>
  <c r="BG71" i="28" a="1"/>
  <c r="BG71" i="28" s="1"/>
  <c r="BF71" i="28" a="1"/>
  <c r="BF71" i="28" s="1"/>
  <c r="BE71" i="28" a="1"/>
  <c r="BE71" i="28" s="1"/>
  <c r="BD71" i="28"/>
  <c r="BD71" i="28" a="1"/>
  <c r="BC71" i="28" a="1"/>
  <c r="BC71" i="28" s="1"/>
  <c r="BG70" i="28" a="1"/>
  <c r="BG70" i="28" s="1"/>
  <c r="BF70" i="28" a="1"/>
  <c r="BF70" i="28" s="1"/>
  <c r="BE70" i="28" a="1"/>
  <c r="BE70" i="28" s="1"/>
  <c r="BD70" i="28" a="1"/>
  <c r="BD70" i="28" s="1"/>
  <c r="BC70" i="28" a="1"/>
  <c r="BC70" i="28" s="1"/>
  <c r="BG69" i="28" a="1"/>
  <c r="BG69" i="28" s="1"/>
  <c r="BF69" i="28" a="1"/>
  <c r="BF69" i="28" s="1"/>
  <c r="BE69" i="28" a="1"/>
  <c r="BE69" i="28" s="1"/>
  <c r="BD69" i="28" a="1"/>
  <c r="BD69" i="28" s="1"/>
  <c r="BC69" i="28" a="1"/>
  <c r="BC69" i="28" s="1"/>
  <c r="BG68" i="28" a="1"/>
  <c r="BG68" i="28" s="1"/>
  <c r="BF68" i="28" a="1"/>
  <c r="BF68" i="28" s="1"/>
  <c r="BE68" i="28" a="1"/>
  <c r="BE68" i="28" s="1"/>
  <c r="BD68" i="28" a="1"/>
  <c r="BD68" i="28" s="1"/>
  <c r="BC68" i="28" a="1"/>
  <c r="BC68" i="28" s="1"/>
  <c r="BG67" i="28" a="1"/>
  <c r="BG67" i="28" s="1"/>
  <c r="BF67" i="28" a="1"/>
  <c r="BF67" i="28" s="1"/>
  <c r="BE67" i="28" a="1"/>
  <c r="BE67" i="28" s="1"/>
  <c r="BD67" i="28" a="1"/>
  <c r="BD67" i="28" s="1"/>
  <c r="BC67" i="28" a="1"/>
  <c r="BC67" i="28" s="1"/>
  <c r="BG66" i="28" a="1"/>
  <c r="BG66" i="28" s="1"/>
  <c r="BF66" i="28" a="1"/>
  <c r="BF66" i="28" s="1"/>
  <c r="BE66" i="28" a="1"/>
  <c r="BE66" i="28" s="1"/>
  <c r="BD66" i="28" a="1"/>
  <c r="BD66" i="28" s="1"/>
  <c r="BC66" i="28" a="1"/>
  <c r="BC66" i="28" s="1"/>
  <c r="BG65" i="28" a="1"/>
  <c r="BG65" i="28" s="1"/>
  <c r="BF65" i="28"/>
  <c r="BF65" i="28" a="1"/>
  <c r="BE65" i="28" a="1"/>
  <c r="BE65" i="28" s="1"/>
  <c r="BD65" i="28" a="1"/>
  <c r="BD65" i="28" s="1"/>
  <c r="BC65" i="28" a="1"/>
  <c r="BC65" i="28" s="1"/>
  <c r="BG64" i="28"/>
  <c r="BG64" i="28" a="1"/>
  <c r="BF64" i="28" a="1"/>
  <c r="BF64" i="28" s="1"/>
  <c r="BE64" i="28" a="1"/>
  <c r="BE64" i="28" s="1"/>
  <c r="BD64" i="28" a="1"/>
  <c r="BD64" i="28" s="1"/>
  <c r="BC64" i="28" a="1"/>
  <c r="BC64" i="28" s="1"/>
  <c r="AU122" i="28" a="1"/>
  <c r="AU122" i="28" s="1"/>
  <c r="AT122" i="28" a="1"/>
  <c r="AT122" i="28" s="1"/>
  <c r="AS122" i="28" a="1"/>
  <c r="AS122" i="28" s="1"/>
  <c r="AR122" i="28" a="1"/>
  <c r="AR122" i="28" s="1"/>
  <c r="AQ122" i="28" a="1"/>
  <c r="AQ122" i="28" s="1"/>
  <c r="AU121" i="28" a="1"/>
  <c r="AU121" i="28" s="1"/>
  <c r="AT121" i="28" a="1"/>
  <c r="AT121" i="28" s="1"/>
  <c r="AS121" i="28" a="1"/>
  <c r="AS121" i="28" s="1"/>
  <c r="AR121" i="28" a="1"/>
  <c r="AR121" i="28" s="1"/>
  <c r="AQ121" i="28" a="1"/>
  <c r="AQ121" i="28" s="1"/>
  <c r="AU120" i="28" a="1"/>
  <c r="AU120" i="28" s="1"/>
  <c r="AT120" i="28" a="1"/>
  <c r="AT120" i="28" s="1"/>
  <c r="AS120" i="28" a="1"/>
  <c r="AS120" i="28" s="1"/>
  <c r="AR120" i="28" a="1"/>
  <c r="AR120" i="28" s="1"/>
  <c r="AQ120" i="28" a="1"/>
  <c r="AQ120" i="28" s="1"/>
  <c r="AU119" i="28" a="1"/>
  <c r="AU119" i="28" s="1"/>
  <c r="AT119" i="28" a="1"/>
  <c r="AT119" i="28" s="1"/>
  <c r="AS119" i="28" a="1"/>
  <c r="AS119" i="28" s="1"/>
  <c r="AR119" i="28" a="1"/>
  <c r="AR119" i="28" s="1"/>
  <c r="AQ119" i="28" a="1"/>
  <c r="AQ119" i="28" s="1"/>
  <c r="AU118" i="28" a="1"/>
  <c r="AU118" i="28" s="1"/>
  <c r="AT118" i="28" a="1"/>
  <c r="AT118" i="28" s="1"/>
  <c r="AS118" i="28" a="1"/>
  <c r="AS118" i="28" s="1"/>
  <c r="AR118" i="28" a="1"/>
  <c r="AR118" i="28" s="1"/>
  <c r="AQ118" i="28" a="1"/>
  <c r="AQ118" i="28" s="1"/>
  <c r="AU117" i="28" a="1"/>
  <c r="AU117" i="28" s="1"/>
  <c r="AT117" i="28" a="1"/>
  <c r="AT117" i="28" s="1"/>
  <c r="AS117" i="28" a="1"/>
  <c r="AS117" i="28" s="1"/>
  <c r="AR117" i="28" a="1"/>
  <c r="AR117" i="28" s="1"/>
  <c r="AQ117" i="28"/>
  <c r="AQ117" i="28" a="1"/>
  <c r="AU116" i="28" a="1"/>
  <c r="AU116" i="28" s="1"/>
  <c r="AT116" i="28" a="1"/>
  <c r="AT116" i="28" s="1"/>
  <c r="AS116" i="28" a="1"/>
  <c r="AS116" i="28" s="1"/>
  <c r="AR116" i="28"/>
  <c r="AR116" i="28" a="1"/>
  <c r="AQ116" i="28" a="1"/>
  <c r="AQ116" i="28" s="1"/>
  <c r="AU115" i="28" a="1"/>
  <c r="AU115" i="28" s="1"/>
  <c r="AT115" i="28" a="1"/>
  <c r="AT115" i="28" s="1"/>
  <c r="AS115" i="28"/>
  <c r="AS115" i="28" a="1"/>
  <c r="AR115" i="28" a="1"/>
  <c r="AR115" i="28" s="1"/>
  <c r="AQ115" i="28" a="1"/>
  <c r="AQ115" i="28" s="1"/>
  <c r="AU114" i="28" a="1"/>
  <c r="AU114" i="28" s="1"/>
  <c r="AT114" i="28"/>
  <c r="AT114" i="28" a="1"/>
  <c r="AS114" i="28" a="1"/>
  <c r="AS114" i="28" s="1"/>
  <c r="AR114" i="28" a="1"/>
  <c r="AR114" i="28" s="1"/>
  <c r="AQ114" i="28" a="1"/>
  <c r="AQ114" i="28" s="1"/>
  <c r="AU113" i="28"/>
  <c r="AU113" i="28" a="1"/>
  <c r="AT113" i="28" a="1"/>
  <c r="AT113" i="28" s="1"/>
  <c r="AS113" i="28" a="1"/>
  <c r="AS113" i="28" s="1"/>
  <c r="AR113" i="28" a="1"/>
  <c r="AR113" i="28" s="1"/>
  <c r="AQ113" i="28"/>
  <c r="AQ113" i="28" a="1"/>
  <c r="AU112" i="28" a="1"/>
  <c r="AU112" i="28" s="1"/>
  <c r="AT112" i="28" a="1"/>
  <c r="AT112" i="28" s="1"/>
  <c r="AS112" i="28" a="1"/>
  <c r="AS112" i="28" s="1"/>
  <c r="AR112" i="28"/>
  <c r="AR112" i="28" a="1"/>
  <c r="AQ112" i="28" a="1"/>
  <c r="AQ112" i="28" s="1"/>
  <c r="AU111" i="28" a="1"/>
  <c r="AU111" i="28" s="1"/>
  <c r="AT111" i="28" a="1"/>
  <c r="AT111" i="28" s="1"/>
  <c r="AS111" i="28"/>
  <c r="AS111" i="28" a="1"/>
  <c r="AR111" i="28" a="1"/>
  <c r="AR111" i="28" s="1"/>
  <c r="AQ111" i="28" a="1"/>
  <c r="AQ111" i="28" s="1"/>
  <c r="AU110" i="28" a="1"/>
  <c r="AU110" i="28" s="1"/>
  <c r="AT110" i="28"/>
  <c r="AT110" i="28" a="1"/>
  <c r="AS110" i="28" a="1"/>
  <c r="AS110" i="28" s="1"/>
  <c r="AR110" i="28" a="1"/>
  <c r="AR110" i="28" s="1"/>
  <c r="AQ110" i="28" a="1"/>
  <c r="AQ110" i="28" s="1"/>
  <c r="AU109" i="28"/>
  <c r="AU109" i="28" a="1"/>
  <c r="AT109" i="28" a="1"/>
  <c r="AT109" i="28" s="1"/>
  <c r="AS109" i="28" a="1"/>
  <c r="AS109" i="28" s="1"/>
  <c r="AR109" i="28" a="1"/>
  <c r="AR109" i="28" s="1"/>
  <c r="AQ109" i="28"/>
  <c r="AQ109" i="28" a="1"/>
  <c r="AU108" i="28" a="1"/>
  <c r="AU108" i="28" s="1"/>
  <c r="AT108" i="28" a="1"/>
  <c r="AT108" i="28" s="1"/>
  <c r="AS108" i="28" a="1"/>
  <c r="AS108" i="28" s="1"/>
  <c r="AR108" i="28"/>
  <c r="AR108" i="28" a="1"/>
  <c r="AQ108" i="28" a="1"/>
  <c r="AQ108" i="28" s="1"/>
  <c r="AU107" i="28" a="1"/>
  <c r="AU107" i="28" s="1"/>
  <c r="AT107" i="28" a="1"/>
  <c r="AT107" i="28" s="1"/>
  <c r="AS107" i="28"/>
  <c r="AS107" i="28" a="1"/>
  <c r="AR107" i="28" a="1"/>
  <c r="AR107" i="28" s="1"/>
  <c r="AQ107" i="28" a="1"/>
  <c r="AQ107" i="28" s="1"/>
  <c r="AU106" i="28" a="1"/>
  <c r="AU106" i="28" s="1"/>
  <c r="AT106" i="28"/>
  <c r="AT106" i="28" a="1"/>
  <c r="AS106" i="28" a="1"/>
  <c r="AS106" i="28" s="1"/>
  <c r="AR106" i="28" a="1"/>
  <c r="AR106" i="28" s="1"/>
  <c r="AQ106" i="28" a="1"/>
  <c r="AQ106" i="28" s="1"/>
  <c r="AU105" i="28"/>
  <c r="AU105" i="28" a="1"/>
  <c r="AT105" i="28" a="1"/>
  <c r="AT105" i="28" s="1"/>
  <c r="AS105" i="28" a="1"/>
  <c r="AS105" i="28" s="1"/>
  <c r="AR105" i="28" a="1"/>
  <c r="AR105" i="28" s="1"/>
  <c r="AQ105" i="28"/>
  <c r="AQ105" i="28" a="1"/>
  <c r="AU104" i="28" a="1"/>
  <c r="AU104" i="28" s="1"/>
  <c r="AT104" i="28" a="1"/>
  <c r="AT104" i="28" s="1"/>
  <c r="AS104" i="28" a="1"/>
  <c r="AS104" i="28" s="1"/>
  <c r="AR104" i="28"/>
  <c r="AR104" i="28" a="1"/>
  <c r="AQ104" i="28" a="1"/>
  <c r="AQ104" i="28" s="1"/>
  <c r="AU103" i="28" a="1"/>
  <c r="AU103" i="28" s="1"/>
  <c r="AT103" i="28" a="1"/>
  <c r="AT103" i="28" s="1"/>
  <c r="AS103" i="28"/>
  <c r="AS103" i="28" a="1"/>
  <c r="AR103" i="28" a="1"/>
  <c r="AR103" i="28" s="1"/>
  <c r="AQ103" i="28" a="1"/>
  <c r="AQ103" i="28" s="1"/>
  <c r="AU102" i="28" a="1"/>
  <c r="AU102" i="28" s="1"/>
  <c r="AT102" i="28"/>
  <c r="AT102" i="28" a="1"/>
  <c r="AS102" i="28" a="1"/>
  <c r="AS102" i="28" s="1"/>
  <c r="AR102" i="28" a="1"/>
  <c r="AR102" i="28" s="1"/>
  <c r="AQ102" i="28" a="1"/>
  <c r="AQ102" i="28" s="1"/>
  <c r="AU101" i="28"/>
  <c r="AU101" i="28" a="1"/>
  <c r="AT101" i="28" a="1"/>
  <c r="AT101" i="28" s="1"/>
  <c r="AS101" i="28" a="1"/>
  <c r="AS101" i="28" s="1"/>
  <c r="AR101" i="28" a="1"/>
  <c r="AR101" i="28" s="1"/>
  <c r="AQ101" i="28"/>
  <c r="AQ101" i="28" a="1"/>
  <c r="AU100" i="28" a="1"/>
  <c r="AU100" i="28" s="1"/>
  <c r="AT100" i="28" a="1"/>
  <c r="AT100" i="28" s="1"/>
  <c r="AS100" i="28" a="1"/>
  <c r="AS100" i="28" s="1"/>
  <c r="AR100" i="28"/>
  <c r="AR100" i="28" a="1"/>
  <c r="AQ100" i="28" a="1"/>
  <c r="AQ100" i="28" s="1"/>
  <c r="AU99" i="28" a="1"/>
  <c r="AU99" i="28" s="1"/>
  <c r="AT99" i="28" a="1"/>
  <c r="AT99" i="28" s="1"/>
  <c r="AS99" i="28"/>
  <c r="AS99" i="28" a="1"/>
  <c r="AR99" i="28" a="1"/>
  <c r="AR99" i="28" s="1"/>
  <c r="AQ99" i="28" a="1"/>
  <c r="AQ99" i="28" s="1"/>
  <c r="AU98" i="28" a="1"/>
  <c r="AU98" i="28" s="1"/>
  <c r="AT98" i="28"/>
  <c r="AT98" i="28" a="1"/>
  <c r="AS98" i="28" a="1"/>
  <c r="AS98" i="28" s="1"/>
  <c r="AR98" i="28" a="1"/>
  <c r="AR98" i="28" s="1"/>
  <c r="AQ98" i="28" a="1"/>
  <c r="AQ98" i="28" s="1"/>
  <c r="AU97" i="28"/>
  <c r="AU97" i="28" a="1"/>
  <c r="AT97" i="28" a="1"/>
  <c r="AT97" i="28" s="1"/>
  <c r="AS97" i="28" a="1"/>
  <c r="AS97" i="28" s="1"/>
  <c r="AR97" i="28" a="1"/>
  <c r="AR97" i="28" s="1"/>
  <c r="AQ97" i="28"/>
  <c r="AQ97" i="28" a="1"/>
  <c r="AU96" i="28" a="1"/>
  <c r="AU96" i="28" s="1"/>
  <c r="AT96" i="28" a="1"/>
  <c r="AT96" i="28" s="1"/>
  <c r="AS96" i="28" a="1"/>
  <c r="AS96" i="28" s="1"/>
  <c r="AR96" i="28"/>
  <c r="AR96" i="28" a="1"/>
  <c r="AQ96" i="28" a="1"/>
  <c r="AQ96" i="28" s="1"/>
  <c r="AU95" i="28" a="1"/>
  <c r="AU95" i="28" s="1"/>
  <c r="AT95" i="28" a="1"/>
  <c r="AT95" i="28" s="1"/>
  <c r="AS95" i="28"/>
  <c r="AS95" i="28" a="1"/>
  <c r="AR95" i="28" a="1"/>
  <c r="AR95" i="28" s="1"/>
  <c r="AQ95" i="28" a="1"/>
  <c r="AQ95" i="28" s="1"/>
  <c r="AU94" i="28" a="1"/>
  <c r="AU94" i="28" s="1"/>
  <c r="AT94" i="28"/>
  <c r="AT94" i="28" a="1"/>
  <c r="AS94" i="28" a="1"/>
  <c r="AS94" i="28" s="1"/>
  <c r="AR94" i="28" a="1"/>
  <c r="AR94" i="28" s="1"/>
  <c r="AQ94" i="28" a="1"/>
  <c r="AQ94" i="28" s="1"/>
  <c r="AU93" i="28"/>
  <c r="AU93" i="28" a="1"/>
  <c r="AT93" i="28" a="1"/>
  <c r="AT93" i="28" s="1"/>
  <c r="AS93" i="28" a="1"/>
  <c r="AS93" i="28" s="1"/>
  <c r="AR93" i="28" a="1"/>
  <c r="AR93" i="28" s="1"/>
  <c r="AQ93" i="28"/>
  <c r="AQ93" i="28" a="1"/>
  <c r="AU92" i="28" a="1"/>
  <c r="AU92" i="28" s="1"/>
  <c r="AT92" i="28" a="1"/>
  <c r="AT92" i="28" s="1"/>
  <c r="AS92" i="28" a="1"/>
  <c r="AS92" i="28" s="1"/>
  <c r="AR92" i="28"/>
  <c r="AR92" i="28" a="1"/>
  <c r="AQ92" i="28" a="1"/>
  <c r="AQ92" i="28" s="1"/>
  <c r="AU91" i="28" a="1"/>
  <c r="AU91" i="28" s="1"/>
  <c r="AT91" i="28" a="1"/>
  <c r="AT91" i="28" s="1"/>
  <c r="AS91" i="28"/>
  <c r="AS91" i="28" a="1"/>
  <c r="AR91" i="28" a="1"/>
  <c r="AR91" i="28" s="1"/>
  <c r="AQ91" i="28" a="1"/>
  <c r="AQ91" i="28" s="1"/>
  <c r="AU90" i="28" a="1"/>
  <c r="AU90" i="28" s="1"/>
  <c r="AT90" i="28"/>
  <c r="AT90" i="28" a="1"/>
  <c r="AS90" i="28" a="1"/>
  <c r="AS90" i="28" s="1"/>
  <c r="AR90" i="28" a="1"/>
  <c r="AR90" i="28" s="1"/>
  <c r="AQ90" i="28" a="1"/>
  <c r="AQ90" i="28" s="1"/>
  <c r="AU89" i="28" a="1"/>
  <c r="AU89" i="28" s="1"/>
  <c r="AT89" i="28" a="1"/>
  <c r="AT89" i="28" s="1"/>
  <c r="AS89" i="28" a="1"/>
  <c r="AS89" i="28" s="1"/>
  <c r="AR89" i="28" a="1"/>
  <c r="AR89" i="28" s="1"/>
  <c r="AQ89" i="28" a="1"/>
  <c r="AQ89" i="28" s="1"/>
  <c r="AU88" i="28" a="1"/>
  <c r="AU88" i="28" s="1"/>
  <c r="AT88" i="28" a="1"/>
  <c r="AT88" i="28" s="1"/>
  <c r="AS88" i="28" a="1"/>
  <c r="AS88" i="28" s="1"/>
  <c r="AR88" i="28" a="1"/>
  <c r="AR88" i="28" s="1"/>
  <c r="AQ88" i="28" a="1"/>
  <c r="AQ88" i="28" s="1"/>
  <c r="AU87" i="28" a="1"/>
  <c r="AU87" i="28" s="1"/>
  <c r="AT87" i="28" a="1"/>
  <c r="AT87" i="28" s="1"/>
  <c r="AS87" i="28" a="1"/>
  <c r="AS87" i="28" s="1"/>
  <c r="AR87" i="28" a="1"/>
  <c r="AR87" i="28" s="1"/>
  <c r="AQ87" i="28" a="1"/>
  <c r="AQ87" i="28" s="1"/>
  <c r="AU86" i="28" a="1"/>
  <c r="AU86" i="28" s="1"/>
  <c r="AT86" i="28" a="1"/>
  <c r="AT86" i="28" s="1"/>
  <c r="AS86" i="28" a="1"/>
  <c r="AS86" i="28" s="1"/>
  <c r="AR86" i="28" a="1"/>
  <c r="AR86" i="28" s="1"/>
  <c r="AQ86" i="28" a="1"/>
  <c r="AQ86" i="28" s="1"/>
  <c r="AU85" i="28" a="1"/>
  <c r="AU85" i="28" s="1"/>
  <c r="AT85" i="28" a="1"/>
  <c r="AT85" i="28" s="1"/>
  <c r="AS85" i="28" a="1"/>
  <c r="AS85" i="28" s="1"/>
  <c r="AR85" i="28" a="1"/>
  <c r="AR85" i="28" s="1"/>
  <c r="AQ85" i="28" a="1"/>
  <c r="AQ85" i="28" s="1"/>
  <c r="AU84" i="28" a="1"/>
  <c r="AU84" i="28" s="1"/>
  <c r="AT84" i="28" a="1"/>
  <c r="AT84" i="28" s="1"/>
  <c r="AS84" i="28" a="1"/>
  <c r="AS84" i="28" s="1"/>
  <c r="AR84" i="28" a="1"/>
  <c r="AR84" i="28" s="1"/>
  <c r="AQ84" i="28" a="1"/>
  <c r="AQ84" i="28" s="1"/>
  <c r="AU83" i="28" a="1"/>
  <c r="AU83" i="28" s="1"/>
  <c r="AT83" i="28" a="1"/>
  <c r="AT83" i="28" s="1"/>
  <c r="AS83" i="28" a="1"/>
  <c r="AS83" i="28" s="1"/>
  <c r="AR83" i="28" a="1"/>
  <c r="AR83" i="28" s="1"/>
  <c r="AQ83" i="28" a="1"/>
  <c r="AQ83" i="28" s="1"/>
  <c r="AU82" i="28" a="1"/>
  <c r="AU82" i="28" s="1"/>
  <c r="AT82" i="28" a="1"/>
  <c r="AT82" i="28" s="1"/>
  <c r="AS82" i="28" a="1"/>
  <c r="AS82" i="28" s="1"/>
  <c r="AR82" i="28" a="1"/>
  <c r="AR82" i="28" s="1"/>
  <c r="AQ82" i="28" a="1"/>
  <c r="AQ82" i="28" s="1"/>
  <c r="AU81" i="28" a="1"/>
  <c r="AU81" i="28" s="1"/>
  <c r="AT81" i="28" a="1"/>
  <c r="AT81" i="28" s="1"/>
  <c r="AS81" i="28" a="1"/>
  <c r="AS81" i="28" s="1"/>
  <c r="AR81" i="28" a="1"/>
  <c r="AR81" i="28" s="1"/>
  <c r="AQ81" i="28" a="1"/>
  <c r="AQ81" i="28" s="1"/>
  <c r="AU80" i="28" a="1"/>
  <c r="AU80" i="28" s="1"/>
  <c r="AT80" i="28" a="1"/>
  <c r="AT80" i="28" s="1"/>
  <c r="AS80" i="28" a="1"/>
  <c r="AS80" i="28" s="1"/>
  <c r="AR80" i="28" a="1"/>
  <c r="AR80" i="28" s="1"/>
  <c r="AQ80" i="28" a="1"/>
  <c r="AQ80" i="28" s="1"/>
  <c r="AU79" i="28" a="1"/>
  <c r="AU79" i="28" s="1"/>
  <c r="AT79" i="28" a="1"/>
  <c r="AT79" i="28" s="1"/>
  <c r="AS79" i="28" a="1"/>
  <c r="AS79" i="28" s="1"/>
  <c r="AR79" i="28" a="1"/>
  <c r="AR79" i="28" s="1"/>
  <c r="AQ79" i="28" a="1"/>
  <c r="AQ79" i="28" s="1"/>
  <c r="AU78" i="28" a="1"/>
  <c r="AU78" i="28" s="1"/>
  <c r="AT78" i="28" a="1"/>
  <c r="AT78" i="28" s="1"/>
  <c r="AS78" i="28" a="1"/>
  <c r="AS78" i="28" s="1"/>
  <c r="AR78" i="28" a="1"/>
  <c r="AR78" i="28" s="1"/>
  <c r="AQ78" i="28" a="1"/>
  <c r="AQ78" i="28" s="1"/>
  <c r="AU77" i="28" a="1"/>
  <c r="AU77" i="28" s="1"/>
  <c r="AT77" i="28" a="1"/>
  <c r="AT77" i="28" s="1"/>
  <c r="AS77" i="28" a="1"/>
  <c r="AS77" i="28" s="1"/>
  <c r="AR77" i="28" a="1"/>
  <c r="AR77" i="28" s="1"/>
  <c r="AQ77" i="28" a="1"/>
  <c r="AQ77" i="28" s="1"/>
  <c r="AU76" i="28" a="1"/>
  <c r="AU76" i="28" s="1"/>
  <c r="AT76" i="28" a="1"/>
  <c r="AT76" i="28" s="1"/>
  <c r="AS76" i="28" a="1"/>
  <c r="AS76" i="28" s="1"/>
  <c r="AR76" i="28" a="1"/>
  <c r="AR76" i="28" s="1"/>
  <c r="AQ76" i="28" a="1"/>
  <c r="AQ76" i="28" s="1"/>
  <c r="AU75" i="28" a="1"/>
  <c r="AU75" i="28" s="1"/>
  <c r="AT75" i="28" a="1"/>
  <c r="AT75" i="28" s="1"/>
  <c r="AS75" i="28" a="1"/>
  <c r="AS75" i="28" s="1"/>
  <c r="AR75" i="28" a="1"/>
  <c r="AR75" i="28" s="1"/>
  <c r="AQ75" i="28" a="1"/>
  <c r="AQ75" i="28" s="1"/>
  <c r="AU74" i="28" a="1"/>
  <c r="AU74" i="28" s="1"/>
  <c r="AT74" i="28" a="1"/>
  <c r="AT74" i="28" s="1"/>
  <c r="AS74" i="28" a="1"/>
  <c r="AS74" i="28" s="1"/>
  <c r="AR74" i="28" a="1"/>
  <c r="AR74" i="28" s="1"/>
  <c r="AQ74" i="28" a="1"/>
  <c r="AQ74" i="28" s="1"/>
  <c r="AU73" i="28"/>
  <c r="AU73" i="28" a="1"/>
  <c r="AT73" i="28" a="1"/>
  <c r="AT73" i="28" s="1"/>
  <c r="AS73" i="28" a="1"/>
  <c r="AS73" i="28" s="1"/>
  <c r="AR73" i="28" a="1"/>
  <c r="AR73" i="28" s="1"/>
  <c r="AQ73" i="28" a="1"/>
  <c r="AQ73" i="28" s="1"/>
  <c r="AU72" i="28" a="1"/>
  <c r="AU72" i="28" s="1"/>
  <c r="AT72" i="28" a="1"/>
  <c r="AT72" i="28" s="1"/>
  <c r="AS72" i="28" a="1"/>
  <c r="AS72" i="28" s="1"/>
  <c r="AR72" i="28" a="1"/>
  <c r="AR72" i="28" s="1"/>
  <c r="AQ72" i="28" a="1"/>
  <c r="AQ72" i="28" s="1"/>
  <c r="AU71" i="28" a="1"/>
  <c r="AU71" i="28" s="1"/>
  <c r="AT71" i="28" a="1"/>
  <c r="AT71" i="28" s="1"/>
  <c r="AS71" i="28" a="1"/>
  <c r="AS71" i="28" s="1"/>
  <c r="AR71" i="28" a="1"/>
  <c r="AR71" i="28" s="1"/>
  <c r="AQ71" i="28" a="1"/>
  <c r="AQ71" i="28" s="1"/>
  <c r="AU70" i="28" a="1"/>
  <c r="AU70" i="28" s="1"/>
  <c r="AT70" i="28" a="1"/>
  <c r="AT70" i="28" s="1"/>
  <c r="AS70" i="28" a="1"/>
  <c r="AS70" i="28" s="1"/>
  <c r="AR70" i="28" a="1"/>
  <c r="AR70" i="28" s="1"/>
  <c r="AQ70" i="28" a="1"/>
  <c r="AQ70" i="28" s="1"/>
  <c r="AU69" i="28" a="1"/>
  <c r="AU69" i="28" s="1"/>
  <c r="AT69" i="28" a="1"/>
  <c r="AT69" i="28" s="1"/>
  <c r="AS69" i="28" a="1"/>
  <c r="AS69" i="28" s="1"/>
  <c r="AR69" i="28" a="1"/>
  <c r="AR69" i="28" s="1"/>
  <c r="AQ69" i="28"/>
  <c r="AQ69" i="28" a="1"/>
  <c r="AU68" i="28" a="1"/>
  <c r="AU68" i="28" s="1"/>
  <c r="AT68" i="28" a="1"/>
  <c r="AT68" i="28" s="1"/>
  <c r="AS68" i="28" a="1"/>
  <c r="AS68" i="28" s="1"/>
  <c r="AR68" i="28" a="1"/>
  <c r="AR68" i="28" s="1"/>
  <c r="AQ68" i="28" a="1"/>
  <c r="AQ68" i="28" s="1"/>
  <c r="AU67" i="28" a="1"/>
  <c r="AU67" i="28" s="1"/>
  <c r="AT67" i="28" a="1"/>
  <c r="AT67" i="28" s="1"/>
  <c r="AS67" i="28"/>
  <c r="AS67" i="28" a="1"/>
  <c r="AR67" i="28" a="1"/>
  <c r="AR67" i="28" s="1"/>
  <c r="AQ67" i="28" a="1"/>
  <c r="AQ67" i="28" s="1"/>
  <c r="AU66" i="28" a="1"/>
  <c r="AU66" i="28" s="1"/>
  <c r="AT66" i="28" a="1"/>
  <c r="AT66" i="28" s="1"/>
  <c r="AS66" i="28" a="1"/>
  <c r="AS66" i="28" s="1"/>
  <c r="AR66" i="28" a="1"/>
  <c r="AR66" i="28" s="1"/>
  <c r="AQ66" i="28" a="1"/>
  <c r="AQ66" i="28" s="1"/>
  <c r="AU65" i="28" a="1"/>
  <c r="AU65" i="28" s="1"/>
  <c r="AT65" i="28" a="1"/>
  <c r="AT65" i="28" s="1"/>
  <c r="AS65" i="28" a="1"/>
  <c r="AS65" i="28" s="1"/>
  <c r="AR65" i="28" a="1"/>
  <c r="AR65" i="28" s="1"/>
  <c r="AQ65" i="28" a="1"/>
  <c r="AQ65" i="28" s="1"/>
  <c r="AU64" i="28" a="1"/>
  <c r="AU64" i="28" s="1"/>
  <c r="AT64" i="28" a="1"/>
  <c r="AT64" i="28" s="1"/>
  <c r="AS64" i="28" a="1"/>
  <c r="AS64" i="28" s="1"/>
  <c r="AR64" i="28" a="1"/>
  <c r="AR64" i="28" s="1"/>
  <c r="AQ64" i="28" a="1"/>
  <c r="AQ64" i="28" s="1"/>
  <c r="AI122" i="28" a="1"/>
  <c r="AI122" i="28" s="1"/>
  <c r="AH122" i="28" a="1"/>
  <c r="AH122" i="28" s="1"/>
  <c r="AG122" i="28" a="1"/>
  <c r="AG122" i="28" s="1"/>
  <c r="AF122" i="28"/>
  <c r="AF122" i="28" a="1"/>
  <c r="AE122" i="28" a="1"/>
  <c r="AE122" i="28" s="1"/>
  <c r="AI121" i="28" a="1"/>
  <c r="AI121" i="28" s="1"/>
  <c r="AH121" i="28" a="1"/>
  <c r="AH121" i="28" s="1"/>
  <c r="AG121" i="28"/>
  <c r="AG121" i="28" a="1"/>
  <c r="AF121" i="28" a="1"/>
  <c r="AF121" i="28" s="1"/>
  <c r="AE121" i="28" a="1"/>
  <c r="AE121" i="28" s="1"/>
  <c r="AI120" i="28" a="1"/>
  <c r="AI120" i="28" s="1"/>
  <c r="AH120" i="28"/>
  <c r="AH120" i="28" a="1"/>
  <c r="AG120" i="28" a="1"/>
  <c r="AG120" i="28" s="1"/>
  <c r="AF120" i="28" a="1"/>
  <c r="AF120" i="28" s="1"/>
  <c r="AE120" i="28" a="1"/>
  <c r="AE120" i="28" s="1"/>
  <c r="AI119" i="28"/>
  <c r="AI119" i="28" a="1"/>
  <c r="AH119" i="28" a="1"/>
  <c r="AH119" i="28" s="1"/>
  <c r="AG119" i="28" a="1"/>
  <c r="AG119" i="28" s="1"/>
  <c r="AF119" i="28" a="1"/>
  <c r="AF119" i="28" s="1"/>
  <c r="AE119" i="28"/>
  <c r="AE119" i="28" a="1"/>
  <c r="AI118" i="28" a="1"/>
  <c r="AI118" i="28" s="1"/>
  <c r="AH118" i="28" a="1"/>
  <c r="AH118" i="28" s="1"/>
  <c r="AG118" i="28" a="1"/>
  <c r="AG118" i="28" s="1"/>
  <c r="AF118" i="28"/>
  <c r="AF118" i="28" a="1"/>
  <c r="AE118" i="28" a="1"/>
  <c r="AE118" i="28" s="1"/>
  <c r="AI117" i="28" a="1"/>
  <c r="AI117" i="28" s="1"/>
  <c r="AH117" i="28" a="1"/>
  <c r="AH117" i="28" s="1"/>
  <c r="AG117" i="28"/>
  <c r="AG117" i="28" a="1"/>
  <c r="AF117" i="28" a="1"/>
  <c r="AF117" i="28" s="1"/>
  <c r="AE117" i="28" a="1"/>
  <c r="AE117" i="28" s="1"/>
  <c r="AI116" i="28" a="1"/>
  <c r="AI116" i="28" s="1"/>
  <c r="AH116" i="28"/>
  <c r="AH116" i="28" a="1"/>
  <c r="AG116" i="28" a="1"/>
  <c r="AG116" i="28" s="1"/>
  <c r="AF116" i="28" a="1"/>
  <c r="AF116" i="28" s="1"/>
  <c r="AE116" i="28" a="1"/>
  <c r="AE116" i="28" s="1"/>
  <c r="AI115" i="28"/>
  <c r="AI115" i="28" a="1"/>
  <c r="AH115" i="28" a="1"/>
  <c r="AH115" i="28" s="1"/>
  <c r="AG115" i="28" a="1"/>
  <c r="AG115" i="28" s="1"/>
  <c r="AF115" i="28" a="1"/>
  <c r="AF115" i="28" s="1"/>
  <c r="AE115" i="28"/>
  <c r="AE115" i="28" a="1"/>
  <c r="AI114" i="28" a="1"/>
  <c r="AI114" i="28" s="1"/>
  <c r="AH114" i="28" a="1"/>
  <c r="AH114" i="28" s="1"/>
  <c r="AG114" i="28" a="1"/>
  <c r="AG114" i="28" s="1"/>
  <c r="AF114" i="28"/>
  <c r="AF114" i="28" a="1"/>
  <c r="AE114" i="28" a="1"/>
  <c r="AE114" i="28" s="1"/>
  <c r="AI113" i="28" a="1"/>
  <c r="AI113" i="28" s="1"/>
  <c r="AH113" i="28" a="1"/>
  <c r="AH113" i="28" s="1"/>
  <c r="AG113" i="28"/>
  <c r="AG113" i="28" a="1"/>
  <c r="AF113" i="28" a="1"/>
  <c r="AF113" i="28" s="1"/>
  <c r="AE113" i="28" a="1"/>
  <c r="AE113" i="28" s="1"/>
  <c r="AI112" i="28" a="1"/>
  <c r="AI112" i="28" s="1"/>
  <c r="AH112" i="28"/>
  <c r="AH112" i="28" a="1"/>
  <c r="AG112" i="28" a="1"/>
  <c r="AG112" i="28" s="1"/>
  <c r="AF112" i="28" a="1"/>
  <c r="AF112" i="28" s="1"/>
  <c r="AE112" i="28" a="1"/>
  <c r="AE112" i="28" s="1"/>
  <c r="AI111" i="28"/>
  <c r="AI111" i="28" a="1"/>
  <c r="AH111" i="28" a="1"/>
  <c r="AH111" i="28" s="1"/>
  <c r="AG111" i="28" a="1"/>
  <c r="AG111" i="28" s="1"/>
  <c r="AF111" i="28" a="1"/>
  <c r="AF111" i="28" s="1"/>
  <c r="AE111" i="28"/>
  <c r="AE111" i="28" a="1"/>
  <c r="AI110" i="28" a="1"/>
  <c r="AI110" i="28" s="1"/>
  <c r="AH110" i="28" a="1"/>
  <c r="AH110" i="28" s="1"/>
  <c r="AG110" i="28" a="1"/>
  <c r="AG110" i="28" s="1"/>
  <c r="AF110" i="28"/>
  <c r="AF110" i="28" a="1"/>
  <c r="AE110" i="28" a="1"/>
  <c r="AE110" i="28" s="1"/>
  <c r="AI109" i="28" a="1"/>
  <c r="AI109" i="28" s="1"/>
  <c r="AH109" i="28" a="1"/>
  <c r="AH109" i="28" s="1"/>
  <c r="AG109" i="28"/>
  <c r="AG109" i="28" a="1"/>
  <c r="AF109" i="28" a="1"/>
  <c r="AF109" i="28" s="1"/>
  <c r="AE109" i="28" a="1"/>
  <c r="AE109" i="28" s="1"/>
  <c r="AI108" i="28" a="1"/>
  <c r="AI108" i="28" s="1"/>
  <c r="AH108" i="28"/>
  <c r="AH108" i="28" a="1"/>
  <c r="AG108" i="28" a="1"/>
  <c r="AG108" i="28" s="1"/>
  <c r="AF108" i="28" a="1"/>
  <c r="AF108" i="28" s="1"/>
  <c r="AE108" i="28" a="1"/>
  <c r="AE108" i="28" s="1"/>
  <c r="AI107" i="28"/>
  <c r="AI107" i="28" a="1"/>
  <c r="AH107" i="28" a="1"/>
  <c r="AH107" i="28" s="1"/>
  <c r="AG107" i="28" a="1"/>
  <c r="AG107" i="28" s="1"/>
  <c r="AF107" i="28" a="1"/>
  <c r="AF107" i="28" s="1"/>
  <c r="AE107" i="28"/>
  <c r="AE107" i="28" a="1"/>
  <c r="AI106" i="28" a="1"/>
  <c r="AI106" i="28" s="1"/>
  <c r="AH106" i="28" a="1"/>
  <c r="AH106" i="28" s="1"/>
  <c r="AG106" i="28" a="1"/>
  <c r="AG106" i="28" s="1"/>
  <c r="AF106" i="28"/>
  <c r="AF106" i="28" a="1"/>
  <c r="AE106" i="28" a="1"/>
  <c r="AE106" i="28" s="1"/>
  <c r="AI105" i="28" a="1"/>
  <c r="AI105" i="28" s="1"/>
  <c r="AH105" i="28" a="1"/>
  <c r="AH105" i="28" s="1"/>
  <c r="AG105" i="28"/>
  <c r="AG105" i="28" a="1"/>
  <c r="AF105" i="28" a="1"/>
  <c r="AF105" i="28" s="1"/>
  <c r="AE105" i="28" a="1"/>
  <c r="AE105" i="28" s="1"/>
  <c r="AI104" i="28" a="1"/>
  <c r="AI104" i="28" s="1"/>
  <c r="AH104" i="28"/>
  <c r="AH104" i="28" a="1"/>
  <c r="AG104" i="28" a="1"/>
  <c r="AG104" i="28" s="1"/>
  <c r="AF104" i="28" a="1"/>
  <c r="AF104" i="28" s="1"/>
  <c r="AE104" i="28" a="1"/>
  <c r="AE104" i="28" s="1"/>
  <c r="AI103" i="28"/>
  <c r="AI103" i="28" a="1"/>
  <c r="AH103" i="28" a="1"/>
  <c r="AH103" i="28" s="1"/>
  <c r="AG103" i="28" a="1"/>
  <c r="AG103" i="28" s="1"/>
  <c r="AF103" i="28" a="1"/>
  <c r="AF103" i="28" s="1"/>
  <c r="AE103" i="28"/>
  <c r="AE103" i="28" a="1"/>
  <c r="AI102" i="28" a="1"/>
  <c r="AI102" i="28" s="1"/>
  <c r="AH102" i="28" a="1"/>
  <c r="AH102" i="28" s="1"/>
  <c r="AG102" i="28" a="1"/>
  <c r="AG102" i="28" s="1"/>
  <c r="AF102" i="28"/>
  <c r="AF102" i="28" a="1"/>
  <c r="AE102" i="28" a="1"/>
  <c r="AE102" i="28" s="1"/>
  <c r="AI101" i="28" a="1"/>
  <c r="AI101" i="28" s="1"/>
  <c r="AH101" i="28" a="1"/>
  <c r="AH101" i="28" s="1"/>
  <c r="AG101" i="28"/>
  <c r="AG101" i="28" a="1"/>
  <c r="AF101" i="28" a="1"/>
  <c r="AF101" i="28" s="1"/>
  <c r="AE101" i="28" a="1"/>
  <c r="AE101" i="28" s="1"/>
  <c r="AI100" i="28" a="1"/>
  <c r="AI100" i="28" s="1"/>
  <c r="AH100" i="28"/>
  <c r="AH100" i="28" a="1"/>
  <c r="AG100" i="28" a="1"/>
  <c r="AG100" i="28" s="1"/>
  <c r="AF100" i="28" a="1"/>
  <c r="AF100" i="28" s="1"/>
  <c r="AE100" i="28" a="1"/>
  <c r="AE100" i="28" s="1"/>
  <c r="AI99" i="28"/>
  <c r="AI99" i="28" a="1"/>
  <c r="AH99" i="28" a="1"/>
  <c r="AH99" i="28" s="1"/>
  <c r="AG99" i="28" a="1"/>
  <c r="AG99" i="28" s="1"/>
  <c r="AF99" i="28" a="1"/>
  <c r="AF99" i="28" s="1"/>
  <c r="AE99" i="28"/>
  <c r="AE99" i="28" a="1"/>
  <c r="AI98" i="28" a="1"/>
  <c r="AI98" i="28" s="1"/>
  <c r="AH98" i="28" a="1"/>
  <c r="AH98" i="28" s="1"/>
  <c r="AG98" i="28" a="1"/>
  <c r="AG98" i="28" s="1"/>
  <c r="AF98" i="28"/>
  <c r="AF98" i="28" a="1"/>
  <c r="AE98" i="28" a="1"/>
  <c r="AE98" i="28" s="1"/>
  <c r="AI97" i="28" a="1"/>
  <c r="AI97" i="28" s="1"/>
  <c r="AH97" i="28" a="1"/>
  <c r="AH97" i="28" s="1"/>
  <c r="AG97" i="28"/>
  <c r="AG97" i="28" a="1"/>
  <c r="AF97" i="28" a="1"/>
  <c r="AF97" i="28" s="1"/>
  <c r="AE97" i="28" a="1"/>
  <c r="AE97" i="28" s="1"/>
  <c r="AI96" i="28" a="1"/>
  <c r="AI96" i="28" s="1"/>
  <c r="AH96" i="28"/>
  <c r="AH96" i="28" a="1"/>
  <c r="AG96" i="28" a="1"/>
  <c r="AG96" i="28" s="1"/>
  <c r="AF96" i="28" a="1"/>
  <c r="AF96" i="28" s="1"/>
  <c r="AE96" i="28" a="1"/>
  <c r="AE96" i="28" s="1"/>
  <c r="AI95" i="28"/>
  <c r="AI95" i="28" a="1"/>
  <c r="AH95" i="28" a="1"/>
  <c r="AH95" i="28" s="1"/>
  <c r="AG95" i="28" a="1"/>
  <c r="AG95" i="28" s="1"/>
  <c r="AF95" i="28" a="1"/>
  <c r="AF95" i="28" s="1"/>
  <c r="AE95" i="28"/>
  <c r="AE95" i="28" a="1"/>
  <c r="AI94" i="28" a="1"/>
  <c r="AI94" i="28" s="1"/>
  <c r="AH94" i="28" a="1"/>
  <c r="AH94" i="28" s="1"/>
  <c r="AG94" i="28" a="1"/>
  <c r="AG94" i="28" s="1"/>
  <c r="AF94" i="28"/>
  <c r="AF94" i="28" a="1"/>
  <c r="AE94" i="28" a="1"/>
  <c r="AE94" i="28" s="1"/>
  <c r="AI93" i="28" a="1"/>
  <c r="AI93" i="28" s="1"/>
  <c r="AH93" i="28" a="1"/>
  <c r="AH93" i="28" s="1"/>
  <c r="AG93" i="28"/>
  <c r="AG93" i="28" a="1"/>
  <c r="AF93" i="28" a="1"/>
  <c r="AF93" i="28" s="1"/>
  <c r="AE93" i="28" a="1"/>
  <c r="AE93" i="28" s="1"/>
  <c r="AI92" i="28" a="1"/>
  <c r="AI92" i="28" s="1"/>
  <c r="AH92" i="28"/>
  <c r="AH92" i="28" a="1"/>
  <c r="AG92" i="28" a="1"/>
  <c r="AG92" i="28" s="1"/>
  <c r="AF92" i="28" a="1"/>
  <c r="AF92" i="28" s="1"/>
  <c r="AE92" i="28" a="1"/>
  <c r="AE92" i="28" s="1"/>
  <c r="AI91" i="28"/>
  <c r="AI91" i="28" a="1"/>
  <c r="AH91" i="28" a="1"/>
  <c r="AH91" i="28" s="1"/>
  <c r="AG91" i="28" a="1"/>
  <c r="AG91" i="28" s="1"/>
  <c r="AF91" i="28" a="1"/>
  <c r="AF91" i="28" s="1"/>
  <c r="AE91" i="28"/>
  <c r="AE91" i="28" a="1"/>
  <c r="AI90" i="28" a="1"/>
  <c r="AI90" i="28" s="1"/>
  <c r="AH90" i="28" a="1"/>
  <c r="AH90" i="28" s="1"/>
  <c r="AG90" i="28" a="1"/>
  <c r="AG90" i="28" s="1"/>
  <c r="AF90" i="28"/>
  <c r="AF90" i="28" a="1"/>
  <c r="AE90" i="28" a="1"/>
  <c r="AE90" i="28" s="1"/>
  <c r="AI89" i="28" a="1"/>
  <c r="AI89" i="28" s="1"/>
  <c r="AH89" i="28" a="1"/>
  <c r="AH89" i="28" s="1"/>
  <c r="AG89" i="28"/>
  <c r="AG89" i="28" a="1"/>
  <c r="AF89" i="28" a="1"/>
  <c r="AF89" i="28" s="1"/>
  <c r="AE89" i="28" a="1"/>
  <c r="AE89" i="28" s="1"/>
  <c r="AI88" i="28" a="1"/>
  <c r="AI88" i="28" s="1"/>
  <c r="AH88" i="28"/>
  <c r="AH88" i="28" a="1"/>
  <c r="AG88" i="28" a="1"/>
  <c r="AG88" i="28" s="1"/>
  <c r="AF88" i="28" a="1"/>
  <c r="AF88" i="28" s="1"/>
  <c r="AE88" i="28" a="1"/>
  <c r="AE88" i="28" s="1"/>
  <c r="AI87" i="28"/>
  <c r="AI87" i="28" a="1"/>
  <c r="AH87" i="28" a="1"/>
  <c r="AH87" i="28" s="1"/>
  <c r="AG87" i="28" a="1"/>
  <c r="AG87" i="28" s="1"/>
  <c r="AF87" i="28" a="1"/>
  <c r="AF87" i="28" s="1"/>
  <c r="AE87" i="28"/>
  <c r="AE87" i="28" a="1"/>
  <c r="AI86" i="28" a="1"/>
  <c r="AI86" i="28" s="1"/>
  <c r="AH86" i="28" a="1"/>
  <c r="AH86" i="28" s="1"/>
  <c r="AG86" i="28" a="1"/>
  <c r="AG86" i="28" s="1"/>
  <c r="AF86" i="28"/>
  <c r="AF86" i="28" a="1"/>
  <c r="AE86" i="28" a="1"/>
  <c r="AE86" i="28" s="1"/>
  <c r="AI85" i="28" a="1"/>
  <c r="AI85" i="28" s="1"/>
  <c r="AH85" i="28" a="1"/>
  <c r="AH85" i="28" s="1"/>
  <c r="AG85" i="28"/>
  <c r="AG85" i="28" a="1"/>
  <c r="AF85" i="28" a="1"/>
  <c r="AF85" i="28" s="1"/>
  <c r="AE85" i="28" a="1"/>
  <c r="AE85" i="28" s="1"/>
  <c r="AI84" i="28" a="1"/>
  <c r="AI84" i="28" s="1"/>
  <c r="AH84" i="28"/>
  <c r="AH84" i="28" a="1"/>
  <c r="AG84" i="28" a="1"/>
  <c r="AG84" i="28" s="1"/>
  <c r="AF84" i="28" a="1"/>
  <c r="AF84" i="28" s="1"/>
  <c r="AE84" i="28" a="1"/>
  <c r="AE84" i="28" s="1"/>
  <c r="AI83" i="28"/>
  <c r="AI83" i="28" a="1"/>
  <c r="AH83" i="28" a="1"/>
  <c r="AH83" i="28" s="1"/>
  <c r="AG83" i="28" a="1"/>
  <c r="AG83" i="28" s="1"/>
  <c r="AF83" i="28" a="1"/>
  <c r="AF83" i="28" s="1"/>
  <c r="AE83" i="28"/>
  <c r="AE83" i="28" a="1"/>
  <c r="AI82" i="28" a="1"/>
  <c r="AI82" i="28" s="1"/>
  <c r="AH82" i="28" a="1"/>
  <c r="AH82" i="28" s="1"/>
  <c r="AG82" i="28" a="1"/>
  <c r="AG82" i="28" s="1"/>
  <c r="AF82" i="28"/>
  <c r="AF82" i="28" a="1"/>
  <c r="AE82" i="28" a="1"/>
  <c r="AE82" i="28" s="1"/>
  <c r="AI81" i="28" a="1"/>
  <c r="AI81" i="28" s="1"/>
  <c r="AH81" i="28" a="1"/>
  <c r="AH81" i="28" s="1"/>
  <c r="AG81" i="28"/>
  <c r="AG81" i="28" a="1"/>
  <c r="AF81" i="28" a="1"/>
  <c r="AF81" i="28" s="1"/>
  <c r="AE81" i="28" a="1"/>
  <c r="AE81" i="28" s="1"/>
  <c r="AI80" i="28" a="1"/>
  <c r="AI80" i="28" s="1"/>
  <c r="AH80" i="28"/>
  <c r="AH80" i="28" a="1"/>
  <c r="AG80" i="28" a="1"/>
  <c r="AG80" i="28" s="1"/>
  <c r="AF80" i="28" a="1"/>
  <c r="AF80" i="28" s="1"/>
  <c r="AE80" i="28" a="1"/>
  <c r="AE80" i="28" s="1"/>
  <c r="AI79" i="28"/>
  <c r="AI79" i="28" a="1"/>
  <c r="AH79" i="28" a="1"/>
  <c r="AH79" i="28" s="1"/>
  <c r="AG79" i="28" a="1"/>
  <c r="AG79" i="28" s="1"/>
  <c r="AF79" i="28" a="1"/>
  <c r="AF79" i="28" s="1"/>
  <c r="AE79" i="28"/>
  <c r="AE79" i="28" a="1"/>
  <c r="AI78" i="28" a="1"/>
  <c r="AI78" i="28" s="1"/>
  <c r="AH78" i="28" a="1"/>
  <c r="AH78" i="28" s="1"/>
  <c r="AG78" i="28" a="1"/>
  <c r="AG78" i="28" s="1"/>
  <c r="AF78" i="28"/>
  <c r="AF78" i="28" a="1"/>
  <c r="AE78" i="28" a="1"/>
  <c r="AE78" i="28" s="1"/>
  <c r="AI77" i="28" a="1"/>
  <c r="AI77" i="28" s="1"/>
  <c r="AH77" i="28" a="1"/>
  <c r="AH77" i="28" s="1"/>
  <c r="AG77" i="28" a="1"/>
  <c r="AG77" i="28" s="1"/>
  <c r="AF77" i="28" a="1"/>
  <c r="AF77" i="28" s="1"/>
  <c r="AE77" i="28" a="1"/>
  <c r="AE77" i="28" s="1"/>
  <c r="AI76" i="28" a="1"/>
  <c r="AI76" i="28" s="1"/>
  <c r="AH76" i="28" a="1"/>
  <c r="AH76" i="28" s="1"/>
  <c r="AG76" i="28" a="1"/>
  <c r="AG76" i="28" s="1"/>
  <c r="AF76" i="28" a="1"/>
  <c r="AF76" i="28" s="1"/>
  <c r="AE76" i="28" a="1"/>
  <c r="AE76" i="28" s="1"/>
  <c r="AI75" i="28" a="1"/>
  <c r="AI75" i="28" s="1"/>
  <c r="AH75" i="28" a="1"/>
  <c r="AH75" i="28" s="1"/>
  <c r="AG75" i="28" a="1"/>
  <c r="AG75" i="28" s="1"/>
  <c r="AF75" i="28" a="1"/>
  <c r="AF75" i="28" s="1"/>
  <c r="AE75" i="28" a="1"/>
  <c r="AE75" i="28" s="1"/>
  <c r="AI74" i="28" a="1"/>
  <c r="AI74" i="28" s="1"/>
  <c r="AH74" i="28" a="1"/>
  <c r="AH74" i="28" s="1"/>
  <c r="AG74" i="28" a="1"/>
  <c r="AG74" i="28" s="1"/>
  <c r="AF74" i="28" a="1"/>
  <c r="AF74" i="28" s="1"/>
  <c r="AE74" i="28" a="1"/>
  <c r="AE74" i="28" s="1"/>
  <c r="AI73" i="28" a="1"/>
  <c r="AI73" i="28" s="1"/>
  <c r="AH73" i="28" a="1"/>
  <c r="AH73" i="28" s="1"/>
  <c r="AG73" i="28" a="1"/>
  <c r="AG73" i="28" s="1"/>
  <c r="AF73" i="28" a="1"/>
  <c r="AF73" i="28" s="1"/>
  <c r="AE73" i="28" a="1"/>
  <c r="AE73" i="28" s="1"/>
  <c r="AI72" i="28" a="1"/>
  <c r="AI72" i="28" s="1"/>
  <c r="AH72" i="28" a="1"/>
  <c r="AH72" i="28" s="1"/>
  <c r="AG72" i="28" a="1"/>
  <c r="AG72" i="28" s="1"/>
  <c r="AF72" i="28" a="1"/>
  <c r="AF72" i="28" s="1"/>
  <c r="AE72" i="28" a="1"/>
  <c r="AE72" i="28" s="1"/>
  <c r="AI71" i="28" a="1"/>
  <c r="AI71" i="28" s="1"/>
  <c r="AH71" i="28" a="1"/>
  <c r="AH71" i="28" s="1"/>
  <c r="AG71" i="28" a="1"/>
  <c r="AG71" i="28" s="1"/>
  <c r="AF71" i="28" a="1"/>
  <c r="AF71" i="28" s="1"/>
  <c r="AE71" i="28" a="1"/>
  <c r="AE71" i="28" s="1"/>
  <c r="AI70" i="28" a="1"/>
  <c r="AI70" i="28" s="1"/>
  <c r="AH70" i="28" a="1"/>
  <c r="AH70" i="28" s="1"/>
  <c r="AG70" i="28" a="1"/>
  <c r="AG70" i="28" s="1"/>
  <c r="AF70" i="28" a="1"/>
  <c r="AF70" i="28" s="1"/>
  <c r="AE70" i="28" a="1"/>
  <c r="AE70" i="28" s="1"/>
  <c r="AI69" i="28" a="1"/>
  <c r="AI69" i="28" s="1"/>
  <c r="AH69" i="28" a="1"/>
  <c r="AH69" i="28" s="1"/>
  <c r="AG69" i="28" a="1"/>
  <c r="AG69" i="28" s="1"/>
  <c r="AF69" i="28" a="1"/>
  <c r="AF69" i="28" s="1"/>
  <c r="AE69" i="28" a="1"/>
  <c r="AE69" i="28" s="1"/>
  <c r="AI68" i="28" a="1"/>
  <c r="AI68" i="28" s="1"/>
  <c r="AH68" i="28" a="1"/>
  <c r="AH68" i="28" s="1"/>
  <c r="AG68" i="28" a="1"/>
  <c r="AG68" i="28" s="1"/>
  <c r="AF68" i="28" a="1"/>
  <c r="AF68" i="28" s="1"/>
  <c r="AE68" i="28" a="1"/>
  <c r="AE68" i="28" s="1"/>
  <c r="AI67" i="28" a="1"/>
  <c r="AI67" i="28" s="1"/>
  <c r="AH67" i="28" a="1"/>
  <c r="AH67" i="28" s="1"/>
  <c r="AG67" i="28" a="1"/>
  <c r="AG67" i="28" s="1"/>
  <c r="AF67" i="28" a="1"/>
  <c r="AF67" i="28" s="1"/>
  <c r="AE67" i="28" a="1"/>
  <c r="AE67" i="28" s="1"/>
  <c r="AI66" i="28" a="1"/>
  <c r="AI66" i="28" s="1"/>
  <c r="AH66" i="28" a="1"/>
  <c r="AH66" i="28" s="1"/>
  <c r="AG66" i="28" a="1"/>
  <c r="AG66" i="28" s="1"/>
  <c r="AF66" i="28" a="1"/>
  <c r="AF66" i="28" s="1"/>
  <c r="AE66" i="28" a="1"/>
  <c r="AE66" i="28" s="1"/>
  <c r="AI65" i="28" a="1"/>
  <c r="AI65" i="28" s="1"/>
  <c r="AH65" i="28" a="1"/>
  <c r="AH65" i="28" s="1"/>
  <c r="AG65" i="28" a="1"/>
  <c r="AG65" i="28" s="1"/>
  <c r="AF65" i="28" a="1"/>
  <c r="AF65" i="28" s="1"/>
  <c r="AE65" i="28" a="1"/>
  <c r="AE65" i="28" s="1"/>
  <c r="AI64" i="28" a="1"/>
  <c r="AI64" i="28" s="1"/>
  <c r="AH64" i="28" a="1"/>
  <c r="AH64" i="28" s="1"/>
  <c r="AG64" i="28" a="1"/>
  <c r="AG64" i="28" s="1"/>
  <c r="AF64" i="28" a="1"/>
  <c r="AF64" i="28" s="1"/>
  <c r="AE64" i="28" a="1"/>
  <c r="AE64" i="28" s="1"/>
  <c r="Y122" i="28" a="1"/>
  <c r="Y122" i="28" s="1"/>
  <c r="X122" i="28" a="1"/>
  <c r="X122" i="28" s="1"/>
  <c r="W122" i="28" a="1"/>
  <c r="W122" i="28" s="1"/>
  <c r="V122" i="28" a="1"/>
  <c r="V122" i="28" s="1"/>
  <c r="U122" i="28" a="1"/>
  <c r="U122" i="28" s="1"/>
  <c r="Y121" i="28" a="1"/>
  <c r="Y121" i="28" s="1"/>
  <c r="X121" i="28" a="1"/>
  <c r="X121" i="28" s="1"/>
  <c r="W121" i="28" a="1"/>
  <c r="W121" i="28" s="1"/>
  <c r="V121" i="28" a="1"/>
  <c r="V121" i="28" s="1"/>
  <c r="U121" i="28" a="1"/>
  <c r="U121" i="28" s="1"/>
  <c r="Y120" i="28" a="1"/>
  <c r="Y120" i="28" s="1"/>
  <c r="X120" i="28" a="1"/>
  <c r="X120" i="28" s="1"/>
  <c r="W120" i="28" a="1"/>
  <c r="W120" i="28" s="1"/>
  <c r="V120" i="28" a="1"/>
  <c r="V120" i="28" s="1"/>
  <c r="U120" i="28" a="1"/>
  <c r="U120" i="28" s="1"/>
  <c r="Y119" i="28" a="1"/>
  <c r="Y119" i="28" s="1"/>
  <c r="X119" i="28" a="1"/>
  <c r="X119" i="28" s="1"/>
  <c r="W119" i="28" a="1"/>
  <c r="W119" i="28" s="1"/>
  <c r="V119" i="28" a="1"/>
  <c r="V119" i="28" s="1"/>
  <c r="U119" i="28" a="1"/>
  <c r="U119" i="28" s="1"/>
  <c r="Y118" i="28" a="1"/>
  <c r="Y118" i="28" s="1"/>
  <c r="X118" i="28" a="1"/>
  <c r="X118" i="28" s="1"/>
  <c r="W118" i="28" a="1"/>
  <c r="W118" i="28" s="1"/>
  <c r="V118" i="28" a="1"/>
  <c r="V118" i="28" s="1"/>
  <c r="U118" i="28" a="1"/>
  <c r="U118" i="28" s="1"/>
  <c r="Y117" i="28" a="1"/>
  <c r="Y117" i="28" s="1"/>
  <c r="X117" i="28" a="1"/>
  <c r="X117" i="28" s="1"/>
  <c r="W117" i="28" a="1"/>
  <c r="W117" i="28" s="1"/>
  <c r="V117" i="28" a="1"/>
  <c r="V117" i="28" s="1"/>
  <c r="U117" i="28" a="1"/>
  <c r="U117" i="28" s="1"/>
  <c r="Y116" i="28" a="1"/>
  <c r="Y116" i="28" s="1"/>
  <c r="X116" i="28" a="1"/>
  <c r="X116" i="28" s="1"/>
  <c r="W116" i="28" a="1"/>
  <c r="W116" i="28" s="1"/>
  <c r="V116" i="28" a="1"/>
  <c r="V116" i="28" s="1"/>
  <c r="U116" i="28" a="1"/>
  <c r="U116" i="28" s="1"/>
  <c r="Y115" i="28" a="1"/>
  <c r="Y115" i="28" s="1"/>
  <c r="X115" i="28" a="1"/>
  <c r="X115" i="28" s="1"/>
  <c r="W115" i="28" a="1"/>
  <c r="W115" i="28" s="1"/>
  <c r="V115" i="28" a="1"/>
  <c r="V115" i="28" s="1"/>
  <c r="U115" i="28" a="1"/>
  <c r="U115" i="28" s="1"/>
  <c r="Y114" i="28" a="1"/>
  <c r="Y114" i="28" s="1"/>
  <c r="X114" i="28" a="1"/>
  <c r="X114" i="28" s="1"/>
  <c r="W114" i="28" a="1"/>
  <c r="W114" i="28" s="1"/>
  <c r="V114" i="28" a="1"/>
  <c r="V114" i="28" s="1"/>
  <c r="U114" i="28" a="1"/>
  <c r="U114" i="28" s="1"/>
  <c r="Y113" i="28" a="1"/>
  <c r="Y113" i="28" s="1"/>
  <c r="X113" i="28" a="1"/>
  <c r="X113" i="28" s="1"/>
  <c r="W113" i="28" a="1"/>
  <c r="W113" i="28" s="1"/>
  <c r="V113" i="28" a="1"/>
  <c r="V113" i="28" s="1"/>
  <c r="U113" i="28" a="1"/>
  <c r="U113" i="28" s="1"/>
  <c r="Y112" i="28" a="1"/>
  <c r="Y112" i="28" s="1"/>
  <c r="X112" i="28" a="1"/>
  <c r="X112" i="28" s="1"/>
  <c r="W112" i="28" a="1"/>
  <c r="W112" i="28" s="1"/>
  <c r="V112" i="28" a="1"/>
  <c r="V112" i="28" s="1"/>
  <c r="U112" i="28" a="1"/>
  <c r="U112" i="28" s="1"/>
  <c r="Y111" i="28" a="1"/>
  <c r="Y111" i="28" s="1"/>
  <c r="X111" i="28" a="1"/>
  <c r="X111" i="28" s="1"/>
  <c r="W111" i="28" a="1"/>
  <c r="W111" i="28" s="1"/>
  <c r="V111" i="28" a="1"/>
  <c r="V111" i="28" s="1"/>
  <c r="U111" i="28" a="1"/>
  <c r="U111" i="28" s="1"/>
  <c r="Y110" i="28" a="1"/>
  <c r="Y110" i="28" s="1"/>
  <c r="X110" i="28" a="1"/>
  <c r="X110" i="28" s="1"/>
  <c r="W110" i="28" a="1"/>
  <c r="W110" i="28" s="1"/>
  <c r="V110" i="28" a="1"/>
  <c r="V110" i="28" s="1"/>
  <c r="U110" i="28" a="1"/>
  <c r="U110" i="28" s="1"/>
  <c r="Y109" i="28" a="1"/>
  <c r="Y109" i="28" s="1"/>
  <c r="X109" i="28" a="1"/>
  <c r="X109" i="28" s="1"/>
  <c r="W109" i="28" a="1"/>
  <c r="W109" i="28" s="1"/>
  <c r="V109" i="28" a="1"/>
  <c r="V109" i="28" s="1"/>
  <c r="U109" i="28" a="1"/>
  <c r="U109" i="28" s="1"/>
  <c r="Y108" i="28" a="1"/>
  <c r="Y108" i="28" s="1"/>
  <c r="X108" i="28" a="1"/>
  <c r="X108" i="28" s="1"/>
  <c r="W108" i="28" a="1"/>
  <c r="W108" i="28" s="1"/>
  <c r="V108" i="28" a="1"/>
  <c r="V108" i="28" s="1"/>
  <c r="U108" i="28" a="1"/>
  <c r="U108" i="28" s="1"/>
  <c r="Y107" i="28" a="1"/>
  <c r="Y107" i="28" s="1"/>
  <c r="X107" i="28" a="1"/>
  <c r="X107" i="28" s="1"/>
  <c r="W107" i="28" a="1"/>
  <c r="W107" i="28" s="1"/>
  <c r="V107" i="28" a="1"/>
  <c r="V107" i="28" s="1"/>
  <c r="U107" i="28" a="1"/>
  <c r="U107" i="28" s="1"/>
  <c r="Y106" i="28" a="1"/>
  <c r="Y106" i="28" s="1"/>
  <c r="X106" i="28" a="1"/>
  <c r="X106" i="28" s="1"/>
  <c r="W106" i="28" a="1"/>
  <c r="W106" i="28" s="1"/>
  <c r="V106" i="28" a="1"/>
  <c r="V106" i="28" s="1"/>
  <c r="U106" i="28" a="1"/>
  <c r="U106" i="28" s="1"/>
  <c r="Y105" i="28" a="1"/>
  <c r="Y105" i="28" s="1"/>
  <c r="X105" i="28" a="1"/>
  <c r="X105" i="28" s="1"/>
  <c r="W105" i="28" a="1"/>
  <c r="W105" i="28" s="1"/>
  <c r="V105" i="28" a="1"/>
  <c r="V105" i="28" s="1"/>
  <c r="U105" i="28" a="1"/>
  <c r="U105" i="28" s="1"/>
  <c r="Y104" i="28" a="1"/>
  <c r="Y104" i="28" s="1"/>
  <c r="X104" i="28" a="1"/>
  <c r="X104" i="28" s="1"/>
  <c r="W104" i="28" a="1"/>
  <c r="W104" i="28" s="1"/>
  <c r="V104" i="28" a="1"/>
  <c r="V104" i="28" s="1"/>
  <c r="U104" i="28" a="1"/>
  <c r="U104" i="28" s="1"/>
  <c r="Y103" i="28" a="1"/>
  <c r="Y103" i="28" s="1"/>
  <c r="X103" i="28" a="1"/>
  <c r="X103" i="28" s="1"/>
  <c r="W103" i="28" a="1"/>
  <c r="W103" i="28" s="1"/>
  <c r="V103" i="28" a="1"/>
  <c r="V103" i="28" s="1"/>
  <c r="U103" i="28" a="1"/>
  <c r="U103" i="28" s="1"/>
  <c r="Y102" i="28" a="1"/>
  <c r="Y102" i="28" s="1"/>
  <c r="X102" i="28" a="1"/>
  <c r="X102" i="28" s="1"/>
  <c r="W102" i="28" a="1"/>
  <c r="W102" i="28" s="1"/>
  <c r="V102" i="28"/>
  <c r="V102" i="28" a="1"/>
  <c r="U102" i="28" a="1"/>
  <c r="U102" i="28" s="1"/>
  <c r="Y101" i="28" a="1"/>
  <c r="Y101" i="28" s="1"/>
  <c r="X101" i="28" a="1"/>
  <c r="X101" i="28" s="1"/>
  <c r="W101" i="28" a="1"/>
  <c r="W101" i="28" s="1"/>
  <c r="V101" i="28" a="1"/>
  <c r="V101" i="28" s="1"/>
  <c r="U101" i="28" a="1"/>
  <c r="U101" i="28" s="1"/>
  <c r="Y100" i="28" a="1"/>
  <c r="Y100" i="28" s="1"/>
  <c r="X100" i="28" a="1"/>
  <c r="X100" i="28" s="1"/>
  <c r="W100" i="28" a="1"/>
  <c r="W100" i="28" s="1"/>
  <c r="V100" i="28" a="1"/>
  <c r="V100" i="28" s="1"/>
  <c r="U100" i="28" a="1"/>
  <c r="U100" i="28" s="1"/>
  <c r="Y99" i="28" a="1"/>
  <c r="Y99" i="28" s="1"/>
  <c r="X99" i="28" a="1"/>
  <c r="X99" i="28" s="1"/>
  <c r="W99" i="28" a="1"/>
  <c r="W99" i="28" s="1"/>
  <c r="V99" i="28" a="1"/>
  <c r="V99" i="28" s="1"/>
  <c r="U99" i="28"/>
  <c r="U99" i="28" a="1"/>
  <c r="Y98" i="28" a="1"/>
  <c r="Y98" i="28" s="1"/>
  <c r="X98" i="28" a="1"/>
  <c r="X98" i="28" s="1"/>
  <c r="W98" i="28" a="1"/>
  <c r="W98" i="28" s="1"/>
  <c r="V98" i="28"/>
  <c r="V98" i="28" a="1"/>
  <c r="U98" i="28" a="1"/>
  <c r="U98" i="28" s="1"/>
  <c r="Y97" i="28" a="1"/>
  <c r="Y97" i="28" s="1"/>
  <c r="X97" i="28" a="1"/>
  <c r="X97" i="28" s="1"/>
  <c r="W97" i="28" a="1"/>
  <c r="W97" i="28" s="1"/>
  <c r="V97" i="28" a="1"/>
  <c r="V97" i="28" s="1"/>
  <c r="U97" i="28" a="1"/>
  <c r="U97" i="28" s="1"/>
  <c r="Y96" i="28" a="1"/>
  <c r="Y96" i="28" s="1"/>
  <c r="X96" i="28" a="1"/>
  <c r="X96" i="28" s="1"/>
  <c r="W96" i="28" a="1"/>
  <c r="W96" i="28" s="1"/>
  <c r="V96" i="28" a="1"/>
  <c r="V96" i="28" s="1"/>
  <c r="U96" i="28" a="1"/>
  <c r="U96" i="28" s="1"/>
  <c r="Y95" i="28" a="1"/>
  <c r="Y95" i="28" s="1"/>
  <c r="X95" i="28" a="1"/>
  <c r="X95" i="28" s="1"/>
  <c r="W95" i="28" a="1"/>
  <c r="W95" i="28" s="1"/>
  <c r="V95" i="28" a="1"/>
  <c r="V95" i="28" s="1"/>
  <c r="U95" i="28"/>
  <c r="U95" i="28" a="1"/>
  <c r="Y94" i="28" a="1"/>
  <c r="Y94" i="28" s="1"/>
  <c r="X94" i="28" a="1"/>
  <c r="X94" i="28" s="1"/>
  <c r="W94" i="28" a="1"/>
  <c r="W94" i="28" s="1"/>
  <c r="V94" i="28" a="1"/>
  <c r="V94" i="28" s="1"/>
  <c r="U94" i="28" a="1"/>
  <c r="U94" i="28" s="1"/>
  <c r="Y93" i="28" a="1"/>
  <c r="Y93" i="28" s="1"/>
  <c r="X93" i="28" a="1"/>
  <c r="X93" i="28" s="1"/>
  <c r="W93" i="28" a="1"/>
  <c r="W93" i="28" s="1"/>
  <c r="V93" i="28" a="1"/>
  <c r="V93" i="28" s="1"/>
  <c r="U93" i="28" a="1"/>
  <c r="U93" i="28" s="1"/>
  <c r="Y92" i="28" a="1"/>
  <c r="Y92" i="28" s="1"/>
  <c r="X92" i="28"/>
  <c r="X92" i="28" a="1"/>
  <c r="W92" i="28" a="1"/>
  <c r="W92" i="28" s="1"/>
  <c r="V92" i="28" a="1"/>
  <c r="V92" i="28" s="1"/>
  <c r="U92" i="28" a="1"/>
  <c r="U92" i="28" s="1"/>
  <c r="Y91" i="28"/>
  <c r="Y91" i="28" a="1"/>
  <c r="X91" i="28" a="1"/>
  <c r="X91" i="28" s="1"/>
  <c r="W91" i="28" a="1"/>
  <c r="W91" i="28" s="1"/>
  <c r="V91" i="28" a="1"/>
  <c r="V91" i="28" s="1"/>
  <c r="U91" i="28" a="1"/>
  <c r="U91" i="28" s="1"/>
  <c r="Y90" i="28" a="1"/>
  <c r="Y90" i="28" s="1"/>
  <c r="X90" i="28" a="1"/>
  <c r="X90" i="28" s="1"/>
  <c r="W90" i="28" a="1"/>
  <c r="W90" i="28" s="1"/>
  <c r="V90" i="28" a="1"/>
  <c r="V90" i="28" s="1"/>
  <c r="U90" i="28" a="1"/>
  <c r="U90" i="28" s="1"/>
  <c r="Y89" i="28" a="1"/>
  <c r="Y89" i="28" s="1"/>
  <c r="X89" i="28" a="1"/>
  <c r="X89" i="28" s="1"/>
  <c r="W89" i="28" a="1"/>
  <c r="W89" i="28" s="1"/>
  <c r="V89" i="28" a="1"/>
  <c r="V89" i="28" s="1"/>
  <c r="U89" i="28" a="1"/>
  <c r="U89" i="28" s="1"/>
  <c r="Y88" i="28" a="1"/>
  <c r="Y88" i="28" s="1"/>
  <c r="X88" i="28"/>
  <c r="X88" i="28" a="1"/>
  <c r="W88" i="28" a="1"/>
  <c r="W88" i="28" s="1"/>
  <c r="V88" i="28" a="1"/>
  <c r="V88" i="28" s="1"/>
  <c r="U88" i="28" a="1"/>
  <c r="U88" i="28" s="1"/>
  <c r="Y87" i="28" a="1"/>
  <c r="Y87" i="28" s="1"/>
  <c r="X87" i="28" a="1"/>
  <c r="X87" i="28" s="1"/>
  <c r="W87" i="28" a="1"/>
  <c r="W87" i="28" s="1"/>
  <c r="V87" i="28" a="1"/>
  <c r="V87" i="28" s="1"/>
  <c r="U87" i="28" a="1"/>
  <c r="U87" i="28" s="1"/>
  <c r="Y86" i="28" a="1"/>
  <c r="Y86" i="28" s="1"/>
  <c r="X86" i="28" a="1"/>
  <c r="X86" i="28" s="1"/>
  <c r="W86" i="28" a="1"/>
  <c r="W86" i="28" s="1"/>
  <c r="V86" i="28"/>
  <c r="V86" i="28" a="1"/>
  <c r="U86" i="28" a="1"/>
  <c r="U86" i="28" s="1"/>
  <c r="Y85" i="28" a="1"/>
  <c r="Y85" i="28" s="1"/>
  <c r="X85" i="28" a="1"/>
  <c r="X85" i="28" s="1"/>
  <c r="W85" i="28"/>
  <c r="W85" i="28" a="1"/>
  <c r="V85" i="28" a="1"/>
  <c r="V85" i="28" s="1"/>
  <c r="U85" i="28" a="1"/>
  <c r="U85" i="28" s="1"/>
  <c r="Y84" i="28" a="1"/>
  <c r="Y84" i="28" s="1"/>
  <c r="X84" i="28" a="1"/>
  <c r="X84" i="28" s="1"/>
  <c r="W84" i="28" a="1"/>
  <c r="W84" i="28" s="1"/>
  <c r="V84" i="28" a="1"/>
  <c r="V84" i="28" s="1"/>
  <c r="U84" i="28" a="1"/>
  <c r="U84" i="28" s="1"/>
  <c r="Y83" i="28" a="1"/>
  <c r="Y83" i="28" s="1"/>
  <c r="X83" i="28" a="1"/>
  <c r="X83" i="28" s="1"/>
  <c r="W83" i="28" a="1"/>
  <c r="W83" i="28" s="1"/>
  <c r="V83" i="28" a="1"/>
  <c r="V83" i="28" s="1"/>
  <c r="U83" i="28" a="1"/>
  <c r="U83" i="28" s="1"/>
  <c r="Y82" i="28" a="1"/>
  <c r="Y82" i="28" s="1"/>
  <c r="X82" i="28" a="1"/>
  <c r="X82" i="28" s="1"/>
  <c r="W82" i="28" a="1"/>
  <c r="W82" i="28" s="1"/>
  <c r="V82" i="28"/>
  <c r="V82" i="28" a="1"/>
  <c r="U82" i="28" a="1"/>
  <c r="U82" i="28" s="1"/>
  <c r="Y81" i="28" a="1"/>
  <c r="Y81" i="28" s="1"/>
  <c r="X81" i="28" a="1"/>
  <c r="X81" i="28" s="1"/>
  <c r="W81" i="28" a="1"/>
  <c r="W81" i="28" s="1"/>
  <c r="V81" i="28" a="1"/>
  <c r="V81" i="28" s="1"/>
  <c r="U81" i="28" a="1"/>
  <c r="U81" i="28" s="1"/>
  <c r="Y80" i="28" a="1"/>
  <c r="Y80" i="28" s="1"/>
  <c r="X80" i="28" a="1"/>
  <c r="X80" i="28" s="1"/>
  <c r="W80" i="28" a="1"/>
  <c r="W80" i="28" s="1"/>
  <c r="V80" i="28" a="1"/>
  <c r="V80" i="28" s="1"/>
  <c r="U80" i="28" a="1"/>
  <c r="U80" i="28" s="1"/>
  <c r="Y79" i="28"/>
  <c r="Y79" i="28" a="1"/>
  <c r="X79" i="28" a="1"/>
  <c r="X79" i="28" s="1"/>
  <c r="W79" i="28" a="1"/>
  <c r="W79" i="28" s="1"/>
  <c r="V79" i="28" a="1"/>
  <c r="V79" i="28" s="1"/>
  <c r="U79" i="28"/>
  <c r="U79" i="28" a="1"/>
  <c r="Y78" i="28" a="1"/>
  <c r="Y78" i="28" s="1"/>
  <c r="X78" i="28" a="1"/>
  <c r="X78" i="28" s="1"/>
  <c r="W78" i="28" a="1"/>
  <c r="W78" i="28" s="1"/>
  <c r="V78" i="28" a="1"/>
  <c r="V78" i="28" s="1"/>
  <c r="U78" i="28" a="1"/>
  <c r="U78" i="28" s="1"/>
  <c r="Y77" i="28" a="1"/>
  <c r="Y77" i="28" s="1"/>
  <c r="X77" i="28" a="1"/>
  <c r="X77" i="28" s="1"/>
  <c r="W77" i="28" a="1"/>
  <c r="W77" i="28" s="1"/>
  <c r="V77" i="28" a="1"/>
  <c r="V77" i="28" s="1"/>
  <c r="U77" i="28" a="1"/>
  <c r="U77" i="28" s="1"/>
  <c r="Y76" i="28" a="1"/>
  <c r="Y76" i="28" s="1"/>
  <c r="X76" i="28" a="1"/>
  <c r="X76" i="28" s="1"/>
  <c r="W76" i="28" a="1"/>
  <c r="W76" i="28" s="1"/>
  <c r="V76" i="28" a="1"/>
  <c r="V76" i="28" s="1"/>
  <c r="U76" i="28" a="1"/>
  <c r="U76" i="28" s="1"/>
  <c r="Y75" i="28"/>
  <c r="Y75" i="28" a="1"/>
  <c r="X75" i="28" a="1"/>
  <c r="X75" i="28" s="1"/>
  <c r="W75" i="28" a="1"/>
  <c r="W75" i="28" s="1"/>
  <c r="V75" i="28" a="1"/>
  <c r="V75" i="28" s="1"/>
  <c r="U75" i="28" a="1"/>
  <c r="U75" i="28" s="1"/>
  <c r="Y74" i="28" a="1"/>
  <c r="Y74" i="28" s="1"/>
  <c r="X74" i="28" a="1"/>
  <c r="X74" i="28" s="1"/>
  <c r="W74" i="28" a="1"/>
  <c r="W74" i="28" s="1"/>
  <c r="V74" i="28" a="1"/>
  <c r="V74" i="28" s="1"/>
  <c r="U74" i="28" a="1"/>
  <c r="U74" i="28" s="1"/>
  <c r="Y73" i="28" a="1"/>
  <c r="Y73" i="28" s="1"/>
  <c r="X73" i="28" a="1"/>
  <c r="X73" i="28" s="1"/>
  <c r="W73" i="28"/>
  <c r="W73" i="28" a="1"/>
  <c r="V73" i="28" a="1"/>
  <c r="V73" i="28" s="1"/>
  <c r="U73" i="28" a="1"/>
  <c r="U73" i="28" s="1"/>
  <c r="Y72" i="28" a="1"/>
  <c r="Y72" i="28" s="1"/>
  <c r="X72" i="28"/>
  <c r="X72" i="28" a="1"/>
  <c r="W72" i="28" a="1"/>
  <c r="W72" i="28" s="1"/>
  <c r="V72" i="28" a="1"/>
  <c r="V72" i="28" s="1"/>
  <c r="U72" i="28" a="1"/>
  <c r="U72" i="28" s="1"/>
  <c r="Y71" i="28" a="1"/>
  <c r="Y71" i="28" s="1"/>
  <c r="X71" i="28" a="1"/>
  <c r="X71" i="28" s="1"/>
  <c r="W71" i="28" a="1"/>
  <c r="W71" i="28" s="1"/>
  <c r="V71" i="28" a="1"/>
  <c r="V71" i="28" s="1"/>
  <c r="U71" i="28" a="1"/>
  <c r="U71" i="28" s="1"/>
  <c r="Y70" i="28" a="1"/>
  <c r="Y70" i="28" s="1"/>
  <c r="X70" i="28" a="1"/>
  <c r="X70" i="28" s="1"/>
  <c r="W70" i="28" a="1"/>
  <c r="W70" i="28" s="1"/>
  <c r="V70" i="28" a="1"/>
  <c r="V70" i="28" s="1"/>
  <c r="U70" i="28" a="1"/>
  <c r="U70" i="28" s="1"/>
  <c r="Y69" i="28" a="1"/>
  <c r="Y69" i="28" s="1"/>
  <c r="X69" i="28" a="1"/>
  <c r="X69" i="28" s="1"/>
  <c r="W69" i="28"/>
  <c r="W69" i="28" a="1"/>
  <c r="V69" i="28" a="1"/>
  <c r="V69" i="28" s="1"/>
  <c r="U69" i="28" a="1"/>
  <c r="U69" i="28" s="1"/>
  <c r="Y68" i="28" a="1"/>
  <c r="Y68" i="28" s="1"/>
  <c r="X68" i="28" a="1"/>
  <c r="X68" i="28" s="1"/>
  <c r="W68" i="28" a="1"/>
  <c r="W68" i="28" s="1"/>
  <c r="V68" i="28" a="1"/>
  <c r="V68" i="28" s="1"/>
  <c r="U68" i="28" a="1"/>
  <c r="U68" i="28" s="1"/>
  <c r="Y67" i="28" a="1"/>
  <c r="Y67" i="28" s="1"/>
  <c r="X67" i="28" a="1"/>
  <c r="X67" i="28" s="1"/>
  <c r="W67" i="28" a="1"/>
  <c r="W67" i="28" s="1"/>
  <c r="V67" i="28" a="1"/>
  <c r="V67" i="28" s="1"/>
  <c r="U67" i="28"/>
  <c r="U67" i="28" a="1"/>
  <c r="Y66" i="28" a="1"/>
  <c r="Y66" i="28" s="1"/>
  <c r="X66" i="28" a="1"/>
  <c r="X66" i="28" s="1"/>
  <c r="W66" i="28" a="1"/>
  <c r="W66" i="28" s="1"/>
  <c r="V66" i="28"/>
  <c r="V66" i="28" a="1"/>
  <c r="U66" i="28" a="1"/>
  <c r="U66" i="28" s="1"/>
  <c r="Y65" i="28" a="1"/>
  <c r="Y65" i="28" s="1"/>
  <c r="X65" i="28" a="1"/>
  <c r="X65" i="28" s="1"/>
  <c r="W65" i="28" a="1"/>
  <c r="W65" i="28" s="1"/>
  <c r="V65" i="28" a="1"/>
  <c r="V65" i="28" s="1"/>
  <c r="U65" i="28" a="1"/>
  <c r="U65" i="28" s="1"/>
  <c r="M122" i="28" a="1"/>
  <c r="M122" i="28" s="1"/>
  <c r="L122" i="28" a="1"/>
  <c r="L122" i="28" s="1"/>
  <c r="K122" i="28" a="1"/>
  <c r="K122" i="28" s="1"/>
  <c r="J122" i="28" a="1"/>
  <c r="J122" i="28" s="1"/>
  <c r="I122" i="28" a="1"/>
  <c r="I122" i="28" s="1"/>
  <c r="M121" i="28" a="1"/>
  <c r="M121" i="28" s="1"/>
  <c r="L121" i="28" a="1"/>
  <c r="L121" i="28" s="1"/>
  <c r="K121" i="28" a="1"/>
  <c r="K121" i="28" s="1"/>
  <c r="J121" i="28" a="1"/>
  <c r="J121" i="28" s="1"/>
  <c r="I121" i="28" a="1"/>
  <c r="I121" i="28" s="1"/>
  <c r="M120" i="28" a="1"/>
  <c r="M120" i="28" s="1"/>
  <c r="L120" i="28" a="1"/>
  <c r="L120" i="28" s="1"/>
  <c r="K120" i="28" a="1"/>
  <c r="K120" i="28" s="1"/>
  <c r="J120" i="28" a="1"/>
  <c r="J120" i="28" s="1"/>
  <c r="I120" i="28" a="1"/>
  <c r="I120" i="28" s="1"/>
  <c r="M119" i="28" a="1"/>
  <c r="M119" i="28" s="1"/>
  <c r="L119" i="28" a="1"/>
  <c r="L119" i="28" s="1"/>
  <c r="K119" i="28" a="1"/>
  <c r="K119" i="28" s="1"/>
  <c r="J119" i="28" a="1"/>
  <c r="J119" i="28" s="1"/>
  <c r="I119" i="28" a="1"/>
  <c r="I119" i="28" s="1"/>
  <c r="M118" i="28" a="1"/>
  <c r="M118" i="28" s="1"/>
  <c r="L118" i="28" a="1"/>
  <c r="L118" i="28" s="1"/>
  <c r="K118" i="28" a="1"/>
  <c r="K118" i="28" s="1"/>
  <c r="J118" i="28" a="1"/>
  <c r="J118" i="28" s="1"/>
  <c r="I118" i="28" a="1"/>
  <c r="I118" i="28" s="1"/>
  <c r="M117" i="28" a="1"/>
  <c r="M117" i="28" s="1"/>
  <c r="L117" i="28" a="1"/>
  <c r="L117" i="28" s="1"/>
  <c r="K117" i="28" a="1"/>
  <c r="K117" i="28" s="1"/>
  <c r="J117" i="28" a="1"/>
  <c r="J117" i="28" s="1"/>
  <c r="I117" i="28" a="1"/>
  <c r="I117" i="28" s="1"/>
  <c r="M116" i="28" a="1"/>
  <c r="M116" i="28" s="1"/>
  <c r="L116" i="28" a="1"/>
  <c r="L116" i="28" s="1"/>
  <c r="K116" i="28" a="1"/>
  <c r="K116" i="28" s="1"/>
  <c r="J116" i="28" a="1"/>
  <c r="J116" i="28" s="1"/>
  <c r="I116" i="28" a="1"/>
  <c r="I116" i="28" s="1"/>
  <c r="M115" i="28" a="1"/>
  <c r="M115" i="28" s="1"/>
  <c r="L115" i="28" a="1"/>
  <c r="L115" i="28" s="1"/>
  <c r="K115" i="28" a="1"/>
  <c r="K115" i="28" s="1"/>
  <c r="J115" i="28" a="1"/>
  <c r="J115" i="28" s="1"/>
  <c r="I115" i="28" a="1"/>
  <c r="I115" i="28" s="1"/>
  <c r="M114" i="28" a="1"/>
  <c r="M114" i="28" s="1"/>
  <c r="L114" i="28" a="1"/>
  <c r="L114" i="28" s="1"/>
  <c r="K114" i="28" a="1"/>
  <c r="K114" i="28" s="1"/>
  <c r="J114" i="28" a="1"/>
  <c r="J114" i="28" s="1"/>
  <c r="I114" i="28" a="1"/>
  <c r="I114" i="28" s="1"/>
  <c r="M113" i="28" a="1"/>
  <c r="M113" i="28" s="1"/>
  <c r="L113" i="28" a="1"/>
  <c r="L113" i="28" s="1"/>
  <c r="K113" i="28" a="1"/>
  <c r="K113" i="28" s="1"/>
  <c r="J113" i="28" a="1"/>
  <c r="J113" i="28" s="1"/>
  <c r="I113" i="28" a="1"/>
  <c r="I113" i="28" s="1"/>
  <c r="M112" i="28" a="1"/>
  <c r="M112" i="28" s="1"/>
  <c r="L112" i="28" a="1"/>
  <c r="L112" i="28" s="1"/>
  <c r="K112" i="28" a="1"/>
  <c r="K112" i="28" s="1"/>
  <c r="J112" i="28" a="1"/>
  <c r="J112" i="28" s="1"/>
  <c r="I112" i="28" a="1"/>
  <c r="I112" i="28" s="1"/>
  <c r="M111" i="28"/>
  <c r="M111" i="28" a="1"/>
  <c r="L111" i="28" a="1"/>
  <c r="L111" i="28" s="1"/>
  <c r="K111" i="28" a="1"/>
  <c r="K111" i="28" s="1"/>
  <c r="J111" i="28" a="1"/>
  <c r="J111" i="28" s="1"/>
  <c r="I111" i="28" a="1"/>
  <c r="I111" i="28" s="1"/>
  <c r="M110" i="28" a="1"/>
  <c r="M110" i="28" s="1"/>
  <c r="L110" i="28" a="1"/>
  <c r="L110" i="28" s="1"/>
  <c r="K110" i="28" a="1"/>
  <c r="K110" i="28" s="1"/>
  <c r="J110" i="28" a="1"/>
  <c r="J110" i="28" s="1"/>
  <c r="I110" i="28" a="1"/>
  <c r="I110" i="28" s="1"/>
  <c r="M109" i="28" a="1"/>
  <c r="M109" i="28" s="1"/>
  <c r="L109" i="28" a="1"/>
  <c r="L109" i="28" s="1"/>
  <c r="K109" i="28" a="1"/>
  <c r="K109" i="28" s="1"/>
  <c r="J109" i="28" a="1"/>
  <c r="J109" i="28" s="1"/>
  <c r="I109" i="28" a="1"/>
  <c r="I109" i="28" s="1"/>
  <c r="M108" i="28" a="1"/>
  <c r="M108" i="28" s="1"/>
  <c r="L108" i="28"/>
  <c r="L108" i="28" a="1"/>
  <c r="K108" i="28" a="1"/>
  <c r="K108" i="28" s="1"/>
  <c r="J108" i="28" a="1"/>
  <c r="J108" i="28" s="1"/>
  <c r="I108" i="28" a="1"/>
  <c r="I108" i="28" s="1"/>
  <c r="M107" i="28"/>
  <c r="M107" i="28" a="1"/>
  <c r="L107" i="28" a="1"/>
  <c r="L107" i="28" s="1"/>
  <c r="K107" i="28" a="1"/>
  <c r="K107" i="28" s="1"/>
  <c r="J107" i="28" a="1"/>
  <c r="J107" i="28" s="1"/>
  <c r="I107" i="28" a="1"/>
  <c r="I107" i="28" s="1"/>
  <c r="M106" i="28" a="1"/>
  <c r="M106" i="28" s="1"/>
  <c r="L106" i="28" a="1"/>
  <c r="L106" i="28" s="1"/>
  <c r="K106" i="28" a="1"/>
  <c r="K106" i="28" s="1"/>
  <c r="J106" i="28"/>
  <c r="J106" i="28" a="1"/>
  <c r="I106" i="28" a="1"/>
  <c r="I106" i="28" s="1"/>
  <c r="M105" i="28" a="1"/>
  <c r="M105" i="28" s="1"/>
  <c r="L105" i="28" a="1"/>
  <c r="L105" i="28" s="1"/>
  <c r="K105" i="28"/>
  <c r="K105" i="28" a="1"/>
  <c r="J105" i="28" a="1"/>
  <c r="J105" i="28" s="1"/>
  <c r="I105" i="28" a="1"/>
  <c r="I105" i="28" s="1"/>
  <c r="M104" i="28" a="1"/>
  <c r="M104" i="28" s="1"/>
  <c r="L104" i="28" a="1"/>
  <c r="L104" i="28" s="1"/>
  <c r="K104" i="28" a="1"/>
  <c r="K104" i="28" s="1"/>
  <c r="J104" i="28" a="1"/>
  <c r="J104" i="28" s="1"/>
  <c r="I104" i="28" a="1"/>
  <c r="I104" i="28" s="1"/>
  <c r="M103" i="28" a="1"/>
  <c r="M103" i="28" s="1"/>
  <c r="L103" i="28" a="1"/>
  <c r="L103" i="28" s="1"/>
  <c r="K103" i="28" a="1"/>
  <c r="K103" i="28" s="1"/>
  <c r="J103" i="28" a="1"/>
  <c r="J103" i="28" s="1"/>
  <c r="I103" i="28" a="1"/>
  <c r="I103" i="28" s="1"/>
  <c r="M102" i="28" a="1"/>
  <c r="M102" i="28" s="1"/>
  <c r="L102" i="28" a="1"/>
  <c r="L102" i="28" s="1"/>
  <c r="K102" i="28" a="1"/>
  <c r="K102" i="28" s="1"/>
  <c r="J102" i="28"/>
  <c r="J102" i="28" a="1"/>
  <c r="I102" i="28" a="1"/>
  <c r="I102" i="28" s="1"/>
  <c r="M101" i="28" a="1"/>
  <c r="M101" i="28" s="1"/>
  <c r="L101" i="28" a="1"/>
  <c r="L101" i="28" s="1"/>
  <c r="K101" i="28" a="1"/>
  <c r="K101" i="28" s="1"/>
  <c r="J101" i="28" a="1"/>
  <c r="J101" i="28" s="1"/>
  <c r="I101" i="28" a="1"/>
  <c r="I101" i="28" s="1"/>
  <c r="M100" i="28" a="1"/>
  <c r="M100" i="28" s="1"/>
  <c r="L100" i="28" a="1"/>
  <c r="L100" i="28" s="1"/>
  <c r="K100" i="28" a="1"/>
  <c r="K100" i="28" s="1"/>
  <c r="J100" i="28" a="1"/>
  <c r="J100" i="28" s="1"/>
  <c r="I100" i="28" a="1"/>
  <c r="I100" i="28" s="1"/>
  <c r="M99" i="28" a="1"/>
  <c r="M99" i="28" s="1"/>
  <c r="L99" i="28" a="1"/>
  <c r="L99" i="28" s="1"/>
  <c r="K99" i="28" a="1"/>
  <c r="K99" i="28" s="1"/>
  <c r="J99" i="28" a="1"/>
  <c r="J99" i="28" s="1"/>
  <c r="I99" i="28"/>
  <c r="I99" i="28" a="1"/>
  <c r="M98" i="28" a="1"/>
  <c r="M98" i="28" s="1"/>
  <c r="L98" i="28" a="1"/>
  <c r="L98" i="28" s="1"/>
  <c r="K98" i="28" a="1"/>
  <c r="K98" i="28" s="1"/>
  <c r="J98" i="28" a="1"/>
  <c r="J98" i="28" s="1"/>
  <c r="I98" i="28" a="1"/>
  <c r="I98" i="28" s="1"/>
  <c r="M97" i="28" a="1"/>
  <c r="M97" i="28" s="1"/>
  <c r="L97" i="28" a="1"/>
  <c r="L97" i="28" s="1"/>
  <c r="K97" i="28" a="1"/>
  <c r="K97" i="28" s="1"/>
  <c r="J97" i="28" a="1"/>
  <c r="J97" i="28" s="1"/>
  <c r="I97" i="28" a="1"/>
  <c r="I97" i="28" s="1"/>
  <c r="M96" i="28" a="1"/>
  <c r="M96" i="28" s="1"/>
  <c r="L96" i="28" a="1"/>
  <c r="L96" i="28" s="1"/>
  <c r="K96" i="28" a="1"/>
  <c r="K96" i="28" s="1"/>
  <c r="J96" i="28" a="1"/>
  <c r="J96" i="28" s="1"/>
  <c r="I96" i="28" a="1"/>
  <c r="I96" i="28" s="1"/>
  <c r="M95" i="28"/>
  <c r="M95" i="28" a="1"/>
  <c r="L95" i="28" a="1"/>
  <c r="L95" i="28" s="1"/>
  <c r="K95" i="28" a="1"/>
  <c r="K95" i="28" s="1"/>
  <c r="J95" i="28" a="1"/>
  <c r="J95" i="28" s="1"/>
  <c r="I95" i="28" a="1"/>
  <c r="I95" i="28" s="1"/>
  <c r="M94" i="28" a="1"/>
  <c r="M94" i="28" s="1"/>
  <c r="L94" i="28" a="1"/>
  <c r="L94" i="28" s="1"/>
  <c r="K94" i="28" a="1"/>
  <c r="K94" i="28" s="1"/>
  <c r="J94" i="28" a="1"/>
  <c r="J94" i="28" s="1"/>
  <c r="I94" i="28" a="1"/>
  <c r="I94" i="28" s="1"/>
  <c r="M93" i="28" a="1"/>
  <c r="M93" i="28" s="1"/>
  <c r="L93" i="28" a="1"/>
  <c r="L93" i="28" s="1"/>
  <c r="K93" i="28" a="1"/>
  <c r="K93" i="28" s="1"/>
  <c r="J93" i="28" a="1"/>
  <c r="J93" i="28" s="1"/>
  <c r="I93" i="28" a="1"/>
  <c r="I93" i="28" s="1"/>
  <c r="M92" i="28" a="1"/>
  <c r="M92" i="28" s="1"/>
  <c r="L92" i="28"/>
  <c r="L92" i="28" a="1"/>
  <c r="K92" i="28" a="1"/>
  <c r="K92" i="28" s="1"/>
  <c r="J92" i="28" a="1"/>
  <c r="J92" i="28" s="1"/>
  <c r="I92" i="28" a="1"/>
  <c r="I92" i="28" s="1"/>
  <c r="M91" i="28" a="1"/>
  <c r="M91" i="28" s="1"/>
  <c r="L91" i="28" a="1"/>
  <c r="L91" i="28" s="1"/>
  <c r="K91" i="28" a="1"/>
  <c r="K91" i="28" s="1"/>
  <c r="J91" i="28" a="1"/>
  <c r="J91" i="28" s="1"/>
  <c r="I91" i="28" a="1"/>
  <c r="I91" i="28" s="1"/>
  <c r="M90" i="28" a="1"/>
  <c r="M90" i="28" s="1"/>
  <c r="L90" i="28" a="1"/>
  <c r="L90" i="28" s="1"/>
  <c r="K90" i="28" a="1"/>
  <c r="K90" i="28" s="1"/>
  <c r="J90" i="28" a="1"/>
  <c r="J90" i="28" s="1"/>
  <c r="I90" i="28" a="1"/>
  <c r="I90" i="28" s="1"/>
  <c r="M89" i="28" a="1"/>
  <c r="M89" i="28" s="1"/>
  <c r="L89" i="28" a="1"/>
  <c r="L89" i="28" s="1"/>
  <c r="K89" i="28"/>
  <c r="K89" i="28" a="1"/>
  <c r="J89" i="28" a="1"/>
  <c r="J89" i="28" s="1"/>
  <c r="I89" i="28" a="1"/>
  <c r="I89" i="28" s="1"/>
  <c r="M88" i="28" a="1"/>
  <c r="M88" i="28" s="1"/>
  <c r="L88" i="28" a="1"/>
  <c r="L88" i="28" s="1"/>
  <c r="K88" i="28" a="1"/>
  <c r="K88" i="28" s="1"/>
  <c r="J88" i="28" a="1"/>
  <c r="J88" i="28" s="1"/>
  <c r="I88" i="28" a="1"/>
  <c r="I88" i="28" s="1"/>
  <c r="M87" i="28" a="1"/>
  <c r="M87" i="28" s="1"/>
  <c r="L87" i="28" a="1"/>
  <c r="L87" i="28" s="1"/>
  <c r="K87" i="28" a="1"/>
  <c r="K87" i="28" s="1"/>
  <c r="J87" i="28" a="1"/>
  <c r="J87" i="28" s="1"/>
  <c r="I87" i="28" a="1"/>
  <c r="I87" i="28" s="1"/>
  <c r="M86" i="28" a="1"/>
  <c r="M86" i="28" s="1"/>
  <c r="L86" i="28" a="1"/>
  <c r="L86" i="28" s="1"/>
  <c r="K86" i="28" a="1"/>
  <c r="K86" i="28" s="1"/>
  <c r="J86" i="28"/>
  <c r="J86" i="28" a="1"/>
  <c r="I86" i="28" a="1"/>
  <c r="I86" i="28" s="1"/>
  <c r="M85" i="28" a="1"/>
  <c r="M85" i="28" s="1"/>
  <c r="L85" i="28" a="1"/>
  <c r="L85" i="28" s="1"/>
  <c r="K85" i="28" a="1"/>
  <c r="K85" i="28" s="1"/>
  <c r="J85" i="28" a="1"/>
  <c r="J85" i="28" s="1"/>
  <c r="I85" i="28" a="1"/>
  <c r="I85" i="28" s="1"/>
  <c r="M84" i="28" a="1"/>
  <c r="M84" i="28" s="1"/>
  <c r="L84" i="28" a="1"/>
  <c r="L84" i="28" s="1"/>
  <c r="K84" i="28" a="1"/>
  <c r="K84" i="28" s="1"/>
  <c r="J84" i="28" a="1"/>
  <c r="J84" i="28" s="1"/>
  <c r="I84" i="28" a="1"/>
  <c r="I84" i="28" s="1"/>
  <c r="M83" i="28" a="1"/>
  <c r="M83" i="28" s="1"/>
  <c r="L83" i="28" a="1"/>
  <c r="L83" i="28" s="1"/>
  <c r="K83" i="28" a="1"/>
  <c r="K83" i="28" s="1"/>
  <c r="J83" i="28" a="1"/>
  <c r="J83" i="28" s="1"/>
  <c r="I83" i="28"/>
  <c r="I83" i="28" a="1"/>
  <c r="M82" i="28" a="1"/>
  <c r="M82" i="28" s="1"/>
  <c r="L82" i="28" a="1"/>
  <c r="L82" i="28" s="1"/>
  <c r="K82" i="28" a="1"/>
  <c r="K82" i="28" s="1"/>
  <c r="J82" i="28" a="1"/>
  <c r="J82" i="28" s="1"/>
  <c r="I82" i="28" a="1"/>
  <c r="I82" i="28" s="1"/>
  <c r="M81" i="28" a="1"/>
  <c r="M81" i="28" s="1"/>
  <c r="L81" i="28" a="1"/>
  <c r="L81" i="28" s="1"/>
  <c r="K81" i="28" a="1"/>
  <c r="K81" i="28" s="1"/>
  <c r="J81" i="28" a="1"/>
  <c r="J81" i="28" s="1"/>
  <c r="I81" i="28" a="1"/>
  <c r="I81" i="28" s="1"/>
  <c r="M80" i="28" a="1"/>
  <c r="M80" i="28" s="1"/>
  <c r="L80" i="28" a="1"/>
  <c r="L80" i="28" s="1"/>
  <c r="K80" i="28" a="1"/>
  <c r="K80" i="28" s="1"/>
  <c r="J80" i="28" a="1"/>
  <c r="J80" i="28" s="1"/>
  <c r="I80" i="28" a="1"/>
  <c r="I80" i="28" s="1"/>
  <c r="M79" i="28"/>
  <c r="M79" i="28" a="1"/>
  <c r="L79" i="28" a="1"/>
  <c r="L79" i="28" s="1"/>
  <c r="K79" i="28" a="1"/>
  <c r="K79" i="28" s="1"/>
  <c r="J79" i="28" a="1"/>
  <c r="J79" i="28" s="1"/>
  <c r="I79" i="28" a="1"/>
  <c r="I79" i="28" s="1"/>
  <c r="M78" i="28" a="1"/>
  <c r="M78" i="28" s="1"/>
  <c r="L78" i="28" a="1"/>
  <c r="L78" i="28" s="1"/>
  <c r="K78" i="28" a="1"/>
  <c r="K78" i="28" s="1"/>
  <c r="J78" i="28" a="1"/>
  <c r="J78" i="28" s="1"/>
  <c r="I78" i="28" a="1"/>
  <c r="I78" i="28" s="1"/>
  <c r="M77" i="28" a="1"/>
  <c r="M77" i="28" s="1"/>
  <c r="L77" i="28" a="1"/>
  <c r="L77" i="28" s="1"/>
  <c r="K77" i="28" a="1"/>
  <c r="K77" i="28" s="1"/>
  <c r="J77" i="28" a="1"/>
  <c r="J77" i="28" s="1"/>
  <c r="I77" i="28" a="1"/>
  <c r="I77" i="28" s="1"/>
  <c r="M76" i="28" a="1"/>
  <c r="M76" i="28" s="1"/>
  <c r="L76" i="28"/>
  <c r="L76" i="28" a="1"/>
  <c r="K76" i="28" a="1"/>
  <c r="K76" i="28" s="1"/>
  <c r="J76" i="28" a="1"/>
  <c r="J76" i="28" s="1"/>
  <c r="I76" i="28" a="1"/>
  <c r="I76" i="28" s="1"/>
  <c r="M75" i="28" a="1"/>
  <c r="M75" i="28" s="1"/>
  <c r="L75" i="28" a="1"/>
  <c r="L75" i="28" s="1"/>
  <c r="K75" i="28" a="1"/>
  <c r="K75" i="28" s="1"/>
  <c r="J75" i="28" a="1"/>
  <c r="J75" i="28" s="1"/>
  <c r="I75" i="28" a="1"/>
  <c r="I75" i="28" s="1"/>
  <c r="M74" i="28" a="1"/>
  <c r="M74" i="28" s="1"/>
  <c r="L74" i="28" a="1"/>
  <c r="L74" i="28" s="1"/>
  <c r="K74" i="28" a="1"/>
  <c r="K74" i="28" s="1"/>
  <c r="J74" i="28" a="1"/>
  <c r="J74" i="28" s="1"/>
  <c r="I74" i="28" a="1"/>
  <c r="I74" i="28" s="1"/>
  <c r="M73" i="28" a="1"/>
  <c r="M73" i="28" s="1"/>
  <c r="L73" i="28" a="1"/>
  <c r="L73" i="28" s="1"/>
  <c r="K73" i="28"/>
  <c r="K73" i="28" a="1"/>
  <c r="J73" i="28" a="1"/>
  <c r="J73" i="28" s="1"/>
  <c r="I73" i="28" a="1"/>
  <c r="I73" i="28" s="1"/>
  <c r="M72" i="28" a="1"/>
  <c r="M72" i="28" s="1"/>
  <c r="L72" i="28" a="1"/>
  <c r="L72" i="28" s="1"/>
  <c r="K72" i="28" a="1"/>
  <c r="K72" i="28" s="1"/>
  <c r="J72" i="28" a="1"/>
  <c r="J72" i="28" s="1"/>
  <c r="I72" i="28" a="1"/>
  <c r="I72" i="28" s="1"/>
  <c r="M71" i="28" a="1"/>
  <c r="M71" i="28" s="1"/>
  <c r="L71" i="28" a="1"/>
  <c r="L71" i="28" s="1"/>
  <c r="K71" i="28" a="1"/>
  <c r="K71" i="28" s="1"/>
  <c r="J71" i="28" a="1"/>
  <c r="J71" i="28" s="1"/>
  <c r="I71" i="28" a="1"/>
  <c r="I71" i="28" s="1"/>
  <c r="M70" i="28" a="1"/>
  <c r="M70" i="28" s="1"/>
  <c r="L70" i="28" a="1"/>
  <c r="L70" i="28" s="1"/>
  <c r="K70" i="28" a="1"/>
  <c r="K70" i="28" s="1"/>
  <c r="J70" i="28"/>
  <c r="J70" i="28" a="1"/>
  <c r="I70" i="28" a="1"/>
  <c r="I70" i="28" s="1"/>
  <c r="M69" i="28" a="1"/>
  <c r="M69" i="28" s="1"/>
  <c r="L69" i="28" a="1"/>
  <c r="L69" i="28" s="1"/>
  <c r="K69" i="28" a="1"/>
  <c r="K69" i="28" s="1"/>
  <c r="J69" i="28" a="1"/>
  <c r="J69" i="28" s="1"/>
  <c r="I69" i="28" a="1"/>
  <c r="I69" i="28" s="1"/>
  <c r="M68" i="28" a="1"/>
  <c r="M68" i="28" s="1"/>
  <c r="L68" i="28" a="1"/>
  <c r="L68" i="28" s="1"/>
  <c r="K68" i="28" a="1"/>
  <c r="K68" i="28" s="1"/>
  <c r="J68" i="28" a="1"/>
  <c r="J68" i="28" s="1"/>
  <c r="I68" i="28" a="1"/>
  <c r="I68" i="28" s="1"/>
  <c r="M67" i="28" a="1"/>
  <c r="M67" i="28" s="1"/>
  <c r="L67" i="28" a="1"/>
  <c r="L67" i="28" s="1"/>
  <c r="K67" i="28" a="1"/>
  <c r="K67" i="28" s="1"/>
  <c r="J67" i="28" a="1"/>
  <c r="J67" i="28" s="1"/>
  <c r="I67" i="28"/>
  <c r="I67" i="28" a="1"/>
  <c r="M66" i="28" a="1"/>
  <c r="M66" i="28" s="1"/>
  <c r="L66" i="28" a="1"/>
  <c r="L66" i="28" s="1"/>
  <c r="K66" i="28" a="1"/>
  <c r="K66" i="28" s="1"/>
  <c r="J66" i="28" a="1"/>
  <c r="J66" i="28" s="1"/>
  <c r="I66" i="28" a="1"/>
  <c r="I66" i="28" s="1"/>
  <c r="M65" i="28" a="1"/>
  <c r="M65" i="28" s="1"/>
  <c r="L65" i="28" a="1"/>
  <c r="L65" i="28" s="1"/>
  <c r="K65" i="28" a="1"/>
  <c r="K65" i="28" s="1"/>
  <c r="J65" i="28" a="1"/>
  <c r="J65" i="28" s="1"/>
  <c r="I65" i="28" a="1"/>
  <c r="I65" i="28" s="1"/>
  <c r="Y64" i="28" a="1"/>
  <c r="Y64" i="28" s="1"/>
  <c r="X64" i="28" a="1"/>
  <c r="X64" i="28" s="1"/>
  <c r="W64" i="28" a="1"/>
  <c r="W64" i="28" s="1"/>
  <c r="V64" i="28" a="1"/>
  <c r="V64" i="28" s="1"/>
  <c r="U64" i="28" a="1"/>
  <c r="U64" i="28" s="1"/>
  <c r="M64" i="28" a="1"/>
  <c r="M64" i="28" s="1"/>
  <c r="L64" i="28" a="1"/>
  <c r="L64" i="28" s="1"/>
  <c r="K64" i="28" a="1"/>
  <c r="K64" i="28" s="1"/>
  <c r="J64" i="28" a="1"/>
  <c r="J64" i="28" s="1"/>
  <c r="I64" i="28" a="1"/>
  <c r="I64" i="28" s="1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AI63" i="28" a="1"/>
  <c r="AI63" i="28" s="1"/>
  <c r="AH63" i="28" a="1"/>
  <c r="AH63" i="28" s="1"/>
  <c r="AG63" i="28" a="1"/>
  <c r="AG63" i="28" s="1"/>
  <c r="AF63" i="28"/>
  <c r="AF63" i="28" a="1"/>
  <c r="AE63" i="28" a="1"/>
  <c r="AE63" i="28" s="1"/>
  <c r="AI62" i="28" a="1"/>
  <c r="AI62" i="28" s="1"/>
  <c r="AH62" i="28" a="1"/>
  <c r="AH62" i="28" s="1"/>
  <c r="AG62" i="28"/>
  <c r="AG62" i="28" a="1"/>
  <c r="AF62" i="28" a="1"/>
  <c r="AF62" i="28" s="1"/>
  <c r="AE62" i="28" a="1"/>
  <c r="AE62" i="28" s="1"/>
  <c r="AI61" i="28" a="1"/>
  <c r="AI61" i="28" s="1"/>
  <c r="AH61" i="28"/>
  <c r="AH61" i="28" a="1"/>
  <c r="AG61" i="28" a="1"/>
  <c r="AG61" i="28" s="1"/>
  <c r="AF61" i="28" a="1"/>
  <c r="AF61" i="28" s="1"/>
  <c r="AE61" i="28" a="1"/>
  <c r="AE61" i="28" s="1"/>
  <c r="AI60" i="28"/>
  <c r="AI60" i="28" a="1"/>
  <c r="AH60" i="28" a="1"/>
  <c r="AH60" i="28" s="1"/>
  <c r="AG60" i="28" a="1"/>
  <c r="AG60" i="28" s="1"/>
  <c r="AF60" i="28" a="1"/>
  <c r="AF60" i="28" s="1"/>
  <c r="AE60" i="28"/>
  <c r="AE60" i="28" a="1"/>
  <c r="AI59" i="28" a="1"/>
  <c r="AI59" i="28" s="1"/>
  <c r="AH59" i="28" a="1"/>
  <c r="AH59" i="28" s="1"/>
  <c r="AG59" i="28" a="1"/>
  <c r="AG59" i="28" s="1"/>
  <c r="AF59" i="28"/>
  <c r="AF59" i="28" a="1"/>
  <c r="AE59" i="28" a="1"/>
  <c r="AE59" i="28" s="1"/>
  <c r="AI58" i="28" a="1"/>
  <c r="AI58" i="28" s="1"/>
  <c r="AH58" i="28" a="1"/>
  <c r="AH58" i="28" s="1"/>
  <c r="AG58" i="28"/>
  <c r="AG58" i="28" a="1"/>
  <c r="AF58" i="28" a="1"/>
  <c r="AF58" i="28" s="1"/>
  <c r="AE58" i="28" a="1"/>
  <c r="AE58" i="28" s="1"/>
  <c r="AI57" i="28" a="1"/>
  <c r="AI57" i="28" s="1"/>
  <c r="AH57" i="28"/>
  <c r="AH57" i="28" a="1"/>
  <c r="AG57" i="28" a="1"/>
  <c r="AG57" i="28" s="1"/>
  <c r="AF57" i="28" a="1"/>
  <c r="AF57" i="28" s="1"/>
  <c r="AE57" i="28" a="1"/>
  <c r="AE57" i="28" s="1"/>
  <c r="AI56" i="28"/>
  <c r="AI56" i="28" a="1"/>
  <c r="AH56" i="28" a="1"/>
  <c r="AH56" i="28" s="1"/>
  <c r="AG56" i="28" a="1"/>
  <c r="AG56" i="28" s="1"/>
  <c r="AF56" i="28" a="1"/>
  <c r="AF56" i="28" s="1"/>
  <c r="AE56" i="28"/>
  <c r="AE56" i="28" a="1"/>
  <c r="AI55" i="28" a="1"/>
  <c r="AI55" i="28" s="1"/>
  <c r="AH55" i="28" a="1"/>
  <c r="AH55" i="28" s="1"/>
  <c r="AG55" i="28" a="1"/>
  <c r="AG55" i="28" s="1"/>
  <c r="AF55" i="28"/>
  <c r="AF55" i="28" a="1"/>
  <c r="AE55" i="28" a="1"/>
  <c r="AE55" i="28" s="1"/>
  <c r="AI54" i="28" a="1"/>
  <c r="AI54" i="28" s="1"/>
  <c r="AH54" i="28" a="1"/>
  <c r="AH54" i="28" s="1"/>
  <c r="AG54" i="28"/>
  <c r="AG54" i="28" a="1"/>
  <c r="AF54" i="28" a="1"/>
  <c r="AF54" i="28" s="1"/>
  <c r="AE54" i="28" a="1"/>
  <c r="AE54" i="28" s="1"/>
  <c r="AI53" i="28" a="1"/>
  <c r="AI53" i="28" s="1"/>
  <c r="AH53" i="28"/>
  <c r="AH53" i="28" a="1"/>
  <c r="AG53" i="28" a="1"/>
  <c r="AG53" i="28" s="1"/>
  <c r="AF53" i="28" a="1"/>
  <c r="AF53" i="28" s="1"/>
  <c r="AE53" i="28" a="1"/>
  <c r="AE53" i="28" s="1"/>
  <c r="AI52" i="28"/>
  <c r="AI52" i="28" a="1"/>
  <c r="AH52" i="28" a="1"/>
  <c r="AH52" i="28" s="1"/>
  <c r="AG52" i="28" a="1"/>
  <c r="AG52" i="28" s="1"/>
  <c r="AF52" i="28" a="1"/>
  <c r="AF52" i="28" s="1"/>
  <c r="AE52" i="28"/>
  <c r="AE52" i="28" a="1"/>
  <c r="AI51" i="28" a="1"/>
  <c r="AI51" i="28" s="1"/>
  <c r="AH51" i="28" a="1"/>
  <c r="AH51" i="28" s="1"/>
  <c r="AG51" i="28" a="1"/>
  <c r="AG51" i="28" s="1"/>
  <c r="AF51" i="28"/>
  <c r="AF51" i="28" a="1"/>
  <c r="AE51" i="28" a="1"/>
  <c r="AE51" i="28" s="1"/>
  <c r="AI50" i="28" a="1"/>
  <c r="AI50" i="28" s="1"/>
  <c r="AH50" i="28" a="1"/>
  <c r="AH50" i="28" s="1"/>
  <c r="AG50" i="28"/>
  <c r="AG50" i="28" a="1"/>
  <c r="AF50" i="28" a="1"/>
  <c r="AF50" i="28" s="1"/>
  <c r="AE50" i="28" a="1"/>
  <c r="AE50" i="28" s="1"/>
  <c r="AI49" i="28" a="1"/>
  <c r="AI49" i="28" s="1"/>
  <c r="AH49" i="28"/>
  <c r="AH49" i="28" a="1"/>
  <c r="AG49" i="28" a="1"/>
  <c r="AG49" i="28" s="1"/>
  <c r="AF49" i="28" a="1"/>
  <c r="AF49" i="28" s="1"/>
  <c r="AE49" i="28" a="1"/>
  <c r="AE49" i="28" s="1"/>
  <c r="AI48" i="28"/>
  <c r="AI48" i="28" a="1"/>
  <c r="AH48" i="28" a="1"/>
  <c r="AH48" i="28" s="1"/>
  <c r="AG48" i="28" a="1"/>
  <c r="AG48" i="28" s="1"/>
  <c r="AF48" i="28" a="1"/>
  <c r="AF48" i="28" s="1"/>
  <c r="AE48" i="28"/>
  <c r="AE48" i="28" a="1"/>
  <c r="AI47" i="28" a="1"/>
  <c r="AI47" i="28" s="1"/>
  <c r="AH47" i="28" a="1"/>
  <c r="AH47" i="28" s="1"/>
  <c r="AG47" i="28" a="1"/>
  <c r="AG47" i="28" s="1"/>
  <c r="AF47" i="28"/>
  <c r="AF47" i="28" a="1"/>
  <c r="AE47" i="28" a="1"/>
  <c r="AE47" i="28" s="1"/>
  <c r="AI46" i="28" a="1"/>
  <c r="AI46" i="28" s="1"/>
  <c r="AH46" i="28" a="1"/>
  <c r="AH46" i="28" s="1"/>
  <c r="AG46" i="28"/>
  <c r="AG46" i="28" a="1"/>
  <c r="AF46" i="28" a="1"/>
  <c r="AF46" i="28" s="1"/>
  <c r="AE46" i="28" a="1"/>
  <c r="AE46" i="28" s="1"/>
  <c r="AI45" i="28" a="1"/>
  <c r="AI45" i="28" s="1"/>
  <c r="AH45" i="28"/>
  <c r="AH45" i="28" a="1"/>
  <c r="AG45" i="28" a="1"/>
  <c r="AG45" i="28" s="1"/>
  <c r="AF45" i="28" a="1"/>
  <c r="AF45" i="28" s="1"/>
  <c r="AE45" i="28" a="1"/>
  <c r="AE45" i="28" s="1"/>
  <c r="AI44" i="28"/>
  <c r="AI44" i="28" a="1"/>
  <c r="AH44" i="28" a="1"/>
  <c r="AH44" i="28" s="1"/>
  <c r="AG44" i="28" a="1"/>
  <c r="AG44" i="28" s="1"/>
  <c r="AF44" i="28" a="1"/>
  <c r="AF44" i="28" s="1"/>
  <c r="AE44" i="28"/>
  <c r="AE44" i="28" a="1"/>
  <c r="AI43" i="28" a="1"/>
  <c r="AI43" i="28" s="1"/>
  <c r="AH43" i="28" a="1"/>
  <c r="AH43" i="28" s="1"/>
  <c r="AG43" i="28" a="1"/>
  <c r="AG43" i="28" s="1"/>
  <c r="AF43" i="28"/>
  <c r="AF43" i="28" a="1"/>
  <c r="AE43" i="28" a="1"/>
  <c r="AE43" i="28" s="1"/>
  <c r="AI42" i="28" a="1"/>
  <c r="AI42" i="28" s="1"/>
  <c r="AH42" i="28" a="1"/>
  <c r="AH42" i="28" s="1"/>
  <c r="AG42" i="28"/>
  <c r="AG42" i="28" a="1"/>
  <c r="AF42" i="28" a="1"/>
  <c r="AF42" i="28" s="1"/>
  <c r="AE42" i="28" a="1"/>
  <c r="AE42" i="28" s="1"/>
  <c r="AI41" i="28" a="1"/>
  <c r="AI41" i="28" s="1"/>
  <c r="AH41" i="28"/>
  <c r="AH41" i="28" a="1"/>
  <c r="AG41" i="28" a="1"/>
  <c r="AG41" i="28" s="1"/>
  <c r="AF41" i="28" a="1"/>
  <c r="AF41" i="28" s="1"/>
  <c r="AE41" i="28" a="1"/>
  <c r="AE41" i="28" s="1"/>
  <c r="AI40" i="28"/>
  <c r="AI40" i="28" a="1"/>
  <c r="AH40" i="28" a="1"/>
  <c r="AH40" i="28" s="1"/>
  <c r="AG40" i="28" a="1"/>
  <c r="AG40" i="28" s="1"/>
  <c r="AF40" i="28" a="1"/>
  <c r="AF40" i="28" s="1"/>
  <c r="AE40" i="28"/>
  <c r="AE40" i="28" a="1"/>
  <c r="AI39" i="28" a="1"/>
  <c r="AI39" i="28" s="1"/>
  <c r="AH39" i="28" a="1"/>
  <c r="AH39" i="28" s="1"/>
  <c r="AG39" i="28" a="1"/>
  <c r="AG39" i="28" s="1"/>
  <c r="AF39" i="28"/>
  <c r="AF39" i="28" a="1"/>
  <c r="AE39" i="28" a="1"/>
  <c r="AE39" i="28" s="1"/>
  <c r="AI38" i="28" a="1"/>
  <c r="AI38" i="28" s="1"/>
  <c r="AH38" i="28" a="1"/>
  <c r="AH38" i="28" s="1"/>
  <c r="AG38" i="28"/>
  <c r="AG38" i="28" a="1"/>
  <c r="AF38" i="28" a="1"/>
  <c r="AF38" i="28" s="1"/>
  <c r="AE38" i="28" a="1"/>
  <c r="AE38" i="28" s="1"/>
  <c r="AI37" i="28" a="1"/>
  <c r="AI37" i="28" s="1"/>
  <c r="AH37" i="28"/>
  <c r="AH37" i="28" a="1"/>
  <c r="AG37" i="28" a="1"/>
  <c r="AG37" i="28" s="1"/>
  <c r="AF37" i="28" a="1"/>
  <c r="AF37" i="28" s="1"/>
  <c r="AE37" i="28" a="1"/>
  <c r="AE37" i="28" s="1"/>
  <c r="AI36" i="28"/>
  <c r="AI36" i="28" a="1"/>
  <c r="AH36" i="28" a="1"/>
  <c r="AH36" i="28" s="1"/>
  <c r="AG36" i="28" a="1"/>
  <c r="AG36" i="28" s="1"/>
  <c r="AF36" i="28" a="1"/>
  <c r="AF36" i="28" s="1"/>
  <c r="AE36" i="28"/>
  <c r="AE36" i="28" a="1"/>
  <c r="AI35" i="28" a="1"/>
  <c r="AI35" i="28" s="1"/>
  <c r="AH35" i="28" a="1"/>
  <c r="AH35" i="28" s="1"/>
  <c r="AG35" i="28" a="1"/>
  <c r="AG35" i="28" s="1"/>
  <c r="AF35" i="28"/>
  <c r="AF35" i="28" a="1"/>
  <c r="AE35" i="28" a="1"/>
  <c r="AE35" i="28" s="1"/>
  <c r="AI34" i="28" a="1"/>
  <c r="AI34" i="28" s="1"/>
  <c r="AH34" i="28" a="1"/>
  <c r="AH34" i="28" s="1"/>
  <c r="AG34" i="28" a="1"/>
  <c r="AG34" i="28" s="1"/>
  <c r="AF34" i="28" a="1"/>
  <c r="AF34" i="28" s="1"/>
  <c r="AE34" i="28" a="1"/>
  <c r="AE34" i="28" s="1"/>
  <c r="AI33" i="28" a="1"/>
  <c r="AI33" i="28" s="1"/>
  <c r="AH33" i="28" a="1"/>
  <c r="AH33" i="28" s="1"/>
  <c r="AG33" i="28" a="1"/>
  <c r="AG33" i="28" s="1"/>
  <c r="AF33" i="28" a="1"/>
  <c r="AF33" i="28" s="1"/>
  <c r="AE33" i="28" a="1"/>
  <c r="AE33" i="28" s="1"/>
  <c r="AI32" i="28" a="1"/>
  <c r="AI32" i="28" s="1"/>
  <c r="AH32" i="28" a="1"/>
  <c r="AH32" i="28" s="1"/>
  <c r="AG32" i="28" a="1"/>
  <c r="AG32" i="28" s="1"/>
  <c r="AF32" i="28" a="1"/>
  <c r="AF32" i="28" s="1"/>
  <c r="AE32" i="28" a="1"/>
  <c r="AE32" i="28" s="1"/>
  <c r="AI31" i="28" a="1"/>
  <c r="AI31" i="28" s="1"/>
  <c r="AH31" i="28" a="1"/>
  <c r="AH31" i="28" s="1"/>
  <c r="AG31" i="28" a="1"/>
  <c r="AG31" i="28" s="1"/>
  <c r="AF31" i="28" a="1"/>
  <c r="AF31" i="28" s="1"/>
  <c r="AE31" i="28" a="1"/>
  <c r="AE31" i="28" s="1"/>
  <c r="AI30" i="28" a="1"/>
  <c r="AI30" i="28" s="1"/>
  <c r="AH30" i="28" a="1"/>
  <c r="AH30" i="28" s="1"/>
  <c r="AG30" i="28" a="1"/>
  <c r="AG30" i="28" s="1"/>
  <c r="AF30" i="28" a="1"/>
  <c r="AF30" i="28" s="1"/>
  <c r="AE30" i="28" a="1"/>
  <c r="AE30" i="28" s="1"/>
  <c r="AI29" i="28" a="1"/>
  <c r="AI29" i="28" s="1"/>
  <c r="AH29" i="28" a="1"/>
  <c r="AH29" i="28" s="1"/>
  <c r="AG29" i="28" a="1"/>
  <c r="AG29" i="28" s="1"/>
  <c r="AF29" i="28" a="1"/>
  <c r="AF29" i="28" s="1"/>
  <c r="AE29" i="28" a="1"/>
  <c r="AE29" i="28" s="1"/>
  <c r="AI28" i="28" a="1"/>
  <c r="AI28" i="28" s="1"/>
  <c r="AH28" i="28" a="1"/>
  <c r="AH28" i="28" s="1"/>
  <c r="AG28" i="28" a="1"/>
  <c r="AG28" i="28" s="1"/>
  <c r="AF28" i="28" a="1"/>
  <c r="AF28" i="28" s="1"/>
  <c r="AE28" i="28" a="1"/>
  <c r="AE28" i="28" s="1"/>
  <c r="AI27" i="28" a="1"/>
  <c r="AI27" i="28" s="1"/>
  <c r="AH27" i="28" a="1"/>
  <c r="AH27" i="28" s="1"/>
  <c r="AG27" i="28" a="1"/>
  <c r="AG27" i="28" s="1"/>
  <c r="AF27" i="28" a="1"/>
  <c r="AF27" i="28" s="1"/>
  <c r="AE27" i="28" a="1"/>
  <c r="AE27" i="28" s="1"/>
  <c r="AI26" i="28" a="1"/>
  <c r="AI26" i="28" s="1"/>
  <c r="AH26" i="28" a="1"/>
  <c r="AH26" i="28" s="1"/>
  <c r="AG26" i="28" a="1"/>
  <c r="AG26" i="28" s="1"/>
  <c r="AF26" i="28" a="1"/>
  <c r="AF26" i="28" s="1"/>
  <c r="AE26" i="28" a="1"/>
  <c r="AE26" i="28" s="1"/>
  <c r="AI25" i="28" a="1"/>
  <c r="AI25" i="28" s="1"/>
  <c r="AH25" i="28" a="1"/>
  <c r="AH25" i="28" s="1"/>
  <c r="AG25" i="28" a="1"/>
  <c r="AG25" i="28" s="1"/>
  <c r="AF25" i="28" a="1"/>
  <c r="AF25" i="28" s="1"/>
  <c r="AE25" i="28" a="1"/>
  <c r="AE25" i="28" s="1"/>
  <c r="AI24" i="28" a="1"/>
  <c r="AI24" i="28" s="1"/>
  <c r="AH24" i="28" a="1"/>
  <c r="AH24" i="28" s="1"/>
  <c r="AG24" i="28" a="1"/>
  <c r="AG24" i="28" s="1"/>
  <c r="AF24" i="28" a="1"/>
  <c r="AF24" i="28" s="1"/>
  <c r="AE24" i="28" a="1"/>
  <c r="AE24" i="28" s="1"/>
  <c r="AI23" i="28" a="1"/>
  <c r="AI23" i="28" s="1"/>
  <c r="AH23" i="28" a="1"/>
  <c r="AH23" i="28" s="1"/>
  <c r="AG23" i="28" a="1"/>
  <c r="AG23" i="28" s="1"/>
  <c r="AF23" i="28" a="1"/>
  <c r="AF23" i="28" s="1"/>
  <c r="AE23" i="28" a="1"/>
  <c r="AE23" i="28" s="1"/>
  <c r="AI22" i="28" a="1"/>
  <c r="AI22" i="28" s="1"/>
  <c r="AH22" i="28" a="1"/>
  <c r="AH22" i="28" s="1"/>
  <c r="AG22" i="28" a="1"/>
  <c r="AG22" i="28" s="1"/>
  <c r="AF22" i="28" a="1"/>
  <c r="AF22" i="28" s="1"/>
  <c r="AE22" i="28" a="1"/>
  <c r="AE22" i="28" s="1"/>
  <c r="AI21" i="28" a="1"/>
  <c r="AI21" i="28" s="1"/>
  <c r="AH21" i="28" a="1"/>
  <c r="AH21" i="28" s="1"/>
  <c r="AG21" i="28" a="1"/>
  <c r="AG21" i="28" s="1"/>
  <c r="AF21" i="28" a="1"/>
  <c r="AF21" i="28" s="1"/>
  <c r="AE21" i="28" a="1"/>
  <c r="AE21" i="28" s="1"/>
  <c r="AI20" i="28" a="1"/>
  <c r="AI20" i="28" s="1"/>
  <c r="AH20" i="28" a="1"/>
  <c r="AH20" i="28" s="1"/>
  <c r="AG20" i="28" a="1"/>
  <c r="AG20" i="28" s="1"/>
  <c r="AF20" i="28" a="1"/>
  <c r="AF20" i="28" s="1"/>
  <c r="AE20" i="28" a="1"/>
  <c r="AE20" i="28" s="1"/>
  <c r="AI19" i="28" a="1"/>
  <c r="AI19" i="28" s="1"/>
  <c r="AH19" i="28" a="1"/>
  <c r="AH19" i="28" s="1"/>
  <c r="AG19" i="28" a="1"/>
  <c r="AG19" i="28" s="1"/>
  <c r="AF19" i="28" a="1"/>
  <c r="AF19" i="28" s="1"/>
  <c r="AE19" i="28" a="1"/>
  <c r="AE19" i="28" s="1"/>
  <c r="AI18" i="28" a="1"/>
  <c r="AI18" i="28" s="1"/>
  <c r="AH18" i="28" a="1"/>
  <c r="AH18" i="28" s="1"/>
  <c r="AG18" i="28" a="1"/>
  <c r="AG18" i="28" s="1"/>
  <c r="AF18" i="28" a="1"/>
  <c r="AF18" i="28" s="1"/>
  <c r="AE18" i="28" a="1"/>
  <c r="AE18" i="28" s="1"/>
  <c r="AI17" i="28" a="1"/>
  <c r="AI17" i="28" s="1"/>
  <c r="AH17" i="28" a="1"/>
  <c r="AH17" i="28" s="1"/>
  <c r="AG17" i="28" a="1"/>
  <c r="AG17" i="28" s="1"/>
  <c r="AF17" i="28" a="1"/>
  <c r="AF17" i="28" s="1"/>
  <c r="AE17" i="28" a="1"/>
  <c r="AE17" i="28" s="1"/>
  <c r="AI16" i="28" a="1"/>
  <c r="AI16" i="28" s="1"/>
  <c r="AH16" i="28" a="1"/>
  <c r="AH16" i="28" s="1"/>
  <c r="AG16" i="28" a="1"/>
  <c r="AG16" i="28" s="1"/>
  <c r="AF16" i="28" a="1"/>
  <c r="AF16" i="28" s="1"/>
  <c r="AE16" i="28" a="1"/>
  <c r="AE16" i="28" s="1"/>
  <c r="AI15" i="28" a="1"/>
  <c r="AI15" i="28" s="1"/>
  <c r="AH15" i="28" a="1"/>
  <c r="AH15" i="28" s="1"/>
  <c r="AG15" i="28" a="1"/>
  <c r="AG15" i="28" s="1"/>
  <c r="AF15" i="28" a="1"/>
  <c r="AF15" i="28" s="1"/>
  <c r="AE15" i="28" a="1"/>
  <c r="AE15" i="28" s="1"/>
  <c r="AI14" i="28" a="1"/>
  <c r="AI14" i="28" s="1"/>
  <c r="AH14" i="28" a="1"/>
  <c r="AH14" i="28" s="1"/>
  <c r="AG14" i="28" a="1"/>
  <c r="AG14" i="28" s="1"/>
  <c r="AF14" i="28" a="1"/>
  <c r="AF14" i="28" s="1"/>
  <c r="AE14" i="28" a="1"/>
  <c r="AE14" i="28" s="1"/>
  <c r="AI13" i="28" a="1"/>
  <c r="AI13" i="28" s="1"/>
  <c r="AH13" i="28" a="1"/>
  <c r="AH13" i="28" s="1"/>
  <c r="AG13" i="28" a="1"/>
  <c r="AG13" i="28" s="1"/>
  <c r="AF13" i="28" a="1"/>
  <c r="AF13" i="28" s="1"/>
  <c r="AE13" i="28" a="1"/>
  <c r="AE13" i="28" s="1"/>
  <c r="AI12" i="28" a="1"/>
  <c r="AI12" i="28" s="1"/>
  <c r="AH12" i="28" a="1"/>
  <c r="AH12" i="28" s="1"/>
  <c r="AG12" i="28" a="1"/>
  <c r="AG12" i="28" s="1"/>
  <c r="AF12" i="28" a="1"/>
  <c r="AF12" i="28" s="1"/>
  <c r="AE12" i="28" a="1"/>
  <c r="AE12" i="28" s="1"/>
  <c r="AI11" i="28" a="1"/>
  <c r="AI11" i="28" s="1"/>
  <c r="AH11" i="28" a="1"/>
  <c r="AH11" i="28" s="1"/>
  <c r="AG11" i="28" a="1"/>
  <c r="AG11" i="28" s="1"/>
  <c r="AF11" i="28" a="1"/>
  <c r="AF11" i="28" s="1"/>
  <c r="AE11" i="28" a="1"/>
  <c r="AE11" i="28" s="1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I9" i="28"/>
  <c r="AH9" i="28"/>
  <c r="AG9" i="28"/>
  <c r="AF9" i="28"/>
  <c r="AE9" i="28"/>
  <c r="AD9" i="28"/>
  <c r="AB3" i="28"/>
  <c r="AB2" i="28"/>
  <c r="AB2" i="28" a="1"/>
  <c r="CA63" i="28" a="1"/>
  <c r="CA63" i="28" s="1"/>
  <c r="BZ63" i="28" a="1"/>
  <c r="BZ63" i="28" s="1"/>
  <c r="BY63" i="28" a="1"/>
  <c r="BY63" i="28" s="1"/>
  <c r="BX63" i="28" a="1"/>
  <c r="BX63" i="28" s="1"/>
  <c r="BW63" i="28" a="1"/>
  <c r="BW63" i="28" s="1"/>
  <c r="CA62" i="28" a="1"/>
  <c r="CA62" i="28" s="1"/>
  <c r="BZ62" i="28" a="1"/>
  <c r="BZ62" i="28" s="1"/>
  <c r="BY62" i="28"/>
  <c r="BY62" i="28" a="1"/>
  <c r="BX62" i="28" a="1"/>
  <c r="BX62" i="28" s="1"/>
  <c r="BW62" i="28" a="1"/>
  <c r="BW62" i="28" s="1"/>
  <c r="CA61" i="28" a="1"/>
  <c r="CA61" i="28" s="1"/>
  <c r="BZ61" i="28" a="1"/>
  <c r="BZ61" i="28" s="1"/>
  <c r="BY61" i="28" a="1"/>
  <c r="BY61" i="28" s="1"/>
  <c r="BX61" i="28" a="1"/>
  <c r="BX61" i="28" s="1"/>
  <c r="BW61" i="28" a="1"/>
  <c r="BW61" i="28" s="1"/>
  <c r="CA60" i="28"/>
  <c r="CA60" i="28" a="1"/>
  <c r="BZ60" i="28" a="1"/>
  <c r="BZ60" i="28" s="1"/>
  <c r="BY60" i="28" a="1"/>
  <c r="BY60" i="28" s="1"/>
  <c r="BX60" i="28" a="1"/>
  <c r="BX60" i="28" s="1"/>
  <c r="BW60" i="28" a="1"/>
  <c r="BW60" i="28" s="1"/>
  <c r="CA59" i="28" a="1"/>
  <c r="CA59" i="28" s="1"/>
  <c r="BZ59" i="28" a="1"/>
  <c r="BZ59" i="28" s="1"/>
  <c r="BY59" i="28" a="1"/>
  <c r="BY59" i="28" s="1"/>
  <c r="BX59" i="28"/>
  <c r="BX59" i="28" a="1"/>
  <c r="BW59" i="28" a="1"/>
  <c r="BW59" i="28" s="1"/>
  <c r="CA58" i="28" a="1"/>
  <c r="CA58" i="28" s="1"/>
  <c r="BZ58" i="28" a="1"/>
  <c r="BZ58" i="28" s="1"/>
  <c r="BY58" i="28" a="1"/>
  <c r="BY58" i="28" s="1"/>
  <c r="BX58" i="28" a="1"/>
  <c r="BX58" i="28" s="1"/>
  <c r="BW58" i="28" a="1"/>
  <c r="BW58" i="28" s="1"/>
  <c r="CA57" i="28" a="1"/>
  <c r="CA57" i="28" s="1"/>
  <c r="BZ57" i="28"/>
  <c r="BZ57" i="28" a="1"/>
  <c r="BY57" i="28" a="1"/>
  <c r="BY57" i="28" s="1"/>
  <c r="BX57" i="28" a="1"/>
  <c r="BX57" i="28" s="1"/>
  <c r="BW57" i="28" a="1"/>
  <c r="BW57" i="28" s="1"/>
  <c r="CA56" i="28" a="1"/>
  <c r="CA56" i="28" s="1"/>
  <c r="BZ56" i="28" a="1"/>
  <c r="BZ56" i="28" s="1"/>
  <c r="BY56" i="28" a="1"/>
  <c r="BY56" i="28" s="1"/>
  <c r="BX56" i="28" a="1"/>
  <c r="BX56" i="28" s="1"/>
  <c r="BW56" i="28"/>
  <c r="BW56" i="28" a="1"/>
  <c r="CA55" i="28" a="1"/>
  <c r="CA55" i="28" s="1"/>
  <c r="BZ55" i="28" a="1"/>
  <c r="BZ55" i="28" s="1"/>
  <c r="BY55" i="28" a="1"/>
  <c r="BY55" i="28" s="1"/>
  <c r="BX55" i="28" a="1"/>
  <c r="BX55" i="28" s="1"/>
  <c r="BW55" i="28" a="1"/>
  <c r="BW55" i="28" s="1"/>
  <c r="CA54" i="28" a="1"/>
  <c r="CA54" i="28" s="1"/>
  <c r="BZ54" i="28" a="1"/>
  <c r="BZ54" i="28" s="1"/>
  <c r="BY54" i="28"/>
  <c r="BY54" i="28" a="1"/>
  <c r="BX54" i="28" a="1"/>
  <c r="BX54" i="28" s="1"/>
  <c r="BW54" i="28" a="1"/>
  <c r="BW54" i="28" s="1"/>
  <c r="CA53" i="28" a="1"/>
  <c r="CA53" i="28" s="1"/>
  <c r="BZ53" i="28" a="1"/>
  <c r="BZ53" i="28" s="1"/>
  <c r="BY53" i="28" a="1"/>
  <c r="BY53" i="28" s="1"/>
  <c r="BX53" i="28" a="1"/>
  <c r="BX53" i="28" s="1"/>
  <c r="BW53" i="28" a="1"/>
  <c r="BW53" i="28" s="1"/>
  <c r="CA52" i="28"/>
  <c r="CA52" i="28" a="1"/>
  <c r="BZ52" i="28" a="1"/>
  <c r="BZ52" i="28" s="1"/>
  <c r="BY52" i="28" a="1"/>
  <c r="BY52" i="28" s="1"/>
  <c r="BX52" i="28" a="1"/>
  <c r="BX52" i="28" s="1"/>
  <c r="BW52" i="28" a="1"/>
  <c r="BW52" i="28" s="1"/>
  <c r="CA51" i="28" a="1"/>
  <c r="CA51" i="28" s="1"/>
  <c r="BZ51" i="28" a="1"/>
  <c r="BZ51" i="28" s="1"/>
  <c r="BY51" i="28" a="1"/>
  <c r="BY51" i="28" s="1"/>
  <c r="BX51" i="28"/>
  <c r="BX51" i="28" a="1"/>
  <c r="BW51" i="28" a="1"/>
  <c r="BW51" i="28" s="1"/>
  <c r="CA50" i="28" a="1"/>
  <c r="CA50" i="28" s="1"/>
  <c r="BZ50" i="28" a="1"/>
  <c r="BZ50" i="28" s="1"/>
  <c r="BY50" i="28" a="1"/>
  <c r="BY50" i="28" s="1"/>
  <c r="BX50" i="28" a="1"/>
  <c r="BX50" i="28" s="1"/>
  <c r="BW50" i="28" a="1"/>
  <c r="BW50" i="28" s="1"/>
  <c r="CA49" i="28" a="1"/>
  <c r="CA49" i="28" s="1"/>
  <c r="BZ49" i="28"/>
  <c r="BZ49" i="28" a="1"/>
  <c r="BY49" i="28" a="1"/>
  <c r="BY49" i="28" s="1"/>
  <c r="BX49" i="28" a="1"/>
  <c r="BX49" i="28" s="1"/>
  <c r="BW49" i="28" a="1"/>
  <c r="BW49" i="28" s="1"/>
  <c r="CA48" i="28" a="1"/>
  <c r="CA48" i="28" s="1"/>
  <c r="BZ48" i="28" a="1"/>
  <c r="BZ48" i="28" s="1"/>
  <c r="BY48" i="28" a="1"/>
  <c r="BY48" i="28" s="1"/>
  <c r="BX48" i="28" a="1"/>
  <c r="BX48" i="28" s="1"/>
  <c r="BW48" i="28"/>
  <c r="BW48" i="28" a="1"/>
  <c r="CA47" i="28" a="1"/>
  <c r="CA47" i="28" s="1"/>
  <c r="BZ47" i="28" a="1"/>
  <c r="BZ47" i="28" s="1"/>
  <c r="BY47" i="28" a="1"/>
  <c r="BY47" i="28" s="1"/>
  <c r="BX47" i="28" a="1"/>
  <c r="BX47" i="28" s="1"/>
  <c r="BW47" i="28" a="1"/>
  <c r="BW47" i="28" s="1"/>
  <c r="CA46" i="28" a="1"/>
  <c r="CA46" i="28" s="1"/>
  <c r="BZ46" i="28" a="1"/>
  <c r="BZ46" i="28" s="1"/>
  <c r="BY46" i="28"/>
  <c r="BY46" i="28" a="1"/>
  <c r="BX46" i="28" a="1"/>
  <c r="BX46" i="28" s="1"/>
  <c r="BW46" i="28" a="1"/>
  <c r="BW46" i="28" s="1"/>
  <c r="CA45" i="28" a="1"/>
  <c r="CA45" i="28" s="1"/>
  <c r="BZ45" i="28" a="1"/>
  <c r="BZ45" i="28" s="1"/>
  <c r="BY45" i="28" a="1"/>
  <c r="BY45" i="28" s="1"/>
  <c r="BX45" i="28" a="1"/>
  <c r="BX45" i="28" s="1"/>
  <c r="BW45" i="28" a="1"/>
  <c r="BW45" i="28" s="1"/>
  <c r="CA44" i="28"/>
  <c r="CA44" i="28" a="1"/>
  <c r="BZ44" i="28" a="1"/>
  <c r="BZ44" i="28" s="1"/>
  <c r="BY44" i="28" a="1"/>
  <c r="BY44" i="28" s="1"/>
  <c r="BX44" i="28" a="1"/>
  <c r="BX44" i="28" s="1"/>
  <c r="BW44" i="28" a="1"/>
  <c r="BW44" i="28" s="1"/>
  <c r="CA43" i="28" a="1"/>
  <c r="CA43" i="28" s="1"/>
  <c r="BZ43" i="28" a="1"/>
  <c r="BZ43" i="28" s="1"/>
  <c r="BY43" i="28" a="1"/>
  <c r="BY43" i="28" s="1"/>
  <c r="BX43" i="28"/>
  <c r="BX43" i="28" a="1"/>
  <c r="BW43" i="28" a="1"/>
  <c r="BW43" i="28" s="1"/>
  <c r="CA42" i="28" a="1"/>
  <c r="CA42" i="28" s="1"/>
  <c r="BZ42" i="28" a="1"/>
  <c r="BZ42" i="28" s="1"/>
  <c r="BY42" i="28" a="1"/>
  <c r="BY42" i="28" s="1"/>
  <c r="BX42" i="28" a="1"/>
  <c r="BX42" i="28" s="1"/>
  <c r="BW42" i="28" a="1"/>
  <c r="BW42" i="28" s="1"/>
  <c r="CA41" i="28" a="1"/>
  <c r="CA41" i="28" s="1"/>
  <c r="BZ41" i="28"/>
  <c r="BZ41" i="28" a="1"/>
  <c r="BY41" i="28" a="1"/>
  <c r="BY41" i="28" s="1"/>
  <c r="BX41" i="28" a="1"/>
  <c r="BX41" i="28" s="1"/>
  <c r="BW41" i="28" a="1"/>
  <c r="BW41" i="28" s="1"/>
  <c r="CA40" i="28" a="1"/>
  <c r="CA40" i="28" s="1"/>
  <c r="BZ40" i="28" a="1"/>
  <c r="BZ40" i="28" s="1"/>
  <c r="BY40" i="28" a="1"/>
  <c r="BY40" i="28" s="1"/>
  <c r="BX40" i="28" a="1"/>
  <c r="BX40" i="28" s="1"/>
  <c r="BW40" i="28"/>
  <c r="BW40" i="28" a="1"/>
  <c r="CA39" i="28" a="1"/>
  <c r="CA39" i="28" s="1"/>
  <c r="BZ39" i="28" a="1"/>
  <c r="BZ39" i="28" s="1"/>
  <c r="BY39" i="28" a="1"/>
  <c r="BY39" i="28" s="1"/>
  <c r="BX39" i="28" a="1"/>
  <c r="BX39" i="28" s="1"/>
  <c r="BW39" i="28" a="1"/>
  <c r="BW39" i="28" s="1"/>
  <c r="CA38" i="28" a="1"/>
  <c r="CA38" i="28" s="1"/>
  <c r="BZ38" i="28" a="1"/>
  <c r="BZ38" i="28" s="1"/>
  <c r="BY38" i="28" a="1"/>
  <c r="BY38" i="28" s="1"/>
  <c r="BX38" i="28" a="1"/>
  <c r="BX38" i="28" s="1"/>
  <c r="BW38" i="28" a="1"/>
  <c r="BW38" i="28" s="1"/>
  <c r="CA37" i="28" a="1"/>
  <c r="CA37" i="28" s="1"/>
  <c r="BZ37" i="28" a="1"/>
  <c r="BZ37" i="28" s="1"/>
  <c r="BY37" i="28" a="1"/>
  <c r="BY37" i="28" s="1"/>
  <c r="BX37" i="28" a="1"/>
  <c r="BX37" i="28" s="1"/>
  <c r="BW37" i="28" a="1"/>
  <c r="BW37" i="28" s="1"/>
  <c r="CA36" i="28" a="1"/>
  <c r="CA36" i="28" s="1"/>
  <c r="BZ36" i="28" a="1"/>
  <c r="BZ36" i="28" s="1"/>
  <c r="BY36" i="28" a="1"/>
  <c r="BY36" i="28" s="1"/>
  <c r="BX36" i="28" a="1"/>
  <c r="BX36" i="28" s="1"/>
  <c r="BW36" i="28" a="1"/>
  <c r="BW36" i="28" s="1"/>
  <c r="CA35" i="28" a="1"/>
  <c r="CA35" i="28" s="1"/>
  <c r="BZ35" i="28" a="1"/>
  <c r="BZ35" i="28" s="1"/>
  <c r="BY35" i="28" a="1"/>
  <c r="BY35" i="28" s="1"/>
  <c r="BX35" i="28" a="1"/>
  <c r="BX35" i="28" s="1"/>
  <c r="BW35" i="28" a="1"/>
  <c r="BW35" i="28" s="1"/>
  <c r="CA34" i="28" a="1"/>
  <c r="CA34" i="28" s="1"/>
  <c r="BZ34" i="28" a="1"/>
  <c r="BZ34" i="28" s="1"/>
  <c r="BY34" i="28" a="1"/>
  <c r="BY34" i="28" s="1"/>
  <c r="BX34" i="28" a="1"/>
  <c r="BX34" i="28" s="1"/>
  <c r="BW34" i="28" a="1"/>
  <c r="BW34" i="28" s="1"/>
  <c r="CA33" i="28" a="1"/>
  <c r="CA33" i="28" s="1"/>
  <c r="BZ33" i="28" a="1"/>
  <c r="BZ33" i="28" s="1"/>
  <c r="BY33" i="28" a="1"/>
  <c r="BY33" i="28" s="1"/>
  <c r="BX33" i="28" a="1"/>
  <c r="BX33" i="28" s="1"/>
  <c r="BW33" i="28" a="1"/>
  <c r="BW33" i="28" s="1"/>
  <c r="CA32" i="28" a="1"/>
  <c r="CA32" i="28" s="1"/>
  <c r="BZ32" i="28" a="1"/>
  <c r="BZ32" i="28" s="1"/>
  <c r="BY32" i="28" a="1"/>
  <c r="BY32" i="28" s="1"/>
  <c r="BX32" i="28" a="1"/>
  <c r="BX32" i="28" s="1"/>
  <c r="BW32" i="28" a="1"/>
  <c r="BW32" i="28" s="1"/>
  <c r="CA31" i="28" a="1"/>
  <c r="CA31" i="28" s="1"/>
  <c r="BZ31" i="28" a="1"/>
  <c r="BZ31" i="28" s="1"/>
  <c r="BY31" i="28" a="1"/>
  <c r="BY31" i="28" s="1"/>
  <c r="BX31" i="28" a="1"/>
  <c r="BX31" i="28" s="1"/>
  <c r="BW31" i="28" a="1"/>
  <c r="BW31" i="28" s="1"/>
  <c r="CA30" i="28" a="1"/>
  <c r="CA30" i="28" s="1"/>
  <c r="BZ30" i="28" a="1"/>
  <c r="BZ30" i="28" s="1"/>
  <c r="BY30" i="28" a="1"/>
  <c r="BY30" i="28" s="1"/>
  <c r="BX30" i="28" a="1"/>
  <c r="BX30" i="28" s="1"/>
  <c r="BW30" i="28" a="1"/>
  <c r="BW30" i="28" s="1"/>
  <c r="CA29" i="28" a="1"/>
  <c r="CA29" i="28" s="1"/>
  <c r="BZ29" i="28" a="1"/>
  <c r="BZ29" i="28" s="1"/>
  <c r="BY29" i="28" a="1"/>
  <c r="BY29" i="28" s="1"/>
  <c r="BX29" i="28" a="1"/>
  <c r="BX29" i="28" s="1"/>
  <c r="BW29" i="28" a="1"/>
  <c r="BW29" i="28" s="1"/>
  <c r="CA28" i="28" a="1"/>
  <c r="CA28" i="28" s="1"/>
  <c r="BZ28" i="28" a="1"/>
  <c r="BZ28" i="28" s="1"/>
  <c r="BY28" i="28" a="1"/>
  <c r="BY28" i="28" s="1"/>
  <c r="BX28" i="28" a="1"/>
  <c r="BX28" i="28" s="1"/>
  <c r="BW28" i="28" a="1"/>
  <c r="BW28" i="28" s="1"/>
  <c r="CA27" i="28" a="1"/>
  <c r="CA27" i="28" s="1"/>
  <c r="BZ27" i="28" a="1"/>
  <c r="BZ27" i="28" s="1"/>
  <c r="BY27" i="28" a="1"/>
  <c r="BY27" i="28" s="1"/>
  <c r="BX27" i="28" a="1"/>
  <c r="BX27" i="28" s="1"/>
  <c r="BW27" i="28" a="1"/>
  <c r="BW27" i="28" s="1"/>
  <c r="CA26" i="28" a="1"/>
  <c r="CA26" i="28" s="1"/>
  <c r="BZ26" i="28" a="1"/>
  <c r="BZ26" i="28" s="1"/>
  <c r="BY26" i="28" a="1"/>
  <c r="BY26" i="28" s="1"/>
  <c r="BX26" i="28" a="1"/>
  <c r="BX26" i="28" s="1"/>
  <c r="BW26" i="28" a="1"/>
  <c r="BW26" i="28" s="1"/>
  <c r="CA25" i="28" a="1"/>
  <c r="CA25" i="28" s="1"/>
  <c r="BZ25" i="28" a="1"/>
  <c r="BZ25" i="28" s="1"/>
  <c r="BY25" i="28" a="1"/>
  <c r="BY25" i="28" s="1"/>
  <c r="BX25" i="28" a="1"/>
  <c r="BX25" i="28" s="1"/>
  <c r="BW25" i="28" a="1"/>
  <c r="BW25" i="28" s="1"/>
  <c r="CA24" i="28" a="1"/>
  <c r="CA24" i="28" s="1"/>
  <c r="BZ24" i="28" a="1"/>
  <c r="BZ24" i="28" s="1"/>
  <c r="BY24" i="28" a="1"/>
  <c r="BY24" i="28" s="1"/>
  <c r="BX24" i="28" a="1"/>
  <c r="BX24" i="28" s="1"/>
  <c r="BW24" i="28" a="1"/>
  <c r="BW24" i="28" s="1"/>
  <c r="CA23" i="28" a="1"/>
  <c r="CA23" i="28" s="1"/>
  <c r="BZ23" i="28" a="1"/>
  <c r="BZ23" i="28" s="1"/>
  <c r="BY23" i="28" a="1"/>
  <c r="BY23" i="28" s="1"/>
  <c r="BX23" i="28" a="1"/>
  <c r="BX23" i="28" s="1"/>
  <c r="BW23" i="28" a="1"/>
  <c r="BW23" i="28" s="1"/>
  <c r="CA22" i="28" a="1"/>
  <c r="CA22" i="28" s="1"/>
  <c r="BZ22" i="28" a="1"/>
  <c r="BZ22" i="28" s="1"/>
  <c r="BY22" i="28" a="1"/>
  <c r="BY22" i="28" s="1"/>
  <c r="BX22" i="28" a="1"/>
  <c r="BX22" i="28" s="1"/>
  <c r="BW22" i="28" a="1"/>
  <c r="BW22" i="28" s="1"/>
  <c r="CA21" i="28" a="1"/>
  <c r="CA21" i="28" s="1"/>
  <c r="BZ21" i="28" a="1"/>
  <c r="BZ21" i="28" s="1"/>
  <c r="BY21" i="28" a="1"/>
  <c r="BY21" i="28" s="1"/>
  <c r="BX21" i="28" a="1"/>
  <c r="BX21" i="28" s="1"/>
  <c r="BW21" i="28" a="1"/>
  <c r="BW21" i="28" s="1"/>
  <c r="CA20" i="28" a="1"/>
  <c r="CA20" i="28" s="1"/>
  <c r="BZ20" i="28" a="1"/>
  <c r="BZ20" i="28" s="1"/>
  <c r="BY20" i="28" a="1"/>
  <c r="BY20" i="28" s="1"/>
  <c r="BX20" i="28" a="1"/>
  <c r="BX20" i="28" s="1"/>
  <c r="BW20" i="28" a="1"/>
  <c r="BW20" i="28" s="1"/>
  <c r="CA19" i="28" a="1"/>
  <c r="CA19" i="28" s="1"/>
  <c r="BZ19" i="28" a="1"/>
  <c r="BZ19" i="28" s="1"/>
  <c r="BY19" i="28" a="1"/>
  <c r="BY19" i="28" s="1"/>
  <c r="BX19" i="28" a="1"/>
  <c r="BX19" i="28" s="1"/>
  <c r="BW19" i="28" a="1"/>
  <c r="BW19" i="28" s="1"/>
  <c r="CA18" i="28" a="1"/>
  <c r="CA18" i="28" s="1"/>
  <c r="BZ18" i="28" a="1"/>
  <c r="BZ18" i="28" s="1"/>
  <c r="BY18" i="28" a="1"/>
  <c r="BY18" i="28" s="1"/>
  <c r="BX18" i="28" a="1"/>
  <c r="BX18" i="28" s="1"/>
  <c r="BW18" i="28" a="1"/>
  <c r="BW18" i="28" s="1"/>
  <c r="CA17" i="28" a="1"/>
  <c r="CA17" i="28" s="1"/>
  <c r="BZ17" i="28" a="1"/>
  <c r="BZ17" i="28" s="1"/>
  <c r="BY17" i="28" a="1"/>
  <c r="BY17" i="28" s="1"/>
  <c r="BX17" i="28" a="1"/>
  <c r="BX17" i="28" s="1"/>
  <c r="BW17" i="28" a="1"/>
  <c r="BW17" i="28" s="1"/>
  <c r="CA16" i="28" a="1"/>
  <c r="CA16" i="28" s="1"/>
  <c r="BZ16" i="28" a="1"/>
  <c r="BZ16" i="28" s="1"/>
  <c r="BY16" i="28" a="1"/>
  <c r="BY16" i="28" s="1"/>
  <c r="BX16" i="28" a="1"/>
  <c r="BX16" i="28" s="1"/>
  <c r="BW16" i="28" a="1"/>
  <c r="BW16" i="28" s="1"/>
  <c r="CA15" i="28" a="1"/>
  <c r="CA15" i="28" s="1"/>
  <c r="BZ15" i="28" a="1"/>
  <c r="BZ15" i="28" s="1"/>
  <c r="BY15" i="28" a="1"/>
  <c r="BY15" i="28" s="1"/>
  <c r="BX15" i="28" a="1"/>
  <c r="BX15" i="28" s="1"/>
  <c r="BW15" i="28" a="1"/>
  <c r="BW15" i="28" s="1"/>
  <c r="CA14" i="28" a="1"/>
  <c r="CA14" i="28" s="1"/>
  <c r="BZ14" i="28" a="1"/>
  <c r="BZ14" i="28" s="1"/>
  <c r="BY14" i="28" a="1"/>
  <c r="BY14" i="28" s="1"/>
  <c r="BX14" i="28" a="1"/>
  <c r="BX14" i="28" s="1"/>
  <c r="BW14" i="28" a="1"/>
  <c r="BW14" i="28" s="1"/>
  <c r="CA13" i="28" a="1"/>
  <c r="CA13" i="28" s="1"/>
  <c r="BZ13" i="28" a="1"/>
  <c r="BZ13" i="28" s="1"/>
  <c r="BY13" i="28" a="1"/>
  <c r="BY13" i="28" s="1"/>
  <c r="BX13" i="28" a="1"/>
  <c r="BX13" i="28" s="1"/>
  <c r="BW13" i="28" a="1"/>
  <c r="BW13" i="28" s="1"/>
  <c r="CA12" i="28" a="1"/>
  <c r="CA12" i="28" s="1"/>
  <c r="BZ12" i="28" a="1"/>
  <c r="BZ12" i="28" s="1"/>
  <c r="BY12" i="28" a="1"/>
  <c r="BY12" i="28" s="1"/>
  <c r="BX12" i="28" a="1"/>
  <c r="BX12" i="28" s="1"/>
  <c r="BW12" i="28" a="1"/>
  <c r="BW12" i="28" s="1"/>
  <c r="CA11" i="28" a="1"/>
  <c r="CA11" i="28" s="1"/>
  <c r="BZ11" i="28" a="1"/>
  <c r="BZ11" i="28" s="1"/>
  <c r="BY11" i="28" a="1"/>
  <c r="BY11" i="28" s="1"/>
  <c r="BX11" i="28" a="1"/>
  <c r="BX11" i="28" s="1"/>
  <c r="BW11" i="28" a="1"/>
  <c r="BW11" i="28" s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CA9" i="28"/>
  <c r="BZ9" i="28"/>
  <c r="BY9" i="28"/>
  <c r="BX9" i="28"/>
  <c r="BW9" i="28"/>
  <c r="BV9" i="28"/>
  <c r="BT3" i="28"/>
  <c r="BT2" i="28" a="1"/>
  <c r="BT2" i="28" s="1"/>
  <c r="G64" i="28"/>
  <c r="AB64" i="28"/>
  <c r="AW64" i="28"/>
  <c r="CG64" i="28"/>
  <c r="BT98" i="28"/>
  <c r="BT34" i="28"/>
  <c r="BT97" i="28"/>
  <c r="BT33" i="28"/>
  <c r="BT96" i="28"/>
  <c r="BT24" i="28"/>
  <c r="BT87" i="28"/>
  <c r="BT23" i="28"/>
  <c r="BT86" i="28"/>
  <c r="BT22" i="28"/>
  <c r="BT69" i="28"/>
  <c r="BT44" i="28"/>
  <c r="BT59" i="28"/>
  <c r="AB50" i="28"/>
  <c r="AB42" i="28"/>
  <c r="AB34" i="28"/>
  <c r="AB26" i="28"/>
  <c r="AB18" i="28"/>
  <c r="AB70" i="28"/>
  <c r="AB61" i="28"/>
  <c r="AB53" i="28"/>
  <c r="AC112" i="28"/>
  <c r="AC96" i="28"/>
  <c r="AC80" i="28"/>
  <c r="AA63" i="28"/>
  <c r="AA47" i="28"/>
  <c r="AA15" i="28"/>
  <c r="AB112" i="28"/>
  <c r="AB96" i="28"/>
  <c r="AB80" i="28"/>
  <c r="AA26" i="28"/>
  <c r="AA112" i="28"/>
  <c r="AA96" i="28"/>
  <c r="AA80" i="28"/>
  <c r="AC61" i="28"/>
  <c r="AA45" i="28"/>
  <c r="AC43" i="28"/>
  <c r="AC121" i="28"/>
  <c r="AC105" i="28"/>
  <c r="AC89" i="28"/>
  <c r="AC73" i="28"/>
  <c r="AA57" i="28"/>
  <c r="AA35" i="28"/>
  <c r="AB115" i="28"/>
  <c r="AB99" i="28"/>
  <c r="AB83" i="28"/>
  <c r="AC33" i="28"/>
  <c r="AA115" i="28"/>
  <c r="AA99" i="28"/>
  <c r="AA83" i="28"/>
  <c r="AA67" i="28"/>
  <c r="AC51" i="28"/>
  <c r="AA25" i="28"/>
  <c r="AA20" i="28"/>
  <c r="BU108" i="28"/>
  <c r="BU92" i="28"/>
  <c r="BU76" i="28"/>
  <c r="BS59" i="28"/>
  <c r="BS39" i="28"/>
  <c r="BU37" i="28"/>
  <c r="BS32" i="28"/>
  <c r="BS108" i="28"/>
  <c r="BS92" i="28"/>
  <c r="BS76" i="28"/>
  <c r="BU57" i="28"/>
  <c r="BS37" i="28"/>
  <c r="BU119" i="28"/>
  <c r="BU103" i="28"/>
  <c r="BU87" i="28"/>
  <c r="BU71" i="28"/>
  <c r="BU54" i="28"/>
  <c r="BU30" i="28"/>
  <c r="BS16" i="28"/>
  <c r="BS119" i="28"/>
  <c r="BS103" i="28"/>
  <c r="BS87" i="28"/>
  <c r="BS71" i="28"/>
  <c r="BU55" i="28"/>
  <c r="BS33" i="28"/>
  <c r="BT114" i="28"/>
  <c r="BT103" i="28"/>
  <c r="BT68" i="28"/>
  <c r="AB63" i="28"/>
  <c r="AA23" i="28"/>
  <c r="AA100" i="28"/>
  <c r="AC109" i="28"/>
  <c r="AB103" i="28"/>
  <c r="AC55" i="28"/>
  <c r="BS47" i="28"/>
  <c r="BU61" i="28"/>
  <c r="BU58" i="28"/>
  <c r="BS75" i="28"/>
  <c r="AC64" i="28"/>
  <c r="AX64" i="28"/>
  <c r="BS64" i="28"/>
  <c r="BT90" i="28"/>
  <c r="BT26" i="28"/>
  <c r="BT89" i="28"/>
  <c r="BT25" i="28"/>
  <c r="BT88" i="28"/>
  <c r="BT16" i="28"/>
  <c r="BT79" i="28"/>
  <c r="BT15" i="28"/>
  <c r="BT78" i="28"/>
  <c r="BT108" i="28"/>
  <c r="BT61" i="28"/>
  <c r="BT115" i="28"/>
  <c r="BT51" i="28"/>
  <c r="AB49" i="28"/>
  <c r="AB41" i="28"/>
  <c r="AB33" i="28"/>
  <c r="AB25" i="28"/>
  <c r="AB17" i="28"/>
  <c r="AB69" i="28"/>
  <c r="AB60" i="28"/>
  <c r="AB52" i="28"/>
  <c r="AC110" i="28"/>
  <c r="AC94" i="28"/>
  <c r="AC78" i="28"/>
  <c r="AC60" i="28"/>
  <c r="AC42" i="28"/>
  <c r="AA44" i="28"/>
  <c r="AB110" i="28"/>
  <c r="AB94" i="28"/>
  <c r="AB78" i="28"/>
  <c r="AC21" i="28"/>
  <c r="AA110" i="28"/>
  <c r="AA94" i="28"/>
  <c r="AA78" i="28"/>
  <c r="AA60" i="28"/>
  <c r="AC40" i="28"/>
  <c r="AA40" i="28"/>
  <c r="AC119" i="28"/>
  <c r="AC103" i="28"/>
  <c r="AC87" i="28"/>
  <c r="AC71" i="28"/>
  <c r="AC54" i="28"/>
  <c r="AC30" i="28"/>
  <c r="AB113" i="28"/>
  <c r="AB97" i="28"/>
  <c r="AB81" i="28"/>
  <c r="AA30" i="28"/>
  <c r="AA113" i="28"/>
  <c r="AA97" i="28"/>
  <c r="AA81" i="28"/>
  <c r="AA65" i="28"/>
  <c r="AA50" i="28"/>
  <c r="AC20" i="28"/>
  <c r="BU122" i="28"/>
  <c r="BU106" i="28"/>
  <c r="BU90" i="28"/>
  <c r="BU74" i="28"/>
  <c r="BU56" i="28"/>
  <c r="BU34" i="28"/>
  <c r="BS34" i="28"/>
  <c r="BS122" i="28"/>
  <c r="BS106" i="28"/>
  <c r="BS90" i="28"/>
  <c r="BS74" i="28"/>
  <c r="BS56" i="28"/>
  <c r="BU32" i="28"/>
  <c r="BU117" i="28"/>
  <c r="BU101" i="28"/>
  <c r="BU85" i="28"/>
  <c r="BU69" i="28"/>
  <c r="BS53" i="28"/>
  <c r="BS27" i="28"/>
  <c r="BS46" i="28"/>
  <c r="BS117" i="28"/>
  <c r="BS101" i="28"/>
  <c r="BS85" i="28"/>
  <c r="BS69" i="28"/>
  <c r="BS54" i="28"/>
  <c r="BU28" i="28"/>
  <c r="BU39" i="28"/>
  <c r="O64" i="28"/>
  <c r="AY64" i="28"/>
  <c r="BT64" i="28"/>
  <c r="CO64" i="28"/>
  <c r="BT82" i="28"/>
  <c r="BT18" i="28"/>
  <c r="BT81" i="28"/>
  <c r="BT17" i="28"/>
  <c r="BT80" i="28"/>
  <c r="BT84" i="28"/>
  <c r="BT71" i="28"/>
  <c r="BT100" i="28"/>
  <c r="BT70" i="28"/>
  <c r="BT117" i="28"/>
  <c r="BT53" i="28"/>
  <c r="BT107" i="28"/>
  <c r="BT43" i="28"/>
  <c r="AB48" i="28"/>
  <c r="AB40" i="28"/>
  <c r="AB32" i="28"/>
  <c r="AB24" i="28"/>
  <c r="AB16" i="28"/>
  <c r="AB68" i="28"/>
  <c r="AB59" i="28"/>
  <c r="AB51" i="28"/>
  <c r="AC108" i="28"/>
  <c r="AC92" i="28"/>
  <c r="AC76" i="28"/>
  <c r="AA59" i="28"/>
  <c r="AA39" i="28"/>
  <c r="AC39" i="28"/>
  <c r="AB108" i="28"/>
  <c r="AB92" i="28"/>
  <c r="AB76" i="28"/>
  <c r="AA18" i="28"/>
  <c r="AA108" i="28"/>
  <c r="AA92" i="28"/>
  <c r="AA76" i="28"/>
  <c r="AC57" i="28"/>
  <c r="AA37" i="28"/>
  <c r="AC35" i="28"/>
  <c r="AC117" i="28"/>
  <c r="AC101" i="28"/>
  <c r="AC85" i="28"/>
  <c r="AC69" i="28"/>
  <c r="AA53" i="28"/>
  <c r="AA27" i="28"/>
  <c r="AB111" i="28"/>
  <c r="AB95" i="28"/>
  <c r="AB79" i="28"/>
  <c r="AC25" i="28"/>
  <c r="AA111" i="28"/>
  <c r="AA95" i="28"/>
  <c r="AA79" i="28"/>
  <c r="AC63" i="28"/>
  <c r="AC47" i="28"/>
  <c r="AA17" i="28"/>
  <c r="BU120" i="28"/>
  <c r="BU104" i="28"/>
  <c r="BU88" i="28"/>
  <c r="BU72" i="28"/>
  <c r="BS55" i="28"/>
  <c r="BS31" i="28"/>
  <c r="BS26" i="28"/>
  <c r="BS120" i="28"/>
  <c r="BS104" i="28"/>
  <c r="BS88" i="28"/>
  <c r="BS72" i="28"/>
  <c r="BU53" i="28"/>
  <c r="BS29" i="28"/>
  <c r="BU115" i="28"/>
  <c r="BU99" i="28"/>
  <c r="BU83" i="28"/>
  <c r="BU67" i="28"/>
  <c r="BU50" i="28"/>
  <c r="BU22" i="28"/>
  <c r="BU41" i="28"/>
  <c r="BS115" i="28"/>
  <c r="BS99" i="28"/>
  <c r="BS83" i="28"/>
  <c r="BS67" i="28"/>
  <c r="BU51" i="28"/>
  <c r="BS25" i="28"/>
  <c r="BS36" i="28"/>
  <c r="BT49" i="28"/>
  <c r="BT38" i="28"/>
  <c r="AB36" i="28"/>
  <c r="AC116" i="28"/>
  <c r="AB100" i="28"/>
  <c r="AA68" i="28"/>
  <c r="AC93" i="28"/>
  <c r="AB87" i="28"/>
  <c r="AA71" i="28"/>
  <c r="BU80" i="28"/>
  <c r="BS96" i="28"/>
  <c r="BU91" i="28"/>
  <c r="BS107" i="28"/>
  <c r="P64" i="28"/>
  <c r="AK64" i="28"/>
  <c r="BA64" i="28"/>
  <c r="BU64" i="28"/>
  <c r="CP64" i="28"/>
  <c r="BT74" i="28"/>
  <c r="BT76" i="28"/>
  <c r="BT73" i="28"/>
  <c r="BT92" i="28"/>
  <c r="BT72" i="28"/>
  <c r="BT20" i="28"/>
  <c r="BT63" i="28"/>
  <c r="BT52" i="28"/>
  <c r="BT62" i="28"/>
  <c r="BT109" i="28"/>
  <c r="BT45" i="28"/>
  <c r="BT99" i="28"/>
  <c r="BT35" i="28"/>
  <c r="AB47" i="28"/>
  <c r="AB39" i="28"/>
  <c r="AB31" i="28"/>
  <c r="AB23" i="28"/>
  <c r="AB15" i="28"/>
  <c r="AB67" i="28"/>
  <c r="AB58" i="28"/>
  <c r="AC122" i="28"/>
  <c r="AC106" i="28"/>
  <c r="AC90" i="28"/>
  <c r="AC74" i="28"/>
  <c r="AC56" i="28"/>
  <c r="AC34" i="28"/>
  <c r="AB122" i="28"/>
  <c r="AB106" i="28"/>
  <c r="AB90" i="28"/>
  <c r="AC45" i="28"/>
  <c r="AA122" i="28"/>
  <c r="AA106" i="28"/>
  <c r="AA90" i="28"/>
  <c r="AA74" i="28"/>
  <c r="AA56" i="28"/>
  <c r="AC32" i="28"/>
  <c r="AA32" i="28"/>
  <c r="AC115" i="28"/>
  <c r="AC99" i="28"/>
  <c r="AC83" i="28"/>
  <c r="AC67" i="28"/>
  <c r="AC50" i="28"/>
  <c r="AC22" i="28"/>
  <c r="AB109" i="28"/>
  <c r="AB93" i="28"/>
  <c r="AB77" i="28"/>
  <c r="AA22" i="28"/>
  <c r="AA109" i="28"/>
  <c r="AA93" i="28"/>
  <c r="AA77" i="28"/>
  <c r="AA62" i="28"/>
  <c r="AC44" i="28"/>
  <c r="AA28" i="28"/>
  <c r="BU118" i="28"/>
  <c r="BU102" i="28"/>
  <c r="BU86" i="28"/>
  <c r="BU70" i="28"/>
  <c r="BU52" i="28"/>
  <c r="BU26" i="28"/>
  <c r="BU21" i="28"/>
  <c r="BS118" i="28"/>
  <c r="BS102" i="28"/>
  <c r="BS86" i="28"/>
  <c r="BS70" i="28"/>
  <c r="BS52" i="28"/>
  <c r="BU24" i="28"/>
  <c r="BU113" i="28"/>
  <c r="BU97" i="28"/>
  <c r="BU81" i="28"/>
  <c r="BU65" i="28"/>
  <c r="BS49" i="28"/>
  <c r="BS19" i="28"/>
  <c r="BS38" i="28"/>
  <c r="BS113" i="28"/>
  <c r="BS97" i="28"/>
  <c r="BS81" i="28"/>
  <c r="BS65" i="28"/>
  <c r="BS50" i="28"/>
  <c r="BU20" i="28"/>
  <c r="BU23" i="28"/>
  <c r="BU63" i="28"/>
  <c r="BS17" i="28"/>
  <c r="BS40" i="28"/>
  <c r="BT50" i="28"/>
  <c r="BT39" i="28"/>
  <c r="BT75" i="28"/>
  <c r="AB72" i="28"/>
  <c r="AC68" i="28"/>
  <c r="AA34" i="28"/>
  <c r="AC19" i="28"/>
  <c r="AB119" i="28"/>
  <c r="AA87" i="28"/>
  <c r="BU96" i="28"/>
  <c r="BS112" i="28"/>
  <c r="BS45" i="28"/>
  <c r="BU38" i="28"/>
  <c r="BU59" i="28"/>
  <c r="Q64" i="28"/>
  <c r="AL64" i="28"/>
  <c r="CQ64" i="28"/>
  <c r="BT66" i="28"/>
  <c r="BT28" i="28"/>
  <c r="BT65" i="28"/>
  <c r="BT36" i="28"/>
  <c r="BT56" i="28"/>
  <c r="BT119" i="28"/>
  <c r="BT55" i="28"/>
  <c r="BT118" i="28"/>
  <c r="BT54" i="28"/>
  <c r="BT101" i="28"/>
  <c r="BT37" i="28"/>
  <c r="BT91" i="28"/>
  <c r="BT27" i="28"/>
  <c r="AB46" i="28"/>
  <c r="AB38" i="28"/>
  <c r="AB30" i="28"/>
  <c r="AB22" i="28"/>
  <c r="AB74" i="28"/>
  <c r="AB66" i="28"/>
  <c r="AB57" i="28"/>
  <c r="AC120" i="28"/>
  <c r="AC104" i="28"/>
  <c r="AC88" i="28"/>
  <c r="AC72" i="28"/>
  <c r="AA55" i="28"/>
  <c r="AA31" i="28"/>
  <c r="AB120" i="28"/>
  <c r="AB104" i="28"/>
  <c r="AB88" i="28"/>
  <c r="AA42" i="28"/>
  <c r="AA120" i="28"/>
  <c r="AA104" i="28"/>
  <c r="AA88" i="28"/>
  <c r="AA72" i="28"/>
  <c r="AC53" i="28"/>
  <c r="AA29" i="28"/>
  <c r="AC27" i="28"/>
  <c r="AC113" i="28"/>
  <c r="AC97" i="28"/>
  <c r="AC81" i="28"/>
  <c r="AC65" i="28"/>
  <c r="AA49" i="28"/>
  <c r="AA19" i="28"/>
  <c r="AB107" i="28"/>
  <c r="AB91" i="28"/>
  <c r="AB75" i="28"/>
  <c r="AC17" i="28"/>
  <c r="AA107" i="28"/>
  <c r="AA91" i="28"/>
  <c r="AA75" i="28"/>
  <c r="AC59" i="28"/>
  <c r="AA41" i="28"/>
  <c r="AA36" i="28"/>
  <c r="BU116" i="28"/>
  <c r="BU100" i="28"/>
  <c r="BU84" i="28"/>
  <c r="BU68" i="28"/>
  <c r="BS51" i="28"/>
  <c r="BS23" i="28"/>
  <c r="BS18" i="28"/>
  <c r="BS116" i="28"/>
  <c r="BS100" i="28"/>
  <c r="BS84" i="28"/>
  <c r="BS68" i="28"/>
  <c r="BU49" i="28"/>
  <c r="BS21" i="28"/>
  <c r="BU111" i="28"/>
  <c r="BU95" i="28"/>
  <c r="BU79" i="28"/>
  <c r="BU62" i="28"/>
  <c r="BU46" i="28"/>
  <c r="BU25" i="28"/>
  <c r="BU33" i="28"/>
  <c r="BS111" i="28"/>
  <c r="BS95" i="28"/>
  <c r="BS79" i="28"/>
  <c r="BU47" i="28"/>
  <c r="BU15" i="28"/>
  <c r="AO64" i="28"/>
  <c r="BT113" i="28"/>
  <c r="BT85" i="28"/>
  <c r="AB28" i="28"/>
  <c r="AC100" i="28"/>
  <c r="AB116" i="28"/>
  <c r="AA84" i="28"/>
  <c r="AC77" i="28"/>
  <c r="AA119" i="28"/>
  <c r="AC31" i="28"/>
  <c r="BS15" i="28"/>
  <c r="BU43" i="28"/>
  <c r="BS20" i="28"/>
  <c r="BS41" i="28"/>
  <c r="C64" i="28"/>
  <c r="S64" i="28"/>
  <c r="AM64" i="28"/>
  <c r="BI64" i="28"/>
  <c r="CC64" i="28"/>
  <c r="BT122" i="28"/>
  <c r="BT58" i="28"/>
  <c r="BT121" i="28"/>
  <c r="BT57" i="28"/>
  <c r="BT120" i="28"/>
  <c r="BT48" i="28"/>
  <c r="BT111" i="28"/>
  <c r="BT47" i="28"/>
  <c r="BT110" i="28"/>
  <c r="BT46" i="28"/>
  <c r="BT93" i="28"/>
  <c r="BT29" i="28"/>
  <c r="BT83" i="28"/>
  <c r="BT19" i="28"/>
  <c r="AB45" i="28"/>
  <c r="AB37" i="28"/>
  <c r="AB29" i="28"/>
  <c r="AB21" i="28"/>
  <c r="AB73" i="28"/>
  <c r="AB65" i="28"/>
  <c r="AB56" i="28"/>
  <c r="AC118" i="28"/>
  <c r="AC102" i="28"/>
  <c r="AC86" i="28"/>
  <c r="AC70" i="28"/>
  <c r="AC52" i="28"/>
  <c r="AC26" i="28"/>
  <c r="AB118" i="28"/>
  <c r="AB102" i="28"/>
  <c r="AB86" i="28"/>
  <c r="AC37" i="28"/>
  <c r="AA118" i="28"/>
  <c r="AA102" i="28"/>
  <c r="AA86" i="28"/>
  <c r="AA70" i="28"/>
  <c r="AA52" i="28"/>
  <c r="AC24" i="28"/>
  <c r="AA24" i="28"/>
  <c r="AC111" i="28"/>
  <c r="AC95" i="28"/>
  <c r="AC79" i="28"/>
  <c r="AC62" i="28"/>
  <c r="AC46" i="28"/>
  <c r="AB121" i="28"/>
  <c r="AB105" i="28"/>
  <c r="AB89" i="28"/>
  <c r="AA46" i="28"/>
  <c r="AA121" i="28"/>
  <c r="AA105" i="28"/>
  <c r="AA89" i="28"/>
  <c r="AA73" i="28"/>
  <c r="AA58" i="28"/>
  <c r="AC36" i="28"/>
  <c r="AC15" i="28"/>
  <c r="BU114" i="28"/>
  <c r="BU98" i="28"/>
  <c r="BU82" i="28"/>
  <c r="BU66" i="28"/>
  <c r="BU48" i="28"/>
  <c r="BU18" i="28"/>
  <c r="BS24" i="28"/>
  <c r="BS114" i="28"/>
  <c r="BS98" i="28"/>
  <c r="BS82" i="28"/>
  <c r="BS66" i="28"/>
  <c r="BS48" i="28"/>
  <c r="BU16" i="28"/>
  <c r="BU109" i="28"/>
  <c r="BU93" i="28"/>
  <c r="BU77" i="28"/>
  <c r="BS61" i="28"/>
  <c r="BS43" i="28"/>
  <c r="BS22" i="28"/>
  <c r="BS30" i="28"/>
  <c r="BS109" i="28"/>
  <c r="BS93" i="28"/>
  <c r="BS77" i="28"/>
  <c r="BS62" i="28"/>
  <c r="BU44" i="28"/>
  <c r="BS44" i="28"/>
  <c r="D64" i="28"/>
  <c r="BT112" i="28"/>
  <c r="BT102" i="28"/>
  <c r="AB44" i="28"/>
  <c r="AB55" i="28"/>
  <c r="AA51" i="28"/>
  <c r="AA116" i="28"/>
  <c r="AA21" i="28"/>
  <c r="AA43" i="28"/>
  <c r="AC41" i="28"/>
  <c r="AA33" i="28"/>
  <c r="BS63" i="28"/>
  <c r="BS80" i="28"/>
  <c r="BU75" i="28"/>
  <c r="BS91" i="28"/>
  <c r="BU19" i="28"/>
  <c r="E64" i="28"/>
  <c r="AA64" i="28"/>
  <c r="BK64" i="28"/>
  <c r="CE64" i="28"/>
  <c r="BT106" i="28"/>
  <c r="BT42" i="28"/>
  <c r="BT105" i="28"/>
  <c r="BT41" i="28"/>
  <c r="BT104" i="28"/>
  <c r="BT32" i="28"/>
  <c r="BT95" i="28"/>
  <c r="BT31" i="28"/>
  <c r="BT94" i="28"/>
  <c r="BT30" i="28"/>
  <c r="BT77" i="28"/>
  <c r="BT116" i="28"/>
  <c r="BT67" i="28"/>
  <c r="BT60" i="28"/>
  <c r="AB43" i="28"/>
  <c r="AB35" i="28"/>
  <c r="AB27" i="28"/>
  <c r="AB19" i="28"/>
  <c r="AB71" i="28"/>
  <c r="AB62" i="28"/>
  <c r="AB54" i="28"/>
  <c r="AC114" i="28"/>
  <c r="AC98" i="28"/>
  <c r="AC82" i="28"/>
  <c r="AC66" i="28"/>
  <c r="AC48" i="28"/>
  <c r="AC18" i="28"/>
  <c r="AB114" i="28"/>
  <c r="AB98" i="28"/>
  <c r="AB82" i="28"/>
  <c r="AC29" i="28"/>
  <c r="AA114" i="28"/>
  <c r="AA98" i="28"/>
  <c r="AA82" i="28"/>
  <c r="AA66" i="28"/>
  <c r="AA48" i="28"/>
  <c r="AC16" i="28"/>
  <c r="AA16" i="28"/>
  <c r="AC107" i="28"/>
  <c r="AC91" i="28"/>
  <c r="AC75" i="28"/>
  <c r="AC58" i="28"/>
  <c r="AC38" i="28"/>
  <c r="AB117" i="28"/>
  <c r="AB101" i="28"/>
  <c r="AB85" i="28"/>
  <c r="AA38" i="28"/>
  <c r="AA117" i="28"/>
  <c r="AA101" i="28"/>
  <c r="AA85" i="28"/>
  <c r="AA69" i="28"/>
  <c r="AA54" i="28"/>
  <c r="AC28" i="28"/>
  <c r="AC23" i="28"/>
  <c r="BU110" i="28"/>
  <c r="BU94" i="28"/>
  <c r="BU78" i="28"/>
  <c r="BU60" i="28"/>
  <c r="BU42" i="28"/>
  <c r="BS42" i="28"/>
  <c r="BU29" i="28"/>
  <c r="BS110" i="28"/>
  <c r="BS94" i="28"/>
  <c r="BS78" i="28"/>
  <c r="BS60" i="28"/>
  <c r="BU40" i="28"/>
  <c r="BU121" i="28"/>
  <c r="BU105" i="28"/>
  <c r="BU89" i="28"/>
  <c r="BU73" i="28"/>
  <c r="BS57" i="28"/>
  <c r="BS35" i="28"/>
  <c r="BU27" i="28"/>
  <c r="BS121" i="28"/>
  <c r="BS105" i="28"/>
  <c r="BS89" i="28"/>
  <c r="BS73" i="28"/>
  <c r="BS58" i="28"/>
  <c r="BU36" i="28"/>
  <c r="BS28" i="28"/>
  <c r="BU35" i="28"/>
  <c r="CD64" i="28"/>
  <c r="BT40" i="28"/>
  <c r="BT21" i="28"/>
  <c r="AB20" i="28"/>
  <c r="AC84" i="28"/>
  <c r="AB84" i="28"/>
  <c r="AC49" i="28"/>
  <c r="AA61" i="28"/>
  <c r="AA103" i="28"/>
  <c r="BU112" i="28"/>
  <c r="BU45" i="28"/>
  <c r="BU107" i="28"/>
  <c r="BU17" i="28"/>
  <c r="BU31" i="28"/>
  <c r="G13" i="5" l="1"/>
  <c r="H13" i="5" s="1"/>
  <c r="Z6" i="5"/>
  <c r="Z10" i="5"/>
  <c r="G29" i="5"/>
  <c r="H29" i="5" s="1"/>
  <c r="AD10" i="28"/>
  <c r="BV10" i="28"/>
  <c r="Z8" i="28"/>
  <c r="Z9" i="28" s="1"/>
  <c r="AC8" i="28"/>
  <c r="AA9" i="28"/>
  <c r="I6" i="3" s="1"/>
  <c r="AB8" i="28"/>
  <c r="AC9" i="28"/>
  <c r="AA8" i="28"/>
  <c r="H6" i="3" s="1"/>
  <c r="AH8" i="28"/>
  <c r="AH10" i="28" s="1"/>
  <c r="AE8" i="28"/>
  <c r="AE10" i="28" s="1"/>
  <c r="AI8" i="28"/>
  <c r="AI10" i="28" s="1"/>
  <c r="AF8" i="28"/>
  <c r="AF10" i="28" s="1"/>
  <c r="AG8" i="28"/>
  <c r="AG10" i="28" s="1"/>
  <c r="BW8" i="28"/>
  <c r="BW10" i="28" s="1"/>
  <c r="BY8" i="28"/>
  <c r="BY10" i="28" s="1"/>
  <c r="CA8" i="28"/>
  <c r="CA10" i="28" s="1"/>
  <c r="BR8" i="28"/>
  <c r="BR9" i="28" s="1"/>
  <c r="BU8" i="28"/>
  <c r="BT8" i="28"/>
  <c r="BS9" i="28"/>
  <c r="I10" i="3" s="1"/>
  <c r="BU9" i="28"/>
  <c r="BS8" i="28"/>
  <c r="H10" i="3" s="1"/>
  <c r="BZ8" i="28"/>
  <c r="BZ10" i="28" s="1"/>
  <c r="BX8" i="28"/>
  <c r="BX10" i="28" s="1"/>
  <c r="AA10" i="28" l="1"/>
  <c r="AC10" i="28"/>
  <c r="BU10" i="28"/>
  <c r="BS10" i="28"/>
  <c r="BT9" i="28"/>
  <c r="AB9" i="28"/>
  <c r="AB10" i="28" l="1"/>
  <c r="G6" i="3" s="1"/>
  <c r="L6" i="3" s="1"/>
  <c r="BT10" i="28"/>
  <c r="G10" i="3" s="1"/>
  <c r="D190" i="31" l="1" a="1"/>
  <c r="D190" i="31" s="1"/>
  <c r="D189" i="31" a="1"/>
  <c r="D189" i="31" s="1"/>
  <c r="S189" i="31" s="1"/>
  <c r="D188" i="31" a="1"/>
  <c r="D188" i="31" s="1"/>
  <c r="D187" i="31" a="1"/>
  <c r="D187" i="31" s="1"/>
  <c r="Q203" i="31" a="1"/>
  <c r="Q203" i="31" s="1"/>
  <c r="Q202" i="31" a="1"/>
  <c r="Q202" i="31" s="1"/>
  <c r="Q201" i="31"/>
  <c r="Q201" i="31" a="1"/>
  <c r="Q200" i="31" a="1"/>
  <c r="Q200" i="31" s="1"/>
  <c r="Q199" i="31" a="1"/>
  <c r="Q199" i="31" s="1"/>
  <c r="Q198" i="31" a="1"/>
  <c r="Q198" i="31" s="1"/>
  <c r="Q197" i="31"/>
  <c r="Q197" i="31" a="1"/>
  <c r="Q196" i="31" a="1"/>
  <c r="Q196" i="31" s="1"/>
  <c r="Q195" i="31" a="1"/>
  <c r="Q195" i="31" s="1"/>
  <c r="Q194" i="31" a="1"/>
  <c r="Q194" i="31" s="1"/>
  <c r="Q193" i="31"/>
  <c r="Q193" i="31" a="1"/>
  <c r="Q192" i="31" a="1"/>
  <c r="Q192" i="31" s="1"/>
  <c r="P221" i="31"/>
  <c r="P221" i="31" a="1"/>
  <c r="P220" i="31"/>
  <c r="P220" i="31" a="1"/>
  <c r="P219" i="31" a="1"/>
  <c r="P219" i="31" s="1"/>
  <c r="P218" i="31" a="1"/>
  <c r="P218" i="31" s="1"/>
  <c r="P217" i="31"/>
  <c r="P217" i="31" a="1"/>
  <c r="P216" i="31"/>
  <c r="P216" i="31" a="1"/>
  <c r="P215" i="31" a="1"/>
  <c r="P215" i="31" s="1"/>
  <c r="P214" i="31" a="1"/>
  <c r="P214" i="31" s="1"/>
  <c r="P213" i="31" a="1"/>
  <c r="P213" i="31" s="1"/>
  <c r="P212" i="31"/>
  <c r="P212" i="31" a="1"/>
  <c r="P211" i="31" a="1"/>
  <c r="P211" i="31" s="1"/>
  <c r="P210" i="31" a="1"/>
  <c r="P210" i="31" s="1"/>
  <c r="P209" i="31" a="1"/>
  <c r="P209" i="31" s="1"/>
  <c r="P208" i="31"/>
  <c r="P208" i="31" a="1"/>
  <c r="P207" i="31" a="1"/>
  <c r="P207" i="31" s="1"/>
  <c r="P179" i="31"/>
  <c r="P179" i="31" a="1"/>
  <c r="P178" i="31"/>
  <c r="P178" i="31" a="1"/>
  <c r="P177" i="31"/>
  <c r="P177" i="31" a="1"/>
  <c r="P176" i="31"/>
  <c r="P176" i="31" a="1"/>
  <c r="P175" i="31"/>
  <c r="P175" i="31" a="1"/>
  <c r="P174" i="31"/>
  <c r="P174" i="31" a="1"/>
  <c r="P173" i="31"/>
  <c r="P173" i="31" a="1"/>
  <c r="P172" i="31"/>
  <c r="P172" i="31" a="1"/>
  <c r="P171" i="31"/>
  <c r="P171" i="31" a="1"/>
  <c r="P170" i="31" a="1"/>
  <c r="P170" i="31" s="1"/>
  <c r="P169" i="31" a="1"/>
  <c r="P169" i="31" s="1"/>
  <c r="P168" i="31"/>
  <c r="P168" i="31" a="1"/>
  <c r="P167" i="31"/>
  <c r="P167" i="31" a="1"/>
  <c r="P166" i="31" a="1"/>
  <c r="P166" i="31" s="1"/>
  <c r="P165" i="31" a="1"/>
  <c r="P165" i="31" s="1"/>
  <c r="P164" i="31"/>
  <c r="P164" i="31" a="1"/>
  <c r="P159" i="31"/>
  <c r="P156" i="31"/>
  <c r="P156" i="31" a="1"/>
  <c r="P155" i="31"/>
  <c r="P154" i="31" s="1"/>
  <c r="P155" i="31" a="1"/>
  <c r="P153" i="31"/>
  <c r="P153" i="31" a="1"/>
  <c r="P152" i="31"/>
  <c r="P152" i="31" a="1"/>
  <c r="P151" i="31" a="1"/>
  <c r="P151" i="31" s="1"/>
  <c r="P150" i="31" a="1"/>
  <c r="P150" i="31" s="1"/>
  <c r="P149" i="31" a="1"/>
  <c r="P149" i="31" s="1"/>
  <c r="P148" i="31"/>
  <c r="P148" i="31" a="1"/>
  <c r="P147" i="31" a="1"/>
  <c r="P147" i="31" s="1"/>
  <c r="P146" i="31" a="1"/>
  <c r="P146" i="31" s="1"/>
  <c r="P145" i="31" a="1"/>
  <c r="P145" i="31" s="1"/>
  <c r="P144" i="31"/>
  <c r="P143" i="31" s="1"/>
  <c r="P144" i="31" a="1"/>
  <c r="P142" i="31"/>
  <c r="P141" i="31" s="1"/>
  <c r="P142" i="31" a="1"/>
  <c r="P140" i="31" a="1"/>
  <c r="P140" i="31" s="1"/>
  <c r="P139" i="31" s="1"/>
  <c r="P138" i="31"/>
  <c r="P138" i="31" a="1"/>
  <c r="P137" i="31"/>
  <c r="P137" i="31" a="1"/>
  <c r="P136" i="31"/>
  <c r="P136" i="31" a="1"/>
  <c r="P135" i="31" a="1"/>
  <c r="P135" i="31" s="1"/>
  <c r="P134" i="31" s="1"/>
  <c r="P133" i="31" a="1"/>
  <c r="P133" i="31" s="1"/>
  <c r="P132" i="31" a="1"/>
  <c r="P132" i="31" s="1"/>
  <c r="P131" i="31" a="1"/>
  <c r="P131" i="31" s="1"/>
  <c r="P130" i="31"/>
  <c r="P130" i="31" a="1"/>
  <c r="P129" i="31" a="1"/>
  <c r="P129" i="31" s="1"/>
  <c r="P128" i="31" a="1"/>
  <c r="P128" i="31" s="1"/>
  <c r="P127" i="31" a="1"/>
  <c r="P127" i="31" s="1"/>
  <c r="P126" i="31"/>
  <c r="P126" i="31" a="1"/>
  <c r="P125" i="31" a="1"/>
  <c r="P125" i="31" s="1"/>
  <c r="P124" i="31" a="1"/>
  <c r="P124" i="31" s="1"/>
  <c r="P123" i="31" a="1"/>
  <c r="P123" i="31" s="1"/>
  <c r="P122" i="31" a="1"/>
  <c r="P122" i="31" s="1"/>
  <c r="P121" i="31" a="1"/>
  <c r="P121" i="31" s="1"/>
  <c r="P119" i="31"/>
  <c r="P119" i="31" a="1"/>
  <c r="P118" i="31"/>
  <c r="P118" i="31" a="1"/>
  <c r="P117" i="31"/>
  <c r="P117" i="31" a="1"/>
  <c r="P116" i="31"/>
  <c r="P116" i="31" a="1"/>
  <c r="P115" i="31"/>
  <c r="P115" i="31" a="1"/>
  <c r="P114" i="31" a="1"/>
  <c r="P114" i="31" s="1"/>
  <c r="P113" i="31"/>
  <c r="P113" i="31" a="1"/>
  <c r="P112" i="31"/>
  <c r="P112" i="31" a="1"/>
  <c r="P111" i="31"/>
  <c r="P111" i="31" a="1"/>
  <c r="P110" i="31" a="1"/>
  <c r="P110" i="31" s="1"/>
  <c r="P109" i="31"/>
  <c r="P109" i="31" a="1"/>
  <c r="P108" i="31"/>
  <c r="P108" i="31" a="1"/>
  <c r="P107" i="31" a="1"/>
  <c r="P107" i="31" s="1"/>
  <c r="P106" i="31" a="1"/>
  <c r="P106" i="31" s="1"/>
  <c r="P105" i="31"/>
  <c r="P105" i="31" a="1"/>
  <c r="P104" i="31"/>
  <c r="P104" i="31" a="1"/>
  <c r="P103" i="31" a="1"/>
  <c r="P103" i="31" s="1"/>
  <c r="P102" i="31" a="1"/>
  <c r="P102" i="31" s="1"/>
  <c r="P101" i="31"/>
  <c r="P101" i="31" a="1"/>
  <c r="P100" i="31"/>
  <c r="P100" i="31" a="1"/>
  <c r="P99" i="31" a="1"/>
  <c r="P99" i="31" s="1"/>
  <c r="P98" i="31" a="1"/>
  <c r="P98" i="31" s="1"/>
  <c r="P97" i="31"/>
  <c r="P97" i="31" a="1"/>
  <c r="P96" i="31"/>
  <c r="P96" i="31" a="1"/>
  <c r="P95" i="31" a="1"/>
  <c r="P95" i="31" s="1"/>
  <c r="P93" i="31"/>
  <c r="P93" i="31" a="1"/>
  <c r="P92" i="31" a="1"/>
  <c r="P92" i="31" s="1"/>
  <c r="P91" i="31" a="1"/>
  <c r="P91" i="31" s="1"/>
  <c r="P90" i="31"/>
  <c r="P90" i="31" a="1"/>
  <c r="P89" i="31"/>
  <c r="P89" i="31" a="1"/>
  <c r="P88" i="31" a="1"/>
  <c r="P88" i="31" s="1"/>
  <c r="P87" i="31" a="1"/>
  <c r="P87" i="31" s="1"/>
  <c r="P86" i="31"/>
  <c r="P86" i="31" a="1"/>
  <c r="P85" i="31"/>
  <c r="P85" i="31" a="1"/>
  <c r="P84" i="31" a="1"/>
  <c r="P84" i="31" s="1"/>
  <c r="P83" i="31" a="1"/>
  <c r="P83" i="31" s="1"/>
  <c r="P82" i="31" a="1"/>
  <c r="P82" i="31" s="1"/>
  <c r="P80" i="31"/>
  <c r="P80" i="31" a="1"/>
  <c r="P79" i="31"/>
  <c r="P79" i="31" a="1"/>
  <c r="P78" i="31" a="1"/>
  <c r="P78" i="31" s="1"/>
  <c r="P77" i="31" a="1"/>
  <c r="P77" i="31" s="1"/>
  <c r="P75" i="31" a="1"/>
  <c r="P75" i="31" s="1"/>
  <c r="P74" i="31" s="1"/>
  <c r="P73" i="31" a="1"/>
  <c r="P73" i="31" s="1"/>
  <c r="P72" i="31" s="1"/>
  <c r="P71" i="31"/>
  <c r="P70" i="31" s="1"/>
  <c r="P71" i="31" a="1"/>
  <c r="P69" i="31"/>
  <c r="P69" i="31" a="1"/>
  <c r="P68" i="31" a="1"/>
  <c r="P68" i="31" s="1"/>
  <c r="P67" i="31" a="1"/>
  <c r="P67" i="31" s="1"/>
  <c r="P65" i="31" a="1"/>
  <c r="P65" i="31" s="1"/>
  <c r="P64" i="31" s="1"/>
  <c r="P63" i="31" a="1"/>
  <c r="P63" i="31" s="1"/>
  <c r="P62" i="31" a="1"/>
  <c r="P62" i="31" s="1"/>
  <c r="P61" i="31"/>
  <c r="P61" i="31" a="1"/>
  <c r="P60" i="31"/>
  <c r="P60" i="31" a="1"/>
  <c r="P59" i="31" a="1"/>
  <c r="P59" i="31" s="1"/>
  <c r="P58" i="31" a="1"/>
  <c r="P58" i="31" s="1"/>
  <c r="P57" i="31"/>
  <c r="P57" i="31" a="1"/>
  <c r="P56" i="31"/>
  <c r="P56" i="31" a="1"/>
  <c r="P55" i="31" a="1"/>
  <c r="P55" i="31" s="1"/>
  <c r="P54" i="31" a="1"/>
  <c r="P54" i="31" s="1"/>
  <c r="P53" i="31" a="1"/>
  <c r="P53" i="31" s="1"/>
  <c r="P52" i="31"/>
  <c r="P52" i="31" a="1"/>
  <c r="P50" i="31"/>
  <c r="P50" i="31" a="1"/>
  <c r="P49" i="31"/>
  <c r="P49" i="31" a="1"/>
  <c r="P48" i="31" a="1"/>
  <c r="P48" i="31" s="1"/>
  <c r="P47" i="31"/>
  <c r="P47" i="31" a="1"/>
  <c r="P46" i="31"/>
  <c r="P46" i="31" a="1"/>
  <c r="P45" i="31"/>
  <c r="P45" i="31" a="1"/>
  <c r="P44" i="31" a="1"/>
  <c r="P44" i="31" s="1"/>
  <c r="P43" i="31" s="1"/>
  <c r="P42" i="31" a="1"/>
  <c r="P42" i="31" s="1"/>
  <c r="P41" i="31" a="1"/>
  <c r="P41" i="31" s="1"/>
  <c r="P40" i="31"/>
  <c r="P40" i="31" a="1"/>
  <c r="P39" i="31"/>
  <c r="P39" i="31" a="1"/>
  <c r="P38" i="31" a="1"/>
  <c r="P38" i="31" s="1"/>
  <c r="P37" i="31" a="1"/>
  <c r="P37" i="31" s="1"/>
  <c r="P36" i="31" a="1"/>
  <c r="P36" i="31" s="1"/>
  <c r="P35" i="31"/>
  <c r="P35" i="31" a="1"/>
  <c r="P34" i="31" a="1"/>
  <c r="P34" i="31" s="1"/>
  <c r="P33" i="31" a="1"/>
  <c r="P33" i="31" s="1"/>
  <c r="N3" i="30"/>
  <c r="A6" i="30" a="1"/>
  <c r="A6" i="30" s="1"/>
  <c r="G6" i="30" a="1"/>
  <c r="G6" i="30" s="1"/>
  <c r="D186" i="31" a="1"/>
  <c r="D186" i="31" s="1"/>
  <c r="Q6" i="31"/>
  <c r="D18" i="31"/>
  <c r="I20" i="31"/>
  <c r="F18" i="31"/>
  <c r="K20" i="31"/>
  <c r="P8" i="31"/>
  <c r="Q20" i="31"/>
  <c r="H16" i="31"/>
  <c r="P18" i="31"/>
  <c r="Q15" i="31"/>
  <c r="L18" i="31"/>
  <c r="O18" i="31"/>
  <c r="P12" i="31"/>
  <c r="D20" i="31"/>
  <c r="N18" i="31"/>
  <c r="H8" i="31"/>
  <c r="M16" i="31"/>
  <c r="P19" i="31"/>
  <c r="N20" i="31"/>
  <c r="BJ47" i="28"/>
  <c r="N8" i="31"/>
  <c r="P17" i="31"/>
  <c r="G16" i="31"/>
  <c r="I18" i="31"/>
  <c r="E16" i="31"/>
  <c r="O19" i="31"/>
  <c r="P27" i="31"/>
  <c r="F20" i="31"/>
  <c r="E19" i="31"/>
  <c r="P9" i="31"/>
  <c r="P24" i="31"/>
  <c r="D8" i="31"/>
  <c r="H20" i="31"/>
  <c r="I16" i="31"/>
  <c r="N19" i="31"/>
  <c r="G18" i="31"/>
  <c r="Q18" i="31"/>
  <c r="F19" i="31"/>
  <c r="L20" i="31"/>
  <c r="P13" i="31"/>
  <c r="J8" i="31"/>
  <c r="K8" i="31"/>
  <c r="Q7" i="31"/>
  <c r="J19" i="31"/>
  <c r="Q14" i="31"/>
  <c r="O16" i="31"/>
  <c r="P6" i="31"/>
  <c r="O8" i="31"/>
  <c r="Q16" i="31"/>
  <c r="M18" i="31"/>
  <c r="L8" i="31"/>
  <c r="I8" i="31"/>
  <c r="Q9" i="31"/>
  <c r="H18" i="31"/>
  <c r="Q21" i="31"/>
  <c r="P14" i="31"/>
  <c r="F8" i="31"/>
  <c r="P20" i="31"/>
  <c r="F16" i="31"/>
  <c r="H19" i="31"/>
  <c r="P28" i="31"/>
  <c r="M8" i="31"/>
  <c r="K16" i="31"/>
  <c r="Q23" i="31"/>
  <c r="N16" i="31"/>
  <c r="Q28" i="31"/>
  <c r="Q19" i="31"/>
  <c r="Q5" i="31"/>
  <c r="Q24" i="31"/>
  <c r="E18" i="31"/>
  <c r="J20" i="31"/>
  <c r="D16" i="31"/>
  <c r="Q8" i="31"/>
  <c r="Q27" i="31"/>
  <c r="M20" i="31"/>
  <c r="L16" i="31"/>
  <c r="P11" i="31"/>
  <c r="D19" i="31"/>
  <c r="P23" i="31"/>
  <c r="Q25" i="31"/>
  <c r="E20" i="31"/>
  <c r="Q12" i="31"/>
  <c r="G20" i="31"/>
  <c r="P7" i="31"/>
  <c r="J16" i="31"/>
  <c r="P16" i="31"/>
  <c r="L19" i="31"/>
  <c r="Q13" i="31"/>
  <c r="P25" i="31"/>
  <c r="M19" i="31"/>
  <c r="Q17" i="31"/>
  <c r="J18" i="31"/>
  <c r="I19" i="31"/>
  <c r="P5" i="31"/>
  <c r="P15" i="31"/>
  <c r="P26" i="31"/>
  <c r="G19" i="31"/>
  <c r="P21" i="31"/>
  <c r="E8" i="31"/>
  <c r="Q26" i="31"/>
  <c r="K18" i="31"/>
  <c r="K19" i="31"/>
  <c r="Q11" i="31"/>
  <c r="O20" i="31"/>
  <c r="G8" i="31"/>
  <c r="P185" i="31" l="1"/>
  <c r="P4" i="31"/>
  <c r="P22" i="31"/>
  <c r="P10" i="31"/>
  <c r="P32" i="31"/>
  <c r="P206" i="31"/>
  <c r="P205" i="31" s="1"/>
  <c r="P81" i="31"/>
  <c r="P163" i="31"/>
  <c r="P162" i="31" s="1"/>
  <c r="P158" i="31" s="1"/>
  <c r="P51" i="31"/>
  <c r="P94" i="31"/>
  <c r="P66" i="31"/>
  <c r="P76" i="31"/>
  <c r="P120" i="31"/>
  <c r="S16" i="31"/>
  <c r="S19" i="31"/>
  <c r="S18" i="31"/>
  <c r="S20" i="31"/>
  <c r="S8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8" i="28" s="1"/>
  <c r="BJ52" i="28"/>
  <c r="BJ51" i="28"/>
  <c r="O221" i="31" a="1"/>
  <c r="O221" i="31" s="1"/>
  <c r="O220" i="31" a="1"/>
  <c r="O220" i="31" s="1"/>
  <c r="O219" i="31" a="1"/>
  <c r="O219" i="31" s="1"/>
  <c r="O218" i="31" a="1"/>
  <c r="O218" i="31" s="1"/>
  <c r="O217" i="31" a="1"/>
  <c r="O217" i="31" s="1"/>
  <c r="O216" i="31" a="1"/>
  <c r="O216" i="31" s="1"/>
  <c r="O215" i="31" a="1"/>
  <c r="O215" i="31" s="1"/>
  <c r="O214" i="31" a="1"/>
  <c r="O214" i="31" s="1"/>
  <c r="O213" i="31" a="1"/>
  <c r="O213" i="31" s="1"/>
  <c r="O212" i="31" a="1"/>
  <c r="O212" i="31" s="1"/>
  <c r="O211" i="31" a="1"/>
  <c r="O211" i="31" s="1"/>
  <c r="O210" i="31" a="1"/>
  <c r="O210" i="31" s="1"/>
  <c r="O209" i="31" a="1"/>
  <c r="O209" i="31" s="1"/>
  <c r="O208" i="31" a="1"/>
  <c r="O208" i="31" s="1"/>
  <c r="O207" i="31" a="1"/>
  <c r="O207" i="31" s="1"/>
  <c r="O185" i="31"/>
  <c r="O179" i="31" a="1"/>
  <c r="O179" i="31" s="1"/>
  <c r="O178" i="31" a="1"/>
  <c r="O178" i="31" s="1"/>
  <c r="O177" i="31" a="1"/>
  <c r="O177" i="31" s="1"/>
  <c r="O176" i="31" a="1"/>
  <c r="O176" i="31" s="1"/>
  <c r="O175" i="31" a="1"/>
  <c r="O175" i="31" s="1"/>
  <c r="O174" i="31" a="1"/>
  <c r="O174" i="31" s="1"/>
  <c r="O173" i="31" a="1"/>
  <c r="O173" i="31" s="1"/>
  <c r="O172" i="31" a="1"/>
  <c r="O172" i="31" s="1"/>
  <c r="O171" i="31" a="1"/>
  <c r="O171" i="31" s="1"/>
  <c r="O170" i="31" a="1"/>
  <c r="O170" i="31" s="1"/>
  <c r="O169" i="31" a="1"/>
  <c r="O169" i="31" s="1"/>
  <c r="O168" i="31" a="1"/>
  <c r="O168" i="31" s="1"/>
  <c r="O167" i="31" a="1"/>
  <c r="O167" i="31" s="1"/>
  <c r="O166" i="31" a="1"/>
  <c r="O166" i="31" s="1"/>
  <c r="O165" i="31" a="1"/>
  <c r="O165" i="31" s="1"/>
  <c r="O164" i="31" a="1"/>
  <c r="O164" i="31" s="1"/>
  <c r="O159" i="31"/>
  <c r="O156" i="31" a="1"/>
  <c r="O156" i="31" s="1"/>
  <c r="O155" i="31" a="1"/>
  <c r="O155" i="31" s="1"/>
  <c r="O153" i="31" a="1"/>
  <c r="O153" i="31" s="1"/>
  <c r="O152" i="31" a="1"/>
  <c r="O152" i="31" s="1"/>
  <c r="O151" i="31" a="1"/>
  <c r="O151" i="31" s="1"/>
  <c r="O150" i="31" a="1"/>
  <c r="O150" i="31" s="1"/>
  <c r="O149" i="31" a="1"/>
  <c r="O149" i="31" s="1"/>
  <c r="O148" i="31" a="1"/>
  <c r="O148" i="31" s="1"/>
  <c r="O147" i="31" a="1"/>
  <c r="O147" i="31" s="1"/>
  <c r="O146" i="31" a="1"/>
  <c r="O146" i="31" s="1"/>
  <c r="O145" i="31" a="1"/>
  <c r="O145" i="31" s="1"/>
  <c r="O144" i="31" a="1"/>
  <c r="O144" i="31" s="1"/>
  <c r="O142" i="31" a="1"/>
  <c r="O142" i="31" s="1"/>
  <c r="O141" i="31" s="1"/>
  <c r="O140" i="31" a="1"/>
  <c r="O140" i="31" s="1"/>
  <c r="O139" i="31" s="1"/>
  <c r="O138" i="31" a="1"/>
  <c r="O138" i="31" s="1"/>
  <c r="O137" i="31" a="1"/>
  <c r="O137" i="31" s="1"/>
  <c r="O136" i="31" a="1"/>
  <c r="O136" i="31" s="1"/>
  <c r="O135" i="31" a="1"/>
  <c r="O135" i="31" s="1"/>
  <c r="O133" i="31" a="1"/>
  <c r="O133" i="31" s="1"/>
  <c r="O132" i="31" a="1"/>
  <c r="O132" i="31" s="1"/>
  <c r="O131" i="31" a="1"/>
  <c r="O131" i="31" s="1"/>
  <c r="O130" i="31" a="1"/>
  <c r="O130" i="31" s="1"/>
  <c r="O129" i="31" a="1"/>
  <c r="O129" i="31" s="1"/>
  <c r="O128" i="31" a="1"/>
  <c r="O128" i="31" s="1"/>
  <c r="O127" i="31" a="1"/>
  <c r="O127" i="31" s="1"/>
  <c r="O126" i="31" a="1"/>
  <c r="O126" i="31" s="1"/>
  <c r="O125" i="31" a="1"/>
  <c r="O125" i="31" s="1"/>
  <c r="O124" i="31" a="1"/>
  <c r="O124" i="31" s="1"/>
  <c r="O123" i="31" a="1"/>
  <c r="O123" i="31" s="1"/>
  <c r="O122" i="31" a="1"/>
  <c r="O122" i="31" s="1"/>
  <c r="O121" i="31" a="1"/>
  <c r="O121" i="31" s="1"/>
  <c r="O119" i="31" a="1"/>
  <c r="O119" i="31" s="1"/>
  <c r="O118" i="31" a="1"/>
  <c r="O118" i="31" s="1"/>
  <c r="O117" i="31" a="1"/>
  <c r="O117" i="31" s="1"/>
  <c r="O116" i="31" a="1"/>
  <c r="O116" i="31" s="1"/>
  <c r="O115" i="31" a="1"/>
  <c r="O115" i="31" s="1"/>
  <c r="O114" i="31" a="1"/>
  <c r="O114" i="31" s="1"/>
  <c r="O113" i="31" a="1"/>
  <c r="O113" i="31" s="1"/>
  <c r="O112" i="31" a="1"/>
  <c r="O112" i="31" s="1"/>
  <c r="O111" i="31" a="1"/>
  <c r="O111" i="31" s="1"/>
  <c r="O110" i="31" a="1"/>
  <c r="O110" i="31" s="1"/>
  <c r="O109" i="31" a="1"/>
  <c r="O109" i="31" s="1"/>
  <c r="O108" i="31" a="1"/>
  <c r="O108" i="31" s="1"/>
  <c r="O107" i="31" a="1"/>
  <c r="O107" i="31" s="1"/>
  <c r="O106" i="31" a="1"/>
  <c r="O106" i="31" s="1"/>
  <c r="O105" i="31" a="1"/>
  <c r="O105" i="31" s="1"/>
  <c r="O104" i="31" a="1"/>
  <c r="O104" i="31" s="1"/>
  <c r="O103" i="31" a="1"/>
  <c r="O103" i="31" s="1"/>
  <c r="O102" i="31" a="1"/>
  <c r="O102" i="31" s="1"/>
  <c r="O101" i="31" a="1"/>
  <c r="O101" i="31" s="1"/>
  <c r="O100" i="31" a="1"/>
  <c r="O100" i="31" s="1"/>
  <c r="O99" i="31" a="1"/>
  <c r="O99" i="31" s="1"/>
  <c r="O98" i="31" a="1"/>
  <c r="O98" i="31" s="1"/>
  <c r="O97" i="31" a="1"/>
  <c r="O97" i="31" s="1"/>
  <c r="O96" i="31" a="1"/>
  <c r="O96" i="31" s="1"/>
  <c r="O95" i="31" a="1"/>
  <c r="O95" i="31" s="1"/>
  <c r="O93" i="31" a="1"/>
  <c r="O93" i="31" s="1"/>
  <c r="O92" i="31" a="1"/>
  <c r="O92" i="31" s="1"/>
  <c r="O91" i="31" a="1"/>
  <c r="O91" i="31" s="1"/>
  <c r="O90" i="31" a="1"/>
  <c r="O90" i="31" s="1"/>
  <c r="O89" i="31" a="1"/>
  <c r="O89" i="31" s="1"/>
  <c r="O88" i="31" a="1"/>
  <c r="O88" i="31" s="1"/>
  <c r="O87" i="31" a="1"/>
  <c r="O87" i="31" s="1"/>
  <c r="O86" i="31" a="1"/>
  <c r="O86" i="31" s="1"/>
  <c r="O85" i="31" a="1"/>
  <c r="O85" i="31" s="1"/>
  <c r="O84" i="31" a="1"/>
  <c r="O84" i="31" s="1"/>
  <c r="O83" i="31" a="1"/>
  <c r="O83" i="31" s="1"/>
  <c r="O82" i="31" a="1"/>
  <c r="O82" i="31" s="1"/>
  <c r="O80" i="31" a="1"/>
  <c r="O80" i="31" s="1"/>
  <c r="O79" i="31" a="1"/>
  <c r="O79" i="31" s="1"/>
  <c r="O78" i="31" a="1"/>
  <c r="O78" i="31" s="1"/>
  <c r="O77" i="31" a="1"/>
  <c r="O77" i="31" s="1"/>
  <c r="O75" i="31" a="1"/>
  <c r="O75" i="31" s="1"/>
  <c r="O74" i="31" s="1"/>
  <c r="O73" i="31" a="1"/>
  <c r="O73" i="31" s="1"/>
  <c r="O72" i="31" s="1"/>
  <c r="O71" i="31" a="1"/>
  <c r="O71" i="31" s="1"/>
  <c r="O70" i="31" s="1"/>
  <c r="O69" i="31" a="1"/>
  <c r="O69" i="31" s="1"/>
  <c r="O68" i="31" a="1"/>
  <c r="O68" i="31" s="1"/>
  <c r="O67" i="31" a="1"/>
  <c r="O67" i="31" s="1"/>
  <c r="O65" i="31" a="1"/>
  <c r="O65" i="31" s="1"/>
  <c r="O64" i="31" s="1"/>
  <c r="O63" i="31" a="1"/>
  <c r="O63" i="31" s="1"/>
  <c r="O62" i="31" a="1"/>
  <c r="O62" i="31" s="1"/>
  <c r="O61" i="31" a="1"/>
  <c r="O61" i="31" s="1"/>
  <c r="O60" i="31" a="1"/>
  <c r="O60" i="31" s="1"/>
  <c r="O59" i="31" a="1"/>
  <c r="O59" i="31" s="1"/>
  <c r="O58" i="31" a="1"/>
  <c r="O58" i="31" s="1"/>
  <c r="O57" i="31" a="1"/>
  <c r="O57" i="31" s="1"/>
  <c r="O56" i="31" a="1"/>
  <c r="O56" i="31" s="1"/>
  <c r="O55" i="31" a="1"/>
  <c r="O55" i="31" s="1"/>
  <c r="O54" i="31" a="1"/>
  <c r="O54" i="31" s="1"/>
  <c r="O53" i="31" a="1"/>
  <c r="O53" i="31" s="1"/>
  <c r="O52" i="31" a="1"/>
  <c r="O52" i="31" s="1"/>
  <c r="O50" i="31" a="1"/>
  <c r="O50" i="31" s="1"/>
  <c r="O49" i="31" a="1"/>
  <c r="O49" i="31" s="1"/>
  <c r="O48" i="31" a="1"/>
  <c r="O48" i="31" s="1"/>
  <c r="O47" i="31" a="1"/>
  <c r="O47" i="31" s="1"/>
  <c r="O46" i="31" a="1"/>
  <c r="O46" i="31" s="1"/>
  <c r="O45" i="31" a="1"/>
  <c r="O45" i="31" s="1"/>
  <c r="O44" i="31" a="1"/>
  <c r="O44" i="31" s="1"/>
  <c r="O42" i="31" a="1"/>
  <c r="O42" i="31" s="1"/>
  <c r="O41" i="31" a="1"/>
  <c r="O41" i="31" s="1"/>
  <c r="O40" i="31" a="1"/>
  <c r="O40" i="31" s="1"/>
  <c r="O39" i="31" a="1"/>
  <c r="O39" i="31" s="1"/>
  <c r="O38" i="31" a="1"/>
  <c r="O38" i="31" s="1"/>
  <c r="O37" i="31" a="1"/>
  <c r="O37" i="31" s="1"/>
  <c r="O36" i="31" a="1"/>
  <c r="O36" i="31" s="1"/>
  <c r="O35" i="31" a="1"/>
  <c r="O35" i="31" s="1"/>
  <c r="O34" i="31" a="1"/>
  <c r="O34" i="31" s="1"/>
  <c r="O33" i="31" a="1"/>
  <c r="O33" i="31" s="1"/>
  <c r="F11" i="3"/>
  <c r="F8" i="3"/>
  <c r="F7" i="3"/>
  <c r="F5" i="3"/>
  <c r="D5" i="3"/>
  <c r="F4" i="3"/>
  <c r="S190" i="31"/>
  <c r="S187" i="31"/>
  <c r="H6" i="30" a="1"/>
  <c r="H6" i="30" s="1"/>
  <c r="B6" i="30" a="1"/>
  <c r="B6" i="30" s="1"/>
  <c r="M3" i="30" a="1"/>
  <c r="M3" i="30" s="1"/>
  <c r="Q221" i="31" a="1"/>
  <c r="Q221" i="31" s="1"/>
  <c r="N221" i="31" a="1"/>
  <c r="N221" i="31" s="1"/>
  <c r="M221" i="31" a="1"/>
  <c r="M221" i="31" s="1"/>
  <c r="L221" i="31" a="1"/>
  <c r="L221" i="31" s="1"/>
  <c r="K221" i="31" a="1"/>
  <c r="K221" i="31" s="1"/>
  <c r="J221" i="31" a="1"/>
  <c r="J221" i="31" s="1"/>
  <c r="I221" i="31" a="1"/>
  <c r="I221" i="31" s="1"/>
  <c r="H221" i="31" a="1"/>
  <c r="H221" i="31" s="1"/>
  <c r="G221" i="31" a="1"/>
  <c r="G221" i="31" s="1"/>
  <c r="F221" i="31" a="1"/>
  <c r="F221" i="31" s="1"/>
  <c r="E221" i="31" a="1"/>
  <c r="E221" i="31" s="1"/>
  <c r="D221" i="31" a="1"/>
  <c r="D221" i="31" s="1"/>
  <c r="Q220" i="31" a="1"/>
  <c r="Q220" i="31" s="1"/>
  <c r="N220" i="31" a="1"/>
  <c r="N220" i="31" s="1"/>
  <c r="M220" i="31" a="1"/>
  <c r="M220" i="31" s="1"/>
  <c r="L220" i="31" a="1"/>
  <c r="L220" i="31" s="1"/>
  <c r="K220" i="31" a="1"/>
  <c r="K220" i="31" s="1"/>
  <c r="J220" i="31" a="1"/>
  <c r="J220" i="31" s="1"/>
  <c r="I220" i="31" a="1"/>
  <c r="I220" i="31" s="1"/>
  <c r="H220" i="31" a="1"/>
  <c r="H220" i="31" s="1"/>
  <c r="G220" i="31" a="1"/>
  <c r="G220" i="31" s="1"/>
  <c r="F220" i="31" a="1"/>
  <c r="F220" i="31" s="1"/>
  <c r="E220" i="31" a="1"/>
  <c r="E220" i="31" s="1"/>
  <c r="D220" i="31" a="1"/>
  <c r="D220" i="31" s="1"/>
  <c r="Q219" i="31" a="1"/>
  <c r="Q219" i="31" s="1"/>
  <c r="N219" i="31" a="1"/>
  <c r="N219" i="31" s="1"/>
  <c r="M219" i="31" a="1"/>
  <c r="M219" i="31" s="1"/>
  <c r="L219" i="31" a="1"/>
  <c r="L219" i="31" s="1"/>
  <c r="K219" i="31" a="1"/>
  <c r="K219" i="31" s="1"/>
  <c r="J219" i="31" a="1"/>
  <c r="J219" i="31" s="1"/>
  <c r="I219" i="31" a="1"/>
  <c r="I219" i="31" s="1"/>
  <c r="H219" i="31" a="1"/>
  <c r="H219" i="31" s="1"/>
  <c r="G219" i="31" a="1"/>
  <c r="G219" i="31" s="1"/>
  <c r="F219" i="31" a="1"/>
  <c r="F219" i="31" s="1"/>
  <c r="E219" i="31" a="1"/>
  <c r="E219" i="31" s="1"/>
  <c r="D219" i="31" a="1"/>
  <c r="D219" i="31" s="1"/>
  <c r="Q218" i="31" a="1"/>
  <c r="Q218" i="31" s="1"/>
  <c r="N218" i="31" a="1"/>
  <c r="N218" i="31" s="1"/>
  <c r="M218" i="31" a="1"/>
  <c r="M218" i="31" s="1"/>
  <c r="L218" i="31" a="1"/>
  <c r="L218" i="31" s="1"/>
  <c r="K218" i="31" a="1"/>
  <c r="K218" i="31" s="1"/>
  <c r="J218" i="31" a="1"/>
  <c r="J218" i="31" s="1"/>
  <c r="I218" i="31" a="1"/>
  <c r="I218" i="31" s="1"/>
  <c r="H218" i="31" a="1"/>
  <c r="H218" i="31" s="1"/>
  <c r="G218" i="31" a="1"/>
  <c r="G218" i="31" s="1"/>
  <c r="F218" i="31" a="1"/>
  <c r="F218" i="31" s="1"/>
  <c r="E218" i="31" a="1"/>
  <c r="E218" i="31" s="1"/>
  <c r="D218" i="31" a="1"/>
  <c r="D218" i="31" s="1"/>
  <c r="Q217" i="31" a="1"/>
  <c r="Q217" i="31" s="1"/>
  <c r="N217" i="31" a="1"/>
  <c r="N217" i="31" s="1"/>
  <c r="M217" i="31" a="1"/>
  <c r="M217" i="31" s="1"/>
  <c r="L217" i="31" a="1"/>
  <c r="L217" i="31" s="1"/>
  <c r="K217" i="31" a="1"/>
  <c r="K217" i="31" s="1"/>
  <c r="J217" i="31" a="1"/>
  <c r="J217" i="31" s="1"/>
  <c r="I217" i="31" a="1"/>
  <c r="I217" i="31" s="1"/>
  <c r="H217" i="31" a="1"/>
  <c r="H217" i="31" s="1"/>
  <c r="G217" i="31" a="1"/>
  <c r="G217" i="31" s="1"/>
  <c r="F217" i="31" a="1"/>
  <c r="F217" i="31" s="1"/>
  <c r="E217" i="31" a="1"/>
  <c r="E217" i="31" s="1"/>
  <c r="D217" i="31" a="1"/>
  <c r="D217" i="31" s="1"/>
  <c r="Q216" i="31" a="1"/>
  <c r="Q216" i="31" s="1"/>
  <c r="N216" i="31" a="1"/>
  <c r="N216" i="31" s="1"/>
  <c r="M216" i="31" a="1"/>
  <c r="M216" i="31" s="1"/>
  <c r="L216" i="31" a="1"/>
  <c r="L216" i="31" s="1"/>
  <c r="K216" i="31" a="1"/>
  <c r="K216" i="31" s="1"/>
  <c r="J216" i="31" a="1"/>
  <c r="J216" i="31" s="1"/>
  <c r="I216" i="31" a="1"/>
  <c r="I216" i="31" s="1"/>
  <c r="H216" i="31" a="1"/>
  <c r="H216" i="31" s="1"/>
  <c r="G216" i="31" a="1"/>
  <c r="G216" i="31" s="1"/>
  <c r="F216" i="31" a="1"/>
  <c r="F216" i="31" s="1"/>
  <c r="E216" i="31" a="1"/>
  <c r="E216" i="31" s="1"/>
  <c r="D216" i="31" a="1"/>
  <c r="D216" i="31" s="1"/>
  <c r="Q215" i="31" a="1"/>
  <c r="Q215" i="31" s="1"/>
  <c r="N215" i="31" a="1"/>
  <c r="N215" i="31" s="1"/>
  <c r="M215" i="31" a="1"/>
  <c r="M215" i="31" s="1"/>
  <c r="L215" i="31" a="1"/>
  <c r="L215" i="31" s="1"/>
  <c r="K215" i="31" a="1"/>
  <c r="K215" i="31" s="1"/>
  <c r="J215" i="31" a="1"/>
  <c r="J215" i="31" s="1"/>
  <c r="I215" i="31" a="1"/>
  <c r="I215" i="31" s="1"/>
  <c r="H215" i="31" a="1"/>
  <c r="H215" i="31" s="1"/>
  <c r="G215" i="31" a="1"/>
  <c r="G215" i="31" s="1"/>
  <c r="F215" i="31" a="1"/>
  <c r="F215" i="31" s="1"/>
  <c r="E215" i="31" a="1"/>
  <c r="E215" i="31" s="1"/>
  <c r="D215" i="31" a="1"/>
  <c r="D215" i="31" s="1"/>
  <c r="Q214" i="31" a="1"/>
  <c r="Q214" i="31" s="1"/>
  <c r="N214" i="31" a="1"/>
  <c r="N214" i="31" s="1"/>
  <c r="M214" i="31" a="1"/>
  <c r="M214" i="31" s="1"/>
  <c r="L214" i="31" a="1"/>
  <c r="L214" i="31" s="1"/>
  <c r="K214" i="31" a="1"/>
  <c r="K214" i="31" s="1"/>
  <c r="J214" i="31" a="1"/>
  <c r="J214" i="31" s="1"/>
  <c r="I214" i="31" a="1"/>
  <c r="I214" i="31" s="1"/>
  <c r="H214" i="31" a="1"/>
  <c r="H214" i="31" s="1"/>
  <c r="G214" i="31" a="1"/>
  <c r="G214" i="31" s="1"/>
  <c r="F214" i="31" a="1"/>
  <c r="F214" i="31" s="1"/>
  <c r="E214" i="31" a="1"/>
  <c r="E214" i="31" s="1"/>
  <c r="D214" i="31" a="1"/>
  <c r="D214" i="31" s="1"/>
  <c r="Q213" i="31" a="1"/>
  <c r="Q213" i="31" s="1"/>
  <c r="N213" i="31" a="1"/>
  <c r="N213" i="31" s="1"/>
  <c r="M213" i="31" a="1"/>
  <c r="M213" i="31" s="1"/>
  <c r="L213" i="31" a="1"/>
  <c r="L213" i="31" s="1"/>
  <c r="K213" i="31" a="1"/>
  <c r="K213" i="31" s="1"/>
  <c r="J213" i="31" a="1"/>
  <c r="J213" i="31" s="1"/>
  <c r="I213" i="31" a="1"/>
  <c r="I213" i="31" s="1"/>
  <c r="H213" i="31" a="1"/>
  <c r="H213" i="31" s="1"/>
  <c r="G213" i="31" a="1"/>
  <c r="G213" i="31" s="1"/>
  <c r="F213" i="31" a="1"/>
  <c r="F213" i="31" s="1"/>
  <c r="E213" i="31" a="1"/>
  <c r="E213" i="31" s="1"/>
  <c r="D213" i="31" a="1"/>
  <c r="D213" i="31" s="1"/>
  <c r="Q212" i="31" a="1"/>
  <c r="Q212" i="31" s="1"/>
  <c r="N212" i="31" a="1"/>
  <c r="N212" i="31" s="1"/>
  <c r="M212" i="31" a="1"/>
  <c r="M212" i="31" s="1"/>
  <c r="L212" i="31" a="1"/>
  <c r="L212" i="31" s="1"/>
  <c r="K212" i="31" a="1"/>
  <c r="K212" i="31" s="1"/>
  <c r="J212" i="31" a="1"/>
  <c r="J212" i="31" s="1"/>
  <c r="I212" i="31" a="1"/>
  <c r="I212" i="31" s="1"/>
  <c r="H212" i="31" a="1"/>
  <c r="H212" i="31" s="1"/>
  <c r="G212" i="31" a="1"/>
  <c r="G212" i="31" s="1"/>
  <c r="F212" i="31" a="1"/>
  <c r="F212" i="31" s="1"/>
  <c r="E212" i="31" a="1"/>
  <c r="E212" i="31" s="1"/>
  <c r="D212" i="31" a="1"/>
  <c r="D212" i="31" s="1"/>
  <c r="Q211" i="31" a="1"/>
  <c r="Q211" i="31" s="1"/>
  <c r="N211" i="31" a="1"/>
  <c r="N211" i="31" s="1"/>
  <c r="M211" i="31" a="1"/>
  <c r="M211" i="31" s="1"/>
  <c r="L211" i="31" a="1"/>
  <c r="L211" i="31" s="1"/>
  <c r="K211" i="31" a="1"/>
  <c r="K211" i="31" s="1"/>
  <c r="J211" i="31" a="1"/>
  <c r="J211" i="31" s="1"/>
  <c r="I211" i="31" a="1"/>
  <c r="I211" i="31" s="1"/>
  <c r="H211" i="31" a="1"/>
  <c r="H211" i="31" s="1"/>
  <c r="G211" i="31" a="1"/>
  <c r="G211" i="31" s="1"/>
  <c r="F211" i="31" a="1"/>
  <c r="F211" i="31" s="1"/>
  <c r="E211" i="31" a="1"/>
  <c r="E211" i="31" s="1"/>
  <c r="D211" i="31" a="1"/>
  <c r="D211" i="31" s="1"/>
  <c r="Q210" i="31" a="1"/>
  <c r="Q210" i="31" s="1"/>
  <c r="N210" i="31" a="1"/>
  <c r="N210" i="31" s="1"/>
  <c r="M210" i="31" a="1"/>
  <c r="M210" i="31" s="1"/>
  <c r="L210" i="31" a="1"/>
  <c r="L210" i="31" s="1"/>
  <c r="K210" i="31" a="1"/>
  <c r="K210" i="31" s="1"/>
  <c r="J210" i="31" a="1"/>
  <c r="J210" i="31" s="1"/>
  <c r="I210" i="31" a="1"/>
  <c r="I210" i="31" s="1"/>
  <c r="H210" i="31" a="1"/>
  <c r="H210" i="31" s="1"/>
  <c r="G210" i="31" a="1"/>
  <c r="G210" i="31" s="1"/>
  <c r="F210" i="31" a="1"/>
  <c r="F210" i="31" s="1"/>
  <c r="E210" i="31" a="1"/>
  <c r="E210" i="31" s="1"/>
  <c r="D210" i="31" a="1"/>
  <c r="D210" i="31" s="1"/>
  <c r="Q209" i="31" a="1"/>
  <c r="Q209" i="31" s="1"/>
  <c r="N209" i="31" a="1"/>
  <c r="N209" i="31" s="1"/>
  <c r="M209" i="31" a="1"/>
  <c r="M209" i="31" s="1"/>
  <c r="L209" i="31" a="1"/>
  <c r="L209" i="31" s="1"/>
  <c r="K209" i="31" a="1"/>
  <c r="K209" i="31" s="1"/>
  <c r="J209" i="31" a="1"/>
  <c r="J209" i="31" s="1"/>
  <c r="I209" i="31" a="1"/>
  <c r="I209" i="31" s="1"/>
  <c r="H209" i="31" a="1"/>
  <c r="H209" i="31" s="1"/>
  <c r="G209" i="31" a="1"/>
  <c r="G209" i="31" s="1"/>
  <c r="F209" i="31" a="1"/>
  <c r="F209" i="31" s="1"/>
  <c r="E209" i="31" a="1"/>
  <c r="E209" i="31" s="1"/>
  <c r="D209" i="31" a="1"/>
  <c r="D209" i="31" s="1"/>
  <c r="Q208" i="31" a="1"/>
  <c r="Q208" i="31" s="1"/>
  <c r="N208" i="31" a="1"/>
  <c r="N208" i="31" s="1"/>
  <c r="M208" i="31" a="1"/>
  <c r="M208" i="31" s="1"/>
  <c r="L208" i="31" a="1"/>
  <c r="L208" i="31" s="1"/>
  <c r="K208" i="31" a="1"/>
  <c r="K208" i="31" s="1"/>
  <c r="J208" i="31" a="1"/>
  <c r="J208" i="31" s="1"/>
  <c r="I208" i="31" a="1"/>
  <c r="I208" i="31" s="1"/>
  <c r="H208" i="31" a="1"/>
  <c r="H208" i="31" s="1"/>
  <c r="G208" i="31" a="1"/>
  <c r="G208" i="31" s="1"/>
  <c r="F208" i="31" a="1"/>
  <c r="F208" i="31" s="1"/>
  <c r="E208" i="31" a="1"/>
  <c r="E208" i="31" s="1"/>
  <c r="D208" i="31" a="1"/>
  <c r="D208" i="31" s="1"/>
  <c r="Q207" i="31" a="1"/>
  <c r="Q207" i="31" s="1"/>
  <c r="N207" i="31" a="1"/>
  <c r="N207" i="31" s="1"/>
  <c r="M207" i="31" a="1"/>
  <c r="M207" i="31" s="1"/>
  <c r="L207" i="31" a="1"/>
  <c r="L207" i="31" s="1"/>
  <c r="K207" i="31" a="1"/>
  <c r="K207" i="31" s="1"/>
  <c r="J207" i="31" a="1"/>
  <c r="J207" i="31" s="1"/>
  <c r="I207" i="31" a="1"/>
  <c r="I207" i="31" s="1"/>
  <c r="H207" i="31" a="1"/>
  <c r="H207" i="31" s="1"/>
  <c r="G207" i="31" a="1"/>
  <c r="G207" i="31" s="1"/>
  <c r="F207" i="31" a="1"/>
  <c r="F207" i="31" s="1"/>
  <c r="E207" i="31" a="1"/>
  <c r="E207" i="31" s="1"/>
  <c r="D207" i="31" a="1"/>
  <c r="D207" i="31" s="1"/>
  <c r="Q179" i="31" a="1"/>
  <c r="Q179" i="31" s="1"/>
  <c r="N179" i="31" a="1"/>
  <c r="N179" i="31" s="1"/>
  <c r="M179" i="31" a="1"/>
  <c r="M179" i="31" s="1"/>
  <c r="L179" i="31" a="1"/>
  <c r="L179" i="31" s="1"/>
  <c r="K179" i="31" a="1"/>
  <c r="K179" i="31" s="1"/>
  <c r="J179" i="31" a="1"/>
  <c r="J179" i="31" s="1"/>
  <c r="I179" i="31" a="1"/>
  <c r="I179" i="31" s="1"/>
  <c r="H179" i="31" a="1"/>
  <c r="H179" i="31" s="1"/>
  <c r="G179" i="31" a="1"/>
  <c r="G179" i="31" s="1"/>
  <c r="F179" i="31" a="1"/>
  <c r="F179" i="31" s="1"/>
  <c r="E179" i="31" a="1"/>
  <c r="E179" i="31" s="1"/>
  <c r="D179" i="31" a="1"/>
  <c r="D179" i="31" s="1"/>
  <c r="Q178" i="31" a="1"/>
  <c r="Q178" i="31" s="1"/>
  <c r="N178" i="31" a="1"/>
  <c r="N178" i="31" s="1"/>
  <c r="M178" i="31" a="1"/>
  <c r="M178" i="31" s="1"/>
  <c r="L178" i="31" a="1"/>
  <c r="L178" i="31" s="1"/>
  <c r="K178" i="31" a="1"/>
  <c r="K178" i="31" s="1"/>
  <c r="J178" i="31" a="1"/>
  <c r="J178" i="31" s="1"/>
  <c r="I178" i="31" a="1"/>
  <c r="I178" i="31" s="1"/>
  <c r="H178" i="31" a="1"/>
  <c r="H178" i="31" s="1"/>
  <c r="G178" i="31" a="1"/>
  <c r="G178" i="31" s="1"/>
  <c r="F178" i="31" a="1"/>
  <c r="F178" i="31" s="1"/>
  <c r="E178" i="31" a="1"/>
  <c r="E178" i="31" s="1"/>
  <c r="D178" i="31" a="1"/>
  <c r="D178" i="31" s="1"/>
  <c r="Q177" i="31" a="1"/>
  <c r="Q177" i="31" s="1"/>
  <c r="N177" i="31" a="1"/>
  <c r="N177" i="31" s="1"/>
  <c r="M177" i="31" a="1"/>
  <c r="M177" i="31" s="1"/>
  <c r="L177" i="31" a="1"/>
  <c r="L177" i="31" s="1"/>
  <c r="K177" i="31" a="1"/>
  <c r="K177" i="31" s="1"/>
  <c r="J177" i="31" a="1"/>
  <c r="J177" i="31" s="1"/>
  <c r="I177" i="31" a="1"/>
  <c r="I177" i="31" s="1"/>
  <c r="H177" i="31" a="1"/>
  <c r="H177" i="31" s="1"/>
  <c r="G177" i="31" a="1"/>
  <c r="G177" i="31" s="1"/>
  <c r="F177" i="31" a="1"/>
  <c r="F177" i="31" s="1"/>
  <c r="E177" i="31" a="1"/>
  <c r="E177" i="31" s="1"/>
  <c r="D177" i="31" a="1"/>
  <c r="D177" i="31" s="1"/>
  <c r="Q176" i="31" a="1"/>
  <c r="Q176" i="31" s="1"/>
  <c r="N176" i="31" a="1"/>
  <c r="N176" i="31" s="1"/>
  <c r="M176" i="31" a="1"/>
  <c r="M176" i="31" s="1"/>
  <c r="L176" i="31" a="1"/>
  <c r="L176" i="31" s="1"/>
  <c r="K176" i="31" a="1"/>
  <c r="K176" i="31" s="1"/>
  <c r="J176" i="31" a="1"/>
  <c r="J176" i="31" s="1"/>
  <c r="I176" i="31" a="1"/>
  <c r="I176" i="31" s="1"/>
  <c r="H176" i="31" a="1"/>
  <c r="H176" i="31" s="1"/>
  <c r="G176" i="31" a="1"/>
  <c r="G176" i="31" s="1"/>
  <c r="F176" i="31" a="1"/>
  <c r="F176" i="31" s="1"/>
  <c r="E176" i="31" a="1"/>
  <c r="E176" i="31" s="1"/>
  <c r="D176" i="31" a="1"/>
  <c r="D176" i="31" s="1"/>
  <c r="Q175" i="31" a="1"/>
  <c r="Q175" i="31" s="1"/>
  <c r="N175" i="31" a="1"/>
  <c r="N175" i="31" s="1"/>
  <c r="M175" i="31" a="1"/>
  <c r="M175" i="31" s="1"/>
  <c r="L175" i="31" a="1"/>
  <c r="L175" i="31" s="1"/>
  <c r="K175" i="31" a="1"/>
  <c r="K175" i="31" s="1"/>
  <c r="J175" i="31" a="1"/>
  <c r="J175" i="31" s="1"/>
  <c r="I175" i="31" a="1"/>
  <c r="I175" i="31" s="1"/>
  <c r="H175" i="31" a="1"/>
  <c r="H175" i="31" s="1"/>
  <c r="G175" i="31" a="1"/>
  <c r="G175" i="31" s="1"/>
  <c r="F175" i="31" a="1"/>
  <c r="F175" i="31" s="1"/>
  <c r="E175" i="31" a="1"/>
  <c r="E175" i="31" s="1"/>
  <c r="D175" i="31" a="1"/>
  <c r="D175" i="31" s="1"/>
  <c r="Q174" i="31" a="1"/>
  <c r="Q174" i="31" s="1"/>
  <c r="N174" i="31" a="1"/>
  <c r="N174" i="31" s="1"/>
  <c r="M174" i="31" a="1"/>
  <c r="M174" i="31" s="1"/>
  <c r="L174" i="31" a="1"/>
  <c r="L174" i="31" s="1"/>
  <c r="K174" i="31" a="1"/>
  <c r="K174" i="31" s="1"/>
  <c r="J174" i="31" a="1"/>
  <c r="J174" i="31" s="1"/>
  <c r="I174" i="31" a="1"/>
  <c r="I174" i="31" s="1"/>
  <c r="H174" i="31" a="1"/>
  <c r="H174" i="31" s="1"/>
  <c r="G174" i="31" a="1"/>
  <c r="G174" i="31" s="1"/>
  <c r="F174" i="31" a="1"/>
  <c r="F174" i="31" s="1"/>
  <c r="E174" i="31" a="1"/>
  <c r="E174" i="31" s="1"/>
  <c r="D174" i="31" a="1"/>
  <c r="D174" i="31" s="1"/>
  <c r="Q173" i="31" a="1"/>
  <c r="Q173" i="31" s="1"/>
  <c r="N173" i="31" a="1"/>
  <c r="N173" i="31" s="1"/>
  <c r="M173" i="31" a="1"/>
  <c r="M173" i="31" s="1"/>
  <c r="L173" i="31" a="1"/>
  <c r="L173" i="31" s="1"/>
  <c r="K173" i="31" a="1"/>
  <c r="K173" i="31" s="1"/>
  <c r="J173" i="31" a="1"/>
  <c r="J173" i="31" s="1"/>
  <c r="I173" i="31" a="1"/>
  <c r="I173" i="31" s="1"/>
  <c r="H173" i="31" a="1"/>
  <c r="H173" i="31" s="1"/>
  <c r="G173" i="31" a="1"/>
  <c r="G173" i="31" s="1"/>
  <c r="F173" i="31" a="1"/>
  <c r="F173" i="31" s="1"/>
  <c r="E173" i="31" a="1"/>
  <c r="E173" i="31" s="1"/>
  <c r="D173" i="31" a="1"/>
  <c r="D173" i="31" s="1"/>
  <c r="Q172" i="31" a="1"/>
  <c r="Q172" i="31" s="1"/>
  <c r="N172" i="31" a="1"/>
  <c r="N172" i="31" s="1"/>
  <c r="M172" i="31" a="1"/>
  <c r="M172" i="31" s="1"/>
  <c r="L172" i="31" a="1"/>
  <c r="L172" i="31" s="1"/>
  <c r="K172" i="31" a="1"/>
  <c r="K172" i="31" s="1"/>
  <c r="J172" i="31" a="1"/>
  <c r="J172" i="31" s="1"/>
  <c r="I172" i="31" a="1"/>
  <c r="I172" i="31" s="1"/>
  <c r="H172" i="31" a="1"/>
  <c r="H172" i="31" s="1"/>
  <c r="G172" i="31" a="1"/>
  <c r="G172" i="31" s="1"/>
  <c r="F172" i="31" a="1"/>
  <c r="F172" i="31" s="1"/>
  <c r="E172" i="31" a="1"/>
  <c r="E172" i="31" s="1"/>
  <c r="D172" i="31" a="1"/>
  <c r="D172" i="31" s="1"/>
  <c r="Q171" i="31" a="1"/>
  <c r="Q171" i="31" s="1"/>
  <c r="N171" i="31" a="1"/>
  <c r="N171" i="31" s="1"/>
  <c r="M171" i="31" a="1"/>
  <c r="M171" i="31" s="1"/>
  <c r="L171" i="31" a="1"/>
  <c r="L171" i="31" s="1"/>
  <c r="K171" i="31" a="1"/>
  <c r="K171" i="31" s="1"/>
  <c r="J171" i="31" a="1"/>
  <c r="J171" i="31" s="1"/>
  <c r="I171" i="31" a="1"/>
  <c r="I171" i="31" s="1"/>
  <c r="H171" i="31" a="1"/>
  <c r="H171" i="31" s="1"/>
  <c r="G171" i="31" a="1"/>
  <c r="G171" i="31" s="1"/>
  <c r="F171" i="31" a="1"/>
  <c r="F171" i="31" s="1"/>
  <c r="E171" i="31" a="1"/>
  <c r="E171" i="31" s="1"/>
  <c r="D171" i="31" a="1"/>
  <c r="D171" i="31" s="1"/>
  <c r="Q170" i="31" a="1"/>
  <c r="Q170" i="31" s="1"/>
  <c r="N170" i="31" a="1"/>
  <c r="N170" i="31" s="1"/>
  <c r="M170" i="31" a="1"/>
  <c r="M170" i="31" s="1"/>
  <c r="L170" i="31" a="1"/>
  <c r="L170" i="31" s="1"/>
  <c r="K170" i="31" a="1"/>
  <c r="K170" i="31" s="1"/>
  <c r="J170" i="31" a="1"/>
  <c r="J170" i="31" s="1"/>
  <c r="I170" i="31" a="1"/>
  <c r="I170" i="31" s="1"/>
  <c r="H170" i="31" a="1"/>
  <c r="H170" i="31" s="1"/>
  <c r="G170" i="31" a="1"/>
  <c r="G170" i="31" s="1"/>
  <c r="F170" i="31" a="1"/>
  <c r="F170" i="31" s="1"/>
  <c r="E170" i="31" a="1"/>
  <c r="E170" i="31" s="1"/>
  <c r="D170" i="31" a="1"/>
  <c r="D170" i="31" s="1"/>
  <c r="Q169" i="31" a="1"/>
  <c r="Q169" i="31" s="1"/>
  <c r="N169" i="31" a="1"/>
  <c r="N169" i="31" s="1"/>
  <c r="M169" i="31" a="1"/>
  <c r="M169" i="31" s="1"/>
  <c r="L169" i="31" a="1"/>
  <c r="L169" i="31" s="1"/>
  <c r="K169" i="31" a="1"/>
  <c r="K169" i="31" s="1"/>
  <c r="J169" i="31" a="1"/>
  <c r="J169" i="31" s="1"/>
  <c r="I169" i="31" a="1"/>
  <c r="I169" i="31" s="1"/>
  <c r="H169" i="31" a="1"/>
  <c r="H169" i="31" s="1"/>
  <c r="G169" i="31" a="1"/>
  <c r="G169" i="31" s="1"/>
  <c r="F169" i="31" a="1"/>
  <c r="F169" i="31" s="1"/>
  <c r="E169" i="31" a="1"/>
  <c r="E169" i="31" s="1"/>
  <c r="D169" i="31" a="1"/>
  <c r="D169" i="31" s="1"/>
  <c r="Q168" i="31" a="1"/>
  <c r="Q168" i="31" s="1"/>
  <c r="N168" i="31" a="1"/>
  <c r="N168" i="31" s="1"/>
  <c r="M168" i="31" a="1"/>
  <c r="M168" i="31" s="1"/>
  <c r="L168" i="31" a="1"/>
  <c r="L168" i="31" s="1"/>
  <c r="K168" i="31" a="1"/>
  <c r="K168" i="31" s="1"/>
  <c r="J168" i="31" a="1"/>
  <c r="J168" i="31" s="1"/>
  <c r="I168" i="31" a="1"/>
  <c r="I168" i="31" s="1"/>
  <c r="H168" i="31" a="1"/>
  <c r="H168" i="31" s="1"/>
  <c r="G168" i="31" a="1"/>
  <c r="G168" i="31" s="1"/>
  <c r="F168" i="31" a="1"/>
  <c r="F168" i="31" s="1"/>
  <c r="E168" i="31" a="1"/>
  <c r="E168" i="31" s="1"/>
  <c r="D168" i="31" a="1"/>
  <c r="D168" i="31" s="1"/>
  <c r="Q167" i="31" a="1"/>
  <c r="Q167" i="31" s="1"/>
  <c r="N167" i="31" a="1"/>
  <c r="N167" i="31" s="1"/>
  <c r="M167" i="31" a="1"/>
  <c r="M167" i="31" s="1"/>
  <c r="L167" i="31" a="1"/>
  <c r="L167" i="31" s="1"/>
  <c r="K167" i="31" a="1"/>
  <c r="K167" i="31" s="1"/>
  <c r="J167" i="31" a="1"/>
  <c r="J167" i="31" s="1"/>
  <c r="I167" i="31" a="1"/>
  <c r="I167" i="31" s="1"/>
  <c r="H167" i="31" a="1"/>
  <c r="H167" i="31" s="1"/>
  <c r="G167" i="31" a="1"/>
  <c r="G167" i="31" s="1"/>
  <c r="F167" i="31" a="1"/>
  <c r="F167" i="31" s="1"/>
  <c r="E167" i="31" a="1"/>
  <c r="E167" i="31" s="1"/>
  <c r="D167" i="31" a="1"/>
  <c r="D167" i="31" s="1"/>
  <c r="Q166" i="31" a="1"/>
  <c r="Q166" i="31" s="1"/>
  <c r="N166" i="31" a="1"/>
  <c r="N166" i="31" s="1"/>
  <c r="M166" i="31" a="1"/>
  <c r="M166" i="31" s="1"/>
  <c r="L166" i="31" a="1"/>
  <c r="L166" i="31" s="1"/>
  <c r="K166" i="31" a="1"/>
  <c r="K166" i="31" s="1"/>
  <c r="J166" i="31" a="1"/>
  <c r="J166" i="31" s="1"/>
  <c r="I166" i="31" a="1"/>
  <c r="I166" i="31" s="1"/>
  <c r="H166" i="31" a="1"/>
  <c r="H166" i="31" s="1"/>
  <c r="G166" i="31" a="1"/>
  <c r="G166" i="31" s="1"/>
  <c r="F166" i="31" a="1"/>
  <c r="F166" i="31" s="1"/>
  <c r="E166" i="31" a="1"/>
  <c r="E166" i="31" s="1"/>
  <c r="D166" i="31" a="1"/>
  <c r="D166" i="31" s="1"/>
  <c r="Q165" i="31" a="1"/>
  <c r="Q165" i="31" s="1"/>
  <c r="N165" i="31" a="1"/>
  <c r="N165" i="31" s="1"/>
  <c r="M165" i="31" a="1"/>
  <c r="M165" i="31" s="1"/>
  <c r="L165" i="31" a="1"/>
  <c r="L165" i="31" s="1"/>
  <c r="K165" i="31" a="1"/>
  <c r="K165" i="31" s="1"/>
  <c r="J165" i="31" a="1"/>
  <c r="J165" i="31" s="1"/>
  <c r="I165" i="31" a="1"/>
  <c r="I165" i="31" s="1"/>
  <c r="H165" i="31" a="1"/>
  <c r="H165" i="31" s="1"/>
  <c r="G165" i="31" a="1"/>
  <c r="G165" i="31" s="1"/>
  <c r="F165" i="31" a="1"/>
  <c r="F165" i="31" s="1"/>
  <c r="E165" i="31" a="1"/>
  <c r="E165" i="31" s="1"/>
  <c r="D165" i="31" a="1"/>
  <c r="D165" i="31" s="1"/>
  <c r="Q164" i="31" a="1"/>
  <c r="Q164" i="31" s="1"/>
  <c r="N164" i="31" a="1"/>
  <c r="N164" i="31" s="1"/>
  <c r="M164" i="31" a="1"/>
  <c r="M164" i="31" s="1"/>
  <c r="L164" i="31" a="1"/>
  <c r="L164" i="31" s="1"/>
  <c r="K164" i="31" a="1"/>
  <c r="K164" i="31" s="1"/>
  <c r="J164" i="31" a="1"/>
  <c r="J164" i="31" s="1"/>
  <c r="I164" i="31" a="1"/>
  <c r="I164" i="31" s="1"/>
  <c r="H164" i="31" a="1"/>
  <c r="H164" i="31" s="1"/>
  <c r="G164" i="31" a="1"/>
  <c r="G164" i="31" s="1"/>
  <c r="F164" i="31" a="1"/>
  <c r="F164" i="31" s="1"/>
  <c r="E164" i="31" a="1"/>
  <c r="E164" i="31" s="1"/>
  <c r="D164" i="31" a="1"/>
  <c r="D164" i="31" s="1"/>
  <c r="Q156" i="31" a="1"/>
  <c r="Q156" i="31" s="1"/>
  <c r="N156" i="31" a="1"/>
  <c r="N156" i="31" s="1"/>
  <c r="M156" i="31" a="1"/>
  <c r="M156" i="31" s="1"/>
  <c r="L156" i="31" a="1"/>
  <c r="L156" i="31" s="1"/>
  <c r="K156" i="31" a="1"/>
  <c r="K156" i="31" s="1"/>
  <c r="J156" i="31" a="1"/>
  <c r="J156" i="31" s="1"/>
  <c r="I156" i="31" a="1"/>
  <c r="I156" i="31" s="1"/>
  <c r="H156" i="31" a="1"/>
  <c r="H156" i="31" s="1"/>
  <c r="G156" i="31" a="1"/>
  <c r="G156" i="31" s="1"/>
  <c r="F156" i="31" a="1"/>
  <c r="F156" i="31" s="1"/>
  <c r="E156" i="31" a="1"/>
  <c r="E156" i="31" s="1"/>
  <c r="D156" i="31" a="1"/>
  <c r="D156" i="31" s="1"/>
  <c r="Q155" i="31" a="1"/>
  <c r="Q155" i="31" s="1"/>
  <c r="N155" i="31" a="1"/>
  <c r="N155" i="31" s="1"/>
  <c r="M155" i="31" a="1"/>
  <c r="M155" i="31" s="1"/>
  <c r="L155" i="31" a="1"/>
  <c r="L155" i="31" s="1"/>
  <c r="K155" i="31" a="1"/>
  <c r="K155" i="31" s="1"/>
  <c r="J155" i="31" a="1"/>
  <c r="J155" i="31" s="1"/>
  <c r="I155" i="31" a="1"/>
  <c r="I155" i="31" s="1"/>
  <c r="H155" i="31" a="1"/>
  <c r="H155" i="31" s="1"/>
  <c r="G155" i="31" a="1"/>
  <c r="G155" i="31" s="1"/>
  <c r="F155" i="31" a="1"/>
  <c r="F155" i="31" s="1"/>
  <c r="E155" i="31" a="1"/>
  <c r="E155" i="31" s="1"/>
  <c r="D155" i="31" a="1"/>
  <c r="D155" i="31" s="1"/>
  <c r="Q153" i="31" a="1"/>
  <c r="Q153" i="31" s="1"/>
  <c r="N153" i="31" a="1"/>
  <c r="N153" i="31" s="1"/>
  <c r="M153" i="31" a="1"/>
  <c r="M153" i="31" s="1"/>
  <c r="L153" i="31" a="1"/>
  <c r="L153" i="31" s="1"/>
  <c r="K153" i="31" a="1"/>
  <c r="K153" i="31" s="1"/>
  <c r="J153" i="31" a="1"/>
  <c r="J153" i="31" s="1"/>
  <c r="I153" i="31" a="1"/>
  <c r="I153" i="31" s="1"/>
  <c r="H153" i="31" a="1"/>
  <c r="H153" i="31" s="1"/>
  <c r="G153" i="31" a="1"/>
  <c r="G153" i="31" s="1"/>
  <c r="F153" i="31" a="1"/>
  <c r="F153" i="31" s="1"/>
  <c r="E153" i="31" a="1"/>
  <c r="E153" i="31" s="1"/>
  <c r="D153" i="31" a="1"/>
  <c r="D153" i="31" s="1"/>
  <c r="Q152" i="31" a="1"/>
  <c r="Q152" i="31" s="1"/>
  <c r="N152" i="31" a="1"/>
  <c r="N152" i="31" s="1"/>
  <c r="M152" i="31" a="1"/>
  <c r="M152" i="31" s="1"/>
  <c r="L152" i="31" a="1"/>
  <c r="L152" i="31" s="1"/>
  <c r="K152" i="31" a="1"/>
  <c r="K152" i="31" s="1"/>
  <c r="J152" i="31" a="1"/>
  <c r="J152" i="31" s="1"/>
  <c r="I152" i="31" a="1"/>
  <c r="I152" i="31" s="1"/>
  <c r="H152" i="31" a="1"/>
  <c r="H152" i="31" s="1"/>
  <c r="G152" i="31" a="1"/>
  <c r="G152" i="31" s="1"/>
  <c r="F152" i="31" a="1"/>
  <c r="F152" i="31" s="1"/>
  <c r="E152" i="31" a="1"/>
  <c r="E152" i="31" s="1"/>
  <c r="D152" i="31" a="1"/>
  <c r="D152" i="31" s="1"/>
  <c r="Q151" i="31" a="1"/>
  <c r="Q151" i="31" s="1"/>
  <c r="N151" i="31" a="1"/>
  <c r="N151" i="31" s="1"/>
  <c r="M151" i="31" a="1"/>
  <c r="M151" i="31" s="1"/>
  <c r="L151" i="31" a="1"/>
  <c r="L151" i="31" s="1"/>
  <c r="K151" i="31" a="1"/>
  <c r="K151" i="31" s="1"/>
  <c r="J151" i="31" a="1"/>
  <c r="J151" i="31" s="1"/>
  <c r="I151" i="31" a="1"/>
  <c r="I151" i="31" s="1"/>
  <c r="H151" i="31" a="1"/>
  <c r="H151" i="31" s="1"/>
  <c r="G151" i="31" a="1"/>
  <c r="G151" i="31" s="1"/>
  <c r="F151" i="31" a="1"/>
  <c r="F151" i="31" s="1"/>
  <c r="E151" i="31" a="1"/>
  <c r="E151" i="31" s="1"/>
  <c r="D151" i="31" a="1"/>
  <c r="D151" i="31" s="1"/>
  <c r="Q150" i="31" a="1"/>
  <c r="Q150" i="31" s="1"/>
  <c r="N150" i="31" a="1"/>
  <c r="N150" i="31" s="1"/>
  <c r="M150" i="31" a="1"/>
  <c r="M150" i="31" s="1"/>
  <c r="L150" i="31" a="1"/>
  <c r="L150" i="31" s="1"/>
  <c r="K150" i="31" a="1"/>
  <c r="K150" i="31" s="1"/>
  <c r="J150" i="31" a="1"/>
  <c r="J150" i="31" s="1"/>
  <c r="I150" i="31" a="1"/>
  <c r="I150" i="31" s="1"/>
  <c r="H150" i="31" a="1"/>
  <c r="H150" i="31" s="1"/>
  <c r="G150" i="31" a="1"/>
  <c r="G150" i="31" s="1"/>
  <c r="F150" i="31" a="1"/>
  <c r="F150" i="31" s="1"/>
  <c r="E150" i="31" a="1"/>
  <c r="E150" i="31" s="1"/>
  <c r="D150" i="31" a="1"/>
  <c r="D150" i="31" s="1"/>
  <c r="Q149" i="31" a="1"/>
  <c r="Q149" i="31" s="1"/>
  <c r="N149" i="31" a="1"/>
  <c r="N149" i="31" s="1"/>
  <c r="M149" i="31" a="1"/>
  <c r="M149" i="31" s="1"/>
  <c r="L149" i="31" a="1"/>
  <c r="L149" i="31" s="1"/>
  <c r="K149" i="31" a="1"/>
  <c r="K149" i="31" s="1"/>
  <c r="J149" i="31" a="1"/>
  <c r="J149" i="31" s="1"/>
  <c r="I149" i="31" a="1"/>
  <c r="I149" i="31" s="1"/>
  <c r="H149" i="31" a="1"/>
  <c r="H149" i="31" s="1"/>
  <c r="G149" i="31" a="1"/>
  <c r="G149" i="31" s="1"/>
  <c r="F149" i="31" a="1"/>
  <c r="F149" i="31" s="1"/>
  <c r="E149" i="31" a="1"/>
  <c r="E149" i="31" s="1"/>
  <c r="D149" i="31" a="1"/>
  <c r="D149" i="31" s="1"/>
  <c r="Q148" i="31" a="1"/>
  <c r="Q148" i="31" s="1"/>
  <c r="N148" i="31" a="1"/>
  <c r="N148" i="31" s="1"/>
  <c r="M148" i="31" a="1"/>
  <c r="M148" i="31" s="1"/>
  <c r="L148" i="31" a="1"/>
  <c r="L148" i="31" s="1"/>
  <c r="K148" i="31" a="1"/>
  <c r="K148" i="31" s="1"/>
  <c r="J148" i="31" a="1"/>
  <c r="J148" i="31" s="1"/>
  <c r="I148" i="31" a="1"/>
  <c r="I148" i="31" s="1"/>
  <c r="H148" i="31" a="1"/>
  <c r="H148" i="31" s="1"/>
  <c r="G148" i="31" a="1"/>
  <c r="G148" i="31" s="1"/>
  <c r="F148" i="31" a="1"/>
  <c r="F148" i="31" s="1"/>
  <c r="E148" i="31" a="1"/>
  <c r="E148" i="31" s="1"/>
  <c r="D148" i="31" a="1"/>
  <c r="D148" i="31" s="1"/>
  <c r="Q147" i="31" a="1"/>
  <c r="Q147" i="31" s="1"/>
  <c r="N147" i="31" a="1"/>
  <c r="N147" i="31" s="1"/>
  <c r="M147" i="31" a="1"/>
  <c r="M147" i="31" s="1"/>
  <c r="L147" i="31" a="1"/>
  <c r="L147" i="31" s="1"/>
  <c r="K147" i="31" a="1"/>
  <c r="K147" i="31" s="1"/>
  <c r="J147" i="31" a="1"/>
  <c r="J147" i="31" s="1"/>
  <c r="I147" i="31" a="1"/>
  <c r="I147" i="31" s="1"/>
  <c r="H147" i="31" a="1"/>
  <c r="H147" i="31" s="1"/>
  <c r="G147" i="31" a="1"/>
  <c r="G147" i="31" s="1"/>
  <c r="F147" i="31" a="1"/>
  <c r="F147" i="31" s="1"/>
  <c r="E147" i="31" a="1"/>
  <c r="E147" i="31" s="1"/>
  <c r="D147" i="31" a="1"/>
  <c r="D147" i="31" s="1"/>
  <c r="Q146" i="31" a="1"/>
  <c r="Q146" i="31" s="1"/>
  <c r="N146" i="31" a="1"/>
  <c r="N146" i="31" s="1"/>
  <c r="M146" i="31" a="1"/>
  <c r="M146" i="31" s="1"/>
  <c r="L146" i="31" a="1"/>
  <c r="L146" i="31" s="1"/>
  <c r="K146" i="31" a="1"/>
  <c r="K146" i="31" s="1"/>
  <c r="J146" i="31" a="1"/>
  <c r="J146" i="31" s="1"/>
  <c r="I146" i="31" a="1"/>
  <c r="I146" i="31" s="1"/>
  <c r="H146" i="31" a="1"/>
  <c r="H146" i="31" s="1"/>
  <c r="G146" i="31" a="1"/>
  <c r="G146" i="31" s="1"/>
  <c r="F146" i="31" a="1"/>
  <c r="F146" i="31" s="1"/>
  <c r="E146" i="31" a="1"/>
  <c r="E146" i="31" s="1"/>
  <c r="D146" i="31" a="1"/>
  <c r="D146" i="31" s="1"/>
  <c r="Q145" i="31" a="1"/>
  <c r="Q145" i="31" s="1"/>
  <c r="N145" i="31" a="1"/>
  <c r="N145" i="31" s="1"/>
  <c r="M145" i="31" a="1"/>
  <c r="M145" i="31" s="1"/>
  <c r="L145" i="31" a="1"/>
  <c r="L145" i="31" s="1"/>
  <c r="K145" i="31" a="1"/>
  <c r="K145" i="31" s="1"/>
  <c r="J145" i="31" a="1"/>
  <c r="J145" i="31" s="1"/>
  <c r="I145" i="31" a="1"/>
  <c r="I145" i="31" s="1"/>
  <c r="H145" i="31" a="1"/>
  <c r="H145" i="31" s="1"/>
  <c r="G145" i="31" a="1"/>
  <c r="G145" i="31" s="1"/>
  <c r="F145" i="31" a="1"/>
  <c r="F145" i="31" s="1"/>
  <c r="E145" i="31" a="1"/>
  <c r="E145" i="31" s="1"/>
  <c r="D145" i="31" a="1"/>
  <c r="D145" i="31" s="1"/>
  <c r="Q144" i="31" a="1"/>
  <c r="Q144" i="31" s="1"/>
  <c r="N144" i="31" a="1"/>
  <c r="N144" i="31" s="1"/>
  <c r="M144" i="31" a="1"/>
  <c r="M144" i="31" s="1"/>
  <c r="L144" i="31" a="1"/>
  <c r="L144" i="31" s="1"/>
  <c r="K144" i="31" a="1"/>
  <c r="K144" i="31" s="1"/>
  <c r="J144" i="31" a="1"/>
  <c r="J144" i="31" s="1"/>
  <c r="I144" i="31" a="1"/>
  <c r="I144" i="31" s="1"/>
  <c r="H144" i="31" a="1"/>
  <c r="H144" i="31" s="1"/>
  <c r="G144" i="31" a="1"/>
  <c r="G144" i="31" s="1"/>
  <c r="F144" i="31" a="1"/>
  <c r="F144" i="31" s="1"/>
  <c r="E144" i="31" a="1"/>
  <c r="E144" i="31" s="1"/>
  <c r="D144" i="31" a="1"/>
  <c r="D144" i="31" s="1"/>
  <c r="Q142" i="31" a="1"/>
  <c r="Q142" i="31" s="1"/>
  <c r="Q141" i="31" s="1"/>
  <c r="N142" i="31" a="1"/>
  <c r="N142" i="31" s="1"/>
  <c r="N141" i="31" s="1"/>
  <c r="M142" i="31" a="1"/>
  <c r="M142" i="31" s="1"/>
  <c r="M141" i="31" s="1"/>
  <c r="L142" i="31" a="1"/>
  <c r="L142" i="31" s="1"/>
  <c r="L141" i="31" s="1"/>
  <c r="K142" i="31" a="1"/>
  <c r="K142" i="31" s="1"/>
  <c r="K141" i="31" s="1"/>
  <c r="J142" i="31" a="1"/>
  <c r="J142" i="31" s="1"/>
  <c r="J141" i="31" s="1"/>
  <c r="I142" i="31" a="1"/>
  <c r="I142" i="31" s="1"/>
  <c r="I141" i="31" s="1"/>
  <c r="H142" i="31" a="1"/>
  <c r="H142" i="31" s="1"/>
  <c r="H141" i="31" s="1"/>
  <c r="G142" i="31" a="1"/>
  <c r="G142" i="31" s="1"/>
  <c r="G141" i="31" s="1"/>
  <c r="F142" i="31" a="1"/>
  <c r="F142" i="31" s="1"/>
  <c r="F141" i="31" s="1"/>
  <c r="E142" i="31" a="1"/>
  <c r="E142" i="31" s="1"/>
  <c r="E141" i="31" s="1"/>
  <c r="D142" i="31" a="1"/>
  <c r="D142" i="31" s="1"/>
  <c r="D141" i="31" s="1"/>
  <c r="Q140" i="31" a="1"/>
  <c r="Q140" i="31" s="1"/>
  <c r="Q139" i="31" s="1"/>
  <c r="N140" i="31" a="1"/>
  <c r="N140" i="31" s="1"/>
  <c r="N139" i="31" s="1"/>
  <c r="M140" i="31" a="1"/>
  <c r="M140" i="31" s="1"/>
  <c r="M139" i="31" s="1"/>
  <c r="L140" i="31" a="1"/>
  <c r="L140" i="31" s="1"/>
  <c r="L139" i="31" s="1"/>
  <c r="K140" i="31" a="1"/>
  <c r="K140" i="31" s="1"/>
  <c r="K139" i="31" s="1"/>
  <c r="J140" i="31" a="1"/>
  <c r="J140" i="31" s="1"/>
  <c r="J139" i="31" s="1"/>
  <c r="I140" i="31" a="1"/>
  <c r="I140" i="31" s="1"/>
  <c r="I139" i="31" s="1"/>
  <c r="H140" i="31" a="1"/>
  <c r="H140" i="31" s="1"/>
  <c r="H139" i="31" s="1"/>
  <c r="G140" i="31" a="1"/>
  <c r="G140" i="31" s="1"/>
  <c r="G139" i="31" s="1"/>
  <c r="F140" i="31" a="1"/>
  <c r="F140" i="31" s="1"/>
  <c r="F139" i="31" s="1"/>
  <c r="E140" i="31" a="1"/>
  <c r="E140" i="31" s="1"/>
  <c r="E139" i="31" s="1"/>
  <c r="D140" i="31" a="1"/>
  <c r="D140" i="31" s="1"/>
  <c r="Q138" i="31" a="1"/>
  <c r="Q138" i="31" s="1"/>
  <c r="N138" i="31" a="1"/>
  <c r="N138" i="31" s="1"/>
  <c r="M138" i="31" a="1"/>
  <c r="M138" i="31" s="1"/>
  <c r="L138" i="31" a="1"/>
  <c r="L138" i="31" s="1"/>
  <c r="K138" i="31" a="1"/>
  <c r="K138" i="31" s="1"/>
  <c r="J138" i="31" a="1"/>
  <c r="J138" i="31" s="1"/>
  <c r="I138" i="31" a="1"/>
  <c r="I138" i="31" s="1"/>
  <c r="H138" i="31" a="1"/>
  <c r="H138" i="31" s="1"/>
  <c r="G138" i="31" a="1"/>
  <c r="G138" i="31" s="1"/>
  <c r="F138" i="31" a="1"/>
  <c r="F138" i="31" s="1"/>
  <c r="E138" i="31" a="1"/>
  <c r="E138" i="31" s="1"/>
  <c r="D138" i="31" a="1"/>
  <c r="D138" i="31" s="1"/>
  <c r="Q137" i="31" a="1"/>
  <c r="Q137" i="31" s="1"/>
  <c r="N137" i="31" a="1"/>
  <c r="N137" i="31" s="1"/>
  <c r="M137" i="31" a="1"/>
  <c r="M137" i="31" s="1"/>
  <c r="L137" i="31" a="1"/>
  <c r="L137" i="31" s="1"/>
  <c r="K137" i="31" a="1"/>
  <c r="K137" i="31" s="1"/>
  <c r="J137" i="31" a="1"/>
  <c r="J137" i="31" s="1"/>
  <c r="I137" i="31" a="1"/>
  <c r="I137" i="31" s="1"/>
  <c r="H137" i="31" a="1"/>
  <c r="H137" i="31" s="1"/>
  <c r="G137" i="31" a="1"/>
  <c r="G137" i="31" s="1"/>
  <c r="F137" i="31" a="1"/>
  <c r="F137" i="31" s="1"/>
  <c r="E137" i="31" a="1"/>
  <c r="E137" i="31" s="1"/>
  <c r="D137" i="31" a="1"/>
  <c r="D137" i="31" s="1"/>
  <c r="Q136" i="31" a="1"/>
  <c r="Q136" i="31" s="1"/>
  <c r="N136" i="31" a="1"/>
  <c r="N136" i="31" s="1"/>
  <c r="M136" i="31" a="1"/>
  <c r="M136" i="31" s="1"/>
  <c r="L136" i="31" a="1"/>
  <c r="L136" i="31" s="1"/>
  <c r="K136" i="31" a="1"/>
  <c r="K136" i="31" s="1"/>
  <c r="J136" i="31" a="1"/>
  <c r="J136" i="31" s="1"/>
  <c r="I136" i="31" a="1"/>
  <c r="I136" i="31" s="1"/>
  <c r="H136" i="31" a="1"/>
  <c r="H136" i="31" s="1"/>
  <c r="G136" i="31" a="1"/>
  <c r="G136" i="31" s="1"/>
  <c r="F136" i="31" a="1"/>
  <c r="F136" i="31" s="1"/>
  <c r="E136" i="31" a="1"/>
  <c r="E136" i="31" s="1"/>
  <c r="D136" i="31" a="1"/>
  <c r="D136" i="31" s="1"/>
  <c r="Q135" i="31" a="1"/>
  <c r="Q135" i="31" s="1"/>
  <c r="N135" i="31" a="1"/>
  <c r="N135" i="31" s="1"/>
  <c r="M135" i="31" a="1"/>
  <c r="M135" i="31" s="1"/>
  <c r="L135" i="31" a="1"/>
  <c r="L135" i="31" s="1"/>
  <c r="K135" i="31" a="1"/>
  <c r="K135" i="31" s="1"/>
  <c r="J135" i="31" a="1"/>
  <c r="J135" i="31" s="1"/>
  <c r="I135" i="31" a="1"/>
  <c r="I135" i="31" s="1"/>
  <c r="H135" i="31" a="1"/>
  <c r="H135" i="31" s="1"/>
  <c r="G135" i="31" a="1"/>
  <c r="G135" i="31" s="1"/>
  <c r="F135" i="31" a="1"/>
  <c r="F135" i="31" s="1"/>
  <c r="E135" i="31" a="1"/>
  <c r="E135" i="31" s="1"/>
  <c r="D135" i="31" a="1"/>
  <c r="D135" i="31" s="1"/>
  <c r="Q133" i="31" a="1"/>
  <c r="Q133" i="31" s="1"/>
  <c r="N133" i="31" a="1"/>
  <c r="N133" i="31" s="1"/>
  <c r="M133" i="31" a="1"/>
  <c r="M133" i="31" s="1"/>
  <c r="L133" i="31" a="1"/>
  <c r="L133" i="31" s="1"/>
  <c r="K133" i="31" a="1"/>
  <c r="K133" i="31" s="1"/>
  <c r="J133" i="31" a="1"/>
  <c r="J133" i="31" s="1"/>
  <c r="I133" i="31" a="1"/>
  <c r="I133" i="31" s="1"/>
  <c r="H133" i="31" a="1"/>
  <c r="H133" i="31" s="1"/>
  <c r="G133" i="31" a="1"/>
  <c r="G133" i="31" s="1"/>
  <c r="F133" i="31" a="1"/>
  <c r="F133" i="31" s="1"/>
  <c r="E133" i="31" a="1"/>
  <c r="E133" i="31" s="1"/>
  <c r="D133" i="31" a="1"/>
  <c r="D133" i="31" s="1"/>
  <c r="Q132" i="31" a="1"/>
  <c r="Q132" i="31" s="1"/>
  <c r="N132" i="31" a="1"/>
  <c r="N132" i="31" s="1"/>
  <c r="M132" i="31" a="1"/>
  <c r="M132" i="31" s="1"/>
  <c r="L132" i="31" a="1"/>
  <c r="L132" i="31" s="1"/>
  <c r="K132" i="31" a="1"/>
  <c r="K132" i="31" s="1"/>
  <c r="J132" i="31" a="1"/>
  <c r="J132" i="31" s="1"/>
  <c r="I132" i="31" a="1"/>
  <c r="I132" i="31" s="1"/>
  <c r="H132" i="31" a="1"/>
  <c r="H132" i="31" s="1"/>
  <c r="G132" i="31" a="1"/>
  <c r="G132" i="31" s="1"/>
  <c r="F132" i="31" a="1"/>
  <c r="F132" i="31" s="1"/>
  <c r="E132" i="31" a="1"/>
  <c r="E132" i="31" s="1"/>
  <c r="D132" i="31" a="1"/>
  <c r="D132" i="31" s="1"/>
  <c r="Q131" i="31" a="1"/>
  <c r="Q131" i="31" s="1"/>
  <c r="N131" i="31" a="1"/>
  <c r="N131" i="31" s="1"/>
  <c r="M131" i="31" a="1"/>
  <c r="M131" i="31" s="1"/>
  <c r="L131" i="31" a="1"/>
  <c r="L131" i="31" s="1"/>
  <c r="K131" i="31" a="1"/>
  <c r="K131" i="31" s="1"/>
  <c r="J131" i="31" a="1"/>
  <c r="J131" i="31" s="1"/>
  <c r="I131" i="31" a="1"/>
  <c r="I131" i="31" s="1"/>
  <c r="H131" i="31" a="1"/>
  <c r="H131" i="31" s="1"/>
  <c r="G131" i="31" a="1"/>
  <c r="G131" i="31" s="1"/>
  <c r="F131" i="31" a="1"/>
  <c r="F131" i="31" s="1"/>
  <c r="E131" i="31" a="1"/>
  <c r="E131" i="31" s="1"/>
  <c r="D131" i="31" a="1"/>
  <c r="D131" i="31" s="1"/>
  <c r="Q130" i="31" a="1"/>
  <c r="Q130" i="31" s="1"/>
  <c r="N130" i="31" a="1"/>
  <c r="N130" i="31" s="1"/>
  <c r="M130" i="31" a="1"/>
  <c r="M130" i="31" s="1"/>
  <c r="L130" i="31" a="1"/>
  <c r="L130" i="31" s="1"/>
  <c r="K130" i="31" a="1"/>
  <c r="K130" i="31" s="1"/>
  <c r="J130" i="31" a="1"/>
  <c r="J130" i="31" s="1"/>
  <c r="I130" i="31" a="1"/>
  <c r="I130" i="31" s="1"/>
  <c r="H130" i="31" a="1"/>
  <c r="H130" i="31" s="1"/>
  <c r="G130" i="31" a="1"/>
  <c r="G130" i="31" s="1"/>
  <c r="F130" i="31" a="1"/>
  <c r="F130" i="31" s="1"/>
  <c r="E130" i="31" a="1"/>
  <c r="E130" i="31" s="1"/>
  <c r="D130" i="31" a="1"/>
  <c r="D130" i="31" s="1"/>
  <c r="Q129" i="31" a="1"/>
  <c r="Q129" i="31" s="1"/>
  <c r="N129" i="31" a="1"/>
  <c r="N129" i="31" s="1"/>
  <c r="M129" i="31" a="1"/>
  <c r="M129" i="31" s="1"/>
  <c r="L129" i="31" a="1"/>
  <c r="L129" i="31" s="1"/>
  <c r="K129" i="31" a="1"/>
  <c r="K129" i="31" s="1"/>
  <c r="J129" i="31" a="1"/>
  <c r="J129" i="31" s="1"/>
  <c r="I129" i="31" a="1"/>
  <c r="I129" i="31" s="1"/>
  <c r="H129" i="31" a="1"/>
  <c r="H129" i="31" s="1"/>
  <c r="G129" i="31" a="1"/>
  <c r="G129" i="31" s="1"/>
  <c r="F129" i="31" a="1"/>
  <c r="F129" i="31" s="1"/>
  <c r="E129" i="31" a="1"/>
  <c r="E129" i="31" s="1"/>
  <c r="D129" i="31" a="1"/>
  <c r="D129" i="31" s="1"/>
  <c r="Q128" i="31" a="1"/>
  <c r="Q128" i="31" s="1"/>
  <c r="N128" i="31" a="1"/>
  <c r="N128" i="31" s="1"/>
  <c r="M128" i="31" a="1"/>
  <c r="M128" i="31" s="1"/>
  <c r="L128" i="31" a="1"/>
  <c r="L128" i="31" s="1"/>
  <c r="K128" i="31" a="1"/>
  <c r="K128" i="31" s="1"/>
  <c r="J128" i="31" a="1"/>
  <c r="J128" i="31" s="1"/>
  <c r="I128" i="31" a="1"/>
  <c r="I128" i="31" s="1"/>
  <c r="H128" i="31" a="1"/>
  <c r="H128" i="31" s="1"/>
  <c r="G128" i="31" a="1"/>
  <c r="G128" i="31" s="1"/>
  <c r="F128" i="31" a="1"/>
  <c r="F128" i="31" s="1"/>
  <c r="E128" i="31" a="1"/>
  <c r="E128" i="31" s="1"/>
  <c r="D128" i="31" a="1"/>
  <c r="D128" i="31" s="1"/>
  <c r="Q127" i="31" a="1"/>
  <c r="Q127" i="31" s="1"/>
  <c r="N127" i="31" a="1"/>
  <c r="N127" i="31" s="1"/>
  <c r="M127" i="31" a="1"/>
  <c r="M127" i="31" s="1"/>
  <c r="L127" i="31" a="1"/>
  <c r="L127" i="31" s="1"/>
  <c r="K127" i="31" a="1"/>
  <c r="K127" i="31" s="1"/>
  <c r="J127" i="31" a="1"/>
  <c r="J127" i="31" s="1"/>
  <c r="I127" i="31" a="1"/>
  <c r="I127" i="31" s="1"/>
  <c r="H127" i="31" a="1"/>
  <c r="H127" i="31" s="1"/>
  <c r="G127" i="31" a="1"/>
  <c r="G127" i="31" s="1"/>
  <c r="F127" i="31" a="1"/>
  <c r="F127" i="31" s="1"/>
  <c r="E127" i="31" a="1"/>
  <c r="E127" i="31" s="1"/>
  <c r="D127" i="31" a="1"/>
  <c r="D127" i="31" s="1"/>
  <c r="Q126" i="31" a="1"/>
  <c r="Q126" i="31" s="1"/>
  <c r="N126" i="31" a="1"/>
  <c r="N126" i="31" s="1"/>
  <c r="M126" i="31" a="1"/>
  <c r="M126" i="31" s="1"/>
  <c r="L126" i="31" a="1"/>
  <c r="L126" i="31" s="1"/>
  <c r="K126" i="31" a="1"/>
  <c r="K126" i="31" s="1"/>
  <c r="J126" i="31" a="1"/>
  <c r="J126" i="31" s="1"/>
  <c r="I126" i="31" a="1"/>
  <c r="I126" i="31" s="1"/>
  <c r="H126" i="31" a="1"/>
  <c r="H126" i="31" s="1"/>
  <c r="G126" i="31" a="1"/>
  <c r="G126" i="31" s="1"/>
  <c r="F126" i="31" a="1"/>
  <c r="F126" i="31" s="1"/>
  <c r="E126" i="31" a="1"/>
  <c r="E126" i="31" s="1"/>
  <c r="D126" i="31" a="1"/>
  <c r="D126" i="31" s="1"/>
  <c r="Q125" i="31" a="1"/>
  <c r="Q125" i="31" s="1"/>
  <c r="N125" i="31" a="1"/>
  <c r="N125" i="31" s="1"/>
  <c r="M125" i="31" a="1"/>
  <c r="M125" i="31" s="1"/>
  <c r="L125" i="31" a="1"/>
  <c r="L125" i="31" s="1"/>
  <c r="K125" i="31" a="1"/>
  <c r="K125" i="31" s="1"/>
  <c r="J125" i="31" a="1"/>
  <c r="J125" i="31" s="1"/>
  <c r="I125" i="31" a="1"/>
  <c r="I125" i="31" s="1"/>
  <c r="H125" i="31" a="1"/>
  <c r="H125" i="31" s="1"/>
  <c r="G125" i="31" a="1"/>
  <c r="G125" i="31" s="1"/>
  <c r="F125" i="31" a="1"/>
  <c r="F125" i="31" s="1"/>
  <c r="E125" i="31" a="1"/>
  <c r="E125" i="31" s="1"/>
  <c r="D125" i="31" a="1"/>
  <c r="D125" i="31" s="1"/>
  <c r="Q124" i="31" a="1"/>
  <c r="Q124" i="31" s="1"/>
  <c r="N124" i="31" a="1"/>
  <c r="N124" i="31" s="1"/>
  <c r="M124" i="31" a="1"/>
  <c r="M124" i="31" s="1"/>
  <c r="L124" i="31" a="1"/>
  <c r="L124" i="31" s="1"/>
  <c r="K124" i="31" a="1"/>
  <c r="K124" i="31" s="1"/>
  <c r="J124" i="31" a="1"/>
  <c r="J124" i="31" s="1"/>
  <c r="I124" i="31" a="1"/>
  <c r="I124" i="31" s="1"/>
  <c r="H124" i="31" a="1"/>
  <c r="H124" i="31" s="1"/>
  <c r="G124" i="31" a="1"/>
  <c r="G124" i="31" s="1"/>
  <c r="F124" i="31" a="1"/>
  <c r="F124" i="31" s="1"/>
  <c r="E124" i="31" a="1"/>
  <c r="E124" i="31" s="1"/>
  <c r="D124" i="31" a="1"/>
  <c r="D124" i="31" s="1"/>
  <c r="Q123" i="31" a="1"/>
  <c r="Q123" i="31" s="1"/>
  <c r="N123" i="31" a="1"/>
  <c r="N123" i="31" s="1"/>
  <c r="M123" i="31" a="1"/>
  <c r="M123" i="31" s="1"/>
  <c r="L123" i="31" a="1"/>
  <c r="L123" i="31" s="1"/>
  <c r="K123" i="31" a="1"/>
  <c r="K123" i="31" s="1"/>
  <c r="J123" i="31" a="1"/>
  <c r="J123" i="31" s="1"/>
  <c r="I123" i="31" a="1"/>
  <c r="I123" i="31" s="1"/>
  <c r="H123" i="31" a="1"/>
  <c r="H123" i="31" s="1"/>
  <c r="G123" i="31" a="1"/>
  <c r="G123" i="31" s="1"/>
  <c r="F123" i="31" a="1"/>
  <c r="F123" i="31" s="1"/>
  <c r="E123" i="31" a="1"/>
  <c r="E123" i="31" s="1"/>
  <c r="D123" i="31" a="1"/>
  <c r="D123" i="31" s="1"/>
  <c r="Q122" i="31" a="1"/>
  <c r="Q122" i="31" s="1"/>
  <c r="N122" i="31" a="1"/>
  <c r="N122" i="31" s="1"/>
  <c r="M122" i="31" a="1"/>
  <c r="M122" i="31" s="1"/>
  <c r="L122" i="31" a="1"/>
  <c r="L122" i="31" s="1"/>
  <c r="K122" i="31" a="1"/>
  <c r="K122" i="31" s="1"/>
  <c r="J122" i="31" a="1"/>
  <c r="J122" i="31" s="1"/>
  <c r="I122" i="31" a="1"/>
  <c r="I122" i="31" s="1"/>
  <c r="H122" i="31" a="1"/>
  <c r="H122" i="31" s="1"/>
  <c r="G122" i="31" a="1"/>
  <c r="G122" i="31" s="1"/>
  <c r="F122" i="31" a="1"/>
  <c r="F122" i="31" s="1"/>
  <c r="E122" i="31" a="1"/>
  <c r="E122" i="31" s="1"/>
  <c r="D122" i="31" a="1"/>
  <c r="D122" i="31" s="1"/>
  <c r="Q121" i="31" a="1"/>
  <c r="Q121" i="31" s="1"/>
  <c r="N121" i="31" a="1"/>
  <c r="N121" i="31" s="1"/>
  <c r="M121" i="31" a="1"/>
  <c r="M121" i="31" s="1"/>
  <c r="L121" i="31" a="1"/>
  <c r="L121" i="31" s="1"/>
  <c r="K121" i="31" a="1"/>
  <c r="K121" i="31" s="1"/>
  <c r="J121" i="31" a="1"/>
  <c r="J121" i="31" s="1"/>
  <c r="I121" i="31" a="1"/>
  <c r="I121" i="31" s="1"/>
  <c r="H121" i="31" a="1"/>
  <c r="H121" i="31" s="1"/>
  <c r="G121" i="31" a="1"/>
  <c r="G121" i="31" s="1"/>
  <c r="F121" i="31" a="1"/>
  <c r="F121" i="31" s="1"/>
  <c r="E121" i="31" a="1"/>
  <c r="E121" i="31" s="1"/>
  <c r="D121" i="31" a="1"/>
  <c r="D121" i="31" s="1"/>
  <c r="Q119" i="31" a="1"/>
  <c r="Q119" i="31" s="1"/>
  <c r="N119" i="31" a="1"/>
  <c r="N119" i="31" s="1"/>
  <c r="M119" i="31" a="1"/>
  <c r="M119" i="31" s="1"/>
  <c r="L119" i="31" a="1"/>
  <c r="L119" i="31" s="1"/>
  <c r="K119" i="31" a="1"/>
  <c r="K119" i="31" s="1"/>
  <c r="J119" i="31" a="1"/>
  <c r="J119" i="31" s="1"/>
  <c r="I119" i="31" a="1"/>
  <c r="I119" i="31" s="1"/>
  <c r="H119" i="31" a="1"/>
  <c r="H119" i="31" s="1"/>
  <c r="G119" i="31" a="1"/>
  <c r="G119" i="31" s="1"/>
  <c r="F119" i="31" a="1"/>
  <c r="F119" i="31" s="1"/>
  <c r="E119" i="31" a="1"/>
  <c r="E119" i="31" s="1"/>
  <c r="D119" i="31" a="1"/>
  <c r="D119" i="31" s="1"/>
  <c r="Q118" i="31" a="1"/>
  <c r="Q118" i="31" s="1"/>
  <c r="N118" i="31" a="1"/>
  <c r="N118" i="31" s="1"/>
  <c r="M118" i="31" a="1"/>
  <c r="M118" i="31" s="1"/>
  <c r="L118" i="31" a="1"/>
  <c r="L118" i="31" s="1"/>
  <c r="K118" i="31" a="1"/>
  <c r="K118" i="31" s="1"/>
  <c r="J118" i="31" a="1"/>
  <c r="J118" i="31" s="1"/>
  <c r="I118" i="31" a="1"/>
  <c r="I118" i="31" s="1"/>
  <c r="H118" i="31" a="1"/>
  <c r="H118" i="31" s="1"/>
  <c r="G118" i="31" a="1"/>
  <c r="G118" i="31" s="1"/>
  <c r="F118" i="31" a="1"/>
  <c r="F118" i="31" s="1"/>
  <c r="E118" i="31" a="1"/>
  <c r="E118" i="31" s="1"/>
  <c r="D118" i="31" a="1"/>
  <c r="D118" i="31" s="1"/>
  <c r="Q117" i="31" a="1"/>
  <c r="Q117" i="31" s="1"/>
  <c r="N117" i="31" a="1"/>
  <c r="N117" i="31" s="1"/>
  <c r="M117" i="31" a="1"/>
  <c r="M117" i="31" s="1"/>
  <c r="L117" i="31" a="1"/>
  <c r="L117" i="31" s="1"/>
  <c r="K117" i="31" a="1"/>
  <c r="K117" i="31" s="1"/>
  <c r="J117" i="31" a="1"/>
  <c r="J117" i="31" s="1"/>
  <c r="I117" i="31" a="1"/>
  <c r="I117" i="31" s="1"/>
  <c r="H117" i="31" a="1"/>
  <c r="H117" i="31" s="1"/>
  <c r="G117" i="31" a="1"/>
  <c r="G117" i="31" s="1"/>
  <c r="F117" i="31" a="1"/>
  <c r="F117" i="31" s="1"/>
  <c r="E117" i="31" a="1"/>
  <c r="E117" i="31" s="1"/>
  <c r="D117" i="31" a="1"/>
  <c r="D117" i="31" s="1"/>
  <c r="Q116" i="31" a="1"/>
  <c r="Q116" i="31" s="1"/>
  <c r="N116" i="31" a="1"/>
  <c r="N116" i="31" s="1"/>
  <c r="M116" i="31" a="1"/>
  <c r="M116" i="31" s="1"/>
  <c r="L116" i="31" a="1"/>
  <c r="L116" i="31" s="1"/>
  <c r="K116" i="31" a="1"/>
  <c r="K116" i="31" s="1"/>
  <c r="J116" i="31" a="1"/>
  <c r="J116" i="31" s="1"/>
  <c r="I116" i="31" a="1"/>
  <c r="I116" i="31" s="1"/>
  <c r="H116" i="31" a="1"/>
  <c r="H116" i="31" s="1"/>
  <c r="G116" i="31" a="1"/>
  <c r="G116" i="31" s="1"/>
  <c r="F116" i="31" a="1"/>
  <c r="F116" i="31" s="1"/>
  <c r="E116" i="31" a="1"/>
  <c r="E116" i="31" s="1"/>
  <c r="D116" i="31" a="1"/>
  <c r="D116" i="31" s="1"/>
  <c r="Q115" i="31" a="1"/>
  <c r="Q115" i="31" s="1"/>
  <c r="N115" i="31" a="1"/>
  <c r="N115" i="31" s="1"/>
  <c r="M115" i="31" a="1"/>
  <c r="M115" i="31" s="1"/>
  <c r="L115" i="31" a="1"/>
  <c r="L115" i="31" s="1"/>
  <c r="K115" i="31" a="1"/>
  <c r="K115" i="31" s="1"/>
  <c r="J115" i="31" a="1"/>
  <c r="J115" i="31" s="1"/>
  <c r="I115" i="31" a="1"/>
  <c r="I115" i="31" s="1"/>
  <c r="H115" i="31" a="1"/>
  <c r="H115" i="31" s="1"/>
  <c r="G115" i="31" a="1"/>
  <c r="G115" i="31" s="1"/>
  <c r="F115" i="31" a="1"/>
  <c r="F115" i="31" s="1"/>
  <c r="E115" i="31" a="1"/>
  <c r="E115" i="31" s="1"/>
  <c r="D115" i="31" a="1"/>
  <c r="D115" i="31" s="1"/>
  <c r="Q114" i="31" a="1"/>
  <c r="Q114" i="31" s="1"/>
  <c r="N114" i="31" a="1"/>
  <c r="N114" i="31" s="1"/>
  <c r="M114" i="31" a="1"/>
  <c r="M114" i="31" s="1"/>
  <c r="L114" i="31" a="1"/>
  <c r="L114" i="31" s="1"/>
  <c r="K114" i="31" a="1"/>
  <c r="K114" i="31" s="1"/>
  <c r="J114" i="31" a="1"/>
  <c r="J114" i="31" s="1"/>
  <c r="I114" i="31" a="1"/>
  <c r="I114" i="31" s="1"/>
  <c r="H114" i="31" a="1"/>
  <c r="H114" i="31" s="1"/>
  <c r="G114" i="31" a="1"/>
  <c r="G114" i="31" s="1"/>
  <c r="F114" i="31" a="1"/>
  <c r="F114" i="31" s="1"/>
  <c r="E114" i="31" a="1"/>
  <c r="E114" i="31" s="1"/>
  <c r="D114" i="31" a="1"/>
  <c r="D114" i="31" s="1"/>
  <c r="Q113" i="31" a="1"/>
  <c r="Q113" i="31" s="1"/>
  <c r="N113" i="31" a="1"/>
  <c r="N113" i="31" s="1"/>
  <c r="M113" i="31" a="1"/>
  <c r="M113" i="31" s="1"/>
  <c r="L113" i="31" a="1"/>
  <c r="L113" i="31" s="1"/>
  <c r="K113" i="31" a="1"/>
  <c r="K113" i="31" s="1"/>
  <c r="J113" i="31" a="1"/>
  <c r="J113" i="31" s="1"/>
  <c r="I113" i="31" a="1"/>
  <c r="I113" i="31" s="1"/>
  <c r="H113" i="31" a="1"/>
  <c r="H113" i="31" s="1"/>
  <c r="G113" i="31" a="1"/>
  <c r="G113" i="31" s="1"/>
  <c r="F113" i="31" a="1"/>
  <c r="F113" i="31" s="1"/>
  <c r="E113" i="31" a="1"/>
  <c r="E113" i="31" s="1"/>
  <c r="D113" i="31" a="1"/>
  <c r="D113" i="31" s="1"/>
  <c r="Q112" i="31" a="1"/>
  <c r="Q112" i="31" s="1"/>
  <c r="N112" i="31" a="1"/>
  <c r="N112" i="31" s="1"/>
  <c r="M112" i="31" a="1"/>
  <c r="M112" i="31" s="1"/>
  <c r="L112" i="31" a="1"/>
  <c r="L112" i="31" s="1"/>
  <c r="K112" i="31" a="1"/>
  <c r="K112" i="31" s="1"/>
  <c r="J112" i="31" a="1"/>
  <c r="J112" i="31" s="1"/>
  <c r="I112" i="31" a="1"/>
  <c r="I112" i="31" s="1"/>
  <c r="H112" i="31" a="1"/>
  <c r="H112" i="31" s="1"/>
  <c r="G112" i="31" a="1"/>
  <c r="G112" i="31" s="1"/>
  <c r="F112" i="31" a="1"/>
  <c r="F112" i="31" s="1"/>
  <c r="E112" i="31" a="1"/>
  <c r="E112" i="31" s="1"/>
  <c r="D112" i="31" a="1"/>
  <c r="D112" i="31" s="1"/>
  <c r="Q111" i="31" a="1"/>
  <c r="Q111" i="31" s="1"/>
  <c r="N111" i="31" a="1"/>
  <c r="N111" i="31" s="1"/>
  <c r="M111" i="31" a="1"/>
  <c r="M111" i="31" s="1"/>
  <c r="L111" i="31" a="1"/>
  <c r="L111" i="31" s="1"/>
  <c r="K111" i="31" a="1"/>
  <c r="K111" i="31" s="1"/>
  <c r="J111" i="31" a="1"/>
  <c r="J111" i="31" s="1"/>
  <c r="I111" i="31" a="1"/>
  <c r="I111" i="31" s="1"/>
  <c r="H111" i="31" a="1"/>
  <c r="H111" i="31" s="1"/>
  <c r="G111" i="31" a="1"/>
  <c r="G111" i="31" s="1"/>
  <c r="F111" i="31" a="1"/>
  <c r="F111" i="31" s="1"/>
  <c r="E111" i="31" a="1"/>
  <c r="E111" i="31" s="1"/>
  <c r="D111" i="31" a="1"/>
  <c r="D111" i="31" s="1"/>
  <c r="Q110" i="31" a="1"/>
  <c r="Q110" i="31" s="1"/>
  <c r="N110" i="31" a="1"/>
  <c r="N110" i="31" s="1"/>
  <c r="M110" i="31" a="1"/>
  <c r="M110" i="31" s="1"/>
  <c r="L110" i="31" a="1"/>
  <c r="L110" i="31" s="1"/>
  <c r="K110" i="31" a="1"/>
  <c r="K110" i="31" s="1"/>
  <c r="J110" i="31" a="1"/>
  <c r="J110" i="31" s="1"/>
  <c r="I110" i="31" a="1"/>
  <c r="I110" i="31" s="1"/>
  <c r="H110" i="31" a="1"/>
  <c r="H110" i="31" s="1"/>
  <c r="G110" i="31" a="1"/>
  <c r="G110" i="31" s="1"/>
  <c r="F110" i="31" a="1"/>
  <c r="F110" i="31" s="1"/>
  <c r="E110" i="31" a="1"/>
  <c r="E110" i="31" s="1"/>
  <c r="D110" i="31" a="1"/>
  <c r="D110" i="31" s="1"/>
  <c r="Q109" i="31" a="1"/>
  <c r="Q109" i="31" s="1"/>
  <c r="N109" i="31" a="1"/>
  <c r="N109" i="31" s="1"/>
  <c r="M109" i="31" a="1"/>
  <c r="M109" i="31" s="1"/>
  <c r="L109" i="31" a="1"/>
  <c r="L109" i="31" s="1"/>
  <c r="K109" i="31" a="1"/>
  <c r="K109" i="31" s="1"/>
  <c r="J109" i="31" a="1"/>
  <c r="J109" i="31" s="1"/>
  <c r="I109" i="31" a="1"/>
  <c r="I109" i="31" s="1"/>
  <c r="H109" i="31" a="1"/>
  <c r="H109" i="31" s="1"/>
  <c r="G109" i="31" a="1"/>
  <c r="G109" i="31" s="1"/>
  <c r="F109" i="31" a="1"/>
  <c r="F109" i="31" s="1"/>
  <c r="E109" i="31" a="1"/>
  <c r="E109" i="31" s="1"/>
  <c r="D109" i="31" a="1"/>
  <c r="D109" i="31" s="1"/>
  <c r="Q108" i="31" a="1"/>
  <c r="Q108" i="31" s="1"/>
  <c r="N108" i="31" a="1"/>
  <c r="N108" i="31" s="1"/>
  <c r="M108" i="31" a="1"/>
  <c r="M108" i="31" s="1"/>
  <c r="L108" i="31" a="1"/>
  <c r="L108" i="31" s="1"/>
  <c r="K108" i="31" a="1"/>
  <c r="K108" i="31" s="1"/>
  <c r="J108" i="31" a="1"/>
  <c r="J108" i="31" s="1"/>
  <c r="I108" i="31" a="1"/>
  <c r="I108" i="31" s="1"/>
  <c r="H108" i="31" a="1"/>
  <c r="H108" i="31" s="1"/>
  <c r="G108" i="31" a="1"/>
  <c r="G108" i="31" s="1"/>
  <c r="F108" i="31" a="1"/>
  <c r="F108" i="31" s="1"/>
  <c r="E108" i="31" a="1"/>
  <c r="E108" i="31" s="1"/>
  <c r="D108" i="31" a="1"/>
  <c r="D108" i="31" s="1"/>
  <c r="Q107" i="31" a="1"/>
  <c r="Q107" i="31" s="1"/>
  <c r="N107" i="31" a="1"/>
  <c r="N107" i="31" s="1"/>
  <c r="M107" i="31" a="1"/>
  <c r="M107" i="31" s="1"/>
  <c r="L107" i="31" a="1"/>
  <c r="L107" i="31" s="1"/>
  <c r="K107" i="31" a="1"/>
  <c r="K107" i="31" s="1"/>
  <c r="J107" i="31" a="1"/>
  <c r="J107" i="31" s="1"/>
  <c r="I107" i="31" a="1"/>
  <c r="I107" i="31" s="1"/>
  <c r="H107" i="31" a="1"/>
  <c r="H107" i="31" s="1"/>
  <c r="G107" i="31" a="1"/>
  <c r="G107" i="31" s="1"/>
  <c r="F107" i="31" a="1"/>
  <c r="F107" i="31" s="1"/>
  <c r="E107" i="31" a="1"/>
  <c r="E107" i="31" s="1"/>
  <c r="D107" i="31" a="1"/>
  <c r="D107" i="31" s="1"/>
  <c r="Q106" i="31" a="1"/>
  <c r="Q106" i="31" s="1"/>
  <c r="N106" i="31" a="1"/>
  <c r="N106" i="31" s="1"/>
  <c r="M106" i="31" a="1"/>
  <c r="M106" i="31" s="1"/>
  <c r="L106" i="31" a="1"/>
  <c r="L106" i="31" s="1"/>
  <c r="K106" i="31" a="1"/>
  <c r="K106" i="31" s="1"/>
  <c r="J106" i="31" a="1"/>
  <c r="J106" i="31" s="1"/>
  <c r="I106" i="31" a="1"/>
  <c r="I106" i="31" s="1"/>
  <c r="H106" i="31" a="1"/>
  <c r="H106" i="31" s="1"/>
  <c r="G106" i="31" a="1"/>
  <c r="G106" i="31" s="1"/>
  <c r="F106" i="31" a="1"/>
  <c r="F106" i="31" s="1"/>
  <c r="E106" i="31" a="1"/>
  <c r="E106" i="31" s="1"/>
  <c r="D106" i="31" a="1"/>
  <c r="D106" i="31" s="1"/>
  <c r="Q105" i="31" a="1"/>
  <c r="Q105" i="31" s="1"/>
  <c r="N105" i="31" a="1"/>
  <c r="N105" i="31" s="1"/>
  <c r="M105" i="31" a="1"/>
  <c r="M105" i="31" s="1"/>
  <c r="L105" i="31" a="1"/>
  <c r="L105" i="31" s="1"/>
  <c r="K105" i="31" a="1"/>
  <c r="K105" i="31" s="1"/>
  <c r="J105" i="31" a="1"/>
  <c r="J105" i="31" s="1"/>
  <c r="I105" i="31" a="1"/>
  <c r="I105" i="31" s="1"/>
  <c r="H105" i="31" a="1"/>
  <c r="H105" i="31" s="1"/>
  <c r="G105" i="31" a="1"/>
  <c r="G105" i="31" s="1"/>
  <c r="F105" i="31" a="1"/>
  <c r="F105" i="31" s="1"/>
  <c r="E105" i="31" a="1"/>
  <c r="E105" i="31" s="1"/>
  <c r="D105" i="31" a="1"/>
  <c r="D105" i="31" s="1"/>
  <c r="Q104" i="31" a="1"/>
  <c r="Q104" i="31" s="1"/>
  <c r="N104" i="31" a="1"/>
  <c r="N104" i="31" s="1"/>
  <c r="M104" i="31" a="1"/>
  <c r="M104" i="31" s="1"/>
  <c r="L104" i="31" a="1"/>
  <c r="L104" i="31" s="1"/>
  <c r="K104" i="31" a="1"/>
  <c r="K104" i="31" s="1"/>
  <c r="J104" i="31" a="1"/>
  <c r="J104" i="31" s="1"/>
  <c r="I104" i="31" a="1"/>
  <c r="I104" i="31" s="1"/>
  <c r="H104" i="31" a="1"/>
  <c r="H104" i="31" s="1"/>
  <c r="G104" i="31" a="1"/>
  <c r="G104" i="31" s="1"/>
  <c r="F104" i="31" a="1"/>
  <c r="F104" i="31" s="1"/>
  <c r="E104" i="31" a="1"/>
  <c r="E104" i="31" s="1"/>
  <c r="D104" i="31" a="1"/>
  <c r="D104" i="31" s="1"/>
  <c r="Q103" i="31" a="1"/>
  <c r="Q103" i="31" s="1"/>
  <c r="N103" i="31" a="1"/>
  <c r="N103" i="31" s="1"/>
  <c r="M103" i="31" a="1"/>
  <c r="M103" i="31" s="1"/>
  <c r="L103" i="31" a="1"/>
  <c r="L103" i="31" s="1"/>
  <c r="K103" i="31" a="1"/>
  <c r="K103" i="31" s="1"/>
  <c r="J103" i="31" a="1"/>
  <c r="J103" i="31" s="1"/>
  <c r="I103" i="31" a="1"/>
  <c r="I103" i="31" s="1"/>
  <c r="H103" i="31" a="1"/>
  <c r="H103" i="31" s="1"/>
  <c r="G103" i="31" a="1"/>
  <c r="G103" i="31" s="1"/>
  <c r="F103" i="31" a="1"/>
  <c r="F103" i="31" s="1"/>
  <c r="E103" i="31" a="1"/>
  <c r="E103" i="31" s="1"/>
  <c r="D103" i="31" a="1"/>
  <c r="D103" i="31" s="1"/>
  <c r="Q102" i="31" a="1"/>
  <c r="Q102" i="31" s="1"/>
  <c r="N102" i="31" a="1"/>
  <c r="N102" i="31" s="1"/>
  <c r="M102" i="31" a="1"/>
  <c r="M102" i="31" s="1"/>
  <c r="L102" i="31" a="1"/>
  <c r="L102" i="31" s="1"/>
  <c r="K102" i="31" a="1"/>
  <c r="K102" i="31" s="1"/>
  <c r="J102" i="31" a="1"/>
  <c r="J102" i="31" s="1"/>
  <c r="I102" i="31" a="1"/>
  <c r="I102" i="31" s="1"/>
  <c r="H102" i="31" a="1"/>
  <c r="H102" i="31" s="1"/>
  <c r="G102" i="31" a="1"/>
  <c r="G102" i="31" s="1"/>
  <c r="F102" i="31" a="1"/>
  <c r="F102" i="31" s="1"/>
  <c r="E102" i="31" a="1"/>
  <c r="E102" i="31" s="1"/>
  <c r="D102" i="31" a="1"/>
  <c r="D102" i="31" s="1"/>
  <c r="Q101" i="31" a="1"/>
  <c r="Q101" i="31" s="1"/>
  <c r="N101" i="31" a="1"/>
  <c r="N101" i="31" s="1"/>
  <c r="M101" i="31" a="1"/>
  <c r="M101" i="31" s="1"/>
  <c r="L101" i="31" a="1"/>
  <c r="L101" i="31" s="1"/>
  <c r="K101" i="31" a="1"/>
  <c r="K101" i="31" s="1"/>
  <c r="J101" i="31" a="1"/>
  <c r="J101" i="31" s="1"/>
  <c r="I101" i="31" a="1"/>
  <c r="I101" i="31" s="1"/>
  <c r="H101" i="31" a="1"/>
  <c r="H101" i="31" s="1"/>
  <c r="G101" i="31" a="1"/>
  <c r="G101" i="31" s="1"/>
  <c r="F101" i="31" a="1"/>
  <c r="F101" i="31" s="1"/>
  <c r="E101" i="31" a="1"/>
  <c r="E101" i="31" s="1"/>
  <c r="D101" i="31" a="1"/>
  <c r="D101" i="31" s="1"/>
  <c r="Q100" i="31" a="1"/>
  <c r="Q100" i="31" s="1"/>
  <c r="N100" i="31" a="1"/>
  <c r="N100" i="31" s="1"/>
  <c r="M100" i="31" a="1"/>
  <c r="M100" i="31" s="1"/>
  <c r="L100" i="31" a="1"/>
  <c r="L100" i="31" s="1"/>
  <c r="K100" i="31" a="1"/>
  <c r="K100" i="31" s="1"/>
  <c r="J100" i="31" a="1"/>
  <c r="J100" i="31" s="1"/>
  <c r="I100" i="31" a="1"/>
  <c r="I100" i="31" s="1"/>
  <c r="H100" i="31" a="1"/>
  <c r="H100" i="31" s="1"/>
  <c r="G100" i="31" a="1"/>
  <c r="G100" i="31" s="1"/>
  <c r="F100" i="31" a="1"/>
  <c r="F100" i="31" s="1"/>
  <c r="E100" i="31" a="1"/>
  <c r="E100" i="31" s="1"/>
  <c r="D100" i="31" a="1"/>
  <c r="D100" i="31" s="1"/>
  <c r="Q99" i="31" a="1"/>
  <c r="Q99" i="31" s="1"/>
  <c r="N99" i="31" a="1"/>
  <c r="N99" i="31" s="1"/>
  <c r="M99" i="31" a="1"/>
  <c r="M99" i="31" s="1"/>
  <c r="L99" i="31" a="1"/>
  <c r="L99" i="31" s="1"/>
  <c r="K99" i="31" a="1"/>
  <c r="K99" i="31" s="1"/>
  <c r="J99" i="31" a="1"/>
  <c r="J99" i="31" s="1"/>
  <c r="I99" i="31" a="1"/>
  <c r="I99" i="31" s="1"/>
  <c r="H99" i="31" a="1"/>
  <c r="H99" i="31" s="1"/>
  <c r="G99" i="31" a="1"/>
  <c r="G99" i="31" s="1"/>
  <c r="F99" i="31" a="1"/>
  <c r="F99" i="31" s="1"/>
  <c r="E99" i="31" a="1"/>
  <c r="E99" i="31" s="1"/>
  <c r="D99" i="31" a="1"/>
  <c r="D99" i="31" s="1"/>
  <c r="Q98" i="31" a="1"/>
  <c r="Q98" i="31" s="1"/>
  <c r="N98" i="31" a="1"/>
  <c r="N98" i="31" s="1"/>
  <c r="M98" i="31" a="1"/>
  <c r="M98" i="31" s="1"/>
  <c r="L98" i="31" a="1"/>
  <c r="L98" i="31" s="1"/>
  <c r="K98" i="31" a="1"/>
  <c r="K98" i="31" s="1"/>
  <c r="J98" i="31" a="1"/>
  <c r="J98" i="31" s="1"/>
  <c r="I98" i="31" a="1"/>
  <c r="I98" i="31" s="1"/>
  <c r="H98" i="31" a="1"/>
  <c r="H98" i="31" s="1"/>
  <c r="G98" i="31" a="1"/>
  <c r="G98" i="31" s="1"/>
  <c r="F98" i="31" a="1"/>
  <c r="F98" i="31" s="1"/>
  <c r="E98" i="31" a="1"/>
  <c r="E98" i="31" s="1"/>
  <c r="D98" i="31" a="1"/>
  <c r="D98" i="31" s="1"/>
  <c r="Q97" i="31" a="1"/>
  <c r="Q97" i="31" s="1"/>
  <c r="N97" i="31" a="1"/>
  <c r="N97" i="31" s="1"/>
  <c r="M97" i="31" a="1"/>
  <c r="M97" i="31" s="1"/>
  <c r="L97" i="31" a="1"/>
  <c r="L97" i="31" s="1"/>
  <c r="K97" i="31" a="1"/>
  <c r="K97" i="31" s="1"/>
  <c r="J97" i="31" a="1"/>
  <c r="J97" i="31" s="1"/>
  <c r="I97" i="31" a="1"/>
  <c r="I97" i="31" s="1"/>
  <c r="H97" i="31" a="1"/>
  <c r="H97" i="31" s="1"/>
  <c r="G97" i="31" a="1"/>
  <c r="G97" i="31" s="1"/>
  <c r="F97" i="31" a="1"/>
  <c r="F97" i="31" s="1"/>
  <c r="E97" i="31" a="1"/>
  <c r="E97" i="31" s="1"/>
  <c r="D97" i="31" a="1"/>
  <c r="D97" i="31" s="1"/>
  <c r="Q96" i="31" a="1"/>
  <c r="Q96" i="31" s="1"/>
  <c r="N96" i="31" a="1"/>
  <c r="N96" i="31" s="1"/>
  <c r="M96" i="31" a="1"/>
  <c r="M96" i="31" s="1"/>
  <c r="L96" i="31" a="1"/>
  <c r="L96" i="31" s="1"/>
  <c r="K96" i="31" a="1"/>
  <c r="K96" i="31" s="1"/>
  <c r="J96" i="31" a="1"/>
  <c r="J96" i="31" s="1"/>
  <c r="I96" i="31" a="1"/>
  <c r="I96" i="31" s="1"/>
  <c r="H96" i="31" a="1"/>
  <c r="H96" i="31" s="1"/>
  <c r="G96" i="31" a="1"/>
  <c r="G96" i="31" s="1"/>
  <c r="F96" i="31" a="1"/>
  <c r="F96" i="31" s="1"/>
  <c r="E96" i="31" a="1"/>
  <c r="E96" i="31" s="1"/>
  <c r="D96" i="31" a="1"/>
  <c r="D96" i="31" s="1"/>
  <c r="Q95" i="31" a="1"/>
  <c r="Q95" i="31" s="1"/>
  <c r="N95" i="31" a="1"/>
  <c r="N95" i="31" s="1"/>
  <c r="M95" i="31" a="1"/>
  <c r="M95" i="31" s="1"/>
  <c r="L95" i="31" a="1"/>
  <c r="L95" i="31" s="1"/>
  <c r="K95" i="31" a="1"/>
  <c r="K95" i="31" s="1"/>
  <c r="J95" i="31" a="1"/>
  <c r="J95" i="31" s="1"/>
  <c r="I95" i="31" a="1"/>
  <c r="I95" i="31" s="1"/>
  <c r="H95" i="31" a="1"/>
  <c r="H95" i="31" s="1"/>
  <c r="G95" i="31" a="1"/>
  <c r="G95" i="31" s="1"/>
  <c r="F95" i="31" a="1"/>
  <c r="F95" i="31" s="1"/>
  <c r="E95" i="31" a="1"/>
  <c r="E95" i="31" s="1"/>
  <c r="D95" i="31" a="1"/>
  <c r="D95" i="31" s="1"/>
  <c r="Q93" i="31" a="1"/>
  <c r="Q93" i="31" s="1"/>
  <c r="N93" i="31" a="1"/>
  <c r="N93" i="31" s="1"/>
  <c r="M93" i="31" a="1"/>
  <c r="M93" i="31" s="1"/>
  <c r="L93" i="31" a="1"/>
  <c r="L93" i="31" s="1"/>
  <c r="K93" i="31" a="1"/>
  <c r="K93" i="31" s="1"/>
  <c r="J93" i="31" a="1"/>
  <c r="J93" i="31" s="1"/>
  <c r="I93" i="31" a="1"/>
  <c r="I93" i="31" s="1"/>
  <c r="H93" i="31" a="1"/>
  <c r="H93" i="31" s="1"/>
  <c r="G93" i="31" a="1"/>
  <c r="G93" i="31" s="1"/>
  <c r="F93" i="31" a="1"/>
  <c r="F93" i="31" s="1"/>
  <c r="E93" i="31" a="1"/>
  <c r="E93" i="31" s="1"/>
  <c r="D93" i="31" a="1"/>
  <c r="D93" i="31" s="1"/>
  <c r="Q92" i="31" a="1"/>
  <c r="Q92" i="31" s="1"/>
  <c r="N92" i="31" a="1"/>
  <c r="N92" i="31" s="1"/>
  <c r="M92" i="31" a="1"/>
  <c r="M92" i="31" s="1"/>
  <c r="L92" i="31" a="1"/>
  <c r="L92" i="31" s="1"/>
  <c r="K92" i="31" a="1"/>
  <c r="K92" i="31" s="1"/>
  <c r="J92" i="31" a="1"/>
  <c r="J92" i="31" s="1"/>
  <c r="I92" i="31" a="1"/>
  <c r="I92" i="31" s="1"/>
  <c r="H92" i="31" a="1"/>
  <c r="H92" i="31" s="1"/>
  <c r="G92" i="31" a="1"/>
  <c r="G92" i="31" s="1"/>
  <c r="F92" i="31" a="1"/>
  <c r="F92" i="31" s="1"/>
  <c r="E92" i="31" a="1"/>
  <c r="E92" i="31" s="1"/>
  <c r="D92" i="31" a="1"/>
  <c r="D92" i="31" s="1"/>
  <c r="Q91" i="31" a="1"/>
  <c r="Q91" i="31" s="1"/>
  <c r="N91" i="31" a="1"/>
  <c r="N91" i="31" s="1"/>
  <c r="M91" i="31" a="1"/>
  <c r="M91" i="31" s="1"/>
  <c r="L91" i="31" a="1"/>
  <c r="L91" i="31" s="1"/>
  <c r="K91" i="31" a="1"/>
  <c r="K91" i="31" s="1"/>
  <c r="J91" i="31" a="1"/>
  <c r="J91" i="31" s="1"/>
  <c r="I91" i="31" a="1"/>
  <c r="I91" i="31" s="1"/>
  <c r="H91" i="31" a="1"/>
  <c r="H91" i="31" s="1"/>
  <c r="G91" i="31" a="1"/>
  <c r="G91" i="31" s="1"/>
  <c r="F91" i="31" a="1"/>
  <c r="F91" i="31" s="1"/>
  <c r="E91" i="31" a="1"/>
  <c r="E91" i="31" s="1"/>
  <c r="D91" i="31" a="1"/>
  <c r="D91" i="31" s="1"/>
  <c r="Q90" i="31" a="1"/>
  <c r="Q90" i="31" s="1"/>
  <c r="N90" i="31" a="1"/>
  <c r="N90" i="31" s="1"/>
  <c r="M90" i="31" a="1"/>
  <c r="M90" i="31" s="1"/>
  <c r="L90" i="31" a="1"/>
  <c r="L90" i="31" s="1"/>
  <c r="K90" i="31" a="1"/>
  <c r="K90" i="31" s="1"/>
  <c r="J90" i="31" a="1"/>
  <c r="J90" i="31" s="1"/>
  <c r="I90" i="31" a="1"/>
  <c r="I90" i="31" s="1"/>
  <c r="H90" i="31" a="1"/>
  <c r="H90" i="31" s="1"/>
  <c r="G90" i="31" a="1"/>
  <c r="G90" i="31" s="1"/>
  <c r="F90" i="31" a="1"/>
  <c r="F90" i="31" s="1"/>
  <c r="E90" i="31" a="1"/>
  <c r="E90" i="31" s="1"/>
  <c r="D90" i="31" a="1"/>
  <c r="D90" i="31" s="1"/>
  <c r="Q89" i="31" a="1"/>
  <c r="Q89" i="31" s="1"/>
  <c r="N89" i="31" a="1"/>
  <c r="N89" i="31" s="1"/>
  <c r="M89" i="31" a="1"/>
  <c r="M89" i="31" s="1"/>
  <c r="L89" i="31" a="1"/>
  <c r="L89" i="31" s="1"/>
  <c r="K89" i="31" a="1"/>
  <c r="K89" i="31" s="1"/>
  <c r="J89" i="31" a="1"/>
  <c r="J89" i="31" s="1"/>
  <c r="I89" i="31" a="1"/>
  <c r="I89" i="31" s="1"/>
  <c r="H89" i="31" a="1"/>
  <c r="H89" i="31" s="1"/>
  <c r="G89" i="31" a="1"/>
  <c r="G89" i="31" s="1"/>
  <c r="F89" i="31" a="1"/>
  <c r="F89" i="31" s="1"/>
  <c r="E89" i="31" a="1"/>
  <c r="E89" i="31" s="1"/>
  <c r="D89" i="31" a="1"/>
  <c r="D89" i="31" s="1"/>
  <c r="Q88" i="31" a="1"/>
  <c r="Q88" i="31" s="1"/>
  <c r="N88" i="31" a="1"/>
  <c r="N88" i="31" s="1"/>
  <c r="M88" i="31" a="1"/>
  <c r="M88" i="31" s="1"/>
  <c r="L88" i="31" a="1"/>
  <c r="L88" i="31" s="1"/>
  <c r="K88" i="31" a="1"/>
  <c r="K88" i="31" s="1"/>
  <c r="J88" i="31" a="1"/>
  <c r="J88" i="31" s="1"/>
  <c r="I88" i="31" a="1"/>
  <c r="I88" i="31" s="1"/>
  <c r="H88" i="31" a="1"/>
  <c r="H88" i="31" s="1"/>
  <c r="G88" i="31" a="1"/>
  <c r="G88" i="31" s="1"/>
  <c r="F88" i="31" a="1"/>
  <c r="F88" i="31" s="1"/>
  <c r="E88" i="31" a="1"/>
  <c r="E88" i="31" s="1"/>
  <c r="D88" i="31" a="1"/>
  <c r="D88" i="31" s="1"/>
  <c r="Q87" i="31" a="1"/>
  <c r="Q87" i="31" s="1"/>
  <c r="N87" i="31" a="1"/>
  <c r="N87" i="31" s="1"/>
  <c r="M87" i="31" a="1"/>
  <c r="M87" i="31" s="1"/>
  <c r="L87" i="31" a="1"/>
  <c r="L87" i="31" s="1"/>
  <c r="K87" i="31" a="1"/>
  <c r="K87" i="31" s="1"/>
  <c r="J87" i="31" a="1"/>
  <c r="J87" i="31" s="1"/>
  <c r="I87" i="31" a="1"/>
  <c r="I87" i="31" s="1"/>
  <c r="H87" i="31" a="1"/>
  <c r="H87" i="31" s="1"/>
  <c r="G87" i="31" a="1"/>
  <c r="G87" i="31" s="1"/>
  <c r="F87" i="31" a="1"/>
  <c r="F87" i="31" s="1"/>
  <c r="E87" i="31" a="1"/>
  <c r="E87" i="31" s="1"/>
  <c r="D87" i="31" a="1"/>
  <c r="D87" i="31" s="1"/>
  <c r="Q86" i="31" a="1"/>
  <c r="Q86" i="31" s="1"/>
  <c r="N86" i="31" a="1"/>
  <c r="N86" i="31" s="1"/>
  <c r="M86" i="31" a="1"/>
  <c r="M86" i="31" s="1"/>
  <c r="L86" i="31" a="1"/>
  <c r="L86" i="31" s="1"/>
  <c r="K86" i="31" a="1"/>
  <c r="K86" i="31" s="1"/>
  <c r="J86" i="31" a="1"/>
  <c r="J86" i="31" s="1"/>
  <c r="I86" i="31" a="1"/>
  <c r="I86" i="31" s="1"/>
  <c r="H86" i="31" a="1"/>
  <c r="H86" i="31" s="1"/>
  <c r="G86" i="31" a="1"/>
  <c r="G86" i="31" s="1"/>
  <c r="F86" i="31" a="1"/>
  <c r="F86" i="31" s="1"/>
  <c r="E86" i="31" a="1"/>
  <c r="E86" i="31" s="1"/>
  <c r="D86" i="31" a="1"/>
  <c r="D86" i="31" s="1"/>
  <c r="Q85" i="31" a="1"/>
  <c r="Q85" i="31" s="1"/>
  <c r="N85" i="31" a="1"/>
  <c r="N85" i="31" s="1"/>
  <c r="M85" i="31" a="1"/>
  <c r="M85" i="31" s="1"/>
  <c r="L85" i="31" a="1"/>
  <c r="L85" i="31" s="1"/>
  <c r="K85" i="31" a="1"/>
  <c r="K85" i="31" s="1"/>
  <c r="J85" i="31" a="1"/>
  <c r="J85" i="31" s="1"/>
  <c r="I85" i="31" a="1"/>
  <c r="I85" i="31" s="1"/>
  <c r="H85" i="31" a="1"/>
  <c r="H85" i="31" s="1"/>
  <c r="G85" i="31" a="1"/>
  <c r="G85" i="31" s="1"/>
  <c r="F85" i="31" a="1"/>
  <c r="F85" i="31" s="1"/>
  <c r="E85" i="31" a="1"/>
  <c r="E85" i="31" s="1"/>
  <c r="D85" i="31" a="1"/>
  <c r="D85" i="31" s="1"/>
  <c r="Q84" i="31" a="1"/>
  <c r="Q84" i="31" s="1"/>
  <c r="N84" i="31" a="1"/>
  <c r="N84" i="31" s="1"/>
  <c r="M84" i="31" a="1"/>
  <c r="M84" i="31" s="1"/>
  <c r="L84" i="31" a="1"/>
  <c r="L84" i="31" s="1"/>
  <c r="K84" i="31" a="1"/>
  <c r="K84" i="31" s="1"/>
  <c r="J84" i="31" a="1"/>
  <c r="J84" i="31" s="1"/>
  <c r="I84" i="31" a="1"/>
  <c r="I84" i="31" s="1"/>
  <c r="H84" i="31" a="1"/>
  <c r="H84" i="31" s="1"/>
  <c r="G84" i="31" a="1"/>
  <c r="G84" i="31" s="1"/>
  <c r="F84" i="31" a="1"/>
  <c r="F84" i="31" s="1"/>
  <c r="E84" i="31" a="1"/>
  <c r="E84" i="31" s="1"/>
  <c r="D84" i="31" a="1"/>
  <c r="D84" i="31" s="1"/>
  <c r="Q83" i="31" a="1"/>
  <c r="Q83" i="31" s="1"/>
  <c r="N83" i="31" a="1"/>
  <c r="N83" i="31" s="1"/>
  <c r="M83" i="31" a="1"/>
  <c r="M83" i="31" s="1"/>
  <c r="L83" i="31" a="1"/>
  <c r="L83" i="31" s="1"/>
  <c r="K83" i="31" a="1"/>
  <c r="K83" i="31" s="1"/>
  <c r="J83" i="31" a="1"/>
  <c r="J83" i="31" s="1"/>
  <c r="I83" i="31" a="1"/>
  <c r="I83" i="31" s="1"/>
  <c r="H83" i="31" a="1"/>
  <c r="H83" i="31" s="1"/>
  <c r="G83" i="31" a="1"/>
  <c r="G83" i="31" s="1"/>
  <c r="F83" i="31" a="1"/>
  <c r="F83" i="31" s="1"/>
  <c r="E83" i="31" a="1"/>
  <c r="E83" i="31" s="1"/>
  <c r="D83" i="31" a="1"/>
  <c r="D83" i="31" s="1"/>
  <c r="Q82" i="31" a="1"/>
  <c r="Q82" i="31" s="1"/>
  <c r="N82" i="31" a="1"/>
  <c r="N82" i="31" s="1"/>
  <c r="M82" i="31" a="1"/>
  <c r="M82" i="31" s="1"/>
  <c r="L82" i="31" a="1"/>
  <c r="L82" i="31" s="1"/>
  <c r="K82" i="31" a="1"/>
  <c r="K82" i="31" s="1"/>
  <c r="J82" i="31" a="1"/>
  <c r="J82" i="31" s="1"/>
  <c r="I82" i="31" a="1"/>
  <c r="I82" i="31" s="1"/>
  <c r="H82" i="31" a="1"/>
  <c r="H82" i="31" s="1"/>
  <c r="G82" i="31" a="1"/>
  <c r="G82" i="31" s="1"/>
  <c r="F82" i="31" a="1"/>
  <c r="F82" i="31" s="1"/>
  <c r="E82" i="31" a="1"/>
  <c r="E82" i="31" s="1"/>
  <c r="D82" i="31" a="1"/>
  <c r="D82" i="31" s="1"/>
  <c r="Q80" i="31" a="1"/>
  <c r="Q80" i="31" s="1"/>
  <c r="N80" i="31" a="1"/>
  <c r="N80" i="31" s="1"/>
  <c r="M80" i="31" a="1"/>
  <c r="M80" i="31" s="1"/>
  <c r="L80" i="31" a="1"/>
  <c r="L80" i="31" s="1"/>
  <c r="K80" i="31" a="1"/>
  <c r="K80" i="31" s="1"/>
  <c r="J80" i="31" a="1"/>
  <c r="J80" i="31" s="1"/>
  <c r="I80" i="31" a="1"/>
  <c r="I80" i="31" s="1"/>
  <c r="H80" i="31" a="1"/>
  <c r="H80" i="31" s="1"/>
  <c r="G80" i="31" a="1"/>
  <c r="G80" i="31" s="1"/>
  <c r="F80" i="31" a="1"/>
  <c r="F80" i="31" s="1"/>
  <c r="E80" i="31" a="1"/>
  <c r="E80" i="31" s="1"/>
  <c r="D80" i="31" a="1"/>
  <c r="D80" i="31" s="1"/>
  <c r="Q79" i="31" a="1"/>
  <c r="Q79" i="31" s="1"/>
  <c r="N79" i="31" a="1"/>
  <c r="N79" i="31" s="1"/>
  <c r="M79" i="31" a="1"/>
  <c r="M79" i="31" s="1"/>
  <c r="L79" i="31" a="1"/>
  <c r="L79" i="31" s="1"/>
  <c r="K79" i="31" a="1"/>
  <c r="K79" i="31" s="1"/>
  <c r="J79" i="31" a="1"/>
  <c r="J79" i="31" s="1"/>
  <c r="I79" i="31" a="1"/>
  <c r="I79" i="31" s="1"/>
  <c r="H79" i="31" a="1"/>
  <c r="H79" i="31" s="1"/>
  <c r="G79" i="31" a="1"/>
  <c r="G79" i="31" s="1"/>
  <c r="F79" i="31" a="1"/>
  <c r="F79" i="31" s="1"/>
  <c r="E79" i="31" a="1"/>
  <c r="E79" i="31" s="1"/>
  <c r="D79" i="31" a="1"/>
  <c r="D79" i="31" s="1"/>
  <c r="Q78" i="31" a="1"/>
  <c r="Q78" i="31" s="1"/>
  <c r="N78" i="31" a="1"/>
  <c r="N78" i="31" s="1"/>
  <c r="M78" i="31" a="1"/>
  <c r="M78" i="31" s="1"/>
  <c r="L78" i="31" a="1"/>
  <c r="L78" i="31" s="1"/>
  <c r="K78" i="31" a="1"/>
  <c r="K78" i="31" s="1"/>
  <c r="J78" i="31" a="1"/>
  <c r="J78" i="31" s="1"/>
  <c r="I78" i="31" a="1"/>
  <c r="I78" i="31" s="1"/>
  <c r="H78" i="31" a="1"/>
  <c r="H78" i="31" s="1"/>
  <c r="G78" i="31" a="1"/>
  <c r="G78" i="31" s="1"/>
  <c r="F78" i="31" a="1"/>
  <c r="F78" i="31" s="1"/>
  <c r="E78" i="31" a="1"/>
  <c r="E78" i="31" s="1"/>
  <c r="D78" i="31" a="1"/>
  <c r="D78" i="31" s="1"/>
  <c r="Q77" i="31" a="1"/>
  <c r="Q77" i="31" s="1"/>
  <c r="N77" i="31" a="1"/>
  <c r="N77" i="31" s="1"/>
  <c r="M77" i="31" a="1"/>
  <c r="M77" i="31" s="1"/>
  <c r="L77" i="31" a="1"/>
  <c r="L77" i="31" s="1"/>
  <c r="K77" i="31" a="1"/>
  <c r="K77" i="31" s="1"/>
  <c r="J77" i="31" a="1"/>
  <c r="J77" i="31" s="1"/>
  <c r="I77" i="31" a="1"/>
  <c r="I77" i="31" s="1"/>
  <c r="H77" i="31" a="1"/>
  <c r="H77" i="31" s="1"/>
  <c r="G77" i="31" a="1"/>
  <c r="G77" i="31" s="1"/>
  <c r="F77" i="31" a="1"/>
  <c r="F77" i="31" s="1"/>
  <c r="E77" i="31" a="1"/>
  <c r="E77" i="31" s="1"/>
  <c r="D77" i="31" a="1"/>
  <c r="D77" i="31" s="1"/>
  <c r="Q75" i="31" a="1"/>
  <c r="Q75" i="31" s="1"/>
  <c r="Q74" i="31" s="1"/>
  <c r="N75" i="31" a="1"/>
  <c r="N75" i="31" s="1"/>
  <c r="N74" i="31" s="1"/>
  <c r="M75" i="31" a="1"/>
  <c r="M75" i="31" s="1"/>
  <c r="M74" i="31" s="1"/>
  <c r="L75" i="31" a="1"/>
  <c r="L75" i="31" s="1"/>
  <c r="L74" i="31" s="1"/>
  <c r="K75" i="31" a="1"/>
  <c r="K75" i="31" s="1"/>
  <c r="K74" i="31" s="1"/>
  <c r="J75" i="31" a="1"/>
  <c r="J75" i="31" s="1"/>
  <c r="J74" i="31" s="1"/>
  <c r="I75" i="31" a="1"/>
  <c r="I75" i="31" s="1"/>
  <c r="I74" i="31" s="1"/>
  <c r="H75" i="31" a="1"/>
  <c r="H75" i="31" s="1"/>
  <c r="H74" i="31" s="1"/>
  <c r="G75" i="31" a="1"/>
  <c r="G75" i="31" s="1"/>
  <c r="G74" i="31" s="1"/>
  <c r="F75" i="31" a="1"/>
  <c r="F75" i="31" s="1"/>
  <c r="F74" i="31" s="1"/>
  <c r="E75" i="31" a="1"/>
  <c r="E75" i="31" s="1"/>
  <c r="E74" i="31" s="1"/>
  <c r="D75" i="31" a="1"/>
  <c r="D75" i="31" s="1"/>
  <c r="Q73" i="31" a="1"/>
  <c r="Q73" i="31" s="1"/>
  <c r="Q72" i="31" s="1"/>
  <c r="N73" i="31" a="1"/>
  <c r="N73" i="31" s="1"/>
  <c r="N72" i="31" s="1"/>
  <c r="M73" i="31" a="1"/>
  <c r="M73" i="31" s="1"/>
  <c r="M72" i="31" s="1"/>
  <c r="L73" i="31" a="1"/>
  <c r="L73" i="31" s="1"/>
  <c r="L72" i="31" s="1"/>
  <c r="K73" i="31" a="1"/>
  <c r="K73" i="31" s="1"/>
  <c r="K72" i="31" s="1"/>
  <c r="J73" i="31" a="1"/>
  <c r="J73" i="31" s="1"/>
  <c r="J72" i="31" s="1"/>
  <c r="I73" i="31" a="1"/>
  <c r="I73" i="31" s="1"/>
  <c r="I72" i="31" s="1"/>
  <c r="H73" i="31" a="1"/>
  <c r="H73" i="31" s="1"/>
  <c r="H72" i="31" s="1"/>
  <c r="G73" i="31" a="1"/>
  <c r="G73" i="31" s="1"/>
  <c r="G72" i="31" s="1"/>
  <c r="F73" i="31" a="1"/>
  <c r="F73" i="31" s="1"/>
  <c r="F72" i="31" s="1"/>
  <c r="E73" i="31" a="1"/>
  <c r="E73" i="31" s="1"/>
  <c r="E72" i="31" s="1"/>
  <c r="D73" i="31" a="1"/>
  <c r="D73" i="31" s="1"/>
  <c r="D72" i="31" s="1"/>
  <c r="Q71" i="31" a="1"/>
  <c r="Q71" i="31" s="1"/>
  <c r="Q70" i="31" s="1"/>
  <c r="N71" i="31" a="1"/>
  <c r="N71" i="31" s="1"/>
  <c r="N70" i="31" s="1"/>
  <c r="M71" i="31" a="1"/>
  <c r="M71" i="31" s="1"/>
  <c r="M70" i="31" s="1"/>
  <c r="L71" i="31" a="1"/>
  <c r="L71" i="31" s="1"/>
  <c r="L70" i="31" s="1"/>
  <c r="K71" i="31" a="1"/>
  <c r="K71" i="31" s="1"/>
  <c r="K70" i="31" s="1"/>
  <c r="J71" i="31" a="1"/>
  <c r="J71" i="31" s="1"/>
  <c r="J70" i="31" s="1"/>
  <c r="I71" i="31" a="1"/>
  <c r="I71" i="31" s="1"/>
  <c r="I70" i="31" s="1"/>
  <c r="H71" i="31" a="1"/>
  <c r="H71" i="31" s="1"/>
  <c r="H70" i="31" s="1"/>
  <c r="G71" i="31" a="1"/>
  <c r="G71" i="31" s="1"/>
  <c r="G70" i="31" s="1"/>
  <c r="F71" i="31" a="1"/>
  <c r="F71" i="31" s="1"/>
  <c r="F70" i="31" s="1"/>
  <c r="E71" i="31" a="1"/>
  <c r="E71" i="31" s="1"/>
  <c r="E70" i="31" s="1"/>
  <c r="D71" i="31" a="1"/>
  <c r="D71" i="31" s="1"/>
  <c r="D70" i="31" s="1"/>
  <c r="Q69" i="31" a="1"/>
  <c r="Q69" i="31" s="1"/>
  <c r="N69" i="31" a="1"/>
  <c r="N69" i="31" s="1"/>
  <c r="M69" i="31" a="1"/>
  <c r="M69" i="31" s="1"/>
  <c r="L69" i="31" a="1"/>
  <c r="L69" i="31" s="1"/>
  <c r="K69" i="31" a="1"/>
  <c r="K69" i="31" s="1"/>
  <c r="J69" i="31" a="1"/>
  <c r="J69" i="31" s="1"/>
  <c r="I69" i="31" a="1"/>
  <c r="I69" i="31" s="1"/>
  <c r="H69" i="31" a="1"/>
  <c r="H69" i="31" s="1"/>
  <c r="G69" i="31" a="1"/>
  <c r="G69" i="31" s="1"/>
  <c r="F69" i="31" a="1"/>
  <c r="F69" i="31" s="1"/>
  <c r="E69" i="31" a="1"/>
  <c r="E69" i="31" s="1"/>
  <c r="D69" i="31" a="1"/>
  <c r="D69" i="31" s="1"/>
  <c r="Q68" i="31" a="1"/>
  <c r="Q68" i="31" s="1"/>
  <c r="N68" i="31" a="1"/>
  <c r="N68" i="31" s="1"/>
  <c r="M68" i="31" a="1"/>
  <c r="M68" i="31" s="1"/>
  <c r="L68" i="31" a="1"/>
  <c r="L68" i="31" s="1"/>
  <c r="K68" i="31" a="1"/>
  <c r="K68" i="31" s="1"/>
  <c r="J68" i="31" a="1"/>
  <c r="J68" i="31" s="1"/>
  <c r="I68" i="31" a="1"/>
  <c r="I68" i="31" s="1"/>
  <c r="H68" i="31" a="1"/>
  <c r="H68" i="31" s="1"/>
  <c r="G68" i="31" a="1"/>
  <c r="G68" i="31" s="1"/>
  <c r="F68" i="31" a="1"/>
  <c r="F68" i="31" s="1"/>
  <c r="E68" i="31" a="1"/>
  <c r="E68" i="31" s="1"/>
  <c r="D68" i="31" a="1"/>
  <c r="D68" i="31" s="1"/>
  <c r="Q67" i="31" a="1"/>
  <c r="Q67" i="31" s="1"/>
  <c r="N67" i="31" a="1"/>
  <c r="N67" i="31" s="1"/>
  <c r="M67" i="31" a="1"/>
  <c r="M67" i="31" s="1"/>
  <c r="L67" i="31" a="1"/>
  <c r="L67" i="31" s="1"/>
  <c r="K67" i="31" a="1"/>
  <c r="K67" i="31" s="1"/>
  <c r="J67" i="31" a="1"/>
  <c r="J67" i="31" s="1"/>
  <c r="I67" i="31" a="1"/>
  <c r="I67" i="31" s="1"/>
  <c r="H67" i="31" a="1"/>
  <c r="H67" i="31" s="1"/>
  <c r="G67" i="31" a="1"/>
  <c r="G67" i="31" s="1"/>
  <c r="F67" i="31" a="1"/>
  <c r="F67" i="31" s="1"/>
  <c r="E67" i="31" a="1"/>
  <c r="E67" i="31" s="1"/>
  <c r="D67" i="31" a="1"/>
  <c r="D67" i="31" s="1"/>
  <c r="Q65" i="31" a="1"/>
  <c r="Q65" i="31" s="1"/>
  <c r="Q64" i="31" s="1"/>
  <c r="N65" i="31" a="1"/>
  <c r="N65" i="31" s="1"/>
  <c r="N64" i="31" s="1"/>
  <c r="M65" i="31" a="1"/>
  <c r="M65" i="31" s="1"/>
  <c r="M64" i="31" s="1"/>
  <c r="L65" i="31" a="1"/>
  <c r="L65" i="31" s="1"/>
  <c r="L64" i="31" s="1"/>
  <c r="K65" i="31" a="1"/>
  <c r="K65" i="31" s="1"/>
  <c r="K64" i="31" s="1"/>
  <c r="J65" i="31" a="1"/>
  <c r="J65" i="31" s="1"/>
  <c r="J64" i="31" s="1"/>
  <c r="I65" i="31" a="1"/>
  <c r="I65" i="31" s="1"/>
  <c r="I64" i="31" s="1"/>
  <c r="H65" i="31" a="1"/>
  <c r="H65" i="31" s="1"/>
  <c r="H64" i="31" s="1"/>
  <c r="G65" i="31" a="1"/>
  <c r="G65" i="31" s="1"/>
  <c r="G64" i="31" s="1"/>
  <c r="F65" i="31" a="1"/>
  <c r="F65" i="31" s="1"/>
  <c r="F64" i="31" s="1"/>
  <c r="E65" i="31" a="1"/>
  <c r="E65" i="31" s="1"/>
  <c r="E64" i="31" s="1"/>
  <c r="D65" i="31" a="1"/>
  <c r="D65" i="31" s="1"/>
  <c r="Q63" i="31" a="1"/>
  <c r="Q63" i="31" s="1"/>
  <c r="N63" i="31" a="1"/>
  <c r="N63" i="31" s="1"/>
  <c r="M63" i="31" a="1"/>
  <c r="M63" i="31" s="1"/>
  <c r="L63" i="31" a="1"/>
  <c r="L63" i="31" s="1"/>
  <c r="K63" i="31" a="1"/>
  <c r="K63" i="31" s="1"/>
  <c r="J63" i="31" a="1"/>
  <c r="J63" i="31" s="1"/>
  <c r="I63" i="31" a="1"/>
  <c r="I63" i="31" s="1"/>
  <c r="H63" i="31" a="1"/>
  <c r="H63" i="31" s="1"/>
  <c r="G63" i="31" a="1"/>
  <c r="G63" i="31" s="1"/>
  <c r="F63" i="31" a="1"/>
  <c r="F63" i="31" s="1"/>
  <c r="E63" i="31" a="1"/>
  <c r="E63" i="31" s="1"/>
  <c r="D63" i="31" a="1"/>
  <c r="D63" i="31" s="1"/>
  <c r="Q62" i="31" a="1"/>
  <c r="Q62" i="31" s="1"/>
  <c r="N62" i="31" a="1"/>
  <c r="N62" i="31" s="1"/>
  <c r="M62" i="31" a="1"/>
  <c r="M62" i="31" s="1"/>
  <c r="L62" i="31" a="1"/>
  <c r="L62" i="31" s="1"/>
  <c r="K62" i="31" a="1"/>
  <c r="K62" i="31" s="1"/>
  <c r="J62" i="31" a="1"/>
  <c r="J62" i="31" s="1"/>
  <c r="I62" i="31" a="1"/>
  <c r="I62" i="31" s="1"/>
  <c r="H62" i="31" a="1"/>
  <c r="H62" i="31" s="1"/>
  <c r="G62" i="31" a="1"/>
  <c r="G62" i="31" s="1"/>
  <c r="F62" i="31" a="1"/>
  <c r="F62" i="31" s="1"/>
  <c r="E62" i="31" a="1"/>
  <c r="E62" i="31" s="1"/>
  <c r="D62" i="31" a="1"/>
  <c r="D62" i="31" s="1"/>
  <c r="Q61" i="31" a="1"/>
  <c r="Q61" i="31" s="1"/>
  <c r="N61" i="31" a="1"/>
  <c r="N61" i="31" s="1"/>
  <c r="M61" i="31" a="1"/>
  <c r="M61" i="31" s="1"/>
  <c r="L61" i="31" a="1"/>
  <c r="L61" i="31" s="1"/>
  <c r="K61" i="31" a="1"/>
  <c r="K61" i="31" s="1"/>
  <c r="J61" i="31" a="1"/>
  <c r="J61" i="31" s="1"/>
  <c r="I61" i="31" a="1"/>
  <c r="I61" i="31" s="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Q60" i="31" a="1"/>
  <c r="Q60" i="31" s="1"/>
  <c r="N60" i="31" a="1"/>
  <c r="N60" i="31" s="1"/>
  <c r="M60" i="31" a="1"/>
  <c r="M60" i="31" s="1"/>
  <c r="L60" i="31" a="1"/>
  <c r="L60" i="31" s="1"/>
  <c r="K60" i="31" a="1"/>
  <c r="K60" i="31" s="1"/>
  <c r="J60" i="31" a="1"/>
  <c r="J60" i="31" s="1"/>
  <c r="I60" i="31" a="1"/>
  <c r="I60" i="31" s="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Q59" i="31" a="1"/>
  <c r="Q59" i="31" s="1"/>
  <c r="N59" i="31" a="1"/>
  <c r="N59" i="31" s="1"/>
  <c r="M59" i="31" a="1"/>
  <c r="M59" i="31" s="1"/>
  <c r="L59" i="31" a="1"/>
  <c r="L59" i="31" s="1"/>
  <c r="K59" i="31" a="1"/>
  <c r="K59" i="31" s="1"/>
  <c r="J59" i="31" a="1"/>
  <c r="J59" i="31" s="1"/>
  <c r="I59" i="31" a="1"/>
  <c r="I59" i="31" s="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Q58" i="31" a="1"/>
  <c r="Q58" i="31" s="1"/>
  <c r="N58" i="31" a="1"/>
  <c r="N58" i="31" s="1"/>
  <c r="M58" i="31" a="1"/>
  <c r="M58" i="31" s="1"/>
  <c r="L58" i="31" a="1"/>
  <c r="L58" i="31" s="1"/>
  <c r="K58" i="31" a="1"/>
  <c r="K58" i="31" s="1"/>
  <c r="J58" i="31" a="1"/>
  <c r="J58" i="31" s="1"/>
  <c r="I58" i="31" a="1"/>
  <c r="I58" i="31" s="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Q57" i="31" a="1"/>
  <c r="Q57" i="31" s="1"/>
  <c r="N57" i="31" a="1"/>
  <c r="N57" i="31" s="1"/>
  <c r="M57" i="31" a="1"/>
  <c r="M57" i="31" s="1"/>
  <c r="L57" i="31" a="1"/>
  <c r="L57" i="31" s="1"/>
  <c r="K57" i="31" a="1"/>
  <c r="K57" i="31" s="1"/>
  <c r="J57" i="31" a="1"/>
  <c r="J57" i="31" s="1"/>
  <c r="I57" i="31" a="1"/>
  <c r="I57" i="31" s="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Q56" i="31" a="1"/>
  <c r="Q56" i="31" s="1"/>
  <c r="N56" i="31" a="1"/>
  <c r="N56" i="31" s="1"/>
  <c r="M56" i="31" a="1"/>
  <c r="M56" i="31" s="1"/>
  <c r="L56" i="31" a="1"/>
  <c r="L56" i="31" s="1"/>
  <c r="K56" i="31" a="1"/>
  <c r="K56" i="31" s="1"/>
  <c r="J56" i="31" a="1"/>
  <c r="J56" i="31" s="1"/>
  <c r="I56" i="31" a="1"/>
  <c r="I56" i="31" s="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Q55" i="31" a="1"/>
  <c r="Q55" i="31" s="1"/>
  <c r="N55" i="31" a="1"/>
  <c r="N55" i="31" s="1"/>
  <c r="M55" i="31" a="1"/>
  <c r="M55" i="31" s="1"/>
  <c r="L55" i="31" a="1"/>
  <c r="L55" i="31" s="1"/>
  <c r="K55" i="31" a="1"/>
  <c r="K55" i="31" s="1"/>
  <c r="J55" i="31" a="1"/>
  <c r="J55" i="31" s="1"/>
  <c r="I55" i="31" a="1"/>
  <c r="I55" i="31" s="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Q54" i="31" a="1"/>
  <c r="Q54" i="31" s="1"/>
  <c r="N54" i="31" a="1"/>
  <c r="N54" i="31" s="1"/>
  <c r="M54" i="31" a="1"/>
  <c r="M54" i="31" s="1"/>
  <c r="L54" i="31" a="1"/>
  <c r="L54" i="31" s="1"/>
  <c r="K54" i="31" a="1"/>
  <c r="K54" i="31" s="1"/>
  <c r="J54" i="31" a="1"/>
  <c r="J54" i="31" s="1"/>
  <c r="I54" i="31" a="1"/>
  <c r="I54" i="31" s="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Q53" i="31" a="1"/>
  <c r="Q53" i="31" s="1"/>
  <c r="N53" i="31" a="1"/>
  <c r="N53" i="31" s="1"/>
  <c r="M53" i="31" a="1"/>
  <c r="M53" i="31" s="1"/>
  <c r="L53" i="31" a="1"/>
  <c r="L53" i="31" s="1"/>
  <c r="K53" i="31" a="1"/>
  <c r="K53" i="31" s="1"/>
  <c r="J53" i="31" a="1"/>
  <c r="J53" i="31" s="1"/>
  <c r="I53" i="31" a="1"/>
  <c r="I53" i="31" s="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Q52" i="31" a="1"/>
  <c r="Q52" i="31" s="1"/>
  <c r="N52" i="31" a="1"/>
  <c r="N52" i="31" s="1"/>
  <c r="M52" i="31" a="1"/>
  <c r="M52" i="31" s="1"/>
  <c r="L52" i="31" a="1"/>
  <c r="L52" i="31" s="1"/>
  <c r="K52" i="31" a="1"/>
  <c r="K52" i="31" s="1"/>
  <c r="J52" i="31" a="1"/>
  <c r="J52" i="31" s="1"/>
  <c r="I52" i="31" a="1"/>
  <c r="I52" i="31" s="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Q50" i="31" a="1"/>
  <c r="Q50" i="31" s="1"/>
  <c r="N50" i="31" a="1"/>
  <c r="N50" i="31" s="1"/>
  <c r="M50" i="31" a="1"/>
  <c r="M50" i="31" s="1"/>
  <c r="L50" i="31" a="1"/>
  <c r="L50" i="31" s="1"/>
  <c r="K50" i="31" a="1"/>
  <c r="K50" i="31" s="1"/>
  <c r="J50" i="31" a="1"/>
  <c r="J50" i="31" s="1"/>
  <c r="I50" i="31" a="1"/>
  <c r="I50" i="31" s="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Q49" i="31" a="1"/>
  <c r="Q49" i="31" s="1"/>
  <c r="N49" i="31" a="1"/>
  <c r="N49" i="31" s="1"/>
  <c r="M49" i="31" a="1"/>
  <c r="M49" i="31" s="1"/>
  <c r="L49" i="31" a="1"/>
  <c r="L49" i="31" s="1"/>
  <c r="K49" i="31" a="1"/>
  <c r="K49" i="31" s="1"/>
  <c r="J49" i="31" a="1"/>
  <c r="J49" i="31" s="1"/>
  <c r="I49" i="31" a="1"/>
  <c r="I49" i="31" s="1"/>
  <c r="H49" i="31" a="1"/>
  <c r="H49" i="31" s="1"/>
  <c r="G49" i="31" a="1"/>
  <c r="G49" i="31" s="1"/>
  <c r="F49" i="31" a="1"/>
  <c r="F49" i="31" s="1"/>
  <c r="E49" i="31" a="1"/>
  <c r="E49" i="31" s="1"/>
  <c r="D49" i="31" a="1"/>
  <c r="D49" i="31" s="1"/>
  <c r="Q48" i="31" a="1"/>
  <c r="Q48" i="31" s="1"/>
  <c r="N48" i="31" a="1"/>
  <c r="N48" i="31" s="1"/>
  <c r="M48" i="31" a="1"/>
  <c r="M48" i="31" s="1"/>
  <c r="L48" i="31" a="1"/>
  <c r="L48" i="31" s="1"/>
  <c r="K48" i="31" a="1"/>
  <c r="K48" i="31" s="1"/>
  <c r="J48" i="31" a="1"/>
  <c r="J48" i="31" s="1"/>
  <c r="I48" i="31" a="1"/>
  <c r="I48" i="31" s="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Q47" i="31" a="1"/>
  <c r="Q47" i="31" s="1"/>
  <c r="N47" i="31" a="1"/>
  <c r="N47" i="31" s="1"/>
  <c r="M47" i="31" a="1"/>
  <c r="M47" i="31" s="1"/>
  <c r="L47" i="31" a="1"/>
  <c r="L47" i="31" s="1"/>
  <c r="K47" i="31" a="1"/>
  <c r="K47" i="31" s="1"/>
  <c r="J47" i="31" a="1"/>
  <c r="J47" i="31" s="1"/>
  <c r="I47" i="31" a="1"/>
  <c r="I47" i="31" s="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Q46" i="31" a="1"/>
  <c r="Q46" i="31" s="1"/>
  <c r="N46" i="31" a="1"/>
  <c r="N46" i="31" s="1"/>
  <c r="M46" i="31" a="1"/>
  <c r="M46" i="31" s="1"/>
  <c r="L46" i="31" a="1"/>
  <c r="L46" i="31" s="1"/>
  <c r="K46" i="31" a="1"/>
  <c r="K46" i="31" s="1"/>
  <c r="J46" i="31" a="1"/>
  <c r="J46" i="31" s="1"/>
  <c r="I46" i="31" a="1"/>
  <c r="I46" i="31" s="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Q45" i="31" a="1"/>
  <c r="Q45" i="31" s="1"/>
  <c r="N45" i="31" a="1"/>
  <c r="N45" i="31" s="1"/>
  <c r="M45" i="31" a="1"/>
  <c r="M45" i="31" s="1"/>
  <c r="L45" i="31" a="1"/>
  <c r="L45" i="31" s="1"/>
  <c r="K45" i="31" a="1"/>
  <c r="K45" i="31" s="1"/>
  <c r="J45" i="31" a="1"/>
  <c r="J45" i="31" s="1"/>
  <c r="I45" i="31" a="1"/>
  <c r="I45" i="31" s="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Q44" i="31" a="1"/>
  <c r="Q44" i="31" s="1"/>
  <c r="N44" i="31" a="1"/>
  <c r="N44" i="31" s="1"/>
  <c r="M44" i="31" a="1"/>
  <c r="M44" i="31" s="1"/>
  <c r="L44" i="31" a="1"/>
  <c r="L44" i="31" s="1"/>
  <c r="K44" i="31" a="1"/>
  <c r="K44" i="31" s="1"/>
  <c r="J44" i="31" a="1"/>
  <c r="J44" i="31" s="1"/>
  <c r="I44" i="31" a="1"/>
  <c r="I44" i="31" s="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Q42" i="31" a="1"/>
  <c r="Q42" i="31" s="1"/>
  <c r="N42" i="31" a="1"/>
  <c r="N42" i="31" s="1"/>
  <c r="M42" i="31" a="1"/>
  <c r="M42" i="31" s="1"/>
  <c r="L42" i="31" a="1"/>
  <c r="L42" i="31" s="1"/>
  <c r="K42" i="31" a="1"/>
  <c r="K42" i="31" s="1"/>
  <c r="J42" i="31" a="1"/>
  <c r="J42" i="31" s="1"/>
  <c r="I42" i="31" a="1"/>
  <c r="I42" i="31" s="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Q41" i="31" a="1"/>
  <c r="Q41" i="31" s="1"/>
  <c r="N41" i="31" a="1"/>
  <c r="N41" i="31" s="1"/>
  <c r="M41" i="31" a="1"/>
  <c r="M41" i="31" s="1"/>
  <c r="L41" i="31" a="1"/>
  <c r="L41" i="31" s="1"/>
  <c r="K41" i="31" a="1"/>
  <c r="K41" i="31" s="1"/>
  <c r="J41" i="31" a="1"/>
  <c r="J41" i="31" s="1"/>
  <c r="I41" i="31" a="1"/>
  <c r="I41" i="31" s="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Q40" i="31" a="1"/>
  <c r="Q40" i="31" s="1"/>
  <c r="N40" i="31" a="1"/>
  <c r="N40" i="31" s="1"/>
  <c r="M40" i="31" a="1"/>
  <c r="M40" i="31" s="1"/>
  <c r="L40" i="31" a="1"/>
  <c r="L40" i="31" s="1"/>
  <c r="K40" i="31" a="1"/>
  <c r="K40" i="31" s="1"/>
  <c r="J40" i="31" a="1"/>
  <c r="J40" i="31" s="1"/>
  <c r="I40" i="31" a="1"/>
  <c r="I40" i="31" s="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Q39" i="31" a="1"/>
  <c r="Q39" i="31" s="1"/>
  <c r="N39" i="31" a="1"/>
  <c r="N39" i="31" s="1"/>
  <c r="M39" i="31" a="1"/>
  <c r="M39" i="31" s="1"/>
  <c r="L39" i="31" a="1"/>
  <c r="L39" i="31" s="1"/>
  <c r="K39" i="31" a="1"/>
  <c r="K39" i="31" s="1"/>
  <c r="J39" i="31" a="1"/>
  <c r="J39" i="31" s="1"/>
  <c r="I39" i="31" a="1"/>
  <c r="I39" i="31" s="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Q38" i="31" a="1"/>
  <c r="Q38" i="31" s="1"/>
  <c r="N38" i="31" a="1"/>
  <c r="N38" i="31" s="1"/>
  <c r="M38" i="31" a="1"/>
  <c r="M38" i="31" s="1"/>
  <c r="L38" i="31" a="1"/>
  <c r="L38" i="31" s="1"/>
  <c r="K38" i="31" a="1"/>
  <c r="K38" i="31" s="1"/>
  <c r="J38" i="31" a="1"/>
  <c r="J38" i="31" s="1"/>
  <c r="I38" i="31" a="1"/>
  <c r="I38" i="31" s="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Q37" i="31" a="1"/>
  <c r="Q37" i="31" s="1"/>
  <c r="N37" i="31" a="1"/>
  <c r="N37" i="31" s="1"/>
  <c r="M37" i="31" a="1"/>
  <c r="M37" i="31" s="1"/>
  <c r="L37" i="31" a="1"/>
  <c r="L37" i="31" s="1"/>
  <c r="K37" i="31" a="1"/>
  <c r="K37" i="31" s="1"/>
  <c r="J37" i="31" a="1"/>
  <c r="J37" i="31" s="1"/>
  <c r="I37" i="31" a="1"/>
  <c r="I37" i="31" s="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Q36" i="31" a="1"/>
  <c r="Q36" i="31" s="1"/>
  <c r="N36" i="31" a="1"/>
  <c r="N36" i="31" s="1"/>
  <c r="M36" i="31" a="1"/>
  <c r="M36" i="31" s="1"/>
  <c r="L36" i="31" a="1"/>
  <c r="L36" i="31" s="1"/>
  <c r="K36" i="31" a="1"/>
  <c r="K36" i="31" s="1"/>
  <c r="J36" i="31" a="1"/>
  <c r="J36" i="31" s="1"/>
  <c r="I36" i="31" a="1"/>
  <c r="I36" i="31" s="1"/>
  <c r="H36" i="31" a="1"/>
  <c r="H36" i="31" s="1"/>
  <c r="G36" i="31" a="1"/>
  <c r="G36" i="31" s="1"/>
  <c r="F36" i="31" a="1"/>
  <c r="F36" i="31" s="1"/>
  <c r="E36" i="31" a="1"/>
  <c r="E36" i="31" s="1"/>
  <c r="D36" i="31" a="1"/>
  <c r="D36" i="31" s="1"/>
  <c r="Q35" i="31" a="1"/>
  <c r="Q35" i="31" s="1"/>
  <c r="N35" i="31" a="1"/>
  <c r="N35" i="31" s="1"/>
  <c r="M35" i="31" a="1"/>
  <c r="M35" i="31" s="1"/>
  <c r="L35" i="31" a="1"/>
  <c r="L35" i="31" s="1"/>
  <c r="K35" i="31" a="1"/>
  <c r="K35" i="31" s="1"/>
  <c r="J35" i="31" a="1"/>
  <c r="J35" i="31" s="1"/>
  <c r="I35" i="31" a="1"/>
  <c r="I35" i="31" s="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Q34" i="31" a="1"/>
  <c r="Q34" i="31" s="1"/>
  <c r="N34" i="31" a="1"/>
  <c r="N34" i="31" s="1"/>
  <c r="M34" i="31" a="1"/>
  <c r="M34" i="31" s="1"/>
  <c r="L34" i="31" a="1"/>
  <c r="L34" i="31" s="1"/>
  <c r="K34" i="31" a="1"/>
  <c r="K34" i="31" s="1"/>
  <c r="J34" i="31" a="1"/>
  <c r="J34" i="31" s="1"/>
  <c r="I34" i="31" a="1"/>
  <c r="I34" i="31" s="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Q33" i="31" a="1"/>
  <c r="Q33" i="31" s="1"/>
  <c r="N33" i="31" a="1"/>
  <c r="N33" i="31" s="1"/>
  <c r="M33" i="31" a="1"/>
  <c r="M33" i="31" s="1"/>
  <c r="L33" i="31" a="1"/>
  <c r="L33" i="31" s="1"/>
  <c r="K33" i="31" a="1"/>
  <c r="K33" i="31" s="1"/>
  <c r="J33" i="31" a="1"/>
  <c r="J33" i="31" s="1"/>
  <c r="I33" i="31" a="1"/>
  <c r="I33" i="31" s="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S222" i="31"/>
  <c r="S204" i="31"/>
  <c r="M185" i="31"/>
  <c r="S181" i="31"/>
  <c r="S180" i="31"/>
  <c r="S161" i="31"/>
  <c r="S160" i="31"/>
  <c r="Q159" i="31"/>
  <c r="N159" i="31"/>
  <c r="M159" i="31"/>
  <c r="L159" i="31"/>
  <c r="K159" i="31"/>
  <c r="J159" i="31"/>
  <c r="I159" i="31"/>
  <c r="H159" i="31"/>
  <c r="G159" i="31"/>
  <c r="F159" i="31"/>
  <c r="E159" i="31"/>
  <c r="D159" i="31"/>
  <c r="D42" i="30"/>
  <c r="B2" i="30"/>
  <c r="B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E3" i="29" s="1"/>
  <c r="S3" i="29"/>
  <c r="R3" i="29"/>
  <c r="A3" i="29"/>
  <c r="Y1" i="29"/>
  <c r="X1" i="29"/>
  <c r="V1" i="29"/>
  <c r="U1" i="29"/>
  <c r="T1" i="29"/>
  <c r="S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Y63" i="28" a="1"/>
  <c r="CY63" i="28" s="1"/>
  <c r="CX63" i="28" a="1"/>
  <c r="CX63" i="28" s="1"/>
  <c r="CW63" i="28" a="1"/>
  <c r="CW63" i="28" s="1"/>
  <c r="CV63" i="28" a="1"/>
  <c r="CV63" i="28" s="1"/>
  <c r="CU63" i="28" a="1"/>
  <c r="CU63" i="28" s="1"/>
  <c r="CN63" i="28"/>
  <c r="CM63" i="28" a="1"/>
  <c r="CM63" i="28" s="1"/>
  <c r="CL63" i="28" a="1"/>
  <c r="CL63" i="28" s="1"/>
  <c r="CK63" i="28" a="1"/>
  <c r="CK63" i="28" s="1"/>
  <c r="CJ63" i="28" a="1"/>
  <c r="CJ63" i="28" s="1"/>
  <c r="CI63" i="28" a="1"/>
  <c r="CI63" i="28" s="1"/>
  <c r="CB63" i="28"/>
  <c r="BQ63" i="28" a="1"/>
  <c r="BQ63" i="28" s="1"/>
  <c r="BP63" i="28" a="1"/>
  <c r="BP63" i="28" s="1"/>
  <c r="BO63" i="28" a="1"/>
  <c r="BO63" i="28" s="1"/>
  <c r="BN63" i="28" a="1"/>
  <c r="BN63" i="28" s="1"/>
  <c r="BM63" i="28" a="1"/>
  <c r="BM63" i="28" s="1"/>
  <c r="BH63" i="28"/>
  <c r="BG63" i="28" a="1"/>
  <c r="BG63" i="28" s="1"/>
  <c r="BF63" i="28" a="1"/>
  <c r="BF63" i="28" s="1"/>
  <c r="BE63" i="28" a="1"/>
  <c r="BE63" i="28" s="1"/>
  <c r="BD63" i="28" a="1"/>
  <c r="BD63" i="28" s="1"/>
  <c r="BC63" i="28" a="1"/>
  <c r="BC63" i="28" s="1"/>
  <c r="AV63" i="28"/>
  <c r="AU63" i="28"/>
  <c r="AU63" i="28" a="1"/>
  <c r="AT63" i="28" a="1"/>
  <c r="AT63" i="28" s="1"/>
  <c r="AS63" i="28" a="1"/>
  <c r="AS63" i="28" s="1"/>
  <c r="AR63" i="28"/>
  <c r="AR63" i="28" a="1"/>
  <c r="AQ63" i="28"/>
  <c r="AQ63" i="28" a="1"/>
  <c r="AJ63" i="28"/>
  <c r="Y63" i="28" a="1"/>
  <c r="Y63" i="28" s="1"/>
  <c r="X63" i="28" a="1"/>
  <c r="X63" i="28" s="1"/>
  <c r="W63" i="28" a="1"/>
  <c r="W63" i="28" s="1"/>
  <c r="V63" i="28" a="1"/>
  <c r="V63" i="28" s="1"/>
  <c r="U63" i="28" a="1"/>
  <c r="U63" i="28" s="1"/>
  <c r="N63" i="28"/>
  <c r="M63" i="28" a="1"/>
  <c r="M63" i="28" s="1"/>
  <c r="L63" i="28" a="1"/>
  <c r="L63" i="28" s="1"/>
  <c r="K63" i="28" a="1"/>
  <c r="K63" i="28" s="1"/>
  <c r="J63" i="28" a="1"/>
  <c r="J63" i="28" s="1"/>
  <c r="I63" i="28" a="1"/>
  <c r="I63" i="28" s="1"/>
  <c r="B63" i="28"/>
  <c r="CY62" i="28" a="1"/>
  <c r="CY62" i="28" s="1"/>
  <c r="CX62" i="28" a="1"/>
  <c r="CX62" i="28" s="1"/>
  <c r="CW62" i="28" a="1"/>
  <c r="CW62" i="28" s="1"/>
  <c r="CV62" i="28" a="1"/>
  <c r="CV62" i="28" s="1"/>
  <c r="CU62" i="28" a="1"/>
  <c r="CU62" i="28" s="1"/>
  <c r="CN62" i="28"/>
  <c r="CM62" i="28" a="1"/>
  <c r="CM62" i="28" s="1"/>
  <c r="CL62" i="28" a="1"/>
  <c r="CL62" i="28" s="1"/>
  <c r="CK62" i="28" a="1"/>
  <c r="CK62" i="28" s="1"/>
  <c r="CJ62" i="28" a="1"/>
  <c r="CJ62" i="28" s="1"/>
  <c r="CI62" i="28" a="1"/>
  <c r="CI62" i="28" s="1"/>
  <c r="CB62" i="28"/>
  <c r="BQ62" i="28" a="1"/>
  <c r="BQ62" i="28" s="1"/>
  <c r="BP62" i="28" a="1"/>
  <c r="BP62" i="28" s="1"/>
  <c r="BO62" i="28" a="1"/>
  <c r="BO62" i="28" s="1"/>
  <c r="BN62" i="28" a="1"/>
  <c r="BN62" i="28" s="1"/>
  <c r="BM62" i="28" a="1"/>
  <c r="BM62" i="28" s="1"/>
  <c r="BH62" i="28"/>
  <c r="BG62" i="28" a="1"/>
  <c r="BG62" i="28" s="1"/>
  <c r="BF62" i="28" a="1"/>
  <c r="BF62" i="28" s="1"/>
  <c r="BE62" i="28" a="1"/>
  <c r="BE62" i="28" s="1"/>
  <c r="BD62" i="28" a="1"/>
  <c r="BD62" i="28" s="1"/>
  <c r="BC62" i="28" a="1"/>
  <c r="BC62" i="28" s="1"/>
  <c r="AV62" i="28"/>
  <c r="AU62" i="28" a="1"/>
  <c r="AU62" i="28" s="1"/>
  <c r="AT62" i="28" a="1"/>
  <c r="AT62" i="28" s="1"/>
  <c r="AS62" i="28" a="1"/>
  <c r="AS62" i="28" s="1"/>
  <c r="AR62" i="28" a="1"/>
  <c r="AR62" i="28" s="1"/>
  <c r="AQ62" i="28" a="1"/>
  <c r="AQ62" i="28" s="1"/>
  <c r="AJ62" i="28"/>
  <c r="Y62" i="28" a="1"/>
  <c r="Y62" i="28" s="1"/>
  <c r="X62" i="28" a="1"/>
  <c r="X62" i="28" s="1"/>
  <c r="W62" i="28" a="1"/>
  <c r="W62" i="28" s="1"/>
  <c r="V62" i="28" a="1"/>
  <c r="V62" i="28" s="1"/>
  <c r="U62" i="28" a="1"/>
  <c r="U62" i="28" s="1"/>
  <c r="N62" i="28"/>
  <c r="M62" i="28" a="1"/>
  <c r="M62" i="28" s="1"/>
  <c r="L62" i="28" a="1"/>
  <c r="L62" i="28" s="1"/>
  <c r="K62" i="28" a="1"/>
  <c r="K62" i="28" s="1"/>
  <c r="J62" i="28" a="1"/>
  <c r="J62" i="28" s="1"/>
  <c r="I62" i="28" a="1"/>
  <c r="I62" i="28" s="1"/>
  <c r="B62" i="28"/>
  <c r="CY61" i="28" a="1"/>
  <c r="CY61" i="28" s="1"/>
  <c r="CX61" i="28" a="1"/>
  <c r="CX61" i="28" s="1"/>
  <c r="CW61" i="28" a="1"/>
  <c r="CW61" i="28" s="1"/>
  <c r="CV61" i="28" a="1"/>
  <c r="CV61" i="28" s="1"/>
  <c r="CU61" i="28" a="1"/>
  <c r="CU61" i="28" s="1"/>
  <c r="CN61" i="28"/>
  <c r="CM61" i="28" a="1"/>
  <c r="CM61" i="28" s="1"/>
  <c r="CL61" i="28" a="1"/>
  <c r="CL61" i="28" s="1"/>
  <c r="CK61" i="28" a="1"/>
  <c r="CK61" i="28" s="1"/>
  <c r="CJ61" i="28" a="1"/>
  <c r="CJ61" i="28" s="1"/>
  <c r="CI61" i="28" a="1"/>
  <c r="CI61" i="28" s="1"/>
  <c r="CB61" i="28"/>
  <c r="BQ61" i="28" a="1"/>
  <c r="BQ61" i="28" s="1"/>
  <c r="BP61" i="28" a="1"/>
  <c r="BP61" i="28" s="1"/>
  <c r="BO61" i="28" a="1"/>
  <c r="BO61" i="28" s="1"/>
  <c r="BN61" i="28" a="1"/>
  <c r="BN61" i="28" s="1"/>
  <c r="BM61" i="28" a="1"/>
  <c r="BM61" i="28" s="1"/>
  <c r="BH61" i="28"/>
  <c r="BG61" i="28" a="1"/>
  <c r="BG61" i="28" s="1"/>
  <c r="BF61" i="28" a="1"/>
  <c r="BF61" i="28" s="1"/>
  <c r="BE61" i="28" a="1"/>
  <c r="BE61" i="28" s="1"/>
  <c r="BD61" i="28" a="1"/>
  <c r="BD61" i="28" s="1"/>
  <c r="BC61" i="28" a="1"/>
  <c r="BC61" i="28" s="1"/>
  <c r="AV61" i="28"/>
  <c r="AU61" i="28" a="1"/>
  <c r="AU61" i="28" s="1"/>
  <c r="AT61" i="28" a="1"/>
  <c r="AT61" i="28" s="1"/>
  <c r="AS61" i="28" a="1"/>
  <c r="AS61" i="28" s="1"/>
  <c r="AR61" i="28" a="1"/>
  <c r="AR61" i="28" s="1"/>
  <c r="AQ61" i="28" a="1"/>
  <c r="AQ61" i="28" s="1"/>
  <c r="AJ61" i="28"/>
  <c r="Y61" i="28" a="1"/>
  <c r="Y61" i="28" s="1"/>
  <c r="X61" i="28" a="1"/>
  <c r="X61" i="28" s="1"/>
  <c r="W61" i="28" a="1"/>
  <c r="W61" i="28" s="1"/>
  <c r="V61" i="28" a="1"/>
  <c r="V61" i="28" s="1"/>
  <c r="U61" i="28" a="1"/>
  <c r="U61" i="28" s="1"/>
  <c r="N61" i="28"/>
  <c r="M61" i="28" a="1"/>
  <c r="M61" i="28" s="1"/>
  <c r="L61" i="28" a="1"/>
  <c r="L61" i="28" s="1"/>
  <c r="K61" i="28" a="1"/>
  <c r="K61" i="28" s="1"/>
  <c r="J61" i="28" a="1"/>
  <c r="J61" i="28" s="1"/>
  <c r="I61" i="28" a="1"/>
  <c r="I61" i="28" s="1"/>
  <c r="B61" i="28"/>
  <c r="CY60" i="28" a="1"/>
  <c r="CY60" i="28" s="1"/>
  <c r="CX60" i="28" a="1"/>
  <c r="CX60" i="28" s="1"/>
  <c r="CW60" i="28" a="1"/>
  <c r="CW60" i="28" s="1"/>
  <c r="CV60" i="28" a="1"/>
  <c r="CV60" i="28" s="1"/>
  <c r="CU60" i="28" a="1"/>
  <c r="CU60" i="28" s="1"/>
  <c r="CN60" i="28"/>
  <c r="CM60" i="28" a="1"/>
  <c r="CM60" i="28" s="1"/>
  <c r="CL60" i="28"/>
  <c r="CL60" i="28" a="1"/>
  <c r="CK60" i="28" a="1"/>
  <c r="CK60" i="28" s="1"/>
  <c r="CJ60" i="28" a="1"/>
  <c r="CJ60" i="28" s="1"/>
  <c r="CI60" i="28" a="1"/>
  <c r="CI60" i="28" s="1"/>
  <c r="CB60" i="28"/>
  <c r="BQ60" i="28" a="1"/>
  <c r="BQ60" i="28" s="1"/>
  <c r="BP60" i="28" a="1"/>
  <c r="BP60" i="28" s="1"/>
  <c r="BO60" i="28" a="1"/>
  <c r="BO60" i="28" s="1"/>
  <c r="BN60" i="28" a="1"/>
  <c r="BN60" i="28" s="1"/>
  <c r="BM60" i="28" a="1"/>
  <c r="BM60" i="28" s="1"/>
  <c r="BH60" i="28"/>
  <c r="BG60" i="28" a="1"/>
  <c r="BG60" i="28" s="1"/>
  <c r="BF60" i="28" a="1"/>
  <c r="BF60" i="28" s="1"/>
  <c r="BE60" i="28" a="1"/>
  <c r="BE60" i="28" s="1"/>
  <c r="BD60" i="28" a="1"/>
  <c r="BD60" i="28" s="1"/>
  <c r="BC60" i="28" a="1"/>
  <c r="BC60" i="28" s="1"/>
  <c r="AV60" i="28"/>
  <c r="AU60" i="28" a="1"/>
  <c r="AU60" i="28" s="1"/>
  <c r="AT60" i="28" a="1"/>
  <c r="AT60" i="28" s="1"/>
  <c r="AS60" i="28" a="1"/>
  <c r="AS60" i="28" s="1"/>
  <c r="AR60" i="28" a="1"/>
  <c r="AR60" i="28" s="1"/>
  <c r="AQ60" i="28" a="1"/>
  <c r="AQ60" i="28" s="1"/>
  <c r="AJ60" i="28"/>
  <c r="Y60" i="28" a="1"/>
  <c r="Y60" i="28" s="1"/>
  <c r="X60" i="28" a="1"/>
  <c r="X60" i="28" s="1"/>
  <c r="W60" i="28" a="1"/>
  <c r="W60" i="28" s="1"/>
  <c r="V60" i="28" a="1"/>
  <c r="V60" i="28" s="1"/>
  <c r="U60" i="28" a="1"/>
  <c r="U60" i="28" s="1"/>
  <c r="N60" i="28"/>
  <c r="M60" i="28" a="1"/>
  <c r="M60" i="28" s="1"/>
  <c r="L60" i="28" a="1"/>
  <c r="L60" i="28" s="1"/>
  <c r="K60" i="28"/>
  <c r="K60" i="28" a="1"/>
  <c r="J60" i="28" a="1"/>
  <c r="J60" i="28" s="1"/>
  <c r="I60" i="28" a="1"/>
  <c r="I60" i="28" s="1"/>
  <c r="B60" i="28"/>
  <c r="CY59" i="28" a="1"/>
  <c r="CY59" i="28" s="1"/>
  <c r="CX59" i="28" a="1"/>
  <c r="CX59" i="28" s="1"/>
  <c r="CW59" i="28" a="1"/>
  <c r="CW59" i="28" s="1"/>
  <c r="CV59" i="28" a="1"/>
  <c r="CV59" i="28" s="1"/>
  <c r="CU59" i="28" a="1"/>
  <c r="CU59" i="28" s="1"/>
  <c r="CN59" i="28"/>
  <c r="CM59" i="28" a="1"/>
  <c r="CM59" i="28" s="1"/>
  <c r="CL59" i="28" a="1"/>
  <c r="CL59" i="28" s="1"/>
  <c r="CK59" i="28" a="1"/>
  <c r="CK59" i="28" s="1"/>
  <c r="CJ59" i="28"/>
  <c r="CJ59" i="28" a="1"/>
  <c r="CI59" i="28" a="1"/>
  <c r="CI59" i="28" s="1"/>
  <c r="CB59" i="28"/>
  <c r="BQ59" i="28" a="1"/>
  <c r="BQ59" i="28" s="1"/>
  <c r="BP59" i="28" a="1"/>
  <c r="BP59" i="28" s="1"/>
  <c r="BO59" i="28" a="1"/>
  <c r="BO59" i="28" s="1"/>
  <c r="BN59" i="28" a="1"/>
  <c r="BN59" i="28" s="1"/>
  <c r="BM59" i="28" a="1"/>
  <c r="BM59" i="28" s="1"/>
  <c r="BH59" i="28"/>
  <c r="BG59" i="28" a="1"/>
  <c r="BG59" i="28" s="1"/>
  <c r="BF59" i="28" a="1"/>
  <c r="BF59" i="28" s="1"/>
  <c r="BE59" i="28" a="1"/>
  <c r="BE59" i="28" s="1"/>
  <c r="BD59" i="28" a="1"/>
  <c r="BD59" i="28" s="1"/>
  <c r="BC59" i="28" a="1"/>
  <c r="BC59" i="28" s="1"/>
  <c r="AV59" i="28"/>
  <c r="AU59" i="28"/>
  <c r="AU59" i="28" a="1"/>
  <c r="AT59" i="28" a="1"/>
  <c r="AT59" i="28" s="1"/>
  <c r="AS59" i="28" a="1"/>
  <c r="AS59" i="28" s="1"/>
  <c r="AR59" i="28" a="1"/>
  <c r="AR59" i="28" s="1"/>
  <c r="AQ59" i="28" a="1"/>
  <c r="AQ59" i="28" s="1"/>
  <c r="AJ59" i="28"/>
  <c r="Y59" i="28" a="1"/>
  <c r="Y59" i="28" s="1"/>
  <c r="X59" i="28" a="1"/>
  <c r="X59" i="28" s="1"/>
  <c r="W59" i="28" a="1"/>
  <c r="W59" i="28" s="1"/>
  <c r="V59" i="28" a="1"/>
  <c r="V59" i="28" s="1"/>
  <c r="U59" i="28" a="1"/>
  <c r="U59" i="28" s="1"/>
  <c r="N59" i="28"/>
  <c r="M59" i="28"/>
  <c r="M59" i="28" a="1"/>
  <c r="L59" i="28" a="1"/>
  <c r="L59" i="28" s="1"/>
  <c r="K59" i="28" a="1"/>
  <c r="K59" i="28" s="1"/>
  <c r="J59" i="28" a="1"/>
  <c r="J59" i="28" s="1"/>
  <c r="I59" i="28" a="1"/>
  <c r="I59" i="28" s="1"/>
  <c r="B59" i="28"/>
  <c r="CY58" i="28" a="1"/>
  <c r="CY58" i="28" s="1"/>
  <c r="CX58" i="28" a="1"/>
  <c r="CX58" i="28" s="1"/>
  <c r="CW58" i="28" a="1"/>
  <c r="CW58" i="28" s="1"/>
  <c r="CV58" i="28" a="1"/>
  <c r="CV58" i="28" s="1"/>
  <c r="CU58" i="28" a="1"/>
  <c r="CU58" i="28" s="1"/>
  <c r="CN58" i="28"/>
  <c r="CM58" i="28" a="1"/>
  <c r="CM58" i="28" s="1"/>
  <c r="CL58" i="28" a="1"/>
  <c r="CL58" i="28" s="1"/>
  <c r="CK58" i="28" a="1"/>
  <c r="CK58" i="28" s="1"/>
  <c r="CJ58" i="28" a="1"/>
  <c r="CJ58" i="28" s="1"/>
  <c r="CI58" i="28" a="1"/>
  <c r="CI58" i="28" s="1"/>
  <c r="CB58" i="28"/>
  <c r="BQ58" i="28" a="1"/>
  <c r="BQ58" i="28" s="1"/>
  <c r="BP58" i="28" a="1"/>
  <c r="BP58" i="28" s="1"/>
  <c r="BO58" i="28" a="1"/>
  <c r="BO58" i="28" s="1"/>
  <c r="BN58" i="28" a="1"/>
  <c r="BN58" i="28" s="1"/>
  <c r="BM58" i="28" a="1"/>
  <c r="BM58" i="28" s="1"/>
  <c r="BH58" i="28"/>
  <c r="BG58" i="28" a="1"/>
  <c r="BG58" i="28" s="1"/>
  <c r="BF58" i="28" a="1"/>
  <c r="BF58" i="28" s="1"/>
  <c r="BE58" i="28" a="1"/>
  <c r="BE58" i="28" s="1"/>
  <c r="BD58" i="28" a="1"/>
  <c r="BD58" i="28" s="1"/>
  <c r="BC58" i="28" a="1"/>
  <c r="BC58" i="28" s="1"/>
  <c r="AV58" i="28"/>
  <c r="AU58" i="28" a="1"/>
  <c r="AU58" i="28" s="1"/>
  <c r="AT58" i="28" a="1"/>
  <c r="AT58" i="28" s="1"/>
  <c r="AS58" i="28" a="1"/>
  <c r="AS58" i="28" s="1"/>
  <c r="AR58" i="28" a="1"/>
  <c r="AR58" i="28" s="1"/>
  <c r="AQ58" i="28" a="1"/>
  <c r="AQ58" i="28" s="1"/>
  <c r="AJ58" i="28"/>
  <c r="Y58" i="28" a="1"/>
  <c r="Y58" i="28" s="1"/>
  <c r="X58" i="28" a="1"/>
  <c r="X58" i="28" s="1"/>
  <c r="W58" i="28" a="1"/>
  <c r="W58" i="28" s="1"/>
  <c r="V58" i="28" a="1"/>
  <c r="V58" i="28" s="1"/>
  <c r="U58" i="28" a="1"/>
  <c r="U58" i="28" s="1"/>
  <c r="N58" i="28"/>
  <c r="M58" i="28" a="1"/>
  <c r="M58" i="28" s="1"/>
  <c r="L58" i="28" a="1"/>
  <c r="L58" i="28" s="1"/>
  <c r="K58" i="28" a="1"/>
  <c r="K58" i="28" s="1"/>
  <c r="J58" i="28" a="1"/>
  <c r="J58" i="28" s="1"/>
  <c r="I58" i="28" a="1"/>
  <c r="I58" i="28" s="1"/>
  <c r="B58" i="28"/>
  <c r="CY57" i="28" a="1"/>
  <c r="CY57" i="28" s="1"/>
  <c r="CX57" i="28" a="1"/>
  <c r="CX57" i="28" s="1"/>
  <c r="CW57" i="28" a="1"/>
  <c r="CW57" i="28" s="1"/>
  <c r="CV57" i="28" a="1"/>
  <c r="CV57" i="28" s="1"/>
  <c r="CU57" i="28" a="1"/>
  <c r="CU57" i="28" s="1"/>
  <c r="CN57" i="28"/>
  <c r="CM57" i="28" a="1"/>
  <c r="CM57" i="28" s="1"/>
  <c r="CL57" i="28" a="1"/>
  <c r="CL57" i="28" s="1"/>
  <c r="CK57" i="28" a="1"/>
  <c r="CK57" i="28" s="1"/>
  <c r="CJ57" i="28" a="1"/>
  <c r="CJ57" i="28" s="1"/>
  <c r="CI57" i="28" a="1"/>
  <c r="CI57" i="28" s="1"/>
  <c r="CB57" i="28"/>
  <c r="BQ57" i="28" a="1"/>
  <c r="BQ57" i="28" s="1"/>
  <c r="BP57" i="28" a="1"/>
  <c r="BP57" i="28" s="1"/>
  <c r="BO57" i="28" a="1"/>
  <c r="BO57" i="28" s="1"/>
  <c r="BN57" i="28" a="1"/>
  <c r="BN57" i="28" s="1"/>
  <c r="BM57" i="28" a="1"/>
  <c r="BM57" i="28" s="1"/>
  <c r="BH57" i="28"/>
  <c r="BG57" i="28" a="1"/>
  <c r="BG57" i="28" s="1"/>
  <c r="BF57" i="28" a="1"/>
  <c r="BF57" i="28" s="1"/>
  <c r="BE57" i="28" a="1"/>
  <c r="BE57" i="28" s="1"/>
  <c r="BD57" i="28" a="1"/>
  <c r="BD57" i="28" s="1"/>
  <c r="BC57" i="28" a="1"/>
  <c r="BC57" i="28" s="1"/>
  <c r="AV57" i="28"/>
  <c r="AU57" i="28" a="1"/>
  <c r="AU57" i="28" s="1"/>
  <c r="AT57" i="28" a="1"/>
  <c r="AT57" i="28" s="1"/>
  <c r="AS57" i="28" a="1"/>
  <c r="AS57" i="28" s="1"/>
  <c r="AR57" i="28" a="1"/>
  <c r="AR57" i="28" s="1"/>
  <c r="AQ57" i="28" a="1"/>
  <c r="AQ57" i="28" s="1"/>
  <c r="AJ57" i="28"/>
  <c r="Y57" i="28" a="1"/>
  <c r="Y57" i="28" s="1"/>
  <c r="X57" i="28" a="1"/>
  <c r="X57" i="28" s="1"/>
  <c r="W57" i="28" a="1"/>
  <c r="W57" i="28" s="1"/>
  <c r="V57" i="28" a="1"/>
  <c r="V57" i="28" s="1"/>
  <c r="U57" i="28" a="1"/>
  <c r="U57" i="28" s="1"/>
  <c r="N57" i="28"/>
  <c r="M57" i="28" a="1"/>
  <c r="M57" i="28" s="1"/>
  <c r="L57" i="28" a="1"/>
  <c r="L57" i="28" s="1"/>
  <c r="K57" i="28" a="1"/>
  <c r="K57" i="28" s="1"/>
  <c r="J57" i="28" a="1"/>
  <c r="J57" i="28" s="1"/>
  <c r="I57" i="28" a="1"/>
  <c r="I57" i="28" s="1"/>
  <c r="B57" i="28"/>
  <c r="CY56" i="28" a="1"/>
  <c r="CY56" i="28" s="1"/>
  <c r="CX56" i="28" a="1"/>
  <c r="CX56" i="28" s="1"/>
  <c r="CW56" i="28" a="1"/>
  <c r="CW56" i="28" s="1"/>
  <c r="CV56" i="28" a="1"/>
  <c r="CV56" i="28" s="1"/>
  <c r="CU56" i="28" a="1"/>
  <c r="CU56" i="28" s="1"/>
  <c r="CN56" i="28"/>
  <c r="CM56" i="28" a="1"/>
  <c r="CM56" i="28" s="1"/>
  <c r="CL56" i="28" a="1"/>
  <c r="CL56" i="28" s="1"/>
  <c r="CK56" i="28" a="1"/>
  <c r="CK56" i="28" s="1"/>
  <c r="CJ56" i="28" a="1"/>
  <c r="CJ56" i="28" s="1"/>
  <c r="CI56" i="28" a="1"/>
  <c r="CI56" i="28" s="1"/>
  <c r="CB56" i="28"/>
  <c r="BQ56" i="28" a="1"/>
  <c r="BQ56" i="28" s="1"/>
  <c r="BP56" i="28" a="1"/>
  <c r="BP56" i="28" s="1"/>
  <c r="BO56" i="28" a="1"/>
  <c r="BO56" i="28" s="1"/>
  <c r="BN56" i="28" a="1"/>
  <c r="BN56" i="28" s="1"/>
  <c r="BM56" i="28" a="1"/>
  <c r="BM56" i="28" s="1"/>
  <c r="BH56" i="28"/>
  <c r="BG56" i="28" a="1"/>
  <c r="BG56" i="28" s="1"/>
  <c r="BF56" i="28" a="1"/>
  <c r="BF56" i="28" s="1"/>
  <c r="BE56" i="28" a="1"/>
  <c r="BE56" i="28" s="1"/>
  <c r="BD56" i="28" a="1"/>
  <c r="BD56" i="28" s="1"/>
  <c r="BC56" i="28" a="1"/>
  <c r="BC56" i="28" s="1"/>
  <c r="AV56" i="28"/>
  <c r="AU56" i="28" a="1"/>
  <c r="AU56" i="28" s="1"/>
  <c r="AT56" i="28" a="1"/>
  <c r="AT56" i="28" s="1"/>
  <c r="AS56" i="28" a="1"/>
  <c r="AS56" i="28" s="1"/>
  <c r="AR56" i="28" a="1"/>
  <c r="AR56" i="28" s="1"/>
  <c r="AQ56" i="28" a="1"/>
  <c r="AQ56" i="28" s="1"/>
  <c r="AJ56" i="28"/>
  <c r="Y56" i="28" a="1"/>
  <c r="Y56" i="28" s="1"/>
  <c r="X56" i="28" a="1"/>
  <c r="X56" i="28" s="1"/>
  <c r="W56" i="28" a="1"/>
  <c r="W56" i="28" s="1"/>
  <c r="V56" i="28" a="1"/>
  <c r="V56" i="28" s="1"/>
  <c r="U56" i="28" a="1"/>
  <c r="U56" i="28" s="1"/>
  <c r="N56" i="28"/>
  <c r="M56" i="28"/>
  <c r="M56" i="28" a="1"/>
  <c r="L56" i="28" a="1"/>
  <c r="L56" i="28" s="1"/>
  <c r="K56" i="28" a="1"/>
  <c r="K56" i="28" s="1"/>
  <c r="J56" i="28" a="1"/>
  <c r="J56" i="28" s="1"/>
  <c r="I56" i="28" a="1"/>
  <c r="I56" i="28" s="1"/>
  <c r="B56" i="28"/>
  <c r="CY55" i="28" a="1"/>
  <c r="CY55" i="28" s="1"/>
  <c r="CX55" i="28" a="1"/>
  <c r="CX55" i="28" s="1"/>
  <c r="CW55" i="28" a="1"/>
  <c r="CW55" i="28" s="1"/>
  <c r="CV55" i="28" a="1"/>
  <c r="CV55" i="28" s="1"/>
  <c r="CU55" i="28" a="1"/>
  <c r="CU55" i="28" s="1"/>
  <c r="CN55" i="28"/>
  <c r="CM55" i="28" a="1"/>
  <c r="CM55" i="28" s="1"/>
  <c r="CL55" i="28" a="1"/>
  <c r="CL55" i="28" s="1"/>
  <c r="CK55" i="28" a="1"/>
  <c r="CK55" i="28" s="1"/>
  <c r="CJ55" i="28" a="1"/>
  <c r="CJ55" i="28" s="1"/>
  <c r="CI55" i="28" a="1"/>
  <c r="CI55" i="28" s="1"/>
  <c r="CB55" i="28"/>
  <c r="BQ55" i="28" a="1"/>
  <c r="BQ55" i="28" s="1"/>
  <c r="BP55" i="28" a="1"/>
  <c r="BP55" i="28" s="1"/>
  <c r="BO55" i="28" a="1"/>
  <c r="BO55" i="28" s="1"/>
  <c r="BN55" i="28" a="1"/>
  <c r="BN55" i="28" s="1"/>
  <c r="BM55" i="28" a="1"/>
  <c r="BM55" i="28" s="1"/>
  <c r="BH55" i="28"/>
  <c r="BG55" i="28" a="1"/>
  <c r="BG55" i="28" s="1"/>
  <c r="BF55" i="28" a="1"/>
  <c r="BF55" i="28" s="1"/>
  <c r="BE55" i="28" a="1"/>
  <c r="BE55" i="28" s="1"/>
  <c r="BD55" i="28" a="1"/>
  <c r="BD55" i="28" s="1"/>
  <c r="BC55" i="28" a="1"/>
  <c r="BC55" i="28" s="1"/>
  <c r="AV55" i="28"/>
  <c r="AU55" i="28" a="1"/>
  <c r="AU55" i="28" s="1"/>
  <c r="AT55" i="28" a="1"/>
  <c r="AT55" i="28" s="1"/>
  <c r="AS55" i="28" a="1"/>
  <c r="AS55" i="28" s="1"/>
  <c r="AR55" i="28" a="1"/>
  <c r="AR55" i="28" s="1"/>
  <c r="AQ55" i="28" a="1"/>
  <c r="AQ55" i="28" s="1"/>
  <c r="AJ55" i="28"/>
  <c r="Y55" i="28" a="1"/>
  <c r="Y55" i="28" s="1"/>
  <c r="X55" i="28" a="1"/>
  <c r="X55" i="28" s="1"/>
  <c r="W55" i="28" a="1"/>
  <c r="W55" i="28" s="1"/>
  <c r="V55" i="28" a="1"/>
  <c r="V55" i="28" s="1"/>
  <c r="U55" i="28" a="1"/>
  <c r="U55" i="28" s="1"/>
  <c r="N55" i="28"/>
  <c r="M55" i="28" a="1"/>
  <c r="M55" i="28" s="1"/>
  <c r="L55" i="28" a="1"/>
  <c r="L55" i="28" s="1"/>
  <c r="K55" i="28" a="1"/>
  <c r="K55" i="28" s="1"/>
  <c r="J55" i="28" a="1"/>
  <c r="J55" i="28" s="1"/>
  <c r="I55" i="28" a="1"/>
  <c r="I55" i="28" s="1"/>
  <c r="B55" i="28"/>
  <c r="CY54" i="28" a="1"/>
  <c r="CY54" i="28" s="1"/>
  <c r="CX54" i="28" a="1"/>
  <c r="CX54" i="28" s="1"/>
  <c r="CW54" i="28" a="1"/>
  <c r="CW54" i="28" s="1"/>
  <c r="CV54" i="28" a="1"/>
  <c r="CV54" i="28" s="1"/>
  <c r="CU54" i="28" a="1"/>
  <c r="CU54" i="28" s="1"/>
  <c r="CN54" i="28"/>
  <c r="CM54" i="28" a="1"/>
  <c r="CM54" i="28" s="1"/>
  <c r="CL54" i="28"/>
  <c r="CL54" i="28" a="1"/>
  <c r="CK54" i="28" a="1"/>
  <c r="CK54" i="28" s="1"/>
  <c r="CJ54" i="28" a="1"/>
  <c r="CJ54" i="28" s="1"/>
  <c r="CI54" i="28" a="1"/>
  <c r="CI54" i="28" s="1"/>
  <c r="CB54" i="28"/>
  <c r="BQ54" i="28" a="1"/>
  <c r="BQ54" i="28" s="1"/>
  <c r="BP54" i="28" a="1"/>
  <c r="BP54" i="28" s="1"/>
  <c r="BO54" i="28" a="1"/>
  <c r="BO54" i="28" s="1"/>
  <c r="BN54" i="28" a="1"/>
  <c r="BN54" i="28" s="1"/>
  <c r="BM54" i="28" a="1"/>
  <c r="BM54" i="28" s="1"/>
  <c r="BH54" i="28"/>
  <c r="BG54" i="28" a="1"/>
  <c r="BG54" i="28" s="1"/>
  <c r="BF54" i="28" a="1"/>
  <c r="BF54" i="28" s="1"/>
  <c r="BE54" i="28" a="1"/>
  <c r="BE54" i="28" s="1"/>
  <c r="BD54" i="28" a="1"/>
  <c r="BD54" i="28" s="1"/>
  <c r="BC54" i="28"/>
  <c r="BC54" i="28" a="1"/>
  <c r="AV54" i="28"/>
  <c r="AU54" i="28" a="1"/>
  <c r="AU54" i="28" s="1"/>
  <c r="AT54" i="28" a="1"/>
  <c r="AT54" i="28" s="1"/>
  <c r="AS54" i="28" a="1"/>
  <c r="AS54" i="28" s="1"/>
  <c r="AR54" i="28" a="1"/>
  <c r="AR54" i="28" s="1"/>
  <c r="AQ54" i="28" a="1"/>
  <c r="AQ54" i="28" s="1"/>
  <c r="AJ54" i="28"/>
  <c r="Y54" i="28" a="1"/>
  <c r="Y54" i="28" s="1"/>
  <c r="X54" i="28" a="1"/>
  <c r="X54" i="28" s="1"/>
  <c r="W54" i="28" a="1"/>
  <c r="W54" i="28" s="1"/>
  <c r="V54" i="28" a="1"/>
  <c r="V54" i="28" s="1"/>
  <c r="U54" i="28" a="1"/>
  <c r="U54" i="28" s="1"/>
  <c r="N54" i="28"/>
  <c r="M54" i="28" a="1"/>
  <c r="M54" i="28" s="1"/>
  <c r="L54" i="28" a="1"/>
  <c r="L54" i="28" s="1"/>
  <c r="K54" i="28" a="1"/>
  <c r="K54" i="28" s="1"/>
  <c r="J54" i="28"/>
  <c r="J54" i="28" a="1"/>
  <c r="I54" i="28" a="1"/>
  <c r="I54" i="28" s="1"/>
  <c r="B54" i="28"/>
  <c r="CY53" i="28" a="1"/>
  <c r="CY53" i="28" s="1"/>
  <c r="CX53" i="28" a="1"/>
  <c r="CX53" i="28" s="1"/>
  <c r="CW53" i="28" a="1"/>
  <c r="CW53" i="28" s="1"/>
  <c r="CV53" i="28" a="1"/>
  <c r="CV53" i="28" s="1"/>
  <c r="CU53" i="28" a="1"/>
  <c r="CU53" i="28" s="1"/>
  <c r="CN53" i="28"/>
  <c r="CM53" i="28" a="1"/>
  <c r="CM53" i="28" s="1"/>
  <c r="CL53" i="28"/>
  <c r="CL53" i="28" a="1"/>
  <c r="CK53" i="28" a="1"/>
  <c r="CK53" i="28" s="1"/>
  <c r="CJ53" i="28" a="1"/>
  <c r="CJ53" i="28" s="1"/>
  <c r="CI53" i="28" a="1"/>
  <c r="CI53" i="28" s="1"/>
  <c r="CB53" i="28"/>
  <c r="BQ53" i="28" a="1"/>
  <c r="BQ53" i="28" s="1"/>
  <c r="BP53" i="28" a="1"/>
  <c r="BP53" i="28" s="1"/>
  <c r="BO53" i="28" a="1"/>
  <c r="BO53" i="28" s="1"/>
  <c r="BN53" i="28" a="1"/>
  <c r="BN53" i="28" s="1"/>
  <c r="BM53" i="28" a="1"/>
  <c r="BM53" i="28" s="1"/>
  <c r="BH53" i="28"/>
  <c r="BG53" i="28" a="1"/>
  <c r="BG53" i="28" s="1"/>
  <c r="BF53" i="28" a="1"/>
  <c r="BF53" i="28" s="1"/>
  <c r="BE53" i="28" a="1"/>
  <c r="BE53" i="28" s="1"/>
  <c r="BD53" i="28" a="1"/>
  <c r="BD53" i="28" s="1"/>
  <c r="BC53" i="28" a="1"/>
  <c r="BC53" i="28" s="1"/>
  <c r="AV53" i="28"/>
  <c r="AU53" i="28" a="1"/>
  <c r="AU53" i="28" s="1"/>
  <c r="AT53" i="28" a="1"/>
  <c r="AT53" i="28" s="1"/>
  <c r="AS53" i="28" a="1"/>
  <c r="AS53" i="28" s="1"/>
  <c r="AR53" i="28" a="1"/>
  <c r="AR53" i="28" s="1"/>
  <c r="AQ53" i="28" a="1"/>
  <c r="AQ53" i="28" s="1"/>
  <c r="AJ53" i="28"/>
  <c r="Y53" i="28" a="1"/>
  <c r="Y53" i="28" s="1"/>
  <c r="X53" i="28" a="1"/>
  <c r="X53" i="28" s="1"/>
  <c r="W53" i="28" a="1"/>
  <c r="W53" i="28" s="1"/>
  <c r="V53" i="28" a="1"/>
  <c r="V53" i="28" s="1"/>
  <c r="U53" i="28" a="1"/>
  <c r="U53" i="28" s="1"/>
  <c r="N53" i="28"/>
  <c r="M53" i="28"/>
  <c r="M53" i="28" a="1"/>
  <c r="L53" i="28" a="1"/>
  <c r="L53" i="28" s="1"/>
  <c r="K53" i="28" a="1"/>
  <c r="K53" i="28" s="1"/>
  <c r="J53" i="28" a="1"/>
  <c r="J53" i="28" s="1"/>
  <c r="I53" i="28" a="1"/>
  <c r="I53" i="28" s="1"/>
  <c r="B53" i="28"/>
  <c r="CY52" i="28" a="1"/>
  <c r="CY52" i="28" s="1"/>
  <c r="CX52" i="28" a="1"/>
  <c r="CX52" i="28" s="1"/>
  <c r="CW52" i="28" a="1"/>
  <c r="CW52" i="28" s="1"/>
  <c r="CV52" i="28" a="1"/>
  <c r="CV52" i="28" s="1"/>
  <c r="CU52" i="28"/>
  <c r="CU52" i="28" a="1"/>
  <c r="CN52" i="28"/>
  <c r="CM52" i="28" a="1"/>
  <c r="CM52" i="28" s="1"/>
  <c r="CL52" i="28"/>
  <c r="CL52" i="28" a="1"/>
  <c r="CK52" i="28" a="1"/>
  <c r="CK52" i="28" s="1"/>
  <c r="CJ52" i="28" a="1"/>
  <c r="CJ52" i="28" s="1"/>
  <c r="CI52" i="28" a="1"/>
  <c r="CI52" i="28" s="1"/>
  <c r="CB52" i="28"/>
  <c r="BQ52" i="28" a="1"/>
  <c r="BQ52" i="28" s="1"/>
  <c r="BP52" i="28" a="1"/>
  <c r="BP52" i="28" s="1"/>
  <c r="BO52" i="28" a="1"/>
  <c r="BO52" i="28" s="1"/>
  <c r="BN52" i="28" a="1"/>
  <c r="BN52" i="28" s="1"/>
  <c r="BM52" i="28" a="1"/>
  <c r="BM52" i="28" s="1"/>
  <c r="BH52" i="28"/>
  <c r="BG52" i="28" a="1"/>
  <c r="BG52" i="28" s="1"/>
  <c r="BF52" i="28" a="1"/>
  <c r="BF52" i="28" s="1"/>
  <c r="BE52" i="28" a="1"/>
  <c r="BE52" i="28" s="1"/>
  <c r="BD52" i="28" a="1"/>
  <c r="BD52" i="28" s="1"/>
  <c r="BC52" i="28" a="1"/>
  <c r="BC52" i="28" s="1"/>
  <c r="AV52" i="28"/>
  <c r="AU52" i="28" a="1"/>
  <c r="AU52" i="28" s="1"/>
  <c r="AT52" i="28"/>
  <c r="AT52" i="28" a="1"/>
  <c r="AS52" i="28" a="1"/>
  <c r="AS52" i="28" s="1"/>
  <c r="AR52" i="28" a="1"/>
  <c r="AR52" i="28" s="1"/>
  <c r="AQ52" i="28" a="1"/>
  <c r="AQ52" i="28" s="1"/>
  <c r="AJ52" i="28"/>
  <c r="Y52" i="28" a="1"/>
  <c r="Y52" i="28" s="1"/>
  <c r="X52" i="28" a="1"/>
  <c r="X52" i="28" s="1"/>
  <c r="W52" i="28" a="1"/>
  <c r="W52" i="28" s="1"/>
  <c r="V52" i="28" a="1"/>
  <c r="V52" i="28" s="1"/>
  <c r="U52" i="28" a="1"/>
  <c r="U52" i="28" s="1"/>
  <c r="N52" i="28"/>
  <c r="M52" i="28" a="1"/>
  <c r="M52" i="28" s="1"/>
  <c r="L52" i="28" a="1"/>
  <c r="L52" i="28" s="1"/>
  <c r="K52" i="28"/>
  <c r="K52" i="28" a="1"/>
  <c r="J52" i="28" a="1"/>
  <c r="J52" i="28" s="1"/>
  <c r="I52" i="28" a="1"/>
  <c r="I52" i="28" s="1"/>
  <c r="B52" i="28"/>
  <c r="CY51" i="28" a="1"/>
  <c r="CY51" i="28" s="1"/>
  <c r="CX51" i="28" a="1"/>
  <c r="CX51" i="28" s="1"/>
  <c r="CW51" i="28" a="1"/>
  <c r="CW51" i="28" s="1"/>
  <c r="CV51" i="28" a="1"/>
  <c r="CV51" i="28" s="1"/>
  <c r="CU51" i="28" a="1"/>
  <c r="CU51" i="28" s="1"/>
  <c r="CN51" i="28"/>
  <c r="CM51" i="28" a="1"/>
  <c r="CM51" i="28" s="1"/>
  <c r="CL51" i="28" a="1"/>
  <c r="CL51" i="28" s="1"/>
  <c r="CK51" i="28" a="1"/>
  <c r="CK51" i="28" s="1"/>
  <c r="CJ51" i="28" a="1"/>
  <c r="CJ51" i="28" s="1"/>
  <c r="CI51" i="28" a="1"/>
  <c r="CI51" i="28" s="1"/>
  <c r="CB51" i="28"/>
  <c r="BQ51" i="28" a="1"/>
  <c r="BQ51" i="28" s="1"/>
  <c r="BP51" i="28" a="1"/>
  <c r="BP51" i="28" s="1"/>
  <c r="BO51" i="28" a="1"/>
  <c r="BO51" i="28" s="1"/>
  <c r="BN51" i="28" a="1"/>
  <c r="BN51" i="28" s="1"/>
  <c r="BM51" i="28" a="1"/>
  <c r="BM51" i="28" s="1"/>
  <c r="BH51" i="28"/>
  <c r="BG51" i="28" a="1"/>
  <c r="BG51" i="28" s="1"/>
  <c r="BF51" i="28" a="1"/>
  <c r="BF51" i="28" s="1"/>
  <c r="BE51" i="28" a="1"/>
  <c r="BE51" i="28" s="1"/>
  <c r="BD51" i="28" a="1"/>
  <c r="BD51" i="28" s="1"/>
  <c r="BC51" i="28"/>
  <c r="BC51" i="28" a="1"/>
  <c r="AV51" i="28"/>
  <c r="AU51" i="28" a="1"/>
  <c r="AU51" i="28" s="1"/>
  <c r="AT51" i="28"/>
  <c r="AT51" i="28" a="1"/>
  <c r="AS51" i="28" a="1"/>
  <c r="AS51" i="28" s="1"/>
  <c r="AR51" i="28" a="1"/>
  <c r="AR51" i="28" s="1"/>
  <c r="AQ51" i="28" a="1"/>
  <c r="AQ51" i="28" s="1"/>
  <c r="AJ51" i="28"/>
  <c r="Y51" i="28" a="1"/>
  <c r="Y51" i="28" s="1"/>
  <c r="X51" i="28" a="1"/>
  <c r="X51" i="28" s="1"/>
  <c r="W51" i="28" a="1"/>
  <c r="W51" i="28" s="1"/>
  <c r="V51" i="28" a="1"/>
  <c r="V51" i="28" s="1"/>
  <c r="U51" i="28" a="1"/>
  <c r="U51" i="28" s="1"/>
  <c r="N51" i="28"/>
  <c r="M51" i="28" a="1"/>
  <c r="M51" i="28" s="1"/>
  <c r="L51" i="28" a="1"/>
  <c r="L51" i="28" s="1"/>
  <c r="K51" i="28" a="1"/>
  <c r="K51" i="28" s="1"/>
  <c r="J51" i="28" a="1"/>
  <c r="J51" i="28" s="1"/>
  <c r="I51" i="28" a="1"/>
  <c r="I51" i="28" s="1"/>
  <c r="B51" i="28"/>
  <c r="CY50" i="28" a="1"/>
  <c r="CY50" i="28" s="1"/>
  <c r="CX50" i="28" a="1"/>
  <c r="CX50" i="28" s="1"/>
  <c r="CW50" i="28" a="1"/>
  <c r="CW50" i="28" s="1"/>
  <c r="CV50" i="28" a="1"/>
  <c r="CV50" i="28" s="1"/>
  <c r="CU50" i="28" a="1"/>
  <c r="CU50" i="28" s="1"/>
  <c r="CN50" i="28"/>
  <c r="CM50" i="28" a="1"/>
  <c r="CM50" i="28" s="1"/>
  <c r="CL50" i="28" a="1"/>
  <c r="CL50" i="28" s="1"/>
  <c r="CK50" i="28" a="1"/>
  <c r="CK50" i="28" s="1"/>
  <c r="CJ50" i="28" a="1"/>
  <c r="CJ50" i="28" s="1"/>
  <c r="CI50" i="28" a="1"/>
  <c r="CI50" i="28" s="1"/>
  <c r="CB50" i="28"/>
  <c r="BQ50" i="28" a="1"/>
  <c r="BQ50" i="28" s="1"/>
  <c r="BP50" i="28" a="1"/>
  <c r="BP50" i="28" s="1"/>
  <c r="BO50" i="28" a="1"/>
  <c r="BO50" i="28" s="1"/>
  <c r="BN50" i="28" a="1"/>
  <c r="BN50" i="28" s="1"/>
  <c r="BM50" i="28" a="1"/>
  <c r="BM50" i="28" s="1"/>
  <c r="BH50" i="28"/>
  <c r="BG50" i="28" a="1"/>
  <c r="BG50" i="28" s="1"/>
  <c r="BF50" i="28" a="1"/>
  <c r="BF50" i="28" s="1"/>
  <c r="BE50" i="28" a="1"/>
  <c r="BE50" i="28" s="1"/>
  <c r="BD50" i="28" a="1"/>
  <c r="BD50" i="28" s="1"/>
  <c r="BC50" i="28" a="1"/>
  <c r="BC50" i="28" s="1"/>
  <c r="AV50" i="28"/>
  <c r="AU50" i="28" a="1"/>
  <c r="AU50" i="28" s="1"/>
  <c r="AT50" i="28" a="1"/>
  <c r="AT50" i="28" s="1"/>
  <c r="AS50" i="28" a="1"/>
  <c r="AS50" i="28" s="1"/>
  <c r="AR50" i="28" a="1"/>
  <c r="AR50" i="28" s="1"/>
  <c r="AQ50" i="28" a="1"/>
  <c r="AQ50" i="28" s="1"/>
  <c r="AJ50" i="28"/>
  <c r="Y50" i="28" a="1"/>
  <c r="Y50" i="28" s="1"/>
  <c r="X50" i="28" a="1"/>
  <c r="X50" i="28" s="1"/>
  <c r="W50" i="28" a="1"/>
  <c r="W50" i="28" s="1"/>
  <c r="V50" i="28" a="1"/>
  <c r="V50" i="28" s="1"/>
  <c r="U50" i="28" a="1"/>
  <c r="U50" i="28" s="1"/>
  <c r="N50" i="28"/>
  <c r="M50" i="28" a="1"/>
  <c r="M50" i="28" s="1"/>
  <c r="L50" i="28" a="1"/>
  <c r="L50" i="28" s="1"/>
  <c r="K50" i="28" a="1"/>
  <c r="K50" i="28" s="1"/>
  <c r="J50" i="28" a="1"/>
  <c r="J50" i="28" s="1"/>
  <c r="I50" i="28"/>
  <c r="I50" i="28" a="1"/>
  <c r="B50" i="28"/>
  <c r="CY49" i="28" a="1"/>
  <c r="CY49" i="28" s="1"/>
  <c r="CX49" i="28" a="1"/>
  <c r="CX49" i="28" s="1"/>
  <c r="CW49" i="28" a="1"/>
  <c r="CW49" i="28" s="1"/>
  <c r="CV49" i="28" a="1"/>
  <c r="CV49" i="28" s="1"/>
  <c r="CU49" i="28" a="1"/>
  <c r="CU49" i="28" s="1"/>
  <c r="CN49" i="28"/>
  <c r="CM49" i="28" a="1"/>
  <c r="CM49" i="28" s="1"/>
  <c r="CL49" i="28" a="1"/>
  <c r="CL49" i="28" s="1"/>
  <c r="CK49" i="28" a="1"/>
  <c r="CK49" i="28" s="1"/>
  <c r="CJ49" i="28" a="1"/>
  <c r="CJ49" i="28" s="1"/>
  <c r="CI49" i="28" a="1"/>
  <c r="CI49" i="28" s="1"/>
  <c r="CB49" i="28"/>
  <c r="BQ49" i="28" a="1"/>
  <c r="BQ49" i="28" s="1"/>
  <c r="BP49" i="28" a="1"/>
  <c r="BP49" i="28" s="1"/>
  <c r="BO49" i="28" a="1"/>
  <c r="BO49" i="28" s="1"/>
  <c r="BN49" i="28" a="1"/>
  <c r="BN49" i="28" s="1"/>
  <c r="BM49" i="28" a="1"/>
  <c r="BM49" i="28" s="1"/>
  <c r="BH49" i="28"/>
  <c r="BG49" i="28" a="1"/>
  <c r="BG49" i="28" s="1"/>
  <c r="BF49" i="28"/>
  <c r="BF49" i="28" a="1"/>
  <c r="BE49" i="28" a="1"/>
  <c r="BE49" i="28" s="1"/>
  <c r="BD49" i="28" a="1"/>
  <c r="BD49" i="28" s="1"/>
  <c r="BC49" i="28"/>
  <c r="BC49" i="28" a="1"/>
  <c r="AV49" i="28"/>
  <c r="AU49" i="28" a="1"/>
  <c r="AU49" i="28" s="1"/>
  <c r="AT49" i="28"/>
  <c r="AT49" i="28" a="1"/>
  <c r="AS49" i="28" a="1"/>
  <c r="AS49" i="28" s="1"/>
  <c r="AR49" i="28" a="1"/>
  <c r="AR49" i="28" s="1"/>
  <c r="AQ49" i="28" a="1"/>
  <c r="AQ49" i="28" s="1"/>
  <c r="AJ49" i="28"/>
  <c r="Y49" i="28" a="1"/>
  <c r="Y49" i="28" s="1"/>
  <c r="X49" i="28" a="1"/>
  <c r="X49" i="28" s="1"/>
  <c r="W49" i="28" a="1"/>
  <c r="W49" i="28" s="1"/>
  <c r="V49" i="28" a="1"/>
  <c r="V49" i="28" s="1"/>
  <c r="U49" i="28" a="1"/>
  <c r="U49" i="28" s="1"/>
  <c r="N49" i="28"/>
  <c r="M49" i="28"/>
  <c r="M49" i="28" a="1"/>
  <c r="L49" i="28" a="1"/>
  <c r="L49" i="28" s="1"/>
  <c r="K49" i="28" a="1"/>
  <c r="K49" i="28" s="1"/>
  <c r="J49" i="28" a="1"/>
  <c r="J49" i="28" s="1"/>
  <c r="I49" i="28" a="1"/>
  <c r="I49" i="28" s="1"/>
  <c r="B49" i="28"/>
  <c r="CY48" i="28" a="1"/>
  <c r="CY48" i="28" s="1"/>
  <c r="CX48" i="28" a="1"/>
  <c r="CX48" i="28" s="1"/>
  <c r="CW48" i="28"/>
  <c r="CW48" i="28" a="1"/>
  <c r="CV48" i="28" a="1"/>
  <c r="CV48" i="28" s="1"/>
  <c r="CU48" i="28" a="1"/>
  <c r="CU48" i="28" s="1"/>
  <c r="CN48" i="28"/>
  <c r="CM48" i="28" a="1"/>
  <c r="CM48" i="28" s="1"/>
  <c r="CL48" i="28" a="1"/>
  <c r="CL48" i="28" s="1"/>
  <c r="CK48" i="28" a="1"/>
  <c r="CK48" i="28" s="1"/>
  <c r="CJ48" i="28" a="1"/>
  <c r="CJ48" i="28" s="1"/>
  <c r="CI48" i="28" a="1"/>
  <c r="CI48" i="28" s="1"/>
  <c r="CB48" i="28"/>
  <c r="BQ48" i="28" a="1"/>
  <c r="BQ48" i="28" s="1"/>
  <c r="BP48" i="28" a="1"/>
  <c r="BP48" i="28" s="1"/>
  <c r="BO48" i="28" a="1"/>
  <c r="BO48" i="28" s="1"/>
  <c r="BN48" i="28" a="1"/>
  <c r="BN48" i="28" s="1"/>
  <c r="BM48" i="28" a="1"/>
  <c r="BM48" i="28" s="1"/>
  <c r="BH48" i="28"/>
  <c r="BG48" i="28" a="1"/>
  <c r="BG48" i="28" s="1"/>
  <c r="BF48" i="28" a="1"/>
  <c r="BF48" i="28" s="1"/>
  <c r="BE48" i="28" a="1"/>
  <c r="BE48" i="28" s="1"/>
  <c r="BD48" i="28" a="1"/>
  <c r="BD48" i="28" s="1"/>
  <c r="BC48" i="28" a="1"/>
  <c r="BC48" i="28" s="1"/>
  <c r="AV48" i="28"/>
  <c r="AU48" i="28" a="1"/>
  <c r="AU48" i="28" s="1"/>
  <c r="AT48" i="28" a="1"/>
  <c r="AT48" i="28" s="1"/>
  <c r="AS48" i="28" a="1"/>
  <c r="AS48" i="28" s="1"/>
  <c r="AR48" i="28" a="1"/>
  <c r="AR48" i="28" s="1"/>
  <c r="AQ48" i="28" a="1"/>
  <c r="AQ48" i="28" s="1"/>
  <c r="AJ48" i="28"/>
  <c r="Y48" i="28" a="1"/>
  <c r="Y48" i="28" s="1"/>
  <c r="X48" i="28" a="1"/>
  <c r="X48" i="28" s="1"/>
  <c r="W48" i="28" a="1"/>
  <c r="W48" i="28" s="1"/>
  <c r="V48" i="28" a="1"/>
  <c r="V48" i="28" s="1"/>
  <c r="U48" i="28" a="1"/>
  <c r="U48" i="28" s="1"/>
  <c r="N48" i="28"/>
  <c r="M48" i="28" a="1"/>
  <c r="M48" i="28" s="1"/>
  <c r="L48" i="28" a="1"/>
  <c r="L48" i="28" s="1"/>
  <c r="K48" i="28"/>
  <c r="K48" i="28" a="1"/>
  <c r="J48" i="28" a="1"/>
  <c r="J48" i="28" s="1"/>
  <c r="I48" i="28" a="1"/>
  <c r="I48" i="28" s="1"/>
  <c r="B48" i="28"/>
  <c r="CY47" i="28" a="1"/>
  <c r="CY47" i="28" s="1"/>
  <c r="CX47" i="28" a="1"/>
  <c r="CX47" i="28" s="1"/>
  <c r="CW47" i="28" a="1"/>
  <c r="CW47" i="28" s="1"/>
  <c r="CV47" i="28" a="1"/>
  <c r="CV47" i="28" s="1"/>
  <c r="CU47" i="28" a="1"/>
  <c r="CU47" i="28" s="1"/>
  <c r="CN47" i="28"/>
  <c r="CM47" i="28" a="1"/>
  <c r="CM47" i="28" s="1"/>
  <c r="CL47" i="28" a="1"/>
  <c r="CL47" i="28" s="1"/>
  <c r="CK47" i="28" a="1"/>
  <c r="CK47" i="28" s="1"/>
  <c r="CJ47" i="28" a="1"/>
  <c r="CJ47" i="28" s="1"/>
  <c r="CI47" i="28" a="1"/>
  <c r="CI47" i="28" s="1"/>
  <c r="CB47" i="28"/>
  <c r="BQ47" i="28" a="1"/>
  <c r="BQ47" i="28" s="1"/>
  <c r="BP47" i="28" a="1"/>
  <c r="BP47" i="28" s="1"/>
  <c r="BO47" i="28" a="1"/>
  <c r="BO47" i="28" s="1"/>
  <c r="BN47" i="28" a="1"/>
  <c r="BN47" i="28" s="1"/>
  <c r="BM47" i="28" a="1"/>
  <c r="BM47" i="28" s="1"/>
  <c r="BH47" i="28"/>
  <c r="BG47" i="28" a="1"/>
  <c r="BG47" i="28" s="1"/>
  <c r="BF47" i="28" a="1"/>
  <c r="BF47" i="28" s="1"/>
  <c r="BE47" i="28" a="1"/>
  <c r="BE47" i="28" s="1"/>
  <c r="BD47" i="28" a="1"/>
  <c r="BD47" i="28" s="1"/>
  <c r="BC47" i="28" a="1"/>
  <c r="BC47" i="28" s="1"/>
  <c r="AV47" i="28"/>
  <c r="AU47" i="28" a="1"/>
  <c r="AU47" i="28" s="1"/>
  <c r="AT47" i="28" a="1"/>
  <c r="AT47" i="28" s="1"/>
  <c r="AS47" i="28" a="1"/>
  <c r="AS47" i="28" s="1"/>
  <c r="AR47" i="28"/>
  <c r="AR47" i="28" a="1"/>
  <c r="AQ47" i="28" a="1"/>
  <c r="AQ47" i="28" s="1"/>
  <c r="AJ47" i="28"/>
  <c r="Y47" i="28" a="1"/>
  <c r="Y47" i="28" s="1"/>
  <c r="X47" i="28" a="1"/>
  <c r="X47" i="28" s="1"/>
  <c r="W47" i="28" a="1"/>
  <c r="W47" i="28" s="1"/>
  <c r="V47" i="28" a="1"/>
  <c r="V47" i="28" s="1"/>
  <c r="U47" i="28" a="1"/>
  <c r="U47" i="28" s="1"/>
  <c r="N47" i="28"/>
  <c r="M47" i="28" a="1"/>
  <c r="M47" i="28" s="1"/>
  <c r="L47" i="28" a="1"/>
  <c r="L47" i="28" s="1"/>
  <c r="K47" i="28" a="1"/>
  <c r="K47" i="28" s="1"/>
  <c r="J47" i="28" a="1"/>
  <c r="J47" i="28" s="1"/>
  <c r="I47" i="28" a="1"/>
  <c r="I47" i="28" s="1"/>
  <c r="B47" i="28"/>
  <c r="CY46" i="28" a="1"/>
  <c r="CY46" i="28" s="1"/>
  <c r="CX46" i="28" a="1"/>
  <c r="CX46" i="28" s="1"/>
  <c r="CW46" i="28"/>
  <c r="CW46" i="28" a="1"/>
  <c r="CV46" i="28" a="1"/>
  <c r="CV46" i="28" s="1"/>
  <c r="CU46" i="28" a="1"/>
  <c r="CU46" i="28" s="1"/>
  <c r="CN46" i="28"/>
  <c r="CM46" i="28" a="1"/>
  <c r="CM46" i="28" s="1"/>
  <c r="CL46" i="28" a="1"/>
  <c r="CL46" i="28" s="1"/>
  <c r="CK46" i="28" a="1"/>
  <c r="CK46" i="28" s="1"/>
  <c r="CJ46" i="28"/>
  <c r="CJ46" i="28" a="1"/>
  <c r="CI46" i="28" a="1"/>
  <c r="CI46" i="28" s="1"/>
  <c r="CB46" i="28"/>
  <c r="BQ46" i="28" a="1"/>
  <c r="BQ46" i="28" s="1"/>
  <c r="BP46" i="28" a="1"/>
  <c r="BP46" i="28" s="1"/>
  <c r="BO46" i="28" a="1"/>
  <c r="BO46" i="28" s="1"/>
  <c r="BN46" i="28" a="1"/>
  <c r="BN46" i="28" s="1"/>
  <c r="BM46" i="28" a="1"/>
  <c r="BM46" i="28" s="1"/>
  <c r="BH46" i="28"/>
  <c r="BG46" i="28" a="1"/>
  <c r="BG46" i="28" s="1"/>
  <c r="BF46" i="28" a="1"/>
  <c r="BF46" i="28" s="1"/>
  <c r="BE46" i="28" a="1"/>
  <c r="BE46" i="28" s="1"/>
  <c r="BD46" i="28" a="1"/>
  <c r="BD46" i="28" s="1"/>
  <c r="BC46" i="28" a="1"/>
  <c r="BC46" i="28" s="1"/>
  <c r="AV46" i="28"/>
  <c r="AU46" i="28" a="1"/>
  <c r="AU46" i="28" s="1"/>
  <c r="AT46" i="28" a="1"/>
  <c r="AT46" i="28" s="1"/>
  <c r="AS46" i="28" a="1"/>
  <c r="AS46" i="28" s="1"/>
  <c r="AR46" i="28" a="1"/>
  <c r="AR46" i="28" s="1"/>
  <c r="AQ46" i="28" a="1"/>
  <c r="AQ46" i="28" s="1"/>
  <c r="AJ46" i="28"/>
  <c r="Y46" i="28" a="1"/>
  <c r="Y46" i="28" s="1"/>
  <c r="X46" i="28" a="1"/>
  <c r="X46" i="28" s="1"/>
  <c r="W46" i="28" a="1"/>
  <c r="W46" i="28" s="1"/>
  <c r="V46" i="28" a="1"/>
  <c r="V46" i="28" s="1"/>
  <c r="U46" i="28" a="1"/>
  <c r="U46" i="28" s="1"/>
  <c r="N46" i="28"/>
  <c r="M46" i="28" a="1"/>
  <c r="M46" i="28" s="1"/>
  <c r="L46" i="28" a="1"/>
  <c r="L46" i="28" s="1"/>
  <c r="K46" i="28" a="1"/>
  <c r="K46" i="28" s="1"/>
  <c r="J46" i="28" a="1"/>
  <c r="J46" i="28" s="1"/>
  <c r="I46" i="28" a="1"/>
  <c r="I46" i="28" s="1"/>
  <c r="B46" i="28"/>
  <c r="CY45" i="28" a="1"/>
  <c r="CY45" i="28" s="1"/>
  <c r="CX45" i="28" a="1"/>
  <c r="CX45" i="28" s="1"/>
  <c r="CW45" i="28" a="1"/>
  <c r="CW45" i="28" s="1"/>
  <c r="CV45" i="28" a="1"/>
  <c r="CV45" i="28" s="1"/>
  <c r="CU45" i="28" a="1"/>
  <c r="CU45" i="28" s="1"/>
  <c r="CN45" i="28"/>
  <c r="CM45" i="28" a="1"/>
  <c r="CM45" i="28" s="1"/>
  <c r="CL45" i="28" a="1"/>
  <c r="CL45" i="28" s="1"/>
  <c r="CK45" i="28" a="1"/>
  <c r="CK45" i="28" s="1"/>
  <c r="CJ45" i="28" a="1"/>
  <c r="CJ45" i="28" s="1"/>
  <c r="CI45" i="28" a="1"/>
  <c r="CI45" i="28" s="1"/>
  <c r="CB45" i="28"/>
  <c r="BQ45" i="28" a="1"/>
  <c r="BQ45" i="28" s="1"/>
  <c r="BP45" i="28" a="1"/>
  <c r="BP45" i="28" s="1"/>
  <c r="BO45" i="28" a="1"/>
  <c r="BO45" i="28" s="1"/>
  <c r="BN45" i="28" a="1"/>
  <c r="BN45" i="28" s="1"/>
  <c r="BM45" i="28" a="1"/>
  <c r="BM45" i="28" s="1"/>
  <c r="BH45" i="28"/>
  <c r="BG45" i="28" a="1"/>
  <c r="BG45" i="28" s="1"/>
  <c r="BF45" i="28" a="1"/>
  <c r="BF45" i="28" s="1"/>
  <c r="BE45" i="28" a="1"/>
  <c r="BE45" i="28" s="1"/>
  <c r="BD45" i="28" a="1"/>
  <c r="BD45" i="28" s="1"/>
  <c r="BC45" i="28" a="1"/>
  <c r="BC45" i="28" s="1"/>
  <c r="AV45" i="28"/>
  <c r="AU45" i="28" a="1"/>
  <c r="AU45" i="28" s="1"/>
  <c r="AT45" i="28" a="1"/>
  <c r="AT45" i="28" s="1"/>
  <c r="AS45" i="28" a="1"/>
  <c r="AS45" i="28" s="1"/>
  <c r="AR45" i="28" a="1"/>
  <c r="AR45" i="28" s="1"/>
  <c r="AQ45" i="28" a="1"/>
  <c r="AQ45" i="28" s="1"/>
  <c r="AJ45" i="28"/>
  <c r="Y45" i="28" a="1"/>
  <c r="Y45" i="28" s="1"/>
  <c r="X45" i="28" a="1"/>
  <c r="X45" i="28" s="1"/>
  <c r="W45" i="28" a="1"/>
  <c r="W45" i="28" s="1"/>
  <c r="V45" i="28" a="1"/>
  <c r="V45" i="28" s="1"/>
  <c r="U45" i="28" a="1"/>
  <c r="U45" i="28" s="1"/>
  <c r="N45" i="28"/>
  <c r="M45" i="28" a="1"/>
  <c r="M45" i="28" s="1"/>
  <c r="L45" i="28" a="1"/>
  <c r="L45" i="28" s="1"/>
  <c r="K45" i="28" a="1"/>
  <c r="K45" i="28" s="1"/>
  <c r="J45" i="28" a="1"/>
  <c r="J45" i="28" s="1"/>
  <c r="I45" i="28" a="1"/>
  <c r="I45" i="28" s="1"/>
  <c r="B45" i="28"/>
  <c r="CY44" i="28" a="1"/>
  <c r="CY44" i="28" s="1"/>
  <c r="CX44" i="28" a="1"/>
  <c r="CX44" i="28" s="1"/>
  <c r="CW44" i="28" a="1"/>
  <c r="CW44" i="28" s="1"/>
  <c r="CV44" i="28" a="1"/>
  <c r="CV44" i="28" s="1"/>
  <c r="CU44" i="28" a="1"/>
  <c r="CU44" i="28" s="1"/>
  <c r="CN44" i="28"/>
  <c r="CM44" i="28" a="1"/>
  <c r="CM44" i="28" s="1"/>
  <c r="CL44" i="28" a="1"/>
  <c r="CL44" i="28" s="1"/>
  <c r="CK44" i="28" a="1"/>
  <c r="CK44" i="28" s="1"/>
  <c r="CJ44" i="28" a="1"/>
  <c r="CJ44" i="28" s="1"/>
  <c r="CI44" i="28" a="1"/>
  <c r="CI44" i="28" s="1"/>
  <c r="CB44" i="28"/>
  <c r="BQ44" i="28" a="1"/>
  <c r="BQ44" i="28" s="1"/>
  <c r="BP44" i="28" a="1"/>
  <c r="BP44" i="28" s="1"/>
  <c r="BO44" i="28" a="1"/>
  <c r="BO44" i="28" s="1"/>
  <c r="BN44" i="28" a="1"/>
  <c r="BN44" i="28" s="1"/>
  <c r="BM44" i="28" a="1"/>
  <c r="BM44" i="28" s="1"/>
  <c r="BH44" i="28"/>
  <c r="BG44" i="28" a="1"/>
  <c r="BG44" i="28" s="1"/>
  <c r="BF44" i="28" a="1"/>
  <c r="BF44" i="28" s="1"/>
  <c r="BE44" i="28" a="1"/>
  <c r="BE44" i="28" s="1"/>
  <c r="BD44" i="28" a="1"/>
  <c r="BD44" i="28" s="1"/>
  <c r="BC44" i="28" a="1"/>
  <c r="BC44" i="28" s="1"/>
  <c r="AV44" i="28"/>
  <c r="AU44" i="28" a="1"/>
  <c r="AU44" i="28" s="1"/>
  <c r="AT44" i="28" a="1"/>
  <c r="AT44" i="28" s="1"/>
  <c r="AS44" i="28" a="1"/>
  <c r="AS44" i="28" s="1"/>
  <c r="AR44" i="28" a="1"/>
  <c r="AR44" i="28" s="1"/>
  <c r="AQ44" i="28" a="1"/>
  <c r="AQ44" i="28" s="1"/>
  <c r="AJ44" i="28"/>
  <c r="Y44" i="28" a="1"/>
  <c r="Y44" i="28" s="1"/>
  <c r="X44" i="28" a="1"/>
  <c r="X44" i="28" s="1"/>
  <c r="W44" i="28" a="1"/>
  <c r="W44" i="28" s="1"/>
  <c r="V44" i="28" a="1"/>
  <c r="V44" i="28" s="1"/>
  <c r="U44" i="28" a="1"/>
  <c r="U44" i="28" s="1"/>
  <c r="N44" i="28"/>
  <c r="M44" i="28" a="1"/>
  <c r="M44" i="28" s="1"/>
  <c r="L44" i="28" a="1"/>
  <c r="L44" i="28" s="1"/>
  <c r="K44" i="28" a="1"/>
  <c r="K44" i="28" s="1"/>
  <c r="J44" i="28" a="1"/>
  <c r="J44" i="28" s="1"/>
  <c r="I44" i="28" a="1"/>
  <c r="I44" i="28" s="1"/>
  <c r="B44" i="28"/>
  <c r="CY43" i="28" a="1"/>
  <c r="CY43" i="28" s="1"/>
  <c r="CX43" i="28" a="1"/>
  <c r="CX43" i="28" s="1"/>
  <c r="CW43" i="28" a="1"/>
  <c r="CW43" i="28" s="1"/>
  <c r="CV43" i="28" a="1"/>
  <c r="CV43" i="28" s="1"/>
  <c r="CU43" i="28" a="1"/>
  <c r="CU43" i="28" s="1"/>
  <c r="CN43" i="28"/>
  <c r="CM43" i="28" a="1"/>
  <c r="CM43" i="28" s="1"/>
  <c r="CL43" i="28" a="1"/>
  <c r="CL43" i="28" s="1"/>
  <c r="CK43" i="28" a="1"/>
  <c r="CK43" i="28" s="1"/>
  <c r="CJ43" i="28" a="1"/>
  <c r="CJ43" i="28" s="1"/>
  <c r="CI43" i="28" a="1"/>
  <c r="CI43" i="28" s="1"/>
  <c r="CB43" i="28"/>
  <c r="BQ43" i="28" a="1"/>
  <c r="BQ43" i="28" s="1"/>
  <c r="BP43" i="28" a="1"/>
  <c r="BP43" i="28" s="1"/>
  <c r="BO43" i="28" a="1"/>
  <c r="BO43" i="28" s="1"/>
  <c r="BN43" i="28" a="1"/>
  <c r="BN43" i="28" s="1"/>
  <c r="BM43" i="28" a="1"/>
  <c r="BM43" i="28" s="1"/>
  <c r="BH43" i="28"/>
  <c r="BG43" i="28" a="1"/>
  <c r="BG43" i="28" s="1"/>
  <c r="BF43" i="28" a="1"/>
  <c r="BF43" i="28" s="1"/>
  <c r="BE43" i="28" a="1"/>
  <c r="BE43" i="28" s="1"/>
  <c r="BD43" i="28" a="1"/>
  <c r="BD43" i="28" s="1"/>
  <c r="BC43" i="28" a="1"/>
  <c r="BC43" i="28" s="1"/>
  <c r="AV43" i="28"/>
  <c r="AU43" i="28" a="1"/>
  <c r="AU43" i="28" s="1"/>
  <c r="AT43" i="28" a="1"/>
  <c r="AT43" i="28" s="1"/>
  <c r="AS43" i="28" a="1"/>
  <c r="AS43" i="28" s="1"/>
  <c r="AR43" i="28" a="1"/>
  <c r="AR43" i="28" s="1"/>
  <c r="AQ43" i="28" a="1"/>
  <c r="AQ43" i="28" s="1"/>
  <c r="AJ43" i="28"/>
  <c r="Y43" i="28" a="1"/>
  <c r="Y43" i="28" s="1"/>
  <c r="X43" i="28" a="1"/>
  <c r="X43" i="28" s="1"/>
  <c r="W43" i="28" a="1"/>
  <c r="W43" i="28" s="1"/>
  <c r="V43" i="28" a="1"/>
  <c r="V43" i="28" s="1"/>
  <c r="U43" i="28" a="1"/>
  <c r="U43" i="28" s="1"/>
  <c r="N43" i="28"/>
  <c r="M43" i="28" a="1"/>
  <c r="M43" i="28" s="1"/>
  <c r="L43" i="28" a="1"/>
  <c r="L43" i="28" s="1"/>
  <c r="K43" i="28" a="1"/>
  <c r="K43" i="28" s="1"/>
  <c r="J43" i="28" a="1"/>
  <c r="J43" i="28" s="1"/>
  <c r="I43" i="28" a="1"/>
  <c r="I43" i="28" s="1"/>
  <c r="B43" i="28"/>
  <c r="CY42" i="28" a="1"/>
  <c r="CY42" i="28" s="1"/>
  <c r="CX42" i="28" a="1"/>
  <c r="CX42" i="28" s="1"/>
  <c r="CW42" i="28" a="1"/>
  <c r="CW42" i="28" s="1"/>
  <c r="CV42" i="28" a="1"/>
  <c r="CV42" i="28" s="1"/>
  <c r="CU42" i="28" a="1"/>
  <c r="CU42" i="28" s="1"/>
  <c r="CN42" i="28"/>
  <c r="CM42" i="28"/>
  <c r="CM42" i="28" a="1"/>
  <c r="CL42" i="28" a="1"/>
  <c r="CL42" i="28" s="1"/>
  <c r="CK42" i="28" a="1"/>
  <c r="CK42" i="28" s="1"/>
  <c r="CJ42" i="28"/>
  <c r="CJ42" i="28" a="1"/>
  <c r="CI42" i="28" a="1"/>
  <c r="CI42" i="28" s="1"/>
  <c r="CB42" i="28"/>
  <c r="BQ42" i="28" a="1"/>
  <c r="BQ42" i="28" s="1"/>
  <c r="BP42" i="28" a="1"/>
  <c r="BP42" i="28" s="1"/>
  <c r="BO42" i="28" a="1"/>
  <c r="BO42" i="28" s="1"/>
  <c r="BN42" i="28" a="1"/>
  <c r="BN42" i="28" s="1"/>
  <c r="BM42" i="28" a="1"/>
  <c r="BM42" i="28" s="1"/>
  <c r="BH42" i="28"/>
  <c r="BG42" i="28" a="1"/>
  <c r="BG42" i="28" s="1"/>
  <c r="BF42" i="28" a="1"/>
  <c r="BF42" i="28" s="1"/>
  <c r="BE42" i="28" a="1"/>
  <c r="BE42" i="28" s="1"/>
  <c r="BD42" i="28" a="1"/>
  <c r="BD42" i="28" s="1"/>
  <c r="BC42" i="28" a="1"/>
  <c r="BC42" i="28" s="1"/>
  <c r="AV42" i="28"/>
  <c r="AU42" i="28" a="1"/>
  <c r="AU42" i="28" s="1"/>
  <c r="AT42" i="28" a="1"/>
  <c r="AT42" i="28" s="1"/>
  <c r="AS42" i="28" a="1"/>
  <c r="AS42" i="28" s="1"/>
  <c r="AR42" i="28" a="1"/>
  <c r="AR42" i="28" s="1"/>
  <c r="AQ42" i="28" a="1"/>
  <c r="AQ42" i="28" s="1"/>
  <c r="AJ42" i="28"/>
  <c r="Y42" i="28" a="1"/>
  <c r="Y42" i="28" s="1"/>
  <c r="X42" i="28" a="1"/>
  <c r="X42" i="28" s="1"/>
  <c r="W42" i="28" a="1"/>
  <c r="W42" i="28" s="1"/>
  <c r="V42" i="28" a="1"/>
  <c r="V42" i="28" s="1"/>
  <c r="U42" i="28" a="1"/>
  <c r="U42" i="28" s="1"/>
  <c r="N42" i="28"/>
  <c r="M42" i="28" a="1"/>
  <c r="M42" i="28" s="1"/>
  <c r="L42" i="28" a="1"/>
  <c r="L42" i="28" s="1"/>
  <c r="K42" i="28" a="1"/>
  <c r="K42" i="28" s="1"/>
  <c r="J42" i="28" a="1"/>
  <c r="J42" i="28" s="1"/>
  <c r="I42" i="28" a="1"/>
  <c r="I42" i="28" s="1"/>
  <c r="B42" i="28"/>
  <c r="CY41" i="28" a="1"/>
  <c r="CY41" i="28" s="1"/>
  <c r="CX41" i="28" a="1"/>
  <c r="CX41" i="28" s="1"/>
  <c r="CW41" i="28" a="1"/>
  <c r="CW41" i="28" s="1"/>
  <c r="CV41" i="28" a="1"/>
  <c r="CV41" i="28" s="1"/>
  <c r="CU41" i="28" a="1"/>
  <c r="CU41" i="28" s="1"/>
  <c r="CN41" i="28"/>
  <c r="CM41" i="28" a="1"/>
  <c r="CM41" i="28" s="1"/>
  <c r="CL41" i="28" a="1"/>
  <c r="CL41" i="28" s="1"/>
  <c r="CK41" i="28" a="1"/>
  <c r="CK41" i="28" s="1"/>
  <c r="CJ41" i="28" a="1"/>
  <c r="CJ41" i="28" s="1"/>
  <c r="CI41" i="28" a="1"/>
  <c r="CI41" i="28" s="1"/>
  <c r="CB41" i="28"/>
  <c r="BQ41" i="28" a="1"/>
  <c r="BQ41" i="28" s="1"/>
  <c r="BP41" i="28" a="1"/>
  <c r="BP41" i="28" s="1"/>
  <c r="BO41" i="28" a="1"/>
  <c r="BO41" i="28" s="1"/>
  <c r="BN41" i="28" a="1"/>
  <c r="BN41" i="28" s="1"/>
  <c r="BM41" i="28" a="1"/>
  <c r="BM41" i="28" s="1"/>
  <c r="BH41" i="28"/>
  <c r="BG41" i="28" a="1"/>
  <c r="BG41" i="28" s="1"/>
  <c r="BF41" i="28" a="1"/>
  <c r="BF41" i="28" s="1"/>
  <c r="BE41" i="28" a="1"/>
  <c r="BE41" i="28" s="1"/>
  <c r="BD41" i="28" a="1"/>
  <c r="BD41" i="28" s="1"/>
  <c r="BC41" i="28" a="1"/>
  <c r="BC41" i="28" s="1"/>
  <c r="AV41" i="28"/>
  <c r="AU41" i="28" a="1"/>
  <c r="AU41" i="28" s="1"/>
  <c r="AT41" i="28" a="1"/>
  <c r="AT41" i="28" s="1"/>
  <c r="AS41" i="28" a="1"/>
  <c r="AS41" i="28" s="1"/>
  <c r="AR41" i="28" a="1"/>
  <c r="AR41" i="28" s="1"/>
  <c r="AQ41" i="28" a="1"/>
  <c r="AQ41" i="28" s="1"/>
  <c r="AJ41" i="28"/>
  <c r="Y41" i="28" a="1"/>
  <c r="Y41" i="28" s="1"/>
  <c r="X41" i="28" a="1"/>
  <c r="X41" i="28" s="1"/>
  <c r="W41" i="28" a="1"/>
  <c r="W41" i="28" s="1"/>
  <c r="V41" i="28" a="1"/>
  <c r="V41" i="28" s="1"/>
  <c r="U41" i="28" a="1"/>
  <c r="U41" i="28" s="1"/>
  <c r="N41" i="28"/>
  <c r="M41" i="28" a="1"/>
  <c r="M41" i="28" s="1"/>
  <c r="L41" i="28" a="1"/>
  <c r="L41" i="28" s="1"/>
  <c r="K41" i="28" a="1"/>
  <c r="K41" i="28" s="1"/>
  <c r="J41" i="28" a="1"/>
  <c r="J41" i="28" s="1"/>
  <c r="I41" i="28" a="1"/>
  <c r="I41" i="28" s="1"/>
  <c r="B41" i="28"/>
  <c r="CY40" i="28" a="1"/>
  <c r="CY40" i="28" s="1"/>
  <c r="CX40" i="28" a="1"/>
  <c r="CX40" i="28" s="1"/>
  <c r="CW40" i="28" a="1"/>
  <c r="CW40" i="28" s="1"/>
  <c r="CV40" i="28" a="1"/>
  <c r="CV40" i="28" s="1"/>
  <c r="CU40" i="28" a="1"/>
  <c r="CU40" i="28" s="1"/>
  <c r="CN40" i="28"/>
  <c r="CM40" i="28" a="1"/>
  <c r="CM40" i="28" s="1"/>
  <c r="CL40" i="28" a="1"/>
  <c r="CL40" i="28" s="1"/>
  <c r="CK40" i="28" a="1"/>
  <c r="CK40" i="28" s="1"/>
  <c r="CJ40" i="28" a="1"/>
  <c r="CJ40" i="28" s="1"/>
  <c r="CI40" i="28" a="1"/>
  <c r="CI40" i="28" s="1"/>
  <c r="CB40" i="28"/>
  <c r="BQ40" i="28" a="1"/>
  <c r="BQ40" i="28" s="1"/>
  <c r="BP40" i="28" a="1"/>
  <c r="BP40" i="28" s="1"/>
  <c r="BO40" i="28" a="1"/>
  <c r="BO40" i="28" s="1"/>
  <c r="BN40" i="28" a="1"/>
  <c r="BN40" i="28" s="1"/>
  <c r="BM40" i="28" a="1"/>
  <c r="BM40" i="28" s="1"/>
  <c r="BH40" i="28"/>
  <c r="BG40" i="28" a="1"/>
  <c r="BG40" i="28" s="1"/>
  <c r="BF40" i="28" a="1"/>
  <c r="BF40" i="28" s="1"/>
  <c r="BE40" i="28" a="1"/>
  <c r="BE40" i="28" s="1"/>
  <c r="BD40" i="28" a="1"/>
  <c r="BD40" i="28" s="1"/>
  <c r="BC40" i="28" a="1"/>
  <c r="BC40" i="28" s="1"/>
  <c r="AV40" i="28"/>
  <c r="AU40" i="28" a="1"/>
  <c r="AU40" i="28" s="1"/>
  <c r="AT40" i="28" a="1"/>
  <c r="AT40" i="28" s="1"/>
  <c r="AS40" i="28" a="1"/>
  <c r="AS40" i="28" s="1"/>
  <c r="AR40" i="28" a="1"/>
  <c r="AR40" i="28" s="1"/>
  <c r="AQ40" i="28" a="1"/>
  <c r="AQ40" i="28" s="1"/>
  <c r="AJ40" i="28"/>
  <c r="Y40" i="28" a="1"/>
  <c r="Y40" i="28" s="1"/>
  <c r="X40" i="28" a="1"/>
  <c r="X40" i="28" s="1"/>
  <c r="W40" i="28" a="1"/>
  <c r="W40" i="28" s="1"/>
  <c r="V40" i="28" a="1"/>
  <c r="V40" i="28" s="1"/>
  <c r="U40" i="28" a="1"/>
  <c r="U40" i="28" s="1"/>
  <c r="N40" i="28"/>
  <c r="M40" i="28" a="1"/>
  <c r="M40" i="28" s="1"/>
  <c r="L40" i="28" a="1"/>
  <c r="L40" i="28" s="1"/>
  <c r="K40" i="28" a="1"/>
  <c r="K40" i="28" s="1"/>
  <c r="J40" i="28" a="1"/>
  <c r="J40" i="28" s="1"/>
  <c r="I40" i="28"/>
  <c r="I40" i="28" a="1"/>
  <c r="B40" i="28"/>
  <c r="CY39" i="28" a="1"/>
  <c r="CY39" i="28" s="1"/>
  <c r="CX39" i="28" a="1"/>
  <c r="CX39" i="28" s="1"/>
  <c r="CW39" i="28" a="1"/>
  <c r="CW39" i="28" s="1"/>
  <c r="CV39" i="28" a="1"/>
  <c r="CV39" i="28" s="1"/>
  <c r="CU39" i="28" a="1"/>
  <c r="CU39" i="28" s="1"/>
  <c r="CN39" i="28"/>
  <c r="CM39" i="28" a="1"/>
  <c r="CM39" i="28" s="1"/>
  <c r="CL39" i="28" a="1"/>
  <c r="CL39" i="28" s="1"/>
  <c r="CK39" i="28" a="1"/>
  <c r="CK39" i="28" s="1"/>
  <c r="CJ39" i="28" a="1"/>
  <c r="CJ39" i="28" s="1"/>
  <c r="CI39" i="28" a="1"/>
  <c r="CI39" i="28" s="1"/>
  <c r="CB39" i="28"/>
  <c r="BQ39" i="28" a="1"/>
  <c r="BQ39" i="28" s="1"/>
  <c r="BP39" i="28" a="1"/>
  <c r="BP39" i="28" s="1"/>
  <c r="BO39" i="28"/>
  <c r="BO39" i="28" a="1"/>
  <c r="BN39" i="28" a="1"/>
  <c r="BN39" i="28" s="1"/>
  <c r="BM39" i="28" a="1"/>
  <c r="BM39" i="28" s="1"/>
  <c r="BH39" i="28"/>
  <c r="BG39" i="28" a="1"/>
  <c r="BG39" i="28" s="1"/>
  <c r="BF39" i="28" a="1"/>
  <c r="BF39" i="28" s="1"/>
  <c r="BE39" i="28" a="1"/>
  <c r="BE39" i="28" s="1"/>
  <c r="BD39" i="28" a="1"/>
  <c r="BD39" i="28" s="1"/>
  <c r="BC39" i="28" a="1"/>
  <c r="BC39" i="28" s="1"/>
  <c r="AV39" i="28"/>
  <c r="AU39" i="28" a="1"/>
  <c r="AU39" i="28" s="1"/>
  <c r="AT39" i="28" a="1"/>
  <c r="AT39" i="28" s="1"/>
  <c r="AS39" i="28" a="1"/>
  <c r="AS39" i="28" s="1"/>
  <c r="AR39" i="28" a="1"/>
  <c r="AR39" i="28" s="1"/>
  <c r="AQ39" i="28" a="1"/>
  <c r="AQ39" i="28" s="1"/>
  <c r="AJ39" i="28"/>
  <c r="Y39" i="28" a="1"/>
  <c r="Y39" i="28" s="1"/>
  <c r="X39" i="28" a="1"/>
  <c r="X39" i="28" s="1"/>
  <c r="W39" i="28" a="1"/>
  <c r="W39" i="28" s="1"/>
  <c r="V39" i="28" a="1"/>
  <c r="V39" i="28" s="1"/>
  <c r="U39" i="28" a="1"/>
  <c r="U39" i="28" s="1"/>
  <c r="N39" i="28"/>
  <c r="M39" i="28"/>
  <c r="M39" i="28" a="1"/>
  <c r="L39" i="28" a="1"/>
  <c r="L39" i="28" s="1"/>
  <c r="K39" i="28" a="1"/>
  <c r="K39" i="28" s="1"/>
  <c r="J39" i="28" a="1"/>
  <c r="J39" i="28" s="1"/>
  <c r="I39" i="28" a="1"/>
  <c r="I39" i="28" s="1"/>
  <c r="B39" i="28"/>
  <c r="CY38" i="28" a="1"/>
  <c r="CY38" i="28" s="1"/>
  <c r="CX38" i="28" a="1"/>
  <c r="CX38" i="28" s="1"/>
  <c r="CW38" i="28" a="1"/>
  <c r="CW38" i="28" s="1"/>
  <c r="CV38" i="28" a="1"/>
  <c r="CV38" i="28" s="1"/>
  <c r="CU38" i="28" a="1"/>
  <c r="CU38" i="28" s="1"/>
  <c r="CN38" i="28"/>
  <c r="CM38" i="28" a="1"/>
  <c r="CM38" i="28" s="1"/>
  <c r="CL38" i="28"/>
  <c r="CL38" i="28" a="1"/>
  <c r="CK38" i="28" a="1"/>
  <c r="CK38" i="28" s="1"/>
  <c r="CJ38" i="28" a="1"/>
  <c r="CJ38" i="28" s="1"/>
  <c r="CI38" i="28" a="1"/>
  <c r="CI38" i="28" s="1"/>
  <c r="CB38" i="28"/>
  <c r="BQ38" i="28" a="1"/>
  <c r="BQ38" i="28" s="1"/>
  <c r="BP38" i="28" a="1"/>
  <c r="BP38" i="28" s="1"/>
  <c r="BO38" i="28" a="1"/>
  <c r="BO38" i="28" s="1"/>
  <c r="BN38" i="28" a="1"/>
  <c r="BN38" i="28" s="1"/>
  <c r="BM38" i="28" a="1"/>
  <c r="BM38" i="28" s="1"/>
  <c r="BH38" i="28"/>
  <c r="BG38" i="28" a="1"/>
  <c r="BG38" i="28" s="1"/>
  <c r="BF38" i="28" a="1"/>
  <c r="BF38" i="28" s="1"/>
  <c r="BE38" i="28" a="1"/>
  <c r="BE38" i="28" s="1"/>
  <c r="BD38" i="28" a="1"/>
  <c r="BD38" i="28" s="1"/>
  <c r="BC38" i="28"/>
  <c r="BC38" i="28" a="1"/>
  <c r="AV38" i="28"/>
  <c r="AU38" i="28" a="1"/>
  <c r="AU38" i="28" s="1"/>
  <c r="AT38" i="28" a="1"/>
  <c r="AT38" i="28" s="1"/>
  <c r="AS38" i="28" a="1"/>
  <c r="AS38" i="28" s="1"/>
  <c r="AR38" i="28" a="1"/>
  <c r="AR38" i="28" s="1"/>
  <c r="AQ38" i="28" a="1"/>
  <c r="AQ38" i="28" s="1"/>
  <c r="AJ38" i="28"/>
  <c r="Y38" i="28"/>
  <c r="Y38" i="28" a="1"/>
  <c r="X38" i="28" a="1"/>
  <c r="X38" i="28" s="1"/>
  <c r="W38" i="28" a="1"/>
  <c r="W38" i="28" s="1"/>
  <c r="V38" i="28" a="1"/>
  <c r="V38" i="28" s="1"/>
  <c r="U38" i="28" a="1"/>
  <c r="U38" i="28" s="1"/>
  <c r="N38" i="28"/>
  <c r="M38" i="28" a="1"/>
  <c r="M38" i="28" s="1"/>
  <c r="L38" i="28" a="1"/>
  <c r="L38" i="28" s="1"/>
  <c r="K38" i="28" a="1"/>
  <c r="K38" i="28" s="1"/>
  <c r="J38" i="28" a="1"/>
  <c r="J38" i="28" s="1"/>
  <c r="I38" i="28" a="1"/>
  <c r="I38" i="28" s="1"/>
  <c r="B38" i="28"/>
  <c r="CY37" i="28" a="1"/>
  <c r="CY37" i="28" s="1"/>
  <c r="CX37" i="28" a="1"/>
  <c r="CX37" i="28" s="1"/>
  <c r="CW37" i="28" a="1"/>
  <c r="CW37" i="28" s="1"/>
  <c r="CV37" i="28" a="1"/>
  <c r="CV37" i="28" s="1"/>
  <c r="CU37" i="28" a="1"/>
  <c r="CU37" i="28" s="1"/>
  <c r="CN37" i="28"/>
  <c r="CM37" i="28" a="1"/>
  <c r="CM37" i="28" s="1"/>
  <c r="CL37" i="28" a="1"/>
  <c r="CL37" i="28" s="1"/>
  <c r="CK37" i="28" a="1"/>
  <c r="CK37" i="28" s="1"/>
  <c r="CJ37" i="28" a="1"/>
  <c r="CJ37" i="28" s="1"/>
  <c r="CI37" i="28" a="1"/>
  <c r="CI37" i="28" s="1"/>
  <c r="CB37" i="28"/>
  <c r="BQ37" i="28" a="1"/>
  <c r="BQ37" i="28" s="1"/>
  <c r="BP37" i="28" a="1"/>
  <c r="BP37" i="28" s="1"/>
  <c r="BO37" i="28" a="1"/>
  <c r="BO37" i="28" s="1"/>
  <c r="BN37" i="28" a="1"/>
  <c r="BN37" i="28" s="1"/>
  <c r="BM37" i="28" a="1"/>
  <c r="BM37" i="28" s="1"/>
  <c r="BH37" i="28"/>
  <c r="BG37" i="28" a="1"/>
  <c r="BG37" i="28" s="1"/>
  <c r="BF37" i="28" a="1"/>
  <c r="BF37" i="28" s="1"/>
  <c r="BE37" i="28" a="1"/>
  <c r="BE37" i="28" s="1"/>
  <c r="BD37" i="28" a="1"/>
  <c r="BD37" i="28" s="1"/>
  <c r="BC37" i="28" a="1"/>
  <c r="BC37" i="28" s="1"/>
  <c r="AV37" i="28"/>
  <c r="AU37" i="28" a="1"/>
  <c r="AU37" i="28" s="1"/>
  <c r="AT37" i="28" a="1"/>
  <c r="AT37" i="28" s="1"/>
  <c r="AS37" i="28" a="1"/>
  <c r="AS37" i="28" s="1"/>
  <c r="AR37" i="28" a="1"/>
  <c r="AR37" i="28" s="1"/>
  <c r="AQ37" i="28" a="1"/>
  <c r="AQ37" i="28" s="1"/>
  <c r="AJ37" i="28"/>
  <c r="Y37" i="28" a="1"/>
  <c r="Y37" i="28" s="1"/>
  <c r="X37" i="28" a="1"/>
  <c r="X37" i="28" s="1"/>
  <c r="W37" i="28" a="1"/>
  <c r="W37" i="28" s="1"/>
  <c r="V37" i="28" a="1"/>
  <c r="V37" i="28" s="1"/>
  <c r="U37" i="28" a="1"/>
  <c r="U37" i="28" s="1"/>
  <c r="N37" i="28"/>
  <c r="M37" i="28" a="1"/>
  <c r="M37" i="28" s="1"/>
  <c r="L37" i="28" a="1"/>
  <c r="L37" i="28" s="1"/>
  <c r="K37" i="28"/>
  <c r="K37" i="28" a="1"/>
  <c r="J37" i="28" a="1"/>
  <c r="J37" i="28" s="1"/>
  <c r="I37" i="28" a="1"/>
  <c r="I37" i="28" s="1"/>
  <c r="B37" i="28"/>
  <c r="CY36" i="28" a="1"/>
  <c r="CY36" i="28" s="1"/>
  <c r="CX36" i="28" a="1"/>
  <c r="CX36" i="28" s="1"/>
  <c r="CW36" i="28" a="1"/>
  <c r="CW36" i="28" s="1"/>
  <c r="CV36" i="28" a="1"/>
  <c r="CV36" i="28" s="1"/>
  <c r="CU36" i="28" a="1"/>
  <c r="CU36" i="28" s="1"/>
  <c r="CN36" i="28"/>
  <c r="CM36" i="28" a="1"/>
  <c r="CM36" i="28" s="1"/>
  <c r="CL36" i="28"/>
  <c r="CL36" i="28" a="1"/>
  <c r="CK36" i="28" a="1"/>
  <c r="CK36" i="28" s="1"/>
  <c r="CJ36" i="28" a="1"/>
  <c r="CJ36" i="28" s="1"/>
  <c r="CI36" i="28" a="1"/>
  <c r="CI36" i="28" s="1"/>
  <c r="CB36" i="28"/>
  <c r="BQ36" i="28" a="1"/>
  <c r="BQ36" i="28" s="1"/>
  <c r="BP36" i="28" a="1"/>
  <c r="BP36" i="28" s="1"/>
  <c r="BO36" i="28" a="1"/>
  <c r="BO36" i="28" s="1"/>
  <c r="BN36" i="28" a="1"/>
  <c r="BN36" i="28" s="1"/>
  <c r="BM36" i="28" a="1"/>
  <c r="BM36" i="28" s="1"/>
  <c r="BH36" i="28"/>
  <c r="BG36" i="28" a="1"/>
  <c r="BG36" i="28" s="1"/>
  <c r="BF36" i="28" a="1"/>
  <c r="BF36" i="28" s="1"/>
  <c r="BE36" i="28" a="1"/>
  <c r="BE36" i="28" s="1"/>
  <c r="BD36" i="28" a="1"/>
  <c r="BD36" i="28" s="1"/>
  <c r="BC36" i="28" a="1"/>
  <c r="BC36" i="28" s="1"/>
  <c r="AV36" i="28"/>
  <c r="AU36" i="28" a="1"/>
  <c r="AU36" i="28" s="1"/>
  <c r="AT36" i="28"/>
  <c r="AT36" i="28" a="1"/>
  <c r="AS36" i="28" a="1"/>
  <c r="AS36" i="28" s="1"/>
  <c r="AR36" i="28" a="1"/>
  <c r="AR36" i="28" s="1"/>
  <c r="AQ36" i="28" a="1"/>
  <c r="AQ36" i="28" s="1"/>
  <c r="AJ36" i="28"/>
  <c r="Y36" i="28" a="1"/>
  <c r="Y36" i="28" s="1"/>
  <c r="X36" i="28" a="1"/>
  <c r="X36" i="28" s="1"/>
  <c r="W36" i="28" a="1"/>
  <c r="W36" i="28" s="1"/>
  <c r="V36" i="28" a="1"/>
  <c r="V36" i="28" s="1"/>
  <c r="U36" i="28" a="1"/>
  <c r="U36" i="28" s="1"/>
  <c r="N36" i="28"/>
  <c r="M36" i="28" a="1"/>
  <c r="M36" i="28" s="1"/>
  <c r="L36" i="28" a="1"/>
  <c r="L36" i="28" s="1"/>
  <c r="K36" i="28"/>
  <c r="K36" i="28" a="1"/>
  <c r="J36" i="28" a="1"/>
  <c r="J36" i="28" s="1"/>
  <c r="I36" i="28" a="1"/>
  <c r="I36" i="28" s="1"/>
  <c r="B36" i="28"/>
  <c r="CY35" i="28" a="1"/>
  <c r="CY35" i="28" s="1"/>
  <c r="CX35" i="28" a="1"/>
  <c r="CX35" i="28" s="1"/>
  <c r="CW35" i="28" a="1"/>
  <c r="CW35" i="28" s="1"/>
  <c r="CV35" i="28" a="1"/>
  <c r="CV35" i="28" s="1"/>
  <c r="CU35" i="28" a="1"/>
  <c r="CU35" i="28" s="1"/>
  <c r="CN35" i="28"/>
  <c r="CM35" i="28" a="1"/>
  <c r="CM35" i="28" s="1"/>
  <c r="CL35" i="28" a="1"/>
  <c r="CL35" i="28" s="1"/>
  <c r="CK35" i="28" a="1"/>
  <c r="CK35" i="28" s="1"/>
  <c r="CJ35" i="28"/>
  <c r="CJ35" i="28" a="1"/>
  <c r="CI35" i="28" a="1"/>
  <c r="CI35" i="28" s="1"/>
  <c r="CB35" i="28"/>
  <c r="BQ35" i="28" a="1"/>
  <c r="BQ35" i="28" s="1"/>
  <c r="BP35" i="28" a="1"/>
  <c r="BP35" i="28" s="1"/>
  <c r="BO35" i="28" a="1"/>
  <c r="BO35" i="28" s="1"/>
  <c r="BN35" i="28" a="1"/>
  <c r="BN35" i="28" s="1"/>
  <c r="BM35" i="28" a="1"/>
  <c r="BM35" i="28" s="1"/>
  <c r="BH35" i="28"/>
  <c r="BG35" i="28" a="1"/>
  <c r="BG35" i="28" s="1"/>
  <c r="BF35" i="28" a="1"/>
  <c r="BF35" i="28" s="1"/>
  <c r="BE35" i="28" a="1"/>
  <c r="BE35" i="28" s="1"/>
  <c r="BD35" i="28" a="1"/>
  <c r="BD35" i="28" s="1"/>
  <c r="BC35" i="28" a="1"/>
  <c r="BC35" i="28" s="1"/>
  <c r="AV35" i="28"/>
  <c r="AU35" i="28" a="1"/>
  <c r="AU35" i="28" s="1"/>
  <c r="AT35" i="28" a="1"/>
  <c r="AT35" i="28" s="1"/>
  <c r="AS35" i="28" a="1"/>
  <c r="AS35" i="28" s="1"/>
  <c r="AR35" i="28" a="1"/>
  <c r="AR35" i="28" s="1"/>
  <c r="AQ35" i="28" a="1"/>
  <c r="AQ35" i="28" s="1"/>
  <c r="AJ35" i="28"/>
  <c r="Y35" i="28" a="1"/>
  <c r="Y35" i="28" s="1"/>
  <c r="X35" i="28" a="1"/>
  <c r="X35" i="28" s="1"/>
  <c r="W35" i="28" a="1"/>
  <c r="W35" i="28" s="1"/>
  <c r="V35" i="28" a="1"/>
  <c r="V35" i="28" s="1"/>
  <c r="U35" i="28" a="1"/>
  <c r="U35" i="28" s="1"/>
  <c r="N35" i="28"/>
  <c r="M35" i="28" a="1"/>
  <c r="M35" i="28" s="1"/>
  <c r="L35" i="28" a="1"/>
  <c r="L35" i="28" s="1"/>
  <c r="K35" i="28" a="1"/>
  <c r="K35" i="28" s="1"/>
  <c r="J35" i="28" a="1"/>
  <c r="J35" i="28" s="1"/>
  <c r="I35" i="28"/>
  <c r="I35" i="28" a="1"/>
  <c r="B35" i="28"/>
  <c r="CY34" i="28" a="1"/>
  <c r="CY34" i="28" s="1"/>
  <c r="CX34" i="28" a="1"/>
  <c r="CX34" i="28" s="1"/>
  <c r="CW34" i="28" a="1"/>
  <c r="CW34" i="28" s="1"/>
  <c r="CV34" i="28" a="1"/>
  <c r="CV34" i="28" s="1"/>
  <c r="CU34" i="28" a="1"/>
  <c r="CU34" i="28" s="1"/>
  <c r="CN34" i="28"/>
  <c r="CM34" i="28" a="1"/>
  <c r="CM34" i="28" s="1"/>
  <c r="CL34" i="28"/>
  <c r="CL34" i="28" a="1"/>
  <c r="CK34" i="28" a="1"/>
  <c r="CK34" i="28" s="1"/>
  <c r="CJ34" i="28" a="1"/>
  <c r="CJ34" i="28" s="1"/>
  <c r="CI34" i="28" a="1"/>
  <c r="CI34" i="28" s="1"/>
  <c r="CB34" i="28"/>
  <c r="BQ34" i="28" a="1"/>
  <c r="BQ34" i="28" s="1"/>
  <c r="BP34" i="28" a="1"/>
  <c r="BP34" i="28" s="1"/>
  <c r="BO34" i="28" a="1"/>
  <c r="BO34" i="28" s="1"/>
  <c r="BN34" i="28" a="1"/>
  <c r="BN34" i="28" s="1"/>
  <c r="BM34" i="28" a="1"/>
  <c r="BM34" i="28" s="1"/>
  <c r="BH34" i="28"/>
  <c r="BG34" i="28" a="1"/>
  <c r="BG34" i="28" s="1"/>
  <c r="BF34" i="28" a="1"/>
  <c r="BF34" i="28" s="1"/>
  <c r="BE34" i="28" a="1"/>
  <c r="BE34" i="28" s="1"/>
  <c r="BD34" i="28" a="1"/>
  <c r="BD34" i="28" s="1"/>
  <c r="BC34" i="28" a="1"/>
  <c r="BC34" i="28" s="1"/>
  <c r="AV34" i="28"/>
  <c r="AU34" i="28" a="1"/>
  <c r="AU34" i="28" s="1"/>
  <c r="AT34" i="28" a="1"/>
  <c r="AT34" i="28" s="1"/>
  <c r="AS34" i="28" a="1"/>
  <c r="AS34" i="28" s="1"/>
  <c r="AR34" i="28" a="1"/>
  <c r="AR34" i="28" s="1"/>
  <c r="AQ34" i="28" a="1"/>
  <c r="AQ34" i="28" s="1"/>
  <c r="AJ34" i="28"/>
  <c r="Y34" i="28" a="1"/>
  <c r="Y34" i="28" s="1"/>
  <c r="X34" i="28" a="1"/>
  <c r="X34" i="28" s="1"/>
  <c r="W34" i="28" a="1"/>
  <c r="W34" i="28" s="1"/>
  <c r="V34" i="28" a="1"/>
  <c r="V34" i="28" s="1"/>
  <c r="U34" i="28" a="1"/>
  <c r="U34" i="28" s="1"/>
  <c r="N34" i="28"/>
  <c r="M34" i="28"/>
  <c r="M34" i="28" a="1"/>
  <c r="L34" i="28" a="1"/>
  <c r="L34" i="28" s="1"/>
  <c r="K34" i="28" a="1"/>
  <c r="K34" i="28" s="1"/>
  <c r="J34" i="28" a="1"/>
  <c r="J34" i="28" s="1"/>
  <c r="I34" i="28" a="1"/>
  <c r="I34" i="28" s="1"/>
  <c r="B34" i="28"/>
  <c r="CY33" i="28" a="1"/>
  <c r="CY33" i="28" s="1"/>
  <c r="CX33" i="28" a="1"/>
  <c r="CX33" i="28" s="1"/>
  <c r="CW33" i="28" a="1"/>
  <c r="CW33" i="28" s="1"/>
  <c r="CV33" i="28" a="1"/>
  <c r="CV33" i="28" s="1"/>
  <c r="CU33" i="28" a="1"/>
  <c r="CU33" i="28" s="1"/>
  <c r="CN33" i="28"/>
  <c r="CM33" i="28" a="1"/>
  <c r="CM33" i="28" s="1"/>
  <c r="CL33" i="28"/>
  <c r="CL33" i="28" a="1"/>
  <c r="CK33" i="28" a="1"/>
  <c r="CK33" i="28" s="1"/>
  <c r="CJ33" i="28" a="1"/>
  <c r="CJ33" i="28" s="1"/>
  <c r="CI33" i="28" a="1"/>
  <c r="CI33" i="28" s="1"/>
  <c r="CB33" i="28"/>
  <c r="BQ33" i="28" a="1"/>
  <c r="BQ33" i="28" s="1"/>
  <c r="BP33" i="28" a="1"/>
  <c r="BP33" i="28" s="1"/>
  <c r="BO33" i="28" a="1"/>
  <c r="BO33" i="28" s="1"/>
  <c r="BN33" i="28" a="1"/>
  <c r="BN33" i="28" s="1"/>
  <c r="BM33" i="28" a="1"/>
  <c r="BM33" i="28" s="1"/>
  <c r="BH33" i="28"/>
  <c r="BG33" i="28" a="1"/>
  <c r="BG33" i="28" s="1"/>
  <c r="BF33" i="28" a="1"/>
  <c r="BF33" i="28" s="1"/>
  <c r="BE33" i="28" a="1"/>
  <c r="BE33" i="28" s="1"/>
  <c r="BD33" i="28" a="1"/>
  <c r="BD33" i="28" s="1"/>
  <c r="BC33" i="28" a="1"/>
  <c r="BC33" i="28" s="1"/>
  <c r="AV33" i="28"/>
  <c r="AU33" i="28" a="1"/>
  <c r="AU33" i="28" s="1"/>
  <c r="AT33" i="28" a="1"/>
  <c r="AT33" i="28" s="1"/>
  <c r="AS33" i="28" a="1"/>
  <c r="AS33" i="28" s="1"/>
  <c r="AR33" i="28" a="1"/>
  <c r="AR33" i="28" s="1"/>
  <c r="AQ33" i="28" a="1"/>
  <c r="AQ33" i="28" s="1"/>
  <c r="AJ33" i="28"/>
  <c r="Y33" i="28" a="1"/>
  <c r="Y33" i="28" s="1"/>
  <c r="X33" i="28" a="1"/>
  <c r="X33" i="28" s="1"/>
  <c r="W33" i="28" a="1"/>
  <c r="W33" i="28" s="1"/>
  <c r="V33" i="28" a="1"/>
  <c r="V33" i="28" s="1"/>
  <c r="U33" i="28" a="1"/>
  <c r="U33" i="28" s="1"/>
  <c r="N33" i="28"/>
  <c r="M33" i="28" a="1"/>
  <c r="M33" i="28" s="1"/>
  <c r="L33" i="28" a="1"/>
  <c r="L33" i="28" s="1"/>
  <c r="K33" i="28" a="1"/>
  <c r="K33" i="28" s="1"/>
  <c r="J33" i="28" a="1"/>
  <c r="J33" i="28" s="1"/>
  <c r="I33" i="28"/>
  <c r="I33" i="28" a="1"/>
  <c r="B33" i="28"/>
  <c r="CY32" i="28" a="1"/>
  <c r="CY32" i="28" s="1"/>
  <c r="CX32" i="28" a="1"/>
  <c r="CX32" i="28" s="1"/>
  <c r="CW32" i="28" a="1"/>
  <c r="CW32" i="28" s="1"/>
  <c r="CV32" i="28" a="1"/>
  <c r="CV32" i="28" s="1"/>
  <c r="CU32" i="28" a="1"/>
  <c r="CU32" i="28" s="1"/>
  <c r="CN32" i="28"/>
  <c r="CM32" i="28" a="1"/>
  <c r="CM32" i="28" s="1"/>
  <c r="CL32" i="28" a="1"/>
  <c r="CL32" i="28" s="1"/>
  <c r="CK32" i="28" a="1"/>
  <c r="CK32" i="28" s="1"/>
  <c r="CJ32" i="28" a="1"/>
  <c r="CJ32" i="28" s="1"/>
  <c r="CI32" i="28" a="1"/>
  <c r="CI32" i="28" s="1"/>
  <c r="CB32" i="28"/>
  <c r="BQ32" i="28" a="1"/>
  <c r="BQ32" i="28" s="1"/>
  <c r="BP32" i="28" a="1"/>
  <c r="BP32" i="28" s="1"/>
  <c r="BO32" i="28" a="1"/>
  <c r="BO32" i="28" s="1"/>
  <c r="BN32" i="28" a="1"/>
  <c r="BN32" i="28" s="1"/>
  <c r="BM32" i="28" a="1"/>
  <c r="BM32" i="28" s="1"/>
  <c r="BH32" i="28"/>
  <c r="BG32" i="28" a="1"/>
  <c r="BG32" i="28" s="1"/>
  <c r="BF32" i="28" a="1"/>
  <c r="BF32" i="28" s="1"/>
  <c r="BE32" i="28" a="1"/>
  <c r="BE32" i="28" s="1"/>
  <c r="BD32" i="28" a="1"/>
  <c r="BD32" i="28" s="1"/>
  <c r="BC32" i="28" a="1"/>
  <c r="BC32" i="28" s="1"/>
  <c r="AV32" i="28"/>
  <c r="AU32" i="28" a="1"/>
  <c r="AU32" i="28" s="1"/>
  <c r="AT32" i="28" a="1"/>
  <c r="AT32" i="28" s="1"/>
  <c r="AS32" i="28" a="1"/>
  <c r="AS32" i="28" s="1"/>
  <c r="AR32" i="28"/>
  <c r="AR32" i="28" a="1"/>
  <c r="AQ32" i="28" a="1"/>
  <c r="AQ32" i="28" s="1"/>
  <c r="AJ32" i="28"/>
  <c r="Y32" i="28" a="1"/>
  <c r="Y32" i="28" s="1"/>
  <c r="X32" i="28" a="1"/>
  <c r="X32" i="28" s="1"/>
  <c r="W32" i="28" a="1"/>
  <c r="W32" i="28" s="1"/>
  <c r="V32" i="28" a="1"/>
  <c r="V32" i="28" s="1"/>
  <c r="U32" i="28" a="1"/>
  <c r="U32" i="28" s="1"/>
  <c r="N32" i="28"/>
  <c r="M32" i="28" a="1"/>
  <c r="M32" i="28" s="1"/>
  <c r="L32" i="28" a="1"/>
  <c r="L32" i="28" s="1"/>
  <c r="K32" i="28"/>
  <c r="K32" i="28" a="1"/>
  <c r="J32" i="28" a="1"/>
  <c r="J32" i="28" s="1"/>
  <c r="I32" i="28" a="1"/>
  <c r="I32" i="28" s="1"/>
  <c r="B32" i="28"/>
  <c r="CY31" i="28" a="1"/>
  <c r="CY31" i="28" s="1"/>
  <c r="CX31" i="28" a="1"/>
  <c r="CX31" i="28" s="1"/>
  <c r="CW31" i="28" a="1"/>
  <c r="CW31" i="28" s="1"/>
  <c r="CV31" i="28" a="1"/>
  <c r="CV31" i="28" s="1"/>
  <c r="CU31" i="28" a="1"/>
  <c r="CU31" i="28" s="1"/>
  <c r="CN31" i="28"/>
  <c r="CM31" i="28" a="1"/>
  <c r="CM31" i="28" s="1"/>
  <c r="CL31" i="28" a="1"/>
  <c r="CL31" i="28" s="1"/>
  <c r="CK31" i="28" a="1"/>
  <c r="CK31" i="28" s="1"/>
  <c r="CJ31" i="28" a="1"/>
  <c r="CJ31" i="28" s="1"/>
  <c r="CI31" i="28" a="1"/>
  <c r="CI31" i="28" s="1"/>
  <c r="CB31" i="28"/>
  <c r="BQ31" i="28" a="1"/>
  <c r="BQ31" i="28" s="1"/>
  <c r="BP31" i="28" a="1"/>
  <c r="BP31" i="28" s="1"/>
  <c r="BO31" i="28" a="1"/>
  <c r="BO31" i="28" s="1"/>
  <c r="BN31" i="28" a="1"/>
  <c r="BN31" i="28" s="1"/>
  <c r="BM31" i="28" a="1"/>
  <c r="BM31" i="28" s="1"/>
  <c r="BH31" i="28"/>
  <c r="BG31" i="28" a="1"/>
  <c r="BG31" i="28" s="1"/>
  <c r="BF31" i="28" a="1"/>
  <c r="BF31" i="28" s="1"/>
  <c r="BE31" i="28" a="1"/>
  <c r="BE31" i="28" s="1"/>
  <c r="BD31" i="28" a="1"/>
  <c r="BD31" i="28" s="1"/>
  <c r="BC31" i="28" a="1"/>
  <c r="BC31" i="28" s="1"/>
  <c r="AV31" i="28"/>
  <c r="AU31" i="28" a="1"/>
  <c r="AU31" i="28" s="1"/>
  <c r="AT31" i="28" a="1"/>
  <c r="AT31" i="28" s="1"/>
  <c r="AS31" i="28" a="1"/>
  <c r="AS31" i="28" s="1"/>
  <c r="AR31" i="28"/>
  <c r="AR31" i="28" a="1"/>
  <c r="AQ31" i="28" a="1"/>
  <c r="AQ31" i="28" s="1"/>
  <c r="AJ31" i="28"/>
  <c r="Y31" i="28" a="1"/>
  <c r="Y31" i="28" s="1"/>
  <c r="X31" i="28" a="1"/>
  <c r="X31" i="28" s="1"/>
  <c r="W31" i="28" a="1"/>
  <c r="W31" i="28" s="1"/>
  <c r="V31" i="28" a="1"/>
  <c r="V31" i="28" s="1"/>
  <c r="U31" i="28" a="1"/>
  <c r="U31" i="28" s="1"/>
  <c r="N31" i="28"/>
  <c r="M31" i="28" a="1"/>
  <c r="M31" i="28" s="1"/>
  <c r="L31" i="28" a="1"/>
  <c r="L31" i="28" s="1"/>
  <c r="K31" i="28" a="1"/>
  <c r="K31" i="28" s="1"/>
  <c r="J31" i="28" a="1"/>
  <c r="J31" i="28" s="1"/>
  <c r="I31" i="28"/>
  <c r="I31" i="28" a="1"/>
  <c r="B31" i="28"/>
  <c r="CY30" i="28" a="1"/>
  <c r="CY30" i="28" s="1"/>
  <c r="CX30" i="28" a="1"/>
  <c r="CX30" i="28" s="1"/>
  <c r="CW30" i="28" a="1"/>
  <c r="CW30" i="28" s="1"/>
  <c r="CV30" i="28" a="1"/>
  <c r="CV30" i="28" s="1"/>
  <c r="CU30" i="28" a="1"/>
  <c r="CU30" i="28" s="1"/>
  <c r="CN30" i="28"/>
  <c r="CM30" i="28" a="1"/>
  <c r="CM30" i="28" s="1"/>
  <c r="CL30" i="28" a="1"/>
  <c r="CL30" i="28" s="1"/>
  <c r="CK30" i="28" a="1"/>
  <c r="CK30" i="28" s="1"/>
  <c r="CJ30" i="28"/>
  <c r="CJ30" i="28" a="1"/>
  <c r="CI30" i="28" a="1"/>
  <c r="CI30" i="28" s="1"/>
  <c r="CB30" i="28"/>
  <c r="BQ30" i="28" a="1"/>
  <c r="BQ30" i="28" s="1"/>
  <c r="BP30" i="28" a="1"/>
  <c r="BP30" i="28" s="1"/>
  <c r="BO30" i="28" a="1"/>
  <c r="BO30" i="28" s="1"/>
  <c r="BN30" i="28" a="1"/>
  <c r="BN30" i="28" s="1"/>
  <c r="BM30" i="28" a="1"/>
  <c r="BM30" i="28" s="1"/>
  <c r="BH30" i="28"/>
  <c r="BG30" i="28" a="1"/>
  <c r="BG30" i="28" s="1"/>
  <c r="BF30" i="28" a="1"/>
  <c r="BF30" i="28" s="1"/>
  <c r="BE30" i="28" a="1"/>
  <c r="BE30" i="28" s="1"/>
  <c r="BD30" i="28" a="1"/>
  <c r="BD30" i="28" s="1"/>
  <c r="BC30" i="28" a="1"/>
  <c r="BC30" i="28" s="1"/>
  <c r="AV30" i="28"/>
  <c r="AU30" i="28"/>
  <c r="AU30" i="28" a="1"/>
  <c r="AT30" i="28" a="1"/>
  <c r="AT30" i="28" s="1"/>
  <c r="AS30" i="28" a="1"/>
  <c r="AS30" i="28" s="1"/>
  <c r="AR30" i="28" a="1"/>
  <c r="AR30" i="28" s="1"/>
  <c r="AQ30" i="28" a="1"/>
  <c r="AQ30" i="28" s="1"/>
  <c r="AJ30" i="28"/>
  <c r="Y30" i="28" a="1"/>
  <c r="Y30" i="28" s="1"/>
  <c r="X30" i="28" a="1"/>
  <c r="X30" i="28" s="1"/>
  <c r="W30" i="28" a="1"/>
  <c r="W30" i="28" s="1"/>
  <c r="V30" i="28" a="1"/>
  <c r="V30" i="28" s="1"/>
  <c r="U30" i="28" a="1"/>
  <c r="U30" i="28" s="1"/>
  <c r="N30" i="28"/>
  <c r="M30" i="28" a="1"/>
  <c r="M30" i="28" s="1"/>
  <c r="L30" i="28" a="1"/>
  <c r="L30" i="28" s="1"/>
  <c r="K30" i="28" a="1"/>
  <c r="K30" i="28" s="1"/>
  <c r="J30" i="28" a="1"/>
  <c r="J30" i="28" s="1"/>
  <c r="I30" i="28" a="1"/>
  <c r="I30" i="28" s="1"/>
  <c r="B30" i="28"/>
  <c r="CY29" i="28" a="1"/>
  <c r="CY29" i="28" s="1"/>
  <c r="CX29" i="28" a="1"/>
  <c r="CX29" i="28" s="1"/>
  <c r="CW29" i="28" a="1"/>
  <c r="CW29" i="28" s="1"/>
  <c r="CV29" i="28" a="1"/>
  <c r="CV29" i="28" s="1"/>
  <c r="CU29" i="28" a="1"/>
  <c r="CU29" i="28" s="1"/>
  <c r="CN29" i="28"/>
  <c r="CM29" i="28"/>
  <c r="CM29" i="28" a="1"/>
  <c r="CL29" i="28" a="1"/>
  <c r="CL29" i="28" s="1"/>
  <c r="CK29" i="28" a="1"/>
  <c r="CK29" i="28" s="1"/>
  <c r="CJ29" i="28" a="1"/>
  <c r="CJ29" i="28" s="1"/>
  <c r="CI29" i="28"/>
  <c r="CI29" i="28" a="1"/>
  <c r="CB29" i="28"/>
  <c r="BQ29" i="28" a="1"/>
  <c r="BQ29" i="28" s="1"/>
  <c r="BP29" i="28" a="1"/>
  <c r="BP29" i="28" s="1"/>
  <c r="BO29" i="28" a="1"/>
  <c r="BO29" i="28" s="1"/>
  <c r="BN29" i="28" a="1"/>
  <c r="BN29" i="28" s="1"/>
  <c r="BM29" i="28" a="1"/>
  <c r="BM29" i="28" s="1"/>
  <c r="BH29" i="28"/>
  <c r="BG29" i="28" a="1"/>
  <c r="BG29" i="28" s="1"/>
  <c r="BF29" i="28" a="1"/>
  <c r="BF29" i="28" s="1"/>
  <c r="BE29" i="28" a="1"/>
  <c r="BE29" i="28" s="1"/>
  <c r="BD29" i="28" a="1"/>
  <c r="BD29" i="28" s="1"/>
  <c r="BC29" i="28" a="1"/>
  <c r="BC29" i="28" s="1"/>
  <c r="AV29" i="28"/>
  <c r="AU29" i="28" a="1"/>
  <c r="AU29" i="28" s="1"/>
  <c r="AT29" i="28" a="1"/>
  <c r="AT29" i="28" s="1"/>
  <c r="AS29" i="28" a="1"/>
  <c r="AS29" i="28" s="1"/>
  <c r="AR29" i="28" a="1"/>
  <c r="AR29" i="28" s="1"/>
  <c r="AQ29" i="28" a="1"/>
  <c r="AQ29" i="28" s="1"/>
  <c r="AJ29" i="28"/>
  <c r="Y29" i="28" a="1"/>
  <c r="Y29" i="28" s="1"/>
  <c r="X29" i="28" a="1"/>
  <c r="X29" i="28" s="1"/>
  <c r="W29" i="28" a="1"/>
  <c r="W29" i="28" s="1"/>
  <c r="V29" i="28" a="1"/>
  <c r="V29" i="28" s="1"/>
  <c r="U29" i="28" a="1"/>
  <c r="U29" i="28" s="1"/>
  <c r="N29" i="28"/>
  <c r="M29" i="28" a="1"/>
  <c r="M29" i="28" s="1"/>
  <c r="L29" i="28" a="1"/>
  <c r="L29" i="28" s="1"/>
  <c r="K29" i="28" a="1"/>
  <c r="K29" i="28" s="1"/>
  <c r="J29" i="28" a="1"/>
  <c r="J29" i="28" s="1"/>
  <c r="I29" i="28"/>
  <c r="I29" i="28" a="1"/>
  <c r="B29" i="28"/>
  <c r="CY28" i="28" a="1"/>
  <c r="CY28" i="28" s="1"/>
  <c r="CX28" i="28" a="1"/>
  <c r="CX28" i="28" s="1"/>
  <c r="CW28" i="28" a="1"/>
  <c r="CW28" i="28" s="1"/>
  <c r="CV28" i="28" a="1"/>
  <c r="CV28" i="28" s="1"/>
  <c r="CU28" i="28" a="1"/>
  <c r="CU28" i="28" s="1"/>
  <c r="CN28" i="28"/>
  <c r="CM28" i="28" a="1"/>
  <c r="CM28" i="28" s="1"/>
  <c r="CL28" i="28" a="1"/>
  <c r="CL28" i="28" s="1"/>
  <c r="CK28" i="28" a="1"/>
  <c r="CK28" i="28" s="1"/>
  <c r="CJ28" i="28" a="1"/>
  <c r="CJ28" i="28" s="1"/>
  <c r="CI28" i="28" a="1"/>
  <c r="CI28" i="28" s="1"/>
  <c r="CB28" i="28"/>
  <c r="BQ28" i="28" a="1"/>
  <c r="BQ28" i="28" s="1"/>
  <c r="BP28" i="28" a="1"/>
  <c r="BP28" i="28" s="1"/>
  <c r="BO28" i="28" a="1"/>
  <c r="BO28" i="28" s="1"/>
  <c r="BN28" i="28" a="1"/>
  <c r="BN28" i="28" s="1"/>
  <c r="BM28" i="28" a="1"/>
  <c r="BM28" i="28" s="1"/>
  <c r="BH28" i="28"/>
  <c r="BG28" i="28" a="1"/>
  <c r="BG28" i="28" s="1"/>
  <c r="BF28" i="28" a="1"/>
  <c r="BF28" i="28" s="1"/>
  <c r="BE28" i="28" a="1"/>
  <c r="BE28" i="28" s="1"/>
  <c r="BD28" i="28" a="1"/>
  <c r="BD28" i="28" s="1"/>
  <c r="BC28" i="28" a="1"/>
  <c r="BC28" i="28" s="1"/>
  <c r="AV28" i="28"/>
  <c r="AU28" i="28" a="1"/>
  <c r="AU28" i="28" s="1"/>
  <c r="AT28" i="28" a="1"/>
  <c r="AT28" i="28" s="1"/>
  <c r="AS28" i="28" a="1"/>
  <c r="AS28" i="28" s="1"/>
  <c r="AR28" i="28" a="1"/>
  <c r="AR28" i="28" s="1"/>
  <c r="AQ28" i="28" a="1"/>
  <c r="AQ28" i="28" s="1"/>
  <c r="AJ28" i="28"/>
  <c r="Y28" i="28" a="1"/>
  <c r="Y28" i="28" s="1"/>
  <c r="X28" i="28" a="1"/>
  <c r="X28" i="28" s="1"/>
  <c r="W28" i="28" a="1"/>
  <c r="W28" i="28" s="1"/>
  <c r="V28" i="28" a="1"/>
  <c r="V28" i="28" s="1"/>
  <c r="U28" i="28" a="1"/>
  <c r="U28" i="28" s="1"/>
  <c r="N28" i="28"/>
  <c r="M28" i="28" a="1"/>
  <c r="M28" i="28" s="1"/>
  <c r="L28" i="28" a="1"/>
  <c r="L28" i="28" s="1"/>
  <c r="K28" i="28" a="1"/>
  <c r="K28" i="28" s="1"/>
  <c r="J28" i="28" a="1"/>
  <c r="J28" i="28" s="1"/>
  <c r="I28" i="28" a="1"/>
  <c r="I28" i="28" s="1"/>
  <c r="B28" i="28"/>
  <c r="CY27" i="28" a="1"/>
  <c r="CY27" i="28" s="1"/>
  <c r="CX27" i="28" a="1"/>
  <c r="CX27" i="28" s="1"/>
  <c r="CW27" i="28" a="1"/>
  <c r="CW27" i="28" s="1"/>
  <c r="CV27" i="28" a="1"/>
  <c r="CV27" i="28" s="1"/>
  <c r="CU27" i="28" a="1"/>
  <c r="CU27" i="28" s="1"/>
  <c r="CN27" i="28"/>
  <c r="CM27" i="28" a="1"/>
  <c r="CM27" i="28" s="1"/>
  <c r="CL27" i="28" a="1"/>
  <c r="CL27" i="28" s="1"/>
  <c r="CK27" i="28" a="1"/>
  <c r="CK27" i="28" s="1"/>
  <c r="CJ27" i="28" a="1"/>
  <c r="CJ27" i="28" s="1"/>
  <c r="CI27" i="28" a="1"/>
  <c r="CI27" i="28" s="1"/>
  <c r="CB27" i="28"/>
  <c r="BQ27" i="28" a="1"/>
  <c r="BQ27" i="28" s="1"/>
  <c r="BP27" i="28" a="1"/>
  <c r="BP27" i="28" s="1"/>
  <c r="BO27" i="28" a="1"/>
  <c r="BO27" i="28" s="1"/>
  <c r="BN27" i="28" a="1"/>
  <c r="BN27" i="28" s="1"/>
  <c r="BM27" i="28" a="1"/>
  <c r="BM27" i="28" s="1"/>
  <c r="BH27" i="28"/>
  <c r="BG27" i="28" a="1"/>
  <c r="BG27" i="28" s="1"/>
  <c r="BF27" i="28" a="1"/>
  <c r="BF27" i="28" s="1"/>
  <c r="BE27" i="28" a="1"/>
  <c r="BE27" i="28" s="1"/>
  <c r="BD27" i="28" a="1"/>
  <c r="BD27" i="28" s="1"/>
  <c r="BC27" i="28" a="1"/>
  <c r="BC27" i="28" s="1"/>
  <c r="AV27" i="28"/>
  <c r="AU27" i="28" a="1"/>
  <c r="AU27" i="28" s="1"/>
  <c r="AT27" i="28"/>
  <c r="AT27" i="28" a="1"/>
  <c r="AS27" i="28" a="1"/>
  <c r="AS27" i="28" s="1"/>
  <c r="AR27" i="28" a="1"/>
  <c r="AR27" i="28" s="1"/>
  <c r="AQ27" i="28" a="1"/>
  <c r="AQ27" i="28" s="1"/>
  <c r="AJ27" i="28"/>
  <c r="Y27" i="28" a="1"/>
  <c r="Y27" i="28" s="1"/>
  <c r="X27" i="28" a="1"/>
  <c r="X27" i="28" s="1"/>
  <c r="W27" i="28" a="1"/>
  <c r="W27" i="28" s="1"/>
  <c r="V27" i="28" a="1"/>
  <c r="V27" i="28" s="1"/>
  <c r="U27" i="28" a="1"/>
  <c r="U27" i="28" s="1"/>
  <c r="N27" i="28"/>
  <c r="M27" i="28" a="1"/>
  <c r="M27" i="28" s="1"/>
  <c r="L27" i="28" a="1"/>
  <c r="L27" i="28" s="1"/>
  <c r="K27" i="28" a="1"/>
  <c r="K27" i="28" s="1"/>
  <c r="J27" i="28" a="1"/>
  <c r="J27" i="28" s="1"/>
  <c r="I27" i="28" a="1"/>
  <c r="I27" i="28" s="1"/>
  <c r="B27" i="28"/>
  <c r="CY26" i="28" a="1"/>
  <c r="CY26" i="28" s="1"/>
  <c r="CX26" i="28" a="1"/>
  <c r="CX26" i="28" s="1"/>
  <c r="CW26" i="28" a="1"/>
  <c r="CW26" i="28" s="1"/>
  <c r="CV26" i="28" a="1"/>
  <c r="CV26" i="28" s="1"/>
  <c r="CU26" i="28" a="1"/>
  <c r="CU26" i="28" s="1"/>
  <c r="CN26" i="28"/>
  <c r="CM26" i="28" a="1"/>
  <c r="CM26" i="28" s="1"/>
  <c r="CL26" i="28" a="1"/>
  <c r="CL26" i="28" s="1"/>
  <c r="CK26" i="28" a="1"/>
  <c r="CK26" i="28" s="1"/>
  <c r="CJ26" i="28"/>
  <c r="CJ26" i="28" a="1"/>
  <c r="CI26" i="28" a="1"/>
  <c r="CI26" i="28" s="1"/>
  <c r="CB26" i="28"/>
  <c r="BQ26" i="28" a="1"/>
  <c r="BQ26" i="28" s="1"/>
  <c r="BP26" i="28" a="1"/>
  <c r="BP26" i="28" s="1"/>
  <c r="BO26" i="28" a="1"/>
  <c r="BO26" i="28" s="1"/>
  <c r="BN26" i="28" a="1"/>
  <c r="BN26" i="28" s="1"/>
  <c r="BM26" i="28" a="1"/>
  <c r="BM26" i="28" s="1"/>
  <c r="BH26" i="28"/>
  <c r="BG26" i="28"/>
  <c r="BG26" i="28" a="1"/>
  <c r="BF26" i="28" a="1"/>
  <c r="BF26" i="28" s="1"/>
  <c r="BE26" i="28" a="1"/>
  <c r="BE26" i="28" s="1"/>
  <c r="BD26" i="28" a="1"/>
  <c r="BD26" i="28" s="1"/>
  <c r="BC26" i="28" a="1"/>
  <c r="BC26" i="28" s="1"/>
  <c r="AV26" i="28"/>
  <c r="AU26" i="28" a="1"/>
  <c r="AU26" i="28" s="1"/>
  <c r="AT26" i="28"/>
  <c r="AT26" i="28" a="1"/>
  <c r="AS26" i="28" a="1"/>
  <c r="AS26" i="28" s="1"/>
  <c r="AR26" i="28" a="1"/>
  <c r="AR26" i="28" s="1"/>
  <c r="AQ26" i="28" a="1"/>
  <c r="AQ26" i="28" s="1"/>
  <c r="AJ26" i="28"/>
  <c r="Y26" i="28" a="1"/>
  <c r="Y26" i="28" s="1"/>
  <c r="X26" i="28" a="1"/>
  <c r="X26" i="28" s="1"/>
  <c r="W26" i="28" a="1"/>
  <c r="W26" i="28" s="1"/>
  <c r="V26" i="28" a="1"/>
  <c r="V26" i="28" s="1"/>
  <c r="U26" i="28" a="1"/>
  <c r="U26" i="28" s="1"/>
  <c r="N26" i="28"/>
  <c r="M26" i="28" a="1"/>
  <c r="M26" i="28" s="1"/>
  <c r="L26" i="28"/>
  <c r="L26" i="28" a="1"/>
  <c r="K26" i="28"/>
  <c r="K26" i="28" a="1"/>
  <c r="J26" i="28" a="1"/>
  <c r="J26" i="28" s="1"/>
  <c r="I26" i="28" a="1"/>
  <c r="I26" i="28" s="1"/>
  <c r="B26" i="28"/>
  <c r="CY25" i="28" a="1"/>
  <c r="CY25" i="28" s="1"/>
  <c r="CX25" i="28"/>
  <c r="CX25" i="28" a="1"/>
  <c r="CW25" i="28" a="1"/>
  <c r="CW25" i="28" s="1"/>
  <c r="CV25" i="28" a="1"/>
  <c r="CV25" i="28" s="1"/>
  <c r="CU25" i="28" a="1"/>
  <c r="CU25" i="28" s="1"/>
  <c r="CN25" i="28"/>
  <c r="CM25" i="28" a="1"/>
  <c r="CM25" i="28" s="1"/>
  <c r="CL25" i="28" a="1"/>
  <c r="CL25" i="28" s="1"/>
  <c r="CK25" i="28" a="1"/>
  <c r="CK25" i="28" s="1"/>
  <c r="CJ25" i="28" a="1"/>
  <c r="CJ25" i="28" s="1"/>
  <c r="CI25" i="28" a="1"/>
  <c r="CI25" i="28" s="1"/>
  <c r="CB25" i="28"/>
  <c r="BQ25" i="28" a="1"/>
  <c r="BQ25" i="28" s="1"/>
  <c r="BP25" i="28" a="1"/>
  <c r="BP25" i="28" s="1"/>
  <c r="BO25" i="28" a="1"/>
  <c r="BO25" i="28" s="1"/>
  <c r="BN25" i="28" a="1"/>
  <c r="BN25" i="28" s="1"/>
  <c r="BM25" i="28" a="1"/>
  <c r="BM25" i="28" s="1"/>
  <c r="BH25" i="28"/>
  <c r="BG25" i="28" a="1"/>
  <c r="BG25" i="28" s="1"/>
  <c r="BF25" i="28" a="1"/>
  <c r="BF25" i="28" s="1"/>
  <c r="BE25" i="28" a="1"/>
  <c r="BE25" i="28" s="1"/>
  <c r="BD25" i="28" a="1"/>
  <c r="BD25" i="28" s="1"/>
  <c r="BC25" i="28" a="1"/>
  <c r="BC25" i="28" s="1"/>
  <c r="AV25" i="28"/>
  <c r="AU25" i="28" a="1"/>
  <c r="AU25" i="28" s="1"/>
  <c r="AT25" i="28" a="1"/>
  <c r="AT25" i="28" s="1"/>
  <c r="AS25" i="28" a="1"/>
  <c r="AS25" i="28" s="1"/>
  <c r="AR25" i="28" a="1"/>
  <c r="AR25" i="28" s="1"/>
  <c r="AQ25" i="28" a="1"/>
  <c r="AQ25" i="28" s="1"/>
  <c r="AJ25" i="28"/>
  <c r="Y25" i="28" a="1"/>
  <c r="Y25" i="28" s="1"/>
  <c r="X25" i="28"/>
  <c r="X25" i="28" a="1"/>
  <c r="W25" i="28" a="1"/>
  <c r="W25" i="28" s="1"/>
  <c r="V25" i="28" a="1"/>
  <c r="V25" i="28" s="1"/>
  <c r="U25" i="28" a="1"/>
  <c r="U25" i="28" s="1"/>
  <c r="N25" i="28"/>
  <c r="M25" i="28" a="1"/>
  <c r="M25" i="28" s="1"/>
  <c r="L25" i="28" a="1"/>
  <c r="L25" i="28" s="1"/>
  <c r="K25" i="28" a="1"/>
  <c r="K25" i="28" s="1"/>
  <c r="J25" i="28" a="1"/>
  <c r="J25" i="28" s="1"/>
  <c r="I25" i="28" a="1"/>
  <c r="I25" i="28" s="1"/>
  <c r="B25" i="28"/>
  <c r="CY24" i="28" a="1"/>
  <c r="CY24" i="28" s="1"/>
  <c r="CX24" i="28" a="1"/>
  <c r="CX24" i="28" s="1"/>
  <c r="CW24" i="28" a="1"/>
  <c r="CW24" i="28" s="1"/>
  <c r="CV24" i="28" a="1"/>
  <c r="CV24" i="28" s="1"/>
  <c r="CU24" i="28" a="1"/>
  <c r="CU24" i="28" s="1"/>
  <c r="CN24" i="28"/>
  <c r="CM24" i="28" a="1"/>
  <c r="CM24" i="28" s="1"/>
  <c r="CL24" i="28" a="1"/>
  <c r="CL24" i="28" s="1"/>
  <c r="CK24" i="28" a="1"/>
  <c r="CK24" i="28" s="1"/>
  <c r="CJ24" i="28" a="1"/>
  <c r="CJ24" i="28" s="1"/>
  <c r="CI24" i="28" a="1"/>
  <c r="CI24" i="28" s="1"/>
  <c r="CB24" i="28"/>
  <c r="BQ24" i="28" a="1"/>
  <c r="BQ24" i="28" s="1"/>
  <c r="BP24" i="28" a="1"/>
  <c r="BP24" i="28" s="1"/>
  <c r="BO24" i="28" a="1"/>
  <c r="BO24" i="28" s="1"/>
  <c r="BN24" i="28" a="1"/>
  <c r="BN24" i="28" s="1"/>
  <c r="BM24" i="28" a="1"/>
  <c r="BM24" i="28" s="1"/>
  <c r="BH24" i="28"/>
  <c r="BG24" i="28" a="1"/>
  <c r="BG24" i="28" s="1"/>
  <c r="BF24" i="28" a="1"/>
  <c r="BF24" i="28" s="1"/>
  <c r="BE24" i="28" a="1"/>
  <c r="BE24" i="28" s="1"/>
  <c r="BD24" i="28" a="1"/>
  <c r="BD24" i="28" s="1"/>
  <c r="BC24" i="28" a="1"/>
  <c r="BC24" i="28" s="1"/>
  <c r="AV24" i="28"/>
  <c r="AU24" i="28" a="1"/>
  <c r="AU24" i="28" s="1"/>
  <c r="AT24" i="28" a="1"/>
  <c r="AT24" i="28" s="1"/>
  <c r="AS24" i="28" a="1"/>
  <c r="AS24" i="28" s="1"/>
  <c r="AR24" i="28" a="1"/>
  <c r="AR24" i="28" s="1"/>
  <c r="AQ24" i="28" a="1"/>
  <c r="AQ24" i="28" s="1"/>
  <c r="AJ24" i="28"/>
  <c r="Y24" i="28" a="1"/>
  <c r="Y24" i="28" s="1"/>
  <c r="X24" i="28" a="1"/>
  <c r="X24" i="28" s="1"/>
  <c r="W24" i="28"/>
  <c r="W24" i="28" a="1"/>
  <c r="V24" i="28" a="1"/>
  <c r="V24" i="28" s="1"/>
  <c r="U24" i="28" a="1"/>
  <c r="U24" i="28" s="1"/>
  <c r="N24" i="28"/>
  <c r="M24" i="28" a="1"/>
  <c r="M24" i="28" s="1"/>
  <c r="L24" i="28" a="1"/>
  <c r="L24" i="28" s="1"/>
  <c r="K24" i="28" a="1"/>
  <c r="K24" i="28" s="1"/>
  <c r="J24" i="28" a="1"/>
  <c r="J24" i="28" s="1"/>
  <c r="I24" i="28" a="1"/>
  <c r="I24" i="28" s="1"/>
  <c r="B24" i="28"/>
  <c r="CY23" i="28"/>
  <c r="CY23" i="28" a="1"/>
  <c r="CX23" i="28" a="1"/>
  <c r="CX23" i="28" s="1"/>
  <c r="CW23" i="28" a="1"/>
  <c r="CW23" i="28" s="1"/>
  <c r="CV23" i="28"/>
  <c r="CV23" i="28" a="1"/>
  <c r="CU23" i="28" a="1"/>
  <c r="CU23" i="28" s="1"/>
  <c r="CN23" i="28"/>
  <c r="CM23" i="28" a="1"/>
  <c r="CM23" i="28" s="1"/>
  <c r="CL23" i="28" a="1"/>
  <c r="CL23" i="28" s="1"/>
  <c r="CK23" i="28" a="1"/>
  <c r="CK23" i="28" s="1"/>
  <c r="CJ23" i="28" a="1"/>
  <c r="CJ23" i="28" s="1"/>
  <c r="CI23" i="28" a="1"/>
  <c r="CI23" i="28" s="1"/>
  <c r="CB23" i="28"/>
  <c r="BQ23" i="28" a="1"/>
  <c r="BQ23" i="28" s="1"/>
  <c r="BP23" i="28" a="1"/>
  <c r="BP23" i="28" s="1"/>
  <c r="BO23" i="28" a="1"/>
  <c r="BO23" i="28" s="1"/>
  <c r="BN23" i="28" a="1"/>
  <c r="BN23" i="28" s="1"/>
  <c r="BM23" i="28" a="1"/>
  <c r="BM23" i="28" s="1"/>
  <c r="BH23" i="28"/>
  <c r="BG23" i="28" a="1"/>
  <c r="BG23" i="28" s="1"/>
  <c r="BF23" i="28" a="1"/>
  <c r="BF23" i="28" s="1"/>
  <c r="BE23" i="28" a="1"/>
  <c r="BE23" i="28" s="1"/>
  <c r="BD23" i="28" a="1"/>
  <c r="BD23" i="28" s="1"/>
  <c r="BC23" i="28" a="1"/>
  <c r="BC23" i="28" s="1"/>
  <c r="AV23" i="28"/>
  <c r="AU23" i="28" a="1"/>
  <c r="AU23" i="28" s="1"/>
  <c r="AT23" i="28" a="1"/>
  <c r="AT23" i="28" s="1"/>
  <c r="AS23" i="28" a="1"/>
  <c r="AS23" i="28" s="1"/>
  <c r="AR23" i="28"/>
  <c r="AR23" i="28" a="1"/>
  <c r="AQ23" i="28" a="1"/>
  <c r="AQ23" i="28" s="1"/>
  <c r="AJ23" i="28"/>
  <c r="Y23" i="28" a="1"/>
  <c r="Y23" i="28" s="1"/>
  <c r="X23" i="28" a="1"/>
  <c r="X23" i="28" s="1"/>
  <c r="W23" i="28" a="1"/>
  <c r="W23" i="28" s="1"/>
  <c r="V23" i="28" a="1"/>
  <c r="V23" i="28" s="1"/>
  <c r="U23" i="28" a="1"/>
  <c r="U23" i="28" s="1"/>
  <c r="N23" i="28"/>
  <c r="M23" i="28" a="1"/>
  <c r="M23" i="28" s="1"/>
  <c r="L23" i="28" a="1"/>
  <c r="L23" i="28" s="1"/>
  <c r="K23" i="28" a="1"/>
  <c r="K23" i="28" s="1"/>
  <c r="J23" i="28" a="1"/>
  <c r="J23" i="28" s="1"/>
  <c r="I23" i="28" a="1"/>
  <c r="I23" i="28" s="1"/>
  <c r="B23" i="28"/>
  <c r="CY22" i="28" a="1"/>
  <c r="CY22" i="28" s="1"/>
  <c r="CX22" i="28" a="1"/>
  <c r="CX22" i="28" s="1"/>
  <c r="CW22" i="28"/>
  <c r="CW22" i="28" a="1"/>
  <c r="CV22" i="28" a="1"/>
  <c r="CV22" i="28" s="1"/>
  <c r="CU22" i="28" a="1"/>
  <c r="CU22" i="28" s="1"/>
  <c r="CN22" i="28"/>
  <c r="CM22" i="28" a="1"/>
  <c r="CM22" i="28" s="1"/>
  <c r="CL22" i="28"/>
  <c r="CL22" i="28" a="1"/>
  <c r="CK22" i="28" a="1"/>
  <c r="CK22" i="28" s="1"/>
  <c r="CJ22" i="28" a="1"/>
  <c r="CJ22" i="28" s="1"/>
  <c r="CI22" i="28" a="1"/>
  <c r="CI22" i="28" s="1"/>
  <c r="CB22" i="28"/>
  <c r="BQ22" i="28" a="1"/>
  <c r="BQ22" i="28" s="1"/>
  <c r="BP22" i="28" a="1"/>
  <c r="BP22" i="28" s="1"/>
  <c r="BO22" i="28" a="1"/>
  <c r="BO22" i="28" s="1"/>
  <c r="BN22" i="28" a="1"/>
  <c r="BN22" i="28" s="1"/>
  <c r="BM22" i="28" a="1"/>
  <c r="BM22" i="28" s="1"/>
  <c r="BH22" i="28"/>
  <c r="BG22" i="28" a="1"/>
  <c r="BG22" i="28" s="1"/>
  <c r="BF22" i="28" a="1"/>
  <c r="BF22" i="28" s="1"/>
  <c r="BE22" i="28" a="1"/>
  <c r="BE22" i="28" s="1"/>
  <c r="BD22" i="28" a="1"/>
  <c r="BD22" i="28" s="1"/>
  <c r="BC22" i="28"/>
  <c r="BC22" i="28" a="1"/>
  <c r="AV22" i="28"/>
  <c r="AU22" i="28" a="1"/>
  <c r="AU22" i="28" s="1"/>
  <c r="AT22" i="28" a="1"/>
  <c r="AT22" i="28" s="1"/>
  <c r="AS22" i="28" a="1"/>
  <c r="AS22" i="28" s="1"/>
  <c r="AR22" i="28" a="1"/>
  <c r="AR22" i="28" s="1"/>
  <c r="AQ22" i="28" a="1"/>
  <c r="AQ22" i="28" s="1"/>
  <c r="AJ22" i="28"/>
  <c r="Y22" i="28" a="1"/>
  <c r="Y22" i="28" s="1"/>
  <c r="X22" i="28" a="1"/>
  <c r="X22" i="28" s="1"/>
  <c r="W22" i="28" a="1"/>
  <c r="W22" i="28" s="1"/>
  <c r="V22" i="28"/>
  <c r="V22" i="28" a="1"/>
  <c r="U22" i="28" a="1"/>
  <c r="U22" i="28" s="1"/>
  <c r="N22" i="28"/>
  <c r="M22" i="28" a="1"/>
  <c r="M22" i="28" s="1"/>
  <c r="L22" i="28" a="1"/>
  <c r="L22" i="28" s="1"/>
  <c r="K22" i="28" a="1"/>
  <c r="K22" i="28" s="1"/>
  <c r="J22" i="28" a="1"/>
  <c r="J22" i="28" s="1"/>
  <c r="I22" i="28"/>
  <c r="I22" i="28" a="1"/>
  <c r="B22" i="28"/>
  <c r="CY21" i="28" a="1"/>
  <c r="CY21" i="28" s="1"/>
  <c r="CX21" i="28" a="1"/>
  <c r="CX21" i="28" s="1"/>
  <c r="CW21" i="28" a="1"/>
  <c r="CW21" i="28" s="1"/>
  <c r="CV21" i="28" a="1"/>
  <c r="CV21" i="28" s="1"/>
  <c r="CU21" i="28" a="1"/>
  <c r="CU21" i="28" s="1"/>
  <c r="CN21" i="28"/>
  <c r="CM21" i="28" a="1"/>
  <c r="CM21" i="28" s="1"/>
  <c r="CL21" i="28" a="1"/>
  <c r="CL21" i="28" s="1"/>
  <c r="CK21" i="28" a="1"/>
  <c r="CK21" i="28" s="1"/>
  <c r="CJ21" i="28"/>
  <c r="CJ21" i="28" a="1"/>
  <c r="CI21" i="28" a="1"/>
  <c r="CI21" i="28" s="1"/>
  <c r="CB21" i="28"/>
  <c r="BQ21" i="28" a="1"/>
  <c r="BQ21" i="28" s="1"/>
  <c r="BP21" i="28" a="1"/>
  <c r="BP21" i="28" s="1"/>
  <c r="BO21" i="28" a="1"/>
  <c r="BO21" i="28" s="1"/>
  <c r="BN21" i="28" a="1"/>
  <c r="BN21" i="28" s="1"/>
  <c r="BM21" i="28" a="1"/>
  <c r="BM21" i="28" s="1"/>
  <c r="BH21" i="28"/>
  <c r="BG21" i="28"/>
  <c r="BG21" i="28" a="1"/>
  <c r="BF21" i="28" a="1"/>
  <c r="BF21" i="28" s="1"/>
  <c r="BE21" i="28" a="1"/>
  <c r="BE21" i="28" s="1"/>
  <c r="BD21" i="28" a="1"/>
  <c r="BD21" i="28" s="1"/>
  <c r="BC21" i="28" a="1"/>
  <c r="BC21" i="28" s="1"/>
  <c r="AV21" i="28"/>
  <c r="AU21" i="28" a="1"/>
  <c r="AU21" i="28" s="1"/>
  <c r="AT21" i="28" a="1"/>
  <c r="AT21" i="28" s="1"/>
  <c r="AS21" i="28" a="1"/>
  <c r="AS21" i="28" s="1"/>
  <c r="AR21" i="28" a="1"/>
  <c r="AR21" i="28" s="1"/>
  <c r="AQ21" i="28" a="1"/>
  <c r="AQ21" i="28" s="1"/>
  <c r="AJ21" i="28"/>
  <c r="Y21" i="28" a="1"/>
  <c r="Y21" i="28" s="1"/>
  <c r="X21" i="28" a="1"/>
  <c r="X21" i="28" s="1"/>
  <c r="W21" i="28" a="1"/>
  <c r="W21" i="28" s="1"/>
  <c r="V21" i="28" a="1"/>
  <c r="V21" i="28" s="1"/>
  <c r="U21" i="28" a="1"/>
  <c r="U21" i="28" s="1"/>
  <c r="N21" i="28"/>
  <c r="M21" i="28" a="1"/>
  <c r="M21" i="28" s="1"/>
  <c r="L21" i="28" a="1"/>
  <c r="L21" i="28" s="1"/>
  <c r="K21" i="28"/>
  <c r="K21" i="28" a="1"/>
  <c r="J21" i="28" a="1"/>
  <c r="J21" i="28" s="1"/>
  <c r="I21" i="28" a="1"/>
  <c r="I21" i="28" s="1"/>
  <c r="B21" i="28"/>
  <c r="CY20" i="28" a="1"/>
  <c r="CY20" i="28" s="1"/>
  <c r="CX20" i="28" a="1"/>
  <c r="CX20" i="28" s="1"/>
  <c r="CW20" i="28"/>
  <c r="CW20" i="28" a="1"/>
  <c r="CV20" i="28" a="1"/>
  <c r="CV20" i="28" s="1"/>
  <c r="CU20" i="28" a="1"/>
  <c r="CU20" i="28" s="1"/>
  <c r="CN20" i="28"/>
  <c r="CM20" i="28" a="1"/>
  <c r="CM20" i="28" s="1"/>
  <c r="CL20" i="28"/>
  <c r="CL20" i="28" a="1"/>
  <c r="CK20" i="28" a="1"/>
  <c r="CK20" i="28" s="1"/>
  <c r="CJ20" i="28"/>
  <c r="CJ20" i="28" a="1"/>
  <c r="CI20" i="28" a="1"/>
  <c r="CI20" i="28" s="1"/>
  <c r="CB20" i="28"/>
  <c r="BQ20" i="28" a="1"/>
  <c r="BQ20" i="28" s="1"/>
  <c r="BP20" i="28" a="1"/>
  <c r="BP20" i="28" s="1"/>
  <c r="BO20" i="28" a="1"/>
  <c r="BO20" i="28" s="1"/>
  <c r="BN20" i="28"/>
  <c r="BN20" i="28" a="1"/>
  <c r="BM20" i="28" a="1"/>
  <c r="BM20" i="28" s="1"/>
  <c r="BH20" i="28"/>
  <c r="BG20" i="28" a="1"/>
  <c r="BG20" i="28" s="1"/>
  <c r="BF20" i="28" a="1"/>
  <c r="BF20" i="28" s="1"/>
  <c r="BE20" i="28" a="1"/>
  <c r="BE20" i="28" s="1"/>
  <c r="BD20" i="28" a="1"/>
  <c r="BD20" i="28" s="1"/>
  <c r="BC20" i="28"/>
  <c r="BC20" i="28" a="1"/>
  <c r="AV20" i="28"/>
  <c r="AU20" i="28" a="1"/>
  <c r="AU20" i="28" s="1"/>
  <c r="AT20" i="28" a="1"/>
  <c r="AT20" i="28" s="1"/>
  <c r="AS20" i="28" a="1"/>
  <c r="AS20" i="28" s="1"/>
  <c r="AR20" i="28"/>
  <c r="AR20" i="28" a="1"/>
  <c r="AQ20" i="28" a="1"/>
  <c r="AQ20" i="28" s="1"/>
  <c r="AJ20" i="28"/>
  <c r="Y20" i="28" a="1"/>
  <c r="Y20" i="28" s="1"/>
  <c r="X20" i="28" a="1"/>
  <c r="X20" i="28" s="1"/>
  <c r="W20" i="28" a="1"/>
  <c r="W20" i="28" s="1"/>
  <c r="V20" i="28" a="1"/>
  <c r="V20" i="28" s="1"/>
  <c r="U20" i="28" a="1"/>
  <c r="U20" i="28" s="1"/>
  <c r="N20" i="28"/>
  <c r="M20" i="28"/>
  <c r="M20" i="28" a="1"/>
  <c r="L20" i="28" a="1"/>
  <c r="L20" i="28" s="1"/>
  <c r="K20" i="28" a="1"/>
  <c r="K20" i="28" s="1"/>
  <c r="J20" i="28" a="1"/>
  <c r="J20" i="28" s="1"/>
  <c r="I20" i="28"/>
  <c r="I20" i="28" a="1"/>
  <c r="B20" i="28"/>
  <c r="CY19" i="28" a="1"/>
  <c r="CY19" i="28" s="1"/>
  <c r="CX19" i="28" a="1"/>
  <c r="CX19" i="28" s="1"/>
  <c r="CW19" i="28" a="1"/>
  <c r="CW19" i="28" s="1"/>
  <c r="CV19" i="28" a="1"/>
  <c r="CV19" i="28" s="1"/>
  <c r="CU19" i="28" a="1"/>
  <c r="CU19" i="28" s="1"/>
  <c r="CN19" i="28"/>
  <c r="CM19" i="28" a="1"/>
  <c r="CM19" i="28" s="1"/>
  <c r="CL19" i="28" a="1"/>
  <c r="CL19" i="28" s="1"/>
  <c r="CK19" i="28" a="1"/>
  <c r="CK19" i="28" s="1"/>
  <c r="CJ19" i="28" a="1"/>
  <c r="CJ19" i="28" s="1"/>
  <c r="CI19" i="28" a="1"/>
  <c r="CI19" i="28" s="1"/>
  <c r="CB19" i="28"/>
  <c r="BQ19" i="28" a="1"/>
  <c r="BQ19" i="28" s="1"/>
  <c r="BP19" i="28" a="1"/>
  <c r="BP19" i="28" s="1"/>
  <c r="BO19" i="28" a="1"/>
  <c r="BO19" i="28" s="1"/>
  <c r="BN19" i="28" a="1"/>
  <c r="BN19" i="28" s="1"/>
  <c r="BM19" i="28" a="1"/>
  <c r="BM19" i="28" s="1"/>
  <c r="BH19" i="28"/>
  <c r="BG19" i="28" a="1"/>
  <c r="BG19" i="28" s="1"/>
  <c r="BF19" i="28" a="1"/>
  <c r="BF19" i="28" s="1"/>
  <c r="BE19" i="28" a="1"/>
  <c r="BE19" i="28" s="1"/>
  <c r="BD19" i="28" a="1"/>
  <c r="BD19" i="28" s="1"/>
  <c r="BC19" i="28" a="1"/>
  <c r="BC19" i="28" s="1"/>
  <c r="AV19" i="28"/>
  <c r="AU19" i="28" a="1"/>
  <c r="AU19" i="28" s="1"/>
  <c r="AT19" i="28" a="1"/>
  <c r="AT19" i="28" s="1"/>
  <c r="AS19" i="28" a="1"/>
  <c r="AS19" i="28" s="1"/>
  <c r="AR19" i="28"/>
  <c r="AR19" i="28" a="1"/>
  <c r="AQ19" i="28" a="1"/>
  <c r="AQ19" i="28" s="1"/>
  <c r="AJ19" i="28"/>
  <c r="Y19" i="28" a="1"/>
  <c r="Y19" i="28" s="1"/>
  <c r="X19" i="28" a="1"/>
  <c r="X19" i="28" s="1"/>
  <c r="W19" i="28" a="1"/>
  <c r="W19" i="28" s="1"/>
  <c r="V19" i="28" a="1"/>
  <c r="V19" i="28" s="1"/>
  <c r="U19" i="28" a="1"/>
  <c r="U19" i="28" s="1"/>
  <c r="N19" i="28"/>
  <c r="M19" i="28"/>
  <c r="M19" i="28" a="1"/>
  <c r="L19" i="28" a="1"/>
  <c r="L19" i="28" s="1"/>
  <c r="K19" i="28" a="1"/>
  <c r="K19" i="28" s="1"/>
  <c r="J19" i="28" a="1"/>
  <c r="J19" i="28" s="1"/>
  <c r="I19" i="28" a="1"/>
  <c r="I19" i="28" s="1"/>
  <c r="B19" i="28"/>
  <c r="CY18" i="28" a="1"/>
  <c r="CY18" i="28" s="1"/>
  <c r="CX18" i="28" a="1"/>
  <c r="CX18" i="28" s="1"/>
  <c r="CW18" i="28" a="1"/>
  <c r="CW18" i="28" s="1"/>
  <c r="CV18" i="28" a="1"/>
  <c r="CV18" i="28" s="1"/>
  <c r="CU18" i="28" a="1"/>
  <c r="CU18" i="28" s="1"/>
  <c r="CN18" i="28"/>
  <c r="CN8" i="28" s="1"/>
  <c r="CM18" i="28" a="1"/>
  <c r="CM18" i="28" s="1"/>
  <c r="CL18" i="28" a="1"/>
  <c r="CL18" i="28" s="1"/>
  <c r="CK18" i="28" a="1"/>
  <c r="CK18" i="28" s="1"/>
  <c r="CJ18" i="28" a="1"/>
  <c r="CJ18" i="28" s="1"/>
  <c r="CI18" i="28" a="1"/>
  <c r="CI18" i="28" s="1"/>
  <c r="CB18" i="28"/>
  <c r="BQ18" i="28" a="1"/>
  <c r="BQ18" i="28" s="1"/>
  <c r="BP18" i="28" a="1"/>
  <c r="BP18" i="28" s="1"/>
  <c r="BO18" i="28" a="1"/>
  <c r="BO18" i="28" s="1"/>
  <c r="BN18" i="28" a="1"/>
  <c r="BN18" i="28" s="1"/>
  <c r="BM18" i="28" a="1"/>
  <c r="BM18" i="28" s="1"/>
  <c r="BH18" i="28"/>
  <c r="BG18" i="28" a="1"/>
  <c r="BG18" i="28" s="1"/>
  <c r="BF18" i="28" a="1"/>
  <c r="BF18" i="28" s="1"/>
  <c r="BE18" i="28" a="1"/>
  <c r="BE18" i="28" s="1"/>
  <c r="BD18" i="28" a="1"/>
  <c r="BD18" i="28" s="1"/>
  <c r="BC18" i="28" a="1"/>
  <c r="BC18" i="28" s="1"/>
  <c r="AV18" i="28"/>
  <c r="AU18" i="28" a="1"/>
  <c r="AU18" i="28" s="1"/>
  <c r="AT18" i="28" a="1"/>
  <c r="AT18" i="28" s="1"/>
  <c r="AS18" i="28" a="1"/>
  <c r="AS18" i="28" s="1"/>
  <c r="AR18" i="28" a="1"/>
  <c r="AR18" i="28" s="1"/>
  <c r="AQ18" i="28" a="1"/>
  <c r="AQ18" i="28" s="1"/>
  <c r="AJ18" i="28"/>
  <c r="Y18" i="28" a="1"/>
  <c r="Y18" i="28" s="1"/>
  <c r="X18" i="28" a="1"/>
  <c r="X18" i="28" s="1"/>
  <c r="W18" i="28" a="1"/>
  <c r="W18" i="28" s="1"/>
  <c r="V18" i="28" a="1"/>
  <c r="V18" i="28" s="1"/>
  <c r="U18" i="28" a="1"/>
  <c r="U18" i="28" s="1"/>
  <c r="N18" i="28"/>
  <c r="N8" i="28" s="1"/>
  <c r="M18" i="28" a="1"/>
  <c r="M18" i="28" s="1"/>
  <c r="L18" i="28" a="1"/>
  <c r="L18" i="28" s="1"/>
  <c r="K18" i="28" a="1"/>
  <c r="K18" i="28" s="1"/>
  <c r="J18" i="28" a="1"/>
  <c r="J18" i="28" s="1"/>
  <c r="I18" i="28" a="1"/>
  <c r="I18" i="28" s="1"/>
  <c r="B18" i="28"/>
  <c r="CY17" i="28" a="1"/>
  <c r="CY17" i="28" s="1"/>
  <c r="CX17" i="28" a="1"/>
  <c r="CX17" i="28" s="1"/>
  <c r="CW17" i="28" a="1"/>
  <c r="CW17" i="28" s="1"/>
  <c r="CV17" i="28" a="1"/>
  <c r="CV17" i="28" s="1"/>
  <c r="CU17" i="28" a="1"/>
  <c r="CU17" i="28" s="1"/>
  <c r="CN17" i="28"/>
  <c r="CM17" i="28" a="1"/>
  <c r="CM17" i="28" s="1"/>
  <c r="CL17" i="28" a="1"/>
  <c r="CL17" i="28" s="1"/>
  <c r="CK17" i="28" a="1"/>
  <c r="CK17" i="28" s="1"/>
  <c r="CJ17" i="28"/>
  <c r="CJ17" i="28" a="1"/>
  <c r="CI17" i="28" a="1"/>
  <c r="CI17" i="28" s="1"/>
  <c r="CB17" i="28"/>
  <c r="BQ17" i="28" a="1"/>
  <c r="BQ17" i="28" s="1"/>
  <c r="BP17" i="28" a="1"/>
  <c r="BP17" i="28" s="1"/>
  <c r="BO17" i="28" a="1"/>
  <c r="BO17" i="28" s="1"/>
  <c r="BN17" i="28" a="1"/>
  <c r="BN17" i="28" s="1"/>
  <c r="BM17" i="28" a="1"/>
  <c r="BM17" i="28" s="1"/>
  <c r="BH17" i="28"/>
  <c r="BG17" i="28"/>
  <c r="BG17" i="28" a="1"/>
  <c r="BF17" i="28" a="1"/>
  <c r="BF17" i="28" s="1"/>
  <c r="BE17" i="28" a="1"/>
  <c r="BE17" i="28" s="1"/>
  <c r="BD17" i="28" a="1"/>
  <c r="BD17" i="28" s="1"/>
  <c r="BC17" i="28" a="1"/>
  <c r="BC17" i="28" s="1"/>
  <c r="AV17" i="28"/>
  <c r="AU17" i="28" a="1"/>
  <c r="AU17" i="28" s="1"/>
  <c r="AT17" i="28"/>
  <c r="AT17" i="28" a="1"/>
  <c r="AS17" i="28" a="1"/>
  <c r="AS17" i="28" s="1"/>
  <c r="AR17" i="28" a="1"/>
  <c r="AR17" i="28" s="1"/>
  <c r="AQ17" i="28" a="1"/>
  <c r="AQ17" i="28" s="1"/>
  <c r="AJ17" i="28"/>
  <c r="Y17" i="28" a="1"/>
  <c r="Y17" i="28" s="1"/>
  <c r="X17" i="28" a="1"/>
  <c r="X17" i="28" s="1"/>
  <c r="W17" i="28" a="1"/>
  <c r="W17" i="28" s="1"/>
  <c r="V17" i="28" a="1"/>
  <c r="V17" i="28" s="1"/>
  <c r="U17" i="28" a="1"/>
  <c r="U17" i="28" s="1"/>
  <c r="N17" i="28"/>
  <c r="M17" i="28" a="1"/>
  <c r="M17" i="28" s="1"/>
  <c r="L17" i="28" a="1"/>
  <c r="L17" i="28" s="1"/>
  <c r="K17" i="28"/>
  <c r="K17" i="28" a="1"/>
  <c r="J17" i="28" a="1"/>
  <c r="J17" i="28" s="1"/>
  <c r="I17" i="28" a="1"/>
  <c r="I17" i="28" s="1"/>
  <c r="B17" i="28"/>
  <c r="CY16" i="28" a="1"/>
  <c r="CY16" i="28" s="1"/>
  <c r="CX16" i="28" a="1"/>
  <c r="CX16" i="28" s="1"/>
  <c r="CW16" i="28" a="1"/>
  <c r="CW16" i="28" s="1"/>
  <c r="CV16" i="28" a="1"/>
  <c r="CV16" i="28" s="1"/>
  <c r="CU16" i="28" a="1"/>
  <c r="CU16" i="28" s="1"/>
  <c r="CN16" i="28"/>
  <c r="CM16" i="28" a="1"/>
  <c r="CM16" i="28" s="1"/>
  <c r="CL16" i="28" a="1"/>
  <c r="CL16" i="28" s="1"/>
  <c r="CK16" i="28" a="1"/>
  <c r="CK16" i="28" s="1"/>
  <c r="CJ16" i="28"/>
  <c r="CJ16" i="28" a="1"/>
  <c r="CI16" i="28" a="1"/>
  <c r="CI16" i="28" s="1"/>
  <c r="CB16" i="28"/>
  <c r="BQ16" i="28" a="1"/>
  <c r="BQ16" i="28" s="1"/>
  <c r="BP16" i="28" a="1"/>
  <c r="BP16" i="28" s="1"/>
  <c r="BO16" i="28" a="1"/>
  <c r="BO16" i="28" s="1"/>
  <c r="BN16" i="28" a="1"/>
  <c r="BN16" i="28" s="1"/>
  <c r="BM16" i="28" a="1"/>
  <c r="BM16" i="28" s="1"/>
  <c r="BH16" i="28"/>
  <c r="BG16" i="28" a="1"/>
  <c r="BG16" i="28" s="1"/>
  <c r="BF16" i="28" a="1"/>
  <c r="BF16" i="28" s="1"/>
  <c r="BE16" i="28" a="1"/>
  <c r="BE16" i="28" s="1"/>
  <c r="BD16" i="28" a="1"/>
  <c r="BD16" i="28" s="1"/>
  <c r="BC16" i="28" a="1"/>
  <c r="BC16" i="28" s="1"/>
  <c r="AV16" i="28"/>
  <c r="AU16" i="28" a="1"/>
  <c r="AU16" i="28" s="1"/>
  <c r="AT16" i="28" a="1"/>
  <c r="AT16" i="28" s="1"/>
  <c r="AS16" i="28" a="1"/>
  <c r="AS16" i="28" s="1"/>
  <c r="AR16" i="28" a="1"/>
  <c r="AR16" i="28" s="1"/>
  <c r="AQ16" i="28" a="1"/>
  <c r="AQ16" i="28" s="1"/>
  <c r="AJ16" i="28"/>
  <c r="Y16" i="28" a="1"/>
  <c r="Y16" i="28" s="1"/>
  <c r="X16" i="28" a="1"/>
  <c r="X16" i="28" s="1"/>
  <c r="W16" i="28" a="1"/>
  <c r="W16" i="28" s="1"/>
  <c r="V16" i="28" a="1"/>
  <c r="V16" i="28" s="1"/>
  <c r="U16" i="28" a="1"/>
  <c r="U16" i="28" s="1"/>
  <c r="N16" i="28"/>
  <c r="M16" i="28" a="1"/>
  <c r="M16" i="28" s="1"/>
  <c r="L16" i="28" a="1"/>
  <c r="L16" i="28" s="1"/>
  <c r="K16" i="28"/>
  <c r="K16" i="28" a="1"/>
  <c r="J16" i="28" a="1"/>
  <c r="J16" i="28" s="1"/>
  <c r="I16" i="28" a="1"/>
  <c r="I16" i="28" s="1"/>
  <c r="B16" i="28"/>
  <c r="CY15" i="28" a="1"/>
  <c r="CY15" i="28" s="1"/>
  <c r="CX15" i="28" a="1"/>
  <c r="CX15" i="28" s="1"/>
  <c r="CW15" i="28" a="1"/>
  <c r="CW15" i="28" s="1"/>
  <c r="CV15" i="28" a="1"/>
  <c r="CV15" i="28" s="1"/>
  <c r="CU15" i="28" a="1"/>
  <c r="CU15" i="28" s="1"/>
  <c r="CN15" i="28"/>
  <c r="CM15" i="28" a="1"/>
  <c r="CM15" i="28" s="1"/>
  <c r="CL15" i="28" a="1"/>
  <c r="CL15" i="28" s="1"/>
  <c r="CK15" i="28" a="1"/>
  <c r="CK15" i="28" s="1"/>
  <c r="CJ15" i="28" a="1"/>
  <c r="CJ15" i="28" s="1"/>
  <c r="CI15" i="28" a="1"/>
  <c r="CI15" i="28" s="1"/>
  <c r="CB15" i="28"/>
  <c r="BQ15" i="28" a="1"/>
  <c r="BQ15" i="28" s="1"/>
  <c r="BP15" i="28" a="1"/>
  <c r="BP15" i="28" s="1"/>
  <c r="BO15" i="28"/>
  <c r="BO15" i="28" a="1"/>
  <c r="BN15" i="28" a="1"/>
  <c r="BN15" i="28" s="1"/>
  <c r="BM15" i="28" a="1"/>
  <c r="BM15" i="28" s="1"/>
  <c r="BH15" i="28"/>
  <c r="BG15" i="28" a="1"/>
  <c r="BG15" i="28" s="1"/>
  <c r="BF15" i="28" a="1"/>
  <c r="BF15" i="28" s="1"/>
  <c r="BE15" i="28" a="1"/>
  <c r="BE15" i="28" s="1"/>
  <c r="BD15" i="28" a="1"/>
  <c r="BD15" i="28" s="1"/>
  <c r="BC15" i="28" a="1"/>
  <c r="BC15" i="28" s="1"/>
  <c r="AV15" i="28"/>
  <c r="AU15" i="28" a="1"/>
  <c r="AU15" i="28" s="1"/>
  <c r="AT15" i="28"/>
  <c r="AT15" i="28" a="1"/>
  <c r="AS15" i="28" a="1"/>
  <c r="AS15" i="28" s="1"/>
  <c r="AR15" i="28" a="1"/>
  <c r="AR15" i="28" s="1"/>
  <c r="AQ15" i="28" a="1"/>
  <c r="AQ15" i="28" s="1"/>
  <c r="AJ15" i="28"/>
  <c r="Y15" i="28" a="1"/>
  <c r="Y15" i="28" s="1"/>
  <c r="X15" i="28" a="1"/>
  <c r="X15" i="28" s="1"/>
  <c r="W15" i="28" a="1"/>
  <c r="W15" i="28" s="1"/>
  <c r="V15" i="28" a="1"/>
  <c r="V15" i="28" s="1"/>
  <c r="U15" i="28" a="1"/>
  <c r="U15" i="28" s="1"/>
  <c r="N15" i="28"/>
  <c r="M15" i="28" a="1"/>
  <c r="M15" i="28" s="1"/>
  <c r="L15" i="28" a="1"/>
  <c r="L15" i="28" s="1"/>
  <c r="K15" i="28" a="1"/>
  <c r="K15" i="28" s="1"/>
  <c r="J15" i="28"/>
  <c r="J15" i="28" a="1"/>
  <c r="I15" i="28" a="1"/>
  <c r="I15" i="28" s="1"/>
  <c r="B15" i="28"/>
  <c r="CY14" i="28" a="1"/>
  <c r="CY14" i="28" s="1"/>
  <c r="CX14" i="28" a="1"/>
  <c r="CX14" i="28" s="1"/>
  <c r="CW14" i="28" a="1"/>
  <c r="CW14" i="28" s="1"/>
  <c r="CV14" i="28" a="1"/>
  <c r="CV14" i="28" s="1"/>
  <c r="CU14" i="28" a="1"/>
  <c r="CU14" i="28" s="1"/>
  <c r="CN14" i="28"/>
  <c r="CM14" i="28" a="1"/>
  <c r="CM14" i="28" s="1"/>
  <c r="CL14" i="28" a="1"/>
  <c r="CL14" i="28" s="1"/>
  <c r="CK14" i="28" a="1"/>
  <c r="CK14" i="28" s="1"/>
  <c r="CJ14" i="28" a="1"/>
  <c r="CJ14" i="28" s="1"/>
  <c r="CI14" i="28" a="1"/>
  <c r="CI14" i="28" s="1"/>
  <c r="CB14" i="28"/>
  <c r="BQ14" i="28" a="1"/>
  <c r="BQ14" i="28" s="1"/>
  <c r="BP14" i="28" a="1"/>
  <c r="BP14" i="28" s="1"/>
  <c r="BO14" i="28" a="1"/>
  <c r="BO14" i="28" s="1"/>
  <c r="BN14" i="28" a="1"/>
  <c r="BN14" i="28" s="1"/>
  <c r="BM14" i="28" a="1"/>
  <c r="BM14" i="28" s="1"/>
  <c r="BH14" i="28"/>
  <c r="BG14" i="28" a="1"/>
  <c r="BG14" i="28" s="1"/>
  <c r="BF14" i="28" a="1"/>
  <c r="BF14" i="28" s="1"/>
  <c r="BE14" i="28" a="1"/>
  <c r="BE14" i="28" s="1"/>
  <c r="BD14" i="28" a="1"/>
  <c r="BD14" i="28" s="1"/>
  <c r="BC14" i="28" a="1"/>
  <c r="BC14" i="28" s="1"/>
  <c r="AV14" i="28"/>
  <c r="AU14" i="28" a="1"/>
  <c r="AU14" i="28" s="1"/>
  <c r="AT14" i="28" a="1"/>
  <c r="AT14" i="28" s="1"/>
  <c r="AS14" i="28" a="1"/>
  <c r="AS14" i="28" s="1"/>
  <c r="AR14" i="28" a="1"/>
  <c r="AR14" i="28" s="1"/>
  <c r="AQ14" i="28" a="1"/>
  <c r="AQ14" i="28" s="1"/>
  <c r="AJ14" i="28"/>
  <c r="Y14" i="28" a="1"/>
  <c r="Y14" i="28" s="1"/>
  <c r="X14" i="28" a="1"/>
  <c r="X14" i="28" s="1"/>
  <c r="W14" i="28"/>
  <c r="W14" i="28" a="1"/>
  <c r="V14" i="28" a="1"/>
  <c r="V14" i="28" s="1"/>
  <c r="U14" i="28" a="1"/>
  <c r="U14" i="28" s="1"/>
  <c r="N14" i="28"/>
  <c r="M14" i="28" a="1"/>
  <c r="M14" i="28" s="1"/>
  <c r="L14" i="28" a="1"/>
  <c r="L14" i="28" s="1"/>
  <c r="K14" i="28" a="1"/>
  <c r="K14" i="28" s="1"/>
  <c r="J14" i="28"/>
  <c r="J14" i="28" a="1"/>
  <c r="I14" i="28" a="1"/>
  <c r="I14" i="28" s="1"/>
  <c r="B14" i="28"/>
  <c r="CY13" i="28" a="1"/>
  <c r="CY13" i="28" s="1"/>
  <c r="CX13" i="28" a="1"/>
  <c r="CX13" i="28" s="1"/>
  <c r="CW13" i="28" a="1"/>
  <c r="CW13" i="28" s="1"/>
  <c r="CV13" i="28" a="1"/>
  <c r="CV13" i="28" s="1"/>
  <c r="CU13" i="28" a="1"/>
  <c r="CU13" i="28" s="1"/>
  <c r="CN13" i="28"/>
  <c r="CM13" i="28"/>
  <c r="CM13" i="28" a="1"/>
  <c r="CL13" i="28" a="1"/>
  <c r="CL13" i="28" s="1"/>
  <c r="CK13" i="28" a="1"/>
  <c r="CK13" i="28" s="1"/>
  <c r="CJ13" i="28" a="1"/>
  <c r="CJ13" i="28" s="1"/>
  <c r="CI13" i="28" a="1"/>
  <c r="CI13" i="28" s="1"/>
  <c r="CB13" i="28"/>
  <c r="BQ13" i="28" a="1"/>
  <c r="BQ13" i="28" s="1"/>
  <c r="BP13" i="28" a="1"/>
  <c r="BP13" i="28" s="1"/>
  <c r="BO13" i="28" a="1"/>
  <c r="BO13" i="28" s="1"/>
  <c r="BN13" i="28" a="1"/>
  <c r="BN13" i="28" s="1"/>
  <c r="BM13" i="28" a="1"/>
  <c r="BM13" i="28" s="1"/>
  <c r="BH13" i="28"/>
  <c r="BG13" i="28" a="1"/>
  <c r="BG13" i="28" s="1"/>
  <c r="BF13" i="28" a="1"/>
  <c r="BF13" i="28" s="1"/>
  <c r="BE13" i="28" a="1"/>
  <c r="BE13" i="28" s="1"/>
  <c r="BD13" i="28" a="1"/>
  <c r="BD13" i="28" s="1"/>
  <c r="BC13" i="28" a="1"/>
  <c r="BC13" i="28" s="1"/>
  <c r="AV13" i="28"/>
  <c r="AU13" i="28" a="1"/>
  <c r="AU13" i="28" s="1"/>
  <c r="AT13" i="28" a="1"/>
  <c r="AT13" i="28" s="1"/>
  <c r="AS13" i="28" a="1"/>
  <c r="AS13" i="28" s="1"/>
  <c r="AR13" i="28"/>
  <c r="AR13" i="28" a="1"/>
  <c r="AQ13" i="28" a="1"/>
  <c r="AQ13" i="28" s="1"/>
  <c r="AJ13" i="28"/>
  <c r="Y13" i="28" a="1"/>
  <c r="Y13" i="28" s="1"/>
  <c r="X13" i="28" a="1"/>
  <c r="X13" i="28" s="1"/>
  <c r="W13" i="28" a="1"/>
  <c r="W13" i="28" s="1"/>
  <c r="V13" i="28"/>
  <c r="V13" i="28" a="1"/>
  <c r="U13" i="28" a="1"/>
  <c r="U13" i="28" s="1"/>
  <c r="N13" i="28"/>
  <c r="M13" i="28" a="1"/>
  <c r="M13" i="28" s="1"/>
  <c r="L13" i="28" a="1"/>
  <c r="L13" i="28" s="1"/>
  <c r="K13" i="28" a="1"/>
  <c r="K13" i="28" s="1"/>
  <c r="J13" i="28" a="1"/>
  <c r="J13" i="28" s="1"/>
  <c r="I13" i="28" a="1"/>
  <c r="I13" i="28" s="1"/>
  <c r="B13" i="28"/>
  <c r="CY12" i="28" a="1"/>
  <c r="CY12" i="28" s="1"/>
  <c r="CX12" i="28" a="1"/>
  <c r="CX12" i="28" s="1"/>
  <c r="CW12" i="28" a="1"/>
  <c r="CW12" i="28" s="1"/>
  <c r="CV12" i="28" a="1"/>
  <c r="CV12" i="28" s="1"/>
  <c r="CU12" i="28" a="1"/>
  <c r="CU12" i="28" s="1"/>
  <c r="CN12" i="28"/>
  <c r="CM12" i="28"/>
  <c r="CM12" i="28" a="1"/>
  <c r="CL12" i="28"/>
  <c r="CL12" i="28" a="1"/>
  <c r="CK12" i="28" a="1"/>
  <c r="CK12" i="28" s="1"/>
  <c r="CJ12" i="28" a="1"/>
  <c r="CJ12" i="28" s="1"/>
  <c r="CI12" i="28" a="1"/>
  <c r="CI12" i="28" s="1"/>
  <c r="CB12" i="28"/>
  <c r="BQ12" i="28" a="1"/>
  <c r="BQ12" i="28" s="1"/>
  <c r="BP12" i="28" a="1"/>
  <c r="BP12" i="28" s="1"/>
  <c r="BO12" i="28" a="1"/>
  <c r="BO12" i="28" s="1"/>
  <c r="BN12" i="28" a="1"/>
  <c r="BN12" i="28" s="1"/>
  <c r="BM12" i="28" a="1"/>
  <c r="BM12" i="28" s="1"/>
  <c r="BH12" i="28"/>
  <c r="BG12" i="28" a="1"/>
  <c r="BG12" i="28" s="1"/>
  <c r="BF12" i="28" a="1"/>
  <c r="BF12" i="28" s="1"/>
  <c r="BE12" i="28" a="1"/>
  <c r="BE12" i="28" s="1"/>
  <c r="BD12" i="28" a="1"/>
  <c r="BD12" i="28" s="1"/>
  <c r="BC12" i="28"/>
  <c r="BC12" i="28" a="1"/>
  <c r="AV12" i="28"/>
  <c r="AU12" i="28" a="1"/>
  <c r="AU12" i="28" s="1"/>
  <c r="AT12" i="28" a="1"/>
  <c r="AT12" i="28" s="1"/>
  <c r="AS12" i="28" a="1"/>
  <c r="AS12" i="28" s="1"/>
  <c r="AR12" i="28" a="1"/>
  <c r="AR12" i="28" s="1"/>
  <c r="AQ12" i="28" a="1"/>
  <c r="AQ12" i="28" s="1"/>
  <c r="AJ12" i="28"/>
  <c r="Y12" i="28" a="1"/>
  <c r="Y12" i="28" s="1"/>
  <c r="X12" i="28" a="1"/>
  <c r="X12" i="28" s="1"/>
  <c r="W12" i="28" a="1"/>
  <c r="W12" i="28" s="1"/>
  <c r="V12" i="28"/>
  <c r="V12" i="28" a="1"/>
  <c r="U12" i="28" a="1"/>
  <c r="U12" i="28" s="1"/>
  <c r="N12" i="28"/>
  <c r="M12" i="28" a="1"/>
  <c r="M12" i="28" s="1"/>
  <c r="L12" i="28" a="1"/>
  <c r="L12" i="28" s="1"/>
  <c r="K12" i="28" a="1"/>
  <c r="K12" i="28" s="1"/>
  <c r="J12" i="28" a="1"/>
  <c r="J12" i="28" s="1"/>
  <c r="I12" i="28" a="1"/>
  <c r="I12" i="28" s="1"/>
  <c r="B12" i="28"/>
  <c r="CY11" i="28"/>
  <c r="CY11" i="28" a="1"/>
  <c r="CX11" i="28" a="1"/>
  <c r="CX11" i="28" s="1"/>
  <c r="CW11" i="28" a="1"/>
  <c r="CW11" i="28" s="1"/>
  <c r="CV11" i="28"/>
  <c r="CV11" i="28" a="1"/>
  <c r="CU11" i="28"/>
  <c r="CU11" i="28" a="1"/>
  <c r="CN11" i="28"/>
  <c r="CM11" i="28" a="1"/>
  <c r="CM11" i="28" s="1"/>
  <c r="CL11" i="28" a="1"/>
  <c r="CL11" i="28" s="1"/>
  <c r="CK11" i="28" a="1"/>
  <c r="CK11" i="28" s="1"/>
  <c r="CJ11" i="28" a="1"/>
  <c r="CJ11" i="28" s="1"/>
  <c r="CI11" i="28" a="1"/>
  <c r="CI11" i="28" s="1"/>
  <c r="CB11" i="28"/>
  <c r="CB8" i="28" s="1"/>
  <c r="BQ11" i="28" a="1"/>
  <c r="BQ11" i="28" s="1"/>
  <c r="BP11" i="28" a="1"/>
  <c r="BP11" i="28" s="1"/>
  <c r="BO11" i="28" a="1"/>
  <c r="BO11" i="28" s="1"/>
  <c r="BN11" i="28" a="1"/>
  <c r="BN11" i="28" s="1"/>
  <c r="BM11" i="28" a="1"/>
  <c r="BM11" i="28" s="1"/>
  <c r="BH11" i="28"/>
  <c r="BG11" i="28" a="1"/>
  <c r="BG11" i="28" s="1"/>
  <c r="BF11" i="28" a="1"/>
  <c r="BF11" i="28" s="1"/>
  <c r="BE11" i="28" a="1"/>
  <c r="BE11" i="28" s="1"/>
  <c r="BD11" i="28" a="1"/>
  <c r="BD11" i="28" s="1"/>
  <c r="BC11" i="28" a="1"/>
  <c r="BC11" i="28" s="1"/>
  <c r="AV11" i="28"/>
  <c r="AU11" i="28"/>
  <c r="AU11" i="28" a="1"/>
  <c r="AT11" i="28" a="1"/>
  <c r="AT11" i="28" s="1"/>
  <c r="AS11" i="28" a="1"/>
  <c r="AS11" i="28" s="1"/>
  <c r="AR11" i="28" a="1"/>
  <c r="AR11" i="28" s="1"/>
  <c r="AQ11" i="28" a="1"/>
  <c r="AQ11" i="28" s="1"/>
  <c r="AJ11" i="28"/>
  <c r="AJ8" i="28" s="1"/>
  <c r="Y11" i="28" a="1"/>
  <c r="Y11" i="28" s="1"/>
  <c r="X11" i="28" a="1"/>
  <c r="X11" i="28" s="1"/>
  <c r="W11" i="28" a="1"/>
  <c r="W11" i="28" s="1"/>
  <c r="V11" i="28" a="1"/>
  <c r="V11" i="28" s="1"/>
  <c r="U11" i="28" a="1"/>
  <c r="U11" i="28" s="1"/>
  <c r="N11" i="28"/>
  <c r="M11" i="28" a="1"/>
  <c r="M11" i="28" s="1"/>
  <c r="L11" i="28" a="1"/>
  <c r="L11" i="28" s="1"/>
  <c r="K11" i="28" a="1"/>
  <c r="K11" i="28" s="1"/>
  <c r="J11" i="28" a="1"/>
  <c r="J11" i="28" s="1"/>
  <c r="I11" i="28" a="1"/>
  <c r="I11" i="28" s="1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D2" i="28" a="1"/>
  <c r="D2" i="28" s="1"/>
  <c r="K4" i="3" s="1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CF10" i="28" s="1"/>
  <c r="BL8" i="28"/>
  <c r="BB8" i="28"/>
  <c r="AZ8" i="28"/>
  <c r="AZ10" i="28" s="1"/>
  <c r="AP8" i="28"/>
  <c r="AN8" i="28"/>
  <c r="T8" i="28"/>
  <c r="R8" i="28"/>
  <c r="H8" i="28"/>
  <c r="F8" i="28"/>
  <c r="E1" i="27" a="1"/>
  <c r="E1" i="27" s="1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AM8" i="12"/>
  <c r="AF8" i="12"/>
  <c r="W8" i="12"/>
  <c r="AP10" i="12"/>
  <c r="AL10" i="12"/>
  <c r="AA8" i="12"/>
  <c r="Z10" i="12"/>
  <c r="I8" i="12"/>
  <c r="H10" i="12"/>
  <c r="B8" i="12"/>
  <c r="H10" i="28" l="1"/>
  <c r="CH10" i="28"/>
  <c r="BD8" i="28"/>
  <c r="R10" i="28"/>
  <c r="BQ8" i="28"/>
  <c r="BQ10" i="28" s="1"/>
  <c r="CV8" i="28"/>
  <c r="CI8" i="28"/>
  <c r="CI10" i="28" s="1"/>
  <c r="J8" i="28"/>
  <c r="J10" i="28" s="1"/>
  <c r="CK8" i="28"/>
  <c r="CK10" i="28" s="1"/>
  <c r="CW8" i="28"/>
  <c r="AV8" i="28"/>
  <c r="BN8" i="28"/>
  <c r="CX8" i="28"/>
  <c r="CX10" i="28" s="1"/>
  <c r="BC8" i="28"/>
  <c r="CM8" i="28"/>
  <c r="CM10" i="28" s="1"/>
  <c r="I8" i="28"/>
  <c r="I10" i="28" s="1"/>
  <c r="F10" i="28"/>
  <c r="B8" i="28"/>
  <c r="CJ8" i="28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D30" i="31" a="1"/>
  <c r="CY8" i="28"/>
  <c r="CY10" i="28" s="1"/>
  <c r="T10" i="28"/>
  <c r="CR10" i="28"/>
  <c r="BC10" i="28"/>
  <c r="BN10" i="28"/>
  <c r="AN10" i="28"/>
  <c r="CT10" i="28"/>
  <c r="BD10" i="28"/>
  <c r="AP10" i="28"/>
  <c r="BL10" i="28"/>
  <c r="BF10" i="28"/>
  <c r="CW10" i="28"/>
  <c r="BB10" i="28"/>
  <c r="O198" i="31" a="1"/>
  <c r="O198" i="31" s="1"/>
  <c r="P203" i="31" a="1"/>
  <c r="P203" i="31" s="1"/>
  <c r="P202" i="31" a="1"/>
  <c r="P202" i="31" s="1"/>
  <c r="P196" i="31" a="1"/>
  <c r="P196" i="31" s="1"/>
  <c r="P201" i="31" a="1"/>
  <c r="P201" i="31" s="1"/>
  <c r="P195" i="31" a="1"/>
  <c r="P195" i="31" s="1"/>
  <c r="P194" i="31" a="1"/>
  <c r="P194" i="31" s="1"/>
  <c r="P200" i="31" a="1"/>
  <c r="P200" i="31" s="1"/>
  <c r="P193" i="31" a="1"/>
  <c r="P193" i="31" s="1"/>
  <c r="P199" i="31" a="1"/>
  <c r="P199" i="31" s="1"/>
  <c r="P198" i="31" a="1"/>
  <c r="P198" i="31" s="1"/>
  <c r="P192" i="31" a="1"/>
  <c r="P192" i="31" s="1"/>
  <c r="P191" i="31" s="1"/>
  <c r="P184" i="31" s="1"/>
  <c r="P183" i="31" s="1"/>
  <c r="P182" i="31" s="1"/>
  <c r="P197" i="31" a="1"/>
  <c r="P197" i="31" s="1"/>
  <c r="P157" i="31" a="1"/>
  <c r="P157" i="31" s="1"/>
  <c r="P31" i="31" s="1"/>
  <c r="H154" i="31"/>
  <c r="L154" i="31"/>
  <c r="H163" i="31"/>
  <c r="H162" i="31" s="1"/>
  <c r="D163" i="31"/>
  <c r="L163" i="31"/>
  <c r="L162" i="31" s="1"/>
  <c r="E154" i="31"/>
  <c r="M154" i="31"/>
  <c r="M163" i="31"/>
  <c r="M162" i="31" s="1"/>
  <c r="K192" i="31" a="1"/>
  <c r="K192" i="31" s="1"/>
  <c r="G193" i="31" a="1"/>
  <c r="G193" i="31" s="1"/>
  <c r="K194" i="31" a="1"/>
  <c r="K194" i="31" s="1"/>
  <c r="G195" i="31" a="1"/>
  <c r="G195" i="31" s="1"/>
  <c r="K196" i="31" a="1"/>
  <c r="K196" i="31" s="1"/>
  <c r="G197" i="31" a="1"/>
  <c r="G197" i="31" s="1"/>
  <c r="K198" i="31" a="1"/>
  <c r="K198" i="31" s="1"/>
  <c r="G199" i="31" a="1"/>
  <c r="G199" i="31" s="1"/>
  <c r="K200" i="31" a="1"/>
  <c r="K200" i="31" s="1"/>
  <c r="G201" i="31" a="1"/>
  <c r="G201" i="31" s="1"/>
  <c r="K202" i="31" a="1"/>
  <c r="K202" i="31" s="1"/>
  <c r="G203" i="31" a="1"/>
  <c r="G203" i="31" s="1"/>
  <c r="O199" i="31" a="1"/>
  <c r="O199" i="31" s="1"/>
  <c r="D192" i="31" a="1"/>
  <c r="D192" i="31" s="1"/>
  <c r="L192" i="31" a="1"/>
  <c r="L192" i="31" s="1"/>
  <c r="H193" i="31" a="1"/>
  <c r="H193" i="31" s="1"/>
  <c r="D194" i="31" a="1"/>
  <c r="D194" i="31" s="1"/>
  <c r="L194" i="31" a="1"/>
  <c r="L194" i="31" s="1"/>
  <c r="H195" i="31" a="1"/>
  <c r="H195" i="31" s="1"/>
  <c r="D196" i="31" a="1"/>
  <c r="D196" i="31" s="1"/>
  <c r="L196" i="31" a="1"/>
  <c r="L196" i="31" s="1"/>
  <c r="H197" i="31" a="1"/>
  <c r="H197" i="31" s="1"/>
  <c r="D198" i="31" a="1"/>
  <c r="D198" i="31" s="1"/>
  <c r="L198" i="31" a="1"/>
  <c r="L198" i="31" s="1"/>
  <c r="H199" i="31" a="1"/>
  <c r="H199" i="31" s="1"/>
  <c r="D200" i="31" a="1"/>
  <c r="D200" i="31" s="1"/>
  <c r="L200" i="31" a="1"/>
  <c r="L200" i="31" s="1"/>
  <c r="H201" i="31" a="1"/>
  <c r="H201" i="31" s="1"/>
  <c r="D202" i="31" a="1"/>
  <c r="D202" i="31" s="1"/>
  <c r="L202" i="31" a="1"/>
  <c r="L202" i="31" s="1"/>
  <c r="H203" i="31" a="1"/>
  <c r="H203" i="31" s="1"/>
  <c r="O192" i="31" a="1"/>
  <c r="O192" i="31" s="1"/>
  <c r="O200" i="31" a="1"/>
  <c r="O200" i="31" s="1"/>
  <c r="E192" i="31" a="1"/>
  <c r="E192" i="31" s="1"/>
  <c r="M192" i="31" a="1"/>
  <c r="M192" i="31" s="1"/>
  <c r="I193" i="31" a="1"/>
  <c r="I193" i="31" s="1"/>
  <c r="E194" i="31" a="1"/>
  <c r="E194" i="31" s="1"/>
  <c r="M194" i="31" a="1"/>
  <c r="M194" i="31" s="1"/>
  <c r="I195" i="31" a="1"/>
  <c r="I195" i="31" s="1"/>
  <c r="E196" i="31" a="1"/>
  <c r="E196" i="31" s="1"/>
  <c r="M196" i="31" a="1"/>
  <c r="M196" i="31" s="1"/>
  <c r="I197" i="31" a="1"/>
  <c r="I197" i="31" s="1"/>
  <c r="E198" i="31" a="1"/>
  <c r="E198" i="31" s="1"/>
  <c r="M198" i="31" a="1"/>
  <c r="M198" i="31" s="1"/>
  <c r="I199" i="31" a="1"/>
  <c r="I199" i="31" s="1"/>
  <c r="E200" i="31" a="1"/>
  <c r="E200" i="31" s="1"/>
  <c r="M200" i="31" a="1"/>
  <c r="M200" i="31" s="1"/>
  <c r="I201" i="31" a="1"/>
  <c r="I201" i="31" s="1"/>
  <c r="E202" i="31" a="1"/>
  <c r="E202" i="31" s="1"/>
  <c r="M202" i="31" a="1"/>
  <c r="M202" i="31" s="1"/>
  <c r="I203" i="31" a="1"/>
  <c r="I203" i="31" s="1"/>
  <c r="O193" i="31" a="1"/>
  <c r="O193" i="31" s="1"/>
  <c r="O201" i="31" a="1"/>
  <c r="O201" i="31" s="1"/>
  <c r="F192" i="31" a="1"/>
  <c r="F192" i="31" s="1"/>
  <c r="N192" i="31" a="1"/>
  <c r="N192" i="31" s="1"/>
  <c r="J193" i="31" a="1"/>
  <c r="J193" i="31" s="1"/>
  <c r="F194" i="31" a="1"/>
  <c r="F194" i="31" s="1"/>
  <c r="N194" i="31" a="1"/>
  <c r="N194" i="31" s="1"/>
  <c r="J195" i="31" a="1"/>
  <c r="J195" i="31" s="1"/>
  <c r="F196" i="31" a="1"/>
  <c r="F196" i="31" s="1"/>
  <c r="N196" i="31" a="1"/>
  <c r="N196" i="31" s="1"/>
  <c r="J197" i="31" a="1"/>
  <c r="J197" i="31" s="1"/>
  <c r="F198" i="31" a="1"/>
  <c r="F198" i="31" s="1"/>
  <c r="N198" i="31" a="1"/>
  <c r="N198" i="31" s="1"/>
  <c r="J199" i="31" a="1"/>
  <c r="J199" i="31" s="1"/>
  <c r="F200" i="31" a="1"/>
  <c r="F200" i="31" s="1"/>
  <c r="N200" i="31" a="1"/>
  <c r="N200" i="31" s="1"/>
  <c r="J201" i="31" a="1"/>
  <c r="J201" i="31" s="1"/>
  <c r="F202" i="31" a="1"/>
  <c r="F202" i="31" s="1"/>
  <c r="N202" i="31" a="1"/>
  <c r="N202" i="31" s="1"/>
  <c r="J203" i="31" a="1"/>
  <c r="J203" i="31" s="1"/>
  <c r="O194" i="31" a="1"/>
  <c r="O194" i="31" s="1"/>
  <c r="O202" i="31" a="1"/>
  <c r="O202" i="31" s="1"/>
  <c r="G192" i="31" a="1"/>
  <c r="G192" i="31" s="1"/>
  <c r="K193" i="31" a="1"/>
  <c r="K193" i="31" s="1"/>
  <c r="G194" i="31" a="1"/>
  <c r="G194" i="31" s="1"/>
  <c r="K195" i="31" a="1"/>
  <c r="K195" i="31" s="1"/>
  <c r="G196" i="31" a="1"/>
  <c r="G196" i="31" s="1"/>
  <c r="K197" i="31" a="1"/>
  <c r="K197" i="31" s="1"/>
  <c r="G198" i="31" a="1"/>
  <c r="G198" i="31" s="1"/>
  <c r="K199" i="31" a="1"/>
  <c r="K199" i="31" s="1"/>
  <c r="G200" i="31" a="1"/>
  <c r="G200" i="31" s="1"/>
  <c r="K201" i="31" a="1"/>
  <c r="K201" i="31" s="1"/>
  <c r="G202" i="31" a="1"/>
  <c r="G202" i="31" s="1"/>
  <c r="K203" i="31" a="1"/>
  <c r="K203" i="31" s="1"/>
  <c r="O195" i="31" a="1"/>
  <c r="O195" i="31" s="1"/>
  <c r="O203" i="31" a="1"/>
  <c r="O203" i="31" s="1"/>
  <c r="H192" i="31" a="1"/>
  <c r="H192" i="31" s="1"/>
  <c r="D193" i="31" a="1"/>
  <c r="D193" i="31" s="1"/>
  <c r="L193" i="31" a="1"/>
  <c r="L193" i="31" s="1"/>
  <c r="H194" i="31" a="1"/>
  <c r="H194" i="31" s="1"/>
  <c r="D195" i="31" a="1"/>
  <c r="D195" i="31" s="1"/>
  <c r="L195" i="31" a="1"/>
  <c r="L195" i="31" s="1"/>
  <c r="H196" i="31" a="1"/>
  <c r="H196" i="31" s="1"/>
  <c r="D197" i="31" a="1"/>
  <c r="D197" i="31" s="1"/>
  <c r="L197" i="31" a="1"/>
  <c r="L197" i="31" s="1"/>
  <c r="H198" i="31" a="1"/>
  <c r="H198" i="31" s="1"/>
  <c r="D199" i="31" a="1"/>
  <c r="D199" i="31" s="1"/>
  <c r="L199" i="31" a="1"/>
  <c r="L199" i="31" s="1"/>
  <c r="H200" i="31" a="1"/>
  <c r="H200" i="31" s="1"/>
  <c r="D201" i="31" a="1"/>
  <c r="D201" i="31" s="1"/>
  <c r="L201" i="31" a="1"/>
  <c r="L201" i="31" s="1"/>
  <c r="H202" i="31" a="1"/>
  <c r="H202" i="31" s="1"/>
  <c r="D203" i="31" a="1"/>
  <c r="D203" i="31" s="1"/>
  <c r="L203" i="31" a="1"/>
  <c r="L203" i="31" s="1"/>
  <c r="O196" i="31" a="1"/>
  <c r="O196" i="31" s="1"/>
  <c r="I192" i="31" a="1"/>
  <c r="I192" i="31" s="1"/>
  <c r="E193" i="31" a="1"/>
  <c r="E193" i="31" s="1"/>
  <c r="M193" i="31" a="1"/>
  <c r="M193" i="31" s="1"/>
  <c r="I194" i="31" a="1"/>
  <c r="I194" i="31" s="1"/>
  <c r="E195" i="31" a="1"/>
  <c r="E195" i="31" s="1"/>
  <c r="M195" i="31" a="1"/>
  <c r="M195" i="31" s="1"/>
  <c r="I196" i="31" a="1"/>
  <c r="I196" i="31" s="1"/>
  <c r="E197" i="31" a="1"/>
  <c r="E197" i="31" s="1"/>
  <c r="M197" i="31" a="1"/>
  <c r="M197" i="31" s="1"/>
  <c r="I198" i="31" a="1"/>
  <c r="I198" i="31" s="1"/>
  <c r="E199" i="31" a="1"/>
  <c r="E199" i="31" s="1"/>
  <c r="M199" i="31" a="1"/>
  <c r="M199" i="31" s="1"/>
  <c r="I200" i="31" a="1"/>
  <c r="I200" i="31" s="1"/>
  <c r="E201" i="31" a="1"/>
  <c r="E201" i="31" s="1"/>
  <c r="M201" i="31" a="1"/>
  <c r="M201" i="31" s="1"/>
  <c r="I202" i="31" a="1"/>
  <c r="I202" i="31" s="1"/>
  <c r="E203" i="31" a="1"/>
  <c r="E203" i="31" s="1"/>
  <c r="M203" i="31" a="1"/>
  <c r="M203" i="31" s="1"/>
  <c r="O197" i="31" a="1"/>
  <c r="O197" i="31" s="1"/>
  <c r="J192" i="31" a="1"/>
  <c r="J192" i="31" s="1"/>
  <c r="F193" i="31" a="1"/>
  <c r="F193" i="31" s="1"/>
  <c r="N193" i="31" a="1"/>
  <c r="N193" i="31" s="1"/>
  <c r="J194" i="31" a="1"/>
  <c r="J194" i="31" s="1"/>
  <c r="F195" i="31" a="1"/>
  <c r="F195" i="31" s="1"/>
  <c r="N195" i="31" a="1"/>
  <c r="N195" i="31" s="1"/>
  <c r="J196" i="31" a="1"/>
  <c r="J196" i="31" s="1"/>
  <c r="F197" i="31" a="1"/>
  <c r="F197" i="31" s="1"/>
  <c r="N197" i="31" a="1"/>
  <c r="N197" i="31" s="1"/>
  <c r="J198" i="31" a="1"/>
  <c r="J198" i="31" s="1"/>
  <c r="F199" i="31" a="1"/>
  <c r="F199" i="31" s="1"/>
  <c r="N199" i="31" a="1"/>
  <c r="N199" i="31" s="1"/>
  <c r="J200" i="31" a="1"/>
  <c r="J200" i="31" s="1"/>
  <c r="F201" i="31" a="1"/>
  <c r="F201" i="31" s="1"/>
  <c r="N201" i="31" a="1"/>
  <c r="N201" i="31" s="1"/>
  <c r="J202" i="31" a="1"/>
  <c r="J202" i="31" s="1"/>
  <c r="F203" i="31" a="1"/>
  <c r="F203" i="31" s="1"/>
  <c r="N203" i="31" a="1"/>
  <c r="N203" i="31" s="1"/>
  <c r="H66" i="31"/>
  <c r="I66" i="31"/>
  <c r="J154" i="31"/>
  <c r="G154" i="31"/>
  <c r="Q154" i="31"/>
  <c r="L66" i="31"/>
  <c r="O154" i="31"/>
  <c r="I154" i="31"/>
  <c r="I163" i="31"/>
  <c r="I162" i="31" s="1"/>
  <c r="I158" i="31" s="1"/>
  <c r="K134" i="31"/>
  <c r="F154" i="31"/>
  <c r="F163" i="31"/>
  <c r="F162" i="31" s="1"/>
  <c r="E134" i="31"/>
  <c r="M134" i="31"/>
  <c r="O66" i="31"/>
  <c r="O163" i="31"/>
  <c r="O162" i="31" s="1"/>
  <c r="O158" i="31" s="1"/>
  <c r="I134" i="31"/>
  <c r="N154" i="31"/>
  <c r="N163" i="31"/>
  <c r="N162" i="31" s="1"/>
  <c r="N158" i="31" s="1"/>
  <c r="K143" i="31"/>
  <c r="G143" i="31"/>
  <c r="K154" i="31"/>
  <c r="G163" i="31"/>
  <c r="G162" i="31" s="1"/>
  <c r="G158" i="31" s="1"/>
  <c r="Q163" i="31"/>
  <c r="Q162" i="31" s="1"/>
  <c r="Q158" i="31" s="1"/>
  <c r="K163" i="31"/>
  <c r="K162" i="31" s="1"/>
  <c r="K158" i="31" s="1"/>
  <c r="O76" i="31"/>
  <c r="O120" i="31"/>
  <c r="O94" i="31"/>
  <c r="O134" i="31"/>
  <c r="O32" i="31"/>
  <c r="O51" i="31"/>
  <c r="O81" i="31"/>
  <c r="O143" i="31"/>
  <c r="O206" i="31"/>
  <c r="O205" i="31" s="1"/>
  <c r="O43" i="31"/>
  <c r="N206" i="31"/>
  <c r="N205" i="31" s="1"/>
  <c r="M66" i="31"/>
  <c r="D76" i="31"/>
  <c r="L76" i="31"/>
  <c r="S104" i="31"/>
  <c r="S90" i="31"/>
  <c r="H81" i="31"/>
  <c r="S137" i="31"/>
  <c r="N134" i="31"/>
  <c r="E51" i="31"/>
  <c r="S92" i="31"/>
  <c r="S101" i="31"/>
  <c r="S111" i="31"/>
  <c r="L120" i="31"/>
  <c r="G134" i="31"/>
  <c r="S146" i="31"/>
  <c r="S214" i="31"/>
  <c r="E43" i="31"/>
  <c r="M51" i="31"/>
  <c r="I120" i="31"/>
  <c r="S148" i="31"/>
  <c r="S149" i="31"/>
  <c r="S150" i="31"/>
  <c r="S152" i="31"/>
  <c r="S153" i="31"/>
  <c r="S156" i="31"/>
  <c r="E163" i="31"/>
  <c r="E162" i="31" s="1"/>
  <c r="E158" i="31" s="1"/>
  <c r="S171" i="31"/>
  <c r="S179" i="31"/>
  <c r="S219" i="31"/>
  <c r="G120" i="31"/>
  <c r="S138" i="31"/>
  <c r="M158" i="31"/>
  <c r="I81" i="31"/>
  <c r="Q94" i="31"/>
  <c r="J206" i="31"/>
  <c r="J205" i="31" s="1"/>
  <c r="K66" i="31"/>
  <c r="H120" i="31"/>
  <c r="J143" i="31"/>
  <c r="Q134" i="31"/>
  <c r="H143" i="31"/>
  <c r="S211" i="31"/>
  <c r="I43" i="31"/>
  <c r="L143" i="31"/>
  <c r="I143" i="31"/>
  <c r="F143" i="31"/>
  <c r="S144" i="31"/>
  <c r="N143" i="31"/>
  <c r="E143" i="31"/>
  <c r="S57" i="31"/>
  <c r="S84" i="31"/>
  <c r="S133" i="31"/>
  <c r="J134" i="31"/>
  <c r="S216" i="31"/>
  <c r="H76" i="31"/>
  <c r="S88" i="31"/>
  <c r="S114" i="31"/>
  <c r="I32" i="31"/>
  <c r="L51" i="31"/>
  <c r="E76" i="31"/>
  <c r="G94" i="31"/>
  <c r="S115" i="31"/>
  <c r="S116" i="31"/>
  <c r="S89" i="31"/>
  <c r="E32" i="31"/>
  <c r="M43" i="31"/>
  <c r="Q76" i="31"/>
  <c r="K81" i="31"/>
  <c r="F32" i="31"/>
  <c r="H43" i="31"/>
  <c r="N43" i="31"/>
  <c r="S47" i="31"/>
  <c r="G51" i="31"/>
  <c r="J66" i="31"/>
  <c r="S68" i="31"/>
  <c r="I76" i="31"/>
  <c r="L81" i="31"/>
  <c r="K94" i="31"/>
  <c r="M94" i="31"/>
  <c r="S117" i="31"/>
  <c r="E94" i="31"/>
  <c r="M32" i="31"/>
  <c r="S46" i="31"/>
  <c r="J76" i="31"/>
  <c r="G81" i="31"/>
  <c r="M81" i="31"/>
  <c r="H94" i="31"/>
  <c r="J94" i="31"/>
  <c r="S97" i="31"/>
  <c r="L94" i="31"/>
  <c r="S131" i="31"/>
  <c r="K120" i="31"/>
  <c r="J163" i="31"/>
  <c r="J162" i="31" s="1"/>
  <c r="J158" i="31" s="1"/>
  <c r="S167" i="31"/>
  <c r="S169" i="31"/>
  <c r="S173" i="31"/>
  <c r="S175" i="31"/>
  <c r="S177" i="31"/>
  <c r="S215" i="31"/>
  <c r="S218" i="31"/>
  <c r="M76" i="31"/>
  <c r="S86" i="31"/>
  <c r="I94" i="31"/>
  <c r="M120" i="31"/>
  <c r="S129" i="31"/>
  <c r="N120" i="31"/>
  <c r="S212" i="31"/>
  <c r="I51" i="31"/>
  <c r="Q81" i="31"/>
  <c r="Q120" i="31"/>
  <c r="E120" i="31"/>
  <c r="L185" i="31"/>
  <c r="G185" i="31"/>
  <c r="Q185" i="31"/>
  <c r="Q43" i="31"/>
  <c r="H51" i="31"/>
  <c r="N51" i="31"/>
  <c r="N94" i="31"/>
  <c r="H32" i="31"/>
  <c r="N32" i="31"/>
  <c r="S36" i="31"/>
  <c r="S45" i="31"/>
  <c r="S54" i="31"/>
  <c r="K76" i="31"/>
  <c r="N81" i="31"/>
  <c r="J43" i="31"/>
  <c r="J120" i="31"/>
  <c r="S42" i="31"/>
  <c r="K43" i="31"/>
  <c r="J51" i="31"/>
  <c r="S58" i="31"/>
  <c r="F66" i="31"/>
  <c r="S82" i="31"/>
  <c r="J81" i="31"/>
  <c r="S118" i="31"/>
  <c r="J32" i="31"/>
  <c r="S41" i="31"/>
  <c r="L43" i="31"/>
  <c r="K51" i="31"/>
  <c r="G66" i="31"/>
  <c r="N66" i="31"/>
  <c r="S69" i="31"/>
  <c r="F76" i="31"/>
  <c r="F120" i="31"/>
  <c r="S125" i="31"/>
  <c r="K32" i="31"/>
  <c r="S40" i="31"/>
  <c r="F43" i="31"/>
  <c r="Q66" i="31"/>
  <c r="G76" i="31"/>
  <c r="N76" i="31"/>
  <c r="L32" i="31"/>
  <c r="S39" i="31"/>
  <c r="G43" i="31"/>
  <c r="F51" i="31"/>
  <c r="E81" i="31"/>
  <c r="S80" i="31"/>
  <c r="F81" i="31"/>
  <c r="F94" i="31"/>
  <c r="E66" i="31"/>
  <c r="S96" i="31"/>
  <c r="F206" i="31"/>
  <c r="F205" i="31" s="1"/>
  <c r="Q4" i="31"/>
  <c r="Q10" i="31"/>
  <c r="Q22" i="31"/>
  <c r="S33" i="31"/>
  <c r="D32" i="31"/>
  <c r="S34" i="31"/>
  <c r="G32" i="31"/>
  <c r="Q32" i="31"/>
  <c r="S53" i="31"/>
  <c r="S63" i="31"/>
  <c r="D51" i="31"/>
  <c r="S52" i="31"/>
  <c r="S62" i="31"/>
  <c r="S35" i="31"/>
  <c r="S44" i="31"/>
  <c r="D43" i="31"/>
  <c r="S48" i="31"/>
  <c r="S59" i="31"/>
  <c r="S65" i="31"/>
  <c r="D64" i="31"/>
  <c r="S64" i="31" s="1"/>
  <c r="Q51" i="31"/>
  <c r="S67" i="31"/>
  <c r="S55" i="31"/>
  <c r="S50" i="31"/>
  <c r="S61" i="31"/>
  <c r="S38" i="31"/>
  <c r="S60" i="31"/>
  <c r="S37" i="31"/>
  <c r="S49" i="31"/>
  <c r="S56" i="31"/>
  <c r="S70" i="31"/>
  <c r="S79" i="31"/>
  <c r="D94" i="31"/>
  <c r="S95" i="31"/>
  <c r="S100" i="31"/>
  <c r="S108" i="31"/>
  <c r="S102" i="31"/>
  <c r="S103" i="31"/>
  <c r="D81" i="31"/>
  <c r="S83" i="31"/>
  <c r="S110" i="31"/>
  <c r="S72" i="31"/>
  <c r="S93" i="31"/>
  <c r="S105" i="31"/>
  <c r="D66" i="31"/>
  <c r="S71" i="31"/>
  <c r="S87" i="31"/>
  <c r="S98" i="31"/>
  <c r="D74" i="31"/>
  <c r="S74" i="31" s="1"/>
  <c r="S75" i="31"/>
  <c r="S77" i="31"/>
  <c r="S99" i="31"/>
  <c r="S106" i="31"/>
  <c r="S78" i="31"/>
  <c r="S91" i="31"/>
  <c r="S73" i="31"/>
  <c r="S85" i="31"/>
  <c r="S107" i="31"/>
  <c r="S109" i="31"/>
  <c r="S127" i="31"/>
  <c r="S136" i="31"/>
  <c r="L134" i="31"/>
  <c r="Q143" i="31"/>
  <c r="S130" i="31"/>
  <c r="S132" i="31"/>
  <c r="H134" i="31"/>
  <c r="S145" i="31"/>
  <c r="D143" i="31"/>
  <c r="L158" i="31"/>
  <c r="S121" i="31"/>
  <c r="D120" i="31"/>
  <c r="S122" i="31"/>
  <c r="D134" i="31"/>
  <c r="S135" i="31"/>
  <c r="D139" i="31"/>
  <c r="S139" i="31" s="1"/>
  <c r="S140" i="31"/>
  <c r="S141" i="31"/>
  <c r="S124" i="31"/>
  <c r="F158" i="31"/>
  <c r="S123" i="31"/>
  <c r="M143" i="31"/>
  <c r="S119" i="31"/>
  <c r="S126" i="31"/>
  <c r="F134" i="31"/>
  <c r="S147" i="31"/>
  <c r="S151" i="31"/>
  <c r="S155" i="31"/>
  <c r="D154" i="31"/>
  <c r="H158" i="31"/>
  <c r="S164" i="31"/>
  <c r="S113" i="31"/>
  <c r="S112" i="31"/>
  <c r="S128" i="31"/>
  <c r="S142" i="31"/>
  <c r="S159" i="31"/>
  <c r="K206" i="31"/>
  <c r="K205" i="31" s="1"/>
  <c r="D206" i="31"/>
  <c r="S207" i="31"/>
  <c r="L206" i="31"/>
  <c r="L205" i="31" s="1"/>
  <c r="S210" i="31"/>
  <c r="S170" i="31"/>
  <c r="S174" i="31"/>
  <c r="S178" i="31"/>
  <c r="E206" i="31"/>
  <c r="E205" i="31" s="1"/>
  <c r="M206" i="31"/>
  <c r="M205" i="31" s="1"/>
  <c r="S221" i="31"/>
  <c r="D162" i="31"/>
  <c r="S166" i="31"/>
  <c r="S213" i="31"/>
  <c r="S217" i="31"/>
  <c r="S165" i="31"/>
  <c r="G206" i="31"/>
  <c r="G205" i="31" s="1"/>
  <c r="Q206" i="31"/>
  <c r="Q205" i="31" s="1"/>
  <c r="S209" i="31"/>
  <c r="S220" i="31"/>
  <c r="H206" i="31"/>
  <c r="H205" i="31" s="1"/>
  <c r="S168" i="31"/>
  <c r="S172" i="31"/>
  <c r="S176" i="31"/>
  <c r="I206" i="31"/>
  <c r="I205" i="31" s="1"/>
  <c r="S208" i="31"/>
  <c r="F185" i="31"/>
  <c r="N185" i="31"/>
  <c r="H185" i="31"/>
  <c r="S188" i="31"/>
  <c r="I185" i="31"/>
  <c r="J185" i="31"/>
  <c r="K185" i="31"/>
  <c r="E185" i="31"/>
  <c r="J6" i="30"/>
  <c r="J10" i="30"/>
  <c r="J14" i="30"/>
  <c r="J18" i="30"/>
  <c r="J22" i="30"/>
  <c r="J28" i="30"/>
  <c r="J30" i="30"/>
  <c r="J34" i="30"/>
  <c r="J38" i="30"/>
  <c r="J40" i="30"/>
  <c r="J45" i="30"/>
  <c r="J53" i="30"/>
  <c r="J61" i="30"/>
  <c r="J69" i="30"/>
  <c r="J73" i="30"/>
  <c r="D6" i="30"/>
  <c r="D7" i="30"/>
  <c r="D9" i="30"/>
  <c r="D11" i="30"/>
  <c r="D13" i="30"/>
  <c r="D15" i="30"/>
  <c r="D17" i="30"/>
  <c r="D19" i="30"/>
  <c r="D21" i="30"/>
  <c r="D23" i="30"/>
  <c r="D25" i="30"/>
  <c r="D27" i="30"/>
  <c r="D29" i="30"/>
  <c r="D31" i="30"/>
  <c r="D33" i="30"/>
  <c r="D35" i="30"/>
  <c r="D37" i="30"/>
  <c r="D39" i="30"/>
  <c r="D41" i="30"/>
  <c r="D43" i="30"/>
  <c r="J46" i="30"/>
  <c r="J50" i="30"/>
  <c r="J54" i="30"/>
  <c r="J58" i="30"/>
  <c r="J62" i="30"/>
  <c r="J66" i="30"/>
  <c r="J70" i="30"/>
  <c r="J74" i="30"/>
  <c r="J78" i="30"/>
  <c r="J8" i="30"/>
  <c r="J12" i="30"/>
  <c r="J16" i="30"/>
  <c r="J20" i="30"/>
  <c r="J24" i="30"/>
  <c r="J26" i="30"/>
  <c r="J32" i="30"/>
  <c r="J36" i="30"/>
  <c r="J42" i="30"/>
  <c r="J49" i="30"/>
  <c r="J57" i="30"/>
  <c r="J65" i="30"/>
  <c r="J77" i="30"/>
  <c r="J7" i="30"/>
  <c r="J9" i="30"/>
  <c r="J11" i="30"/>
  <c r="J13" i="30"/>
  <c r="J15" i="30"/>
  <c r="J17" i="30"/>
  <c r="J19" i="30"/>
  <c r="J21" i="30"/>
  <c r="J23" i="30"/>
  <c r="J25" i="30"/>
  <c r="J27" i="30"/>
  <c r="J29" i="30"/>
  <c r="J31" i="30"/>
  <c r="J33" i="30"/>
  <c r="J35" i="30"/>
  <c r="J37" i="30"/>
  <c r="J39" i="30"/>
  <c r="J41" i="30"/>
  <c r="J43" i="30"/>
  <c r="J47" i="30"/>
  <c r="J51" i="30"/>
  <c r="J55" i="30"/>
  <c r="J59" i="30"/>
  <c r="J63" i="30"/>
  <c r="J67" i="30"/>
  <c r="J71" i="30"/>
  <c r="J75" i="30"/>
  <c r="J79" i="30"/>
  <c r="D8" i="30"/>
  <c r="D10" i="30"/>
  <c r="D12" i="30"/>
  <c r="D14" i="30"/>
  <c r="D16" i="30"/>
  <c r="D18" i="30"/>
  <c r="D20" i="30"/>
  <c r="D22" i="30"/>
  <c r="D24" i="30"/>
  <c r="D26" i="30"/>
  <c r="D28" i="30"/>
  <c r="D30" i="30"/>
  <c r="D32" i="30"/>
  <c r="D34" i="30"/>
  <c r="D36" i="30"/>
  <c r="D38" i="30"/>
  <c r="D40" i="30"/>
  <c r="J44" i="30"/>
  <c r="J48" i="30"/>
  <c r="J52" i="30"/>
  <c r="J56" i="30"/>
  <c r="J60" i="30"/>
  <c r="J64" i="30"/>
  <c r="J68" i="30"/>
  <c r="J72" i="30"/>
  <c r="J76" i="30"/>
  <c r="J80" i="30"/>
  <c r="W1" i="29"/>
  <c r="BP8" i="28"/>
  <c r="BP10" i="28" s="1"/>
  <c r="L8" i="28"/>
  <c r="L10" i="28" s="1"/>
  <c r="BM8" i="28"/>
  <c r="BM10" i="28" s="1"/>
  <c r="CJ10" i="28"/>
  <c r="CV10" i="28"/>
  <c r="AU8" i="28"/>
  <c r="AU10" i="28" s="1"/>
  <c r="AE10" i="12"/>
  <c r="F10" i="12"/>
  <c r="AJ10" i="12"/>
  <c r="V10" i="12"/>
  <c r="K10" i="12"/>
  <c r="C8" i="12"/>
  <c r="L10" i="12"/>
  <c r="C9" i="12"/>
  <c r="AC9" i="12"/>
  <c r="AC10" i="12" s="1"/>
  <c r="N5" i="5"/>
  <c r="O5" i="5" s="1"/>
  <c r="L5" i="5"/>
  <c r="L4" i="5"/>
  <c r="K36" i="5"/>
  <c r="J36" i="5"/>
  <c r="I36" i="5"/>
  <c r="K32" i="5"/>
  <c r="J32" i="5"/>
  <c r="I32" i="5"/>
  <c r="K24" i="5"/>
  <c r="J24" i="5"/>
  <c r="I24" i="5"/>
  <c r="K20" i="5"/>
  <c r="J20" i="5"/>
  <c r="I20" i="5"/>
  <c r="K16" i="5"/>
  <c r="J16" i="5"/>
  <c r="I16" i="5"/>
  <c r="K8" i="5"/>
  <c r="J8" i="5"/>
  <c r="I8" i="5"/>
  <c r="K4" i="5"/>
  <c r="J4" i="5"/>
  <c r="I4" i="5"/>
  <c r="K37" i="5"/>
  <c r="J37" i="5"/>
  <c r="I37" i="5"/>
  <c r="K33" i="5"/>
  <c r="J33" i="5"/>
  <c r="I33" i="5"/>
  <c r="K25" i="5"/>
  <c r="J25" i="5"/>
  <c r="I25" i="5"/>
  <c r="K21" i="5"/>
  <c r="J21" i="5"/>
  <c r="I21" i="5"/>
  <c r="K17" i="5"/>
  <c r="J17" i="5"/>
  <c r="I17" i="5"/>
  <c r="K9" i="5"/>
  <c r="J9" i="5"/>
  <c r="I9" i="5"/>
  <c r="K5" i="5"/>
  <c r="J5" i="5"/>
  <c r="I5" i="5"/>
  <c r="G39" i="5"/>
  <c r="H39" i="5" s="1"/>
  <c r="G38" i="5"/>
  <c r="H38" i="5" s="1"/>
  <c r="G35" i="5"/>
  <c r="H35" i="5" s="1"/>
  <c r="G34" i="5"/>
  <c r="H34" i="5" s="1"/>
  <c r="G27" i="5"/>
  <c r="H27" i="5" s="1"/>
  <c r="G26" i="5"/>
  <c r="H26" i="5" s="1"/>
  <c r="G23" i="5"/>
  <c r="H23" i="5" s="1"/>
  <c r="G22" i="5"/>
  <c r="H22" i="5" s="1"/>
  <c r="G19" i="5"/>
  <c r="H19" i="5" s="1"/>
  <c r="G18" i="5"/>
  <c r="H18" i="5" s="1"/>
  <c r="G11" i="5"/>
  <c r="H11" i="5" s="1"/>
  <c r="G10" i="5"/>
  <c r="H10" i="5" s="1"/>
  <c r="G7" i="5"/>
  <c r="H7" i="5" s="1"/>
  <c r="G6" i="5"/>
  <c r="H6" i="5" s="1"/>
  <c r="F37" i="5"/>
  <c r="E37" i="5"/>
  <c r="D37" i="5"/>
  <c r="C37" i="5"/>
  <c r="F33" i="5"/>
  <c r="E33" i="5"/>
  <c r="D33" i="5"/>
  <c r="C33" i="5"/>
  <c r="F25" i="5"/>
  <c r="E25" i="5"/>
  <c r="D25" i="5"/>
  <c r="C25" i="5"/>
  <c r="F21" i="5"/>
  <c r="E21" i="5"/>
  <c r="D21" i="5"/>
  <c r="C21" i="5"/>
  <c r="F17" i="5"/>
  <c r="E17" i="5"/>
  <c r="D17" i="5"/>
  <c r="C17" i="5"/>
  <c r="F9" i="5"/>
  <c r="E9" i="5"/>
  <c r="D9" i="5"/>
  <c r="C9" i="5"/>
  <c r="E5" i="5"/>
  <c r="F5" i="5"/>
  <c r="D5" i="5"/>
  <c r="C5" i="5"/>
  <c r="AO40" i="28"/>
  <c r="AL29" i="28"/>
  <c r="BA121" i="28"/>
  <c r="BK101" i="28"/>
  <c r="CD114" i="28"/>
  <c r="E110" i="28"/>
  <c r="CE122" i="28"/>
  <c r="O75" i="28"/>
  <c r="AL20" i="28"/>
  <c r="C108" i="28"/>
  <c r="AY120" i="28"/>
  <c r="CP91" i="28"/>
  <c r="G27" i="31"/>
  <c r="F5" i="31"/>
  <c r="AW118" i="28"/>
  <c r="CD39" i="28"/>
  <c r="CD73" i="28"/>
  <c r="CE116" i="28"/>
  <c r="S84" i="28"/>
  <c r="BA113" i="28"/>
  <c r="BJ87" i="28"/>
  <c r="AL90" i="28"/>
  <c r="CQ45" i="28"/>
  <c r="AO106" i="28"/>
  <c r="CO83" i="28"/>
  <c r="CQ78" i="28"/>
  <c r="CC32" i="28"/>
  <c r="CD72" i="28"/>
  <c r="H23" i="31"/>
  <c r="CC83" i="28"/>
  <c r="P57" i="28"/>
  <c r="O14" i="31"/>
  <c r="O97" i="28"/>
  <c r="CQ98" i="28"/>
  <c r="BJ74" i="28"/>
  <c r="K15" i="31"/>
  <c r="CG110" i="28"/>
  <c r="L5" i="31"/>
  <c r="CE40" i="28"/>
  <c r="AM89" i="28"/>
  <c r="AY68" i="28"/>
  <c r="CQ96" i="28"/>
  <c r="D91" i="28"/>
  <c r="G112" i="28"/>
  <c r="C69" i="28"/>
  <c r="CO103" i="28"/>
  <c r="BK96" i="28"/>
  <c r="CO19" i="28"/>
  <c r="P75" i="28"/>
  <c r="S42" i="28"/>
  <c r="AX121" i="28"/>
  <c r="AM81" i="28"/>
  <c r="F15" i="31"/>
  <c r="CD63" i="28"/>
  <c r="CG60" i="28"/>
  <c r="H6" i="31"/>
  <c r="BI73" i="28"/>
  <c r="C49" i="28"/>
  <c r="S44" i="28"/>
  <c r="CG119" i="28"/>
  <c r="AM103" i="28"/>
  <c r="G42" i="28"/>
  <c r="C44" i="28"/>
  <c r="CE84" i="28"/>
  <c r="G24" i="31"/>
  <c r="AK72" i="28"/>
  <c r="CS117" i="28"/>
  <c r="AY109" i="28"/>
  <c r="O44" i="28"/>
  <c r="O36" i="28"/>
  <c r="AO58" i="28"/>
  <c r="M6" i="31"/>
  <c r="CC91" i="28"/>
  <c r="CG55" i="28"/>
  <c r="AY55" i="28"/>
  <c r="AK112" i="28"/>
  <c r="BK28" i="28"/>
  <c r="C102" i="28"/>
  <c r="CO92" i="28"/>
  <c r="D86" i="28"/>
  <c r="E81" i="28"/>
  <c r="AM115" i="28"/>
  <c r="S38" i="28"/>
  <c r="AK27" i="28"/>
  <c r="AW68" i="28"/>
  <c r="O105" i="28"/>
  <c r="CG118" i="28"/>
  <c r="Q25" i="28"/>
  <c r="CS111" i="28"/>
  <c r="H5" i="31"/>
  <c r="AK46" i="28"/>
  <c r="BA85" i="28"/>
  <c r="AW34" i="28"/>
  <c r="G74" i="28"/>
  <c r="CC115" i="28"/>
  <c r="AK25" i="28"/>
  <c r="BA91" i="28"/>
  <c r="BK117" i="28"/>
  <c r="AW28" i="28"/>
  <c r="S46" i="28"/>
  <c r="E109" i="28"/>
  <c r="AK75" i="28"/>
  <c r="CC112" i="28"/>
  <c r="CE19" i="28"/>
  <c r="Q115" i="28"/>
  <c r="CC66" i="28"/>
  <c r="CS72" i="28"/>
  <c r="CP88" i="28"/>
  <c r="G80" i="28"/>
  <c r="CD91" i="28"/>
  <c r="H28" i="31"/>
  <c r="CQ71" i="28"/>
  <c r="S22" i="28"/>
  <c r="CD33" i="28"/>
  <c r="D112" i="28"/>
  <c r="AK54" i="28"/>
  <c r="AO65" i="28"/>
  <c r="BK99" i="28"/>
  <c r="AY111" i="28"/>
  <c r="AL100" i="28"/>
  <c r="CG97" i="28"/>
  <c r="O63" i="28"/>
  <c r="E26" i="31"/>
  <c r="BI31" i="28"/>
  <c r="BJ71" i="28"/>
  <c r="AO83" i="28"/>
  <c r="G34" i="28"/>
  <c r="L24" i="31"/>
  <c r="CS113" i="28"/>
  <c r="CO85" i="28"/>
  <c r="CS67" i="28"/>
  <c r="D15" i="28"/>
  <c r="G59" i="28"/>
  <c r="BK48" i="28"/>
  <c r="CE16" i="28"/>
  <c r="BA39" i="28"/>
  <c r="M17" i="31"/>
  <c r="BI117" i="28"/>
  <c r="BK119" i="28"/>
  <c r="C97" i="28"/>
  <c r="C122" i="28"/>
  <c r="H27" i="31"/>
  <c r="CG92" i="28"/>
  <c r="O6" i="31"/>
  <c r="BK36" i="28"/>
  <c r="E45" i="28"/>
  <c r="Q75" i="28"/>
  <c r="BA96" i="28"/>
  <c r="C110" i="28"/>
  <c r="Q72" i="28"/>
  <c r="CE106" i="28"/>
  <c r="AW86" i="28"/>
  <c r="E101" i="28"/>
  <c r="D54" i="28"/>
  <c r="BK37" i="28"/>
  <c r="AO68" i="28"/>
  <c r="AM118" i="28"/>
  <c r="CS91" i="28"/>
  <c r="E118" i="28"/>
  <c r="D100" i="28"/>
  <c r="CP120" i="28"/>
  <c r="CS65" i="28"/>
  <c r="D114" i="28"/>
  <c r="Q96" i="28"/>
  <c r="AW85" i="28"/>
  <c r="O16" i="28"/>
  <c r="CC94" i="28"/>
  <c r="E30" i="28"/>
  <c r="AY121" i="28"/>
  <c r="O21" i="31"/>
  <c r="CS54" i="28"/>
  <c r="BI107" i="28"/>
  <c r="F28" i="31"/>
  <c r="D84" i="28"/>
  <c r="C71" i="28"/>
  <c r="CQ115" i="28"/>
  <c r="BA106" i="28"/>
  <c r="BA16" i="28"/>
  <c r="BI50" i="28"/>
  <c r="P29" i="28"/>
  <c r="AK74" i="28"/>
  <c r="AX61" i="28"/>
  <c r="E69" i="28"/>
  <c r="AX29" i="28"/>
  <c r="G101" i="28"/>
  <c r="CO46" i="28"/>
  <c r="BJ122" i="28"/>
  <c r="CP108" i="28"/>
  <c r="CO37" i="28"/>
  <c r="AW122" i="28"/>
  <c r="E95" i="28"/>
  <c r="BK79" i="28"/>
  <c r="O40" i="28"/>
  <c r="AY59" i="28"/>
  <c r="CO122" i="28"/>
  <c r="CD107" i="28"/>
  <c r="CE29" i="28"/>
  <c r="CC26" i="28"/>
  <c r="AM51" i="28"/>
  <c r="AL59" i="28"/>
  <c r="AL81" i="28"/>
  <c r="S49" i="28"/>
  <c r="S37" i="28"/>
  <c r="CG57" i="28"/>
  <c r="O12" i="31"/>
  <c r="AX74" i="28"/>
  <c r="AY82" i="28"/>
  <c r="E7" i="31"/>
  <c r="O17" i="31"/>
  <c r="I7" i="31"/>
  <c r="Q51" i="28"/>
  <c r="CO41" i="28"/>
  <c r="AM108" i="28"/>
  <c r="BI53" i="28"/>
  <c r="P86" i="28"/>
  <c r="CG15" i="28"/>
  <c r="AW117" i="28"/>
  <c r="CP116" i="28"/>
  <c r="AW54" i="28"/>
  <c r="O20" i="28"/>
  <c r="CO100" i="28"/>
  <c r="CP15" i="28"/>
  <c r="BK77" i="28"/>
  <c r="AX49" i="28"/>
  <c r="CC51" i="28"/>
  <c r="AK117" i="28"/>
  <c r="CD60" i="28"/>
  <c r="Q38" i="28"/>
  <c r="AK53" i="28"/>
  <c r="AX97" i="28"/>
  <c r="D111" i="28"/>
  <c r="AL114" i="28"/>
  <c r="C85" i="28"/>
  <c r="P110" i="28"/>
  <c r="AW62" i="28"/>
  <c r="AY114" i="28"/>
  <c r="S39" i="28"/>
  <c r="AM47" i="28"/>
  <c r="CS104" i="28"/>
  <c r="CQ106" i="28"/>
  <c r="BJ69" i="28"/>
  <c r="C42" i="28"/>
  <c r="AL93" i="28"/>
  <c r="C121" i="28"/>
  <c r="O104" i="28"/>
  <c r="CG83" i="28"/>
  <c r="C23" i="28"/>
  <c r="CC89" i="28"/>
  <c r="C107" i="28"/>
  <c r="CQ38" i="28"/>
  <c r="Q91" i="28"/>
  <c r="BA92" i="28"/>
  <c r="G26" i="31"/>
  <c r="AO27" i="28"/>
  <c r="CO75" i="28"/>
  <c r="CG113" i="28"/>
  <c r="AL103" i="28"/>
  <c r="I24" i="31"/>
  <c r="CQ104" i="28"/>
  <c r="C46" i="28"/>
  <c r="AW16" i="28"/>
  <c r="CO112" i="28"/>
  <c r="AM39" i="28"/>
  <c r="P114" i="28"/>
  <c r="CS50" i="28"/>
  <c r="AX117" i="28"/>
  <c r="D62" i="28"/>
  <c r="G77" i="28"/>
  <c r="G13" i="31"/>
  <c r="G96" i="28"/>
  <c r="P105" i="28"/>
  <c r="M25" i="31"/>
  <c r="P107" i="28"/>
  <c r="BK93" i="28"/>
  <c r="Q101" i="28"/>
  <c r="D94" i="28"/>
  <c r="CS34" i="28"/>
  <c r="BI119" i="28"/>
  <c r="AL121" i="28"/>
  <c r="G102" i="28"/>
  <c r="AX24" i="28"/>
  <c r="P77" i="28"/>
  <c r="BA58" i="28"/>
  <c r="CC111" i="28"/>
  <c r="AX92" i="28"/>
  <c r="CO121" i="28"/>
  <c r="AW105" i="28"/>
  <c r="CE49" i="28"/>
  <c r="AO85" i="28"/>
  <c r="AM106" i="28"/>
  <c r="BI59" i="28"/>
  <c r="BJ108" i="28"/>
  <c r="AL45" i="28"/>
  <c r="BA101" i="28"/>
  <c r="CQ40" i="28"/>
  <c r="CG95" i="28"/>
  <c r="E122" i="28"/>
  <c r="CS64" i="28"/>
  <c r="AO38" i="28"/>
  <c r="F24" i="31"/>
  <c r="L27" i="31"/>
  <c r="O43" i="28"/>
  <c r="G6" i="31"/>
  <c r="BI40" i="28"/>
  <c r="G106" i="28"/>
  <c r="D80" i="28"/>
  <c r="AY112" i="28"/>
  <c r="H17" i="31"/>
  <c r="O106" i="28"/>
  <c r="AM59" i="28"/>
  <c r="CP121" i="28"/>
  <c r="E21" i="31"/>
  <c r="P61" i="28"/>
  <c r="D21" i="31"/>
  <c r="CQ33" i="28"/>
  <c r="C25" i="28"/>
  <c r="AL57" i="28"/>
  <c r="CG56" i="28"/>
  <c r="AX116" i="28"/>
  <c r="CP97" i="28"/>
  <c r="CC42" i="28"/>
  <c r="P68" i="28"/>
  <c r="CS92" i="28"/>
  <c r="BJ80" i="28"/>
  <c r="G107" i="28"/>
  <c r="AK18" i="28"/>
  <c r="Q93" i="28"/>
  <c r="AL99" i="28"/>
  <c r="CD29" i="28"/>
  <c r="AK17" i="28"/>
  <c r="E113" i="28"/>
  <c r="CP78" i="28"/>
  <c r="K9" i="31"/>
  <c r="CO114" i="28"/>
  <c r="AM92" i="28"/>
  <c r="AY88" i="28"/>
  <c r="AY115" i="28"/>
  <c r="CS93" i="28"/>
  <c r="N21" i="31"/>
  <c r="G75" i="28"/>
  <c r="AM101" i="28"/>
  <c r="AM91" i="28"/>
  <c r="BJ115" i="28"/>
  <c r="CQ111" i="28"/>
  <c r="AM90" i="28"/>
  <c r="BA26" i="28"/>
  <c r="BA104" i="28"/>
  <c r="J13" i="31"/>
  <c r="CQ88" i="28"/>
  <c r="S119" i="28"/>
  <c r="CP115" i="28"/>
  <c r="E53" i="28"/>
  <c r="AY77" i="28"/>
  <c r="CS28" i="28"/>
  <c r="AL25" i="28"/>
  <c r="E34" i="28"/>
  <c r="AY41" i="28"/>
  <c r="E85" i="28"/>
  <c r="AM62" i="28"/>
  <c r="CD78" i="28"/>
  <c r="C18" i="28"/>
  <c r="CO29" i="28"/>
  <c r="S31" i="28"/>
  <c r="AY98" i="28"/>
  <c r="CG90" i="28"/>
  <c r="G88" i="28"/>
  <c r="C38" i="28"/>
  <c r="E22" i="28"/>
  <c r="AM68" i="28"/>
  <c r="CS19" i="28"/>
  <c r="I14" i="31"/>
  <c r="P78" i="28"/>
  <c r="Q86" i="28"/>
  <c r="K12" i="31"/>
  <c r="BA32" i="28"/>
  <c r="CO71" i="28"/>
  <c r="O47" i="28"/>
  <c r="BA82" i="28"/>
  <c r="BJ105" i="28"/>
  <c r="C91" i="28"/>
  <c r="CS76" i="28"/>
  <c r="BA68" i="28"/>
  <c r="E79" i="28"/>
  <c r="AW43" i="28"/>
  <c r="BI41" i="28"/>
  <c r="CG24" i="28"/>
  <c r="D92" i="28"/>
  <c r="CS82" i="28"/>
  <c r="O23" i="31"/>
  <c r="I13" i="31"/>
  <c r="BI74" i="28"/>
  <c r="CQ80" i="28"/>
  <c r="E12" i="31"/>
  <c r="CP16" i="28"/>
  <c r="BA80" i="28"/>
  <c r="BK92" i="28"/>
  <c r="O107" i="28"/>
  <c r="CQ44" i="28"/>
  <c r="S96" i="28"/>
  <c r="AL79" i="28"/>
  <c r="BA42" i="28"/>
  <c r="CG68" i="28"/>
  <c r="AM18" i="28"/>
  <c r="CE91" i="28"/>
  <c r="BI29" i="28"/>
  <c r="P15" i="28"/>
  <c r="G63" i="28"/>
  <c r="CP92" i="28"/>
  <c r="Q67" i="28"/>
  <c r="AK57" i="28"/>
  <c r="S68" i="28"/>
  <c r="CD115" i="28"/>
  <c r="Q108" i="28"/>
  <c r="S88" i="28"/>
  <c r="BI87" i="28"/>
  <c r="AL15" i="28"/>
  <c r="AL85" i="28"/>
  <c r="CC106" i="28"/>
  <c r="E99" i="28"/>
  <c r="O100" i="28"/>
  <c r="O99" i="28"/>
  <c r="S120" i="28"/>
  <c r="E31" i="28"/>
  <c r="CO39" i="28"/>
  <c r="C73" i="28"/>
  <c r="AW115" i="28"/>
  <c r="AK20" i="28"/>
  <c r="K28" i="31"/>
  <c r="BI101" i="28"/>
  <c r="C84" i="28"/>
  <c r="CO58" i="28"/>
  <c r="L12" i="31"/>
  <c r="CE87" i="28"/>
  <c r="D7" i="31"/>
  <c r="G70" i="28"/>
  <c r="CO90" i="28"/>
  <c r="P23" i="28"/>
  <c r="AK51" i="28"/>
  <c r="CD92" i="28"/>
  <c r="AM74" i="28"/>
  <c r="BA84" i="28"/>
  <c r="CD93" i="28"/>
  <c r="E60" i="28"/>
  <c r="BK120" i="28"/>
  <c r="BA41" i="28"/>
  <c r="I5" i="31"/>
  <c r="AK65" i="28"/>
  <c r="CQ74" i="28"/>
  <c r="E33" i="28"/>
  <c r="E63" i="28"/>
  <c r="P53" i="28"/>
  <c r="E92" i="28"/>
  <c r="AK62" i="28"/>
  <c r="E120" i="28"/>
  <c r="CG19" i="28"/>
  <c r="G85" i="28"/>
  <c r="CO81" i="28"/>
  <c r="S111" i="28"/>
  <c r="P17" i="28"/>
  <c r="D109" i="28"/>
  <c r="K7" i="31"/>
  <c r="G44" i="28"/>
  <c r="CG98" i="28"/>
  <c r="D27" i="28"/>
  <c r="CE77" i="28"/>
  <c r="CC31" i="28"/>
  <c r="BK110" i="28"/>
  <c r="AM83" i="28"/>
  <c r="BA111" i="28"/>
  <c r="AK115" i="28"/>
  <c r="C86" i="28"/>
  <c r="E105" i="28"/>
  <c r="AK44" i="28"/>
  <c r="S18" i="28"/>
  <c r="CQ110" i="28"/>
  <c r="BI37" i="28"/>
  <c r="BI30" i="28"/>
  <c r="Q73" i="28"/>
  <c r="CG16" i="28"/>
  <c r="AX65" i="28"/>
  <c r="O96" i="28"/>
  <c r="CG82" i="28"/>
  <c r="AM96" i="28"/>
  <c r="CD106" i="28"/>
  <c r="AY85" i="28"/>
  <c r="Q32" i="28"/>
  <c r="AO60" i="28"/>
  <c r="CG54" i="28"/>
  <c r="CQ79" i="28"/>
  <c r="CC86" i="28"/>
  <c r="BK52" i="28"/>
  <c r="CP75" i="28"/>
  <c r="CD48" i="28"/>
  <c r="D26" i="28"/>
  <c r="AX48" i="28"/>
  <c r="E56" i="28"/>
  <c r="CD25" i="28"/>
  <c r="O28" i="31"/>
  <c r="AX113" i="28"/>
  <c r="BI58" i="28"/>
  <c r="AO93" i="28"/>
  <c r="CE25" i="28"/>
  <c r="CD118" i="28"/>
  <c r="S100" i="28"/>
  <c r="D110" i="28"/>
  <c r="CO113" i="28"/>
  <c r="F9" i="31"/>
  <c r="BJ76" i="28"/>
  <c r="BA70" i="28"/>
  <c r="CP53" i="28"/>
  <c r="CD70" i="28"/>
  <c r="BI109" i="28"/>
  <c r="CG85" i="28"/>
  <c r="BK102" i="28"/>
  <c r="F21" i="31"/>
  <c r="AY122" i="28"/>
  <c r="AW119" i="28"/>
  <c r="AW44" i="28"/>
  <c r="M15" i="31"/>
  <c r="BI98" i="28"/>
  <c r="BJ120" i="28"/>
  <c r="AY71" i="28"/>
  <c r="AM79" i="28"/>
  <c r="CG84" i="28"/>
  <c r="CP72" i="28"/>
  <c r="C30" i="28"/>
  <c r="E94" i="28"/>
  <c r="O46" i="28"/>
  <c r="CD109" i="28"/>
  <c r="F6" i="31"/>
  <c r="AX69" i="28"/>
  <c r="BA57" i="28"/>
  <c r="BA28" i="28"/>
  <c r="AL122" i="28"/>
  <c r="E24" i="31"/>
  <c r="CE97" i="28"/>
  <c r="E9" i="31"/>
  <c r="G46" i="28"/>
  <c r="CQ69" i="28"/>
  <c r="D75" i="28"/>
  <c r="AM88" i="28"/>
  <c r="CD28" i="28"/>
  <c r="D13" i="31"/>
  <c r="CO22" i="28"/>
  <c r="CD69" i="28"/>
  <c r="CC60" i="28"/>
  <c r="BI92" i="28"/>
  <c r="AO96" i="28"/>
  <c r="AK29" i="28"/>
  <c r="AK119" i="28"/>
  <c r="C54" i="28"/>
  <c r="CE86" i="28"/>
  <c r="CP50" i="28"/>
  <c r="BJ70" i="28"/>
  <c r="AM78" i="28"/>
  <c r="S62" i="28"/>
  <c r="P49" i="28"/>
  <c r="CC100" i="28"/>
  <c r="BA118" i="28"/>
  <c r="G25" i="31"/>
  <c r="AM17" i="28"/>
  <c r="AO16" i="28"/>
  <c r="CQ55" i="28"/>
  <c r="BA30" i="28"/>
  <c r="BA60" i="28"/>
  <c r="AK68" i="28"/>
  <c r="AY72" i="28"/>
  <c r="AM114" i="28"/>
  <c r="C72" i="28"/>
  <c r="Q112" i="28"/>
  <c r="AL117" i="28"/>
  <c r="BK61" i="28"/>
  <c r="S30" i="28"/>
  <c r="E116" i="28"/>
  <c r="H12" i="31"/>
  <c r="BJ97" i="28"/>
  <c r="AL68" i="28"/>
  <c r="P21" i="28"/>
  <c r="BK90" i="28"/>
  <c r="CS59" i="28"/>
  <c r="CE61" i="28"/>
  <c r="AW77" i="28"/>
  <c r="CC104" i="28"/>
  <c r="AX33" i="28"/>
  <c r="CC71" i="28"/>
  <c r="P113" i="28"/>
  <c r="D51" i="28"/>
  <c r="BA40" i="28"/>
  <c r="E58" i="28"/>
  <c r="D115" i="28"/>
  <c r="AM55" i="28"/>
  <c r="F23" i="31"/>
  <c r="G47" i="28"/>
  <c r="CQ47" i="28"/>
  <c r="BA46" i="28"/>
  <c r="G118" i="28"/>
  <c r="CC69" i="28"/>
  <c r="AW17" i="28"/>
  <c r="P94" i="28"/>
  <c r="AW66" i="28"/>
  <c r="BA117" i="28"/>
  <c r="AW51" i="28"/>
  <c r="C104" i="28"/>
  <c r="D19" i="28"/>
  <c r="G7" i="31"/>
  <c r="CS49" i="28"/>
  <c r="CO120" i="28"/>
  <c r="F25" i="31"/>
  <c r="BJ113" i="28"/>
  <c r="S60" i="28"/>
  <c r="BJ116" i="28"/>
  <c r="BK98" i="28"/>
  <c r="BK54" i="28"/>
  <c r="BI97" i="28"/>
  <c r="AM102" i="28"/>
  <c r="Q98" i="28"/>
  <c r="O41" i="28"/>
  <c r="CG71" i="28"/>
  <c r="CP62" i="28"/>
  <c r="AO90" i="28"/>
  <c r="AX99" i="28"/>
  <c r="H11" i="31"/>
  <c r="CG48" i="28"/>
  <c r="Q50" i="28"/>
  <c r="AO110" i="28"/>
  <c r="BK78" i="28"/>
  <c r="C39" i="28"/>
  <c r="J28" i="31"/>
  <c r="E114" i="28"/>
  <c r="D44" i="28"/>
  <c r="G110" i="28"/>
  <c r="AL102" i="28"/>
  <c r="AY117" i="28"/>
  <c r="CD88" i="28"/>
  <c r="BK31" i="28"/>
  <c r="CQ91" i="28"/>
  <c r="AX119" i="28"/>
  <c r="I12" i="31"/>
  <c r="O101" i="28"/>
  <c r="C29" i="28"/>
  <c r="E11" i="31"/>
  <c r="CC56" i="28"/>
  <c r="CP103" i="28"/>
  <c r="AM97" i="28"/>
  <c r="D102" i="28"/>
  <c r="AW95" i="28"/>
  <c r="D121" i="28"/>
  <c r="CP90" i="28"/>
  <c r="CG107" i="28"/>
  <c r="S87" i="28"/>
  <c r="J15" i="31"/>
  <c r="CE43" i="28"/>
  <c r="O120" i="28"/>
  <c r="AY97" i="28"/>
  <c r="J24" i="31"/>
  <c r="AW39" i="28"/>
  <c r="M14" i="31"/>
  <c r="AY103" i="28"/>
  <c r="CO55" i="28"/>
  <c r="O98" i="28"/>
  <c r="J5" i="31"/>
  <c r="CD59" i="28"/>
  <c r="CE105" i="28"/>
  <c r="BI86" i="28"/>
  <c r="K5" i="31"/>
  <c r="N11" i="31"/>
  <c r="O83" i="28"/>
  <c r="AW50" i="28"/>
  <c r="E77" i="28"/>
  <c r="BA105" i="28"/>
  <c r="G89" i="28"/>
  <c r="CO95" i="28"/>
  <c r="CO87" i="28"/>
  <c r="CQ60" i="28"/>
  <c r="C65" i="28"/>
  <c r="BA38" i="28"/>
  <c r="E15" i="31"/>
  <c r="K13" i="31"/>
  <c r="AO111" i="28"/>
  <c r="AM99" i="28"/>
  <c r="AM23" i="28"/>
  <c r="AL53" i="28"/>
  <c r="CO77" i="28"/>
  <c r="CD86" i="28"/>
  <c r="O54" i="28"/>
  <c r="AL36" i="28"/>
  <c r="BK65" i="28"/>
  <c r="S105" i="28"/>
  <c r="O117" i="28"/>
  <c r="S28" i="28"/>
  <c r="BJ118" i="28"/>
  <c r="O27" i="28"/>
  <c r="BA19" i="28"/>
  <c r="CP52" i="28"/>
  <c r="E28" i="31"/>
  <c r="BI80" i="28"/>
  <c r="CE121" i="28"/>
  <c r="CC99" i="28"/>
  <c r="E51" i="28"/>
  <c r="CP98" i="28"/>
  <c r="AL70" i="28"/>
  <c r="CC73" i="28"/>
  <c r="CQ51" i="28"/>
  <c r="CS25" i="28"/>
  <c r="AY116" i="28"/>
  <c r="N15" i="31"/>
  <c r="AY102" i="28"/>
  <c r="C37" i="28"/>
  <c r="G20" i="28"/>
  <c r="AK23" i="28"/>
  <c r="D106" i="28"/>
  <c r="BA48" i="28"/>
  <c r="O48" i="28"/>
  <c r="BK91" i="28"/>
  <c r="CP94" i="28"/>
  <c r="BA54" i="28"/>
  <c r="BK94" i="28"/>
  <c r="CP85" i="28"/>
  <c r="P90" i="28"/>
  <c r="CP45" i="28"/>
  <c r="CP58" i="28"/>
  <c r="AM113" i="28"/>
  <c r="O80" i="28"/>
  <c r="CP114" i="28"/>
  <c r="AK94" i="28"/>
  <c r="AL77" i="28"/>
  <c r="CO107" i="28"/>
  <c r="AX55" i="28"/>
  <c r="BJ96" i="28"/>
  <c r="O24" i="28"/>
  <c r="P120" i="28"/>
  <c r="AO80" i="28"/>
  <c r="BI122" i="28"/>
  <c r="G108" i="28"/>
  <c r="Q70" i="28"/>
  <c r="CS122" i="28"/>
  <c r="AK105" i="28"/>
  <c r="AL96" i="28"/>
  <c r="C76" i="28"/>
  <c r="BI118" i="28"/>
  <c r="O9" i="31"/>
  <c r="AK87" i="28"/>
  <c r="CQ90" i="28"/>
  <c r="O35" i="28"/>
  <c r="AK22" i="28"/>
  <c r="G15" i="28"/>
  <c r="BI82" i="28"/>
  <c r="Q58" i="28"/>
  <c r="O66" i="28"/>
  <c r="BA51" i="28"/>
  <c r="AK97" i="28"/>
  <c r="AW106" i="28"/>
  <c r="S54" i="28"/>
  <c r="CG63" i="28"/>
  <c r="J21" i="31"/>
  <c r="CG41" i="28"/>
  <c r="AX94" i="28"/>
  <c r="AO56" i="28"/>
  <c r="CD55" i="28"/>
  <c r="G84" i="28"/>
  <c r="CP29" i="28"/>
  <c r="CG101" i="28"/>
  <c r="AK107" i="28"/>
  <c r="AL78" i="28"/>
  <c r="CC110" i="28"/>
  <c r="E25" i="31"/>
  <c r="G98" i="28"/>
  <c r="AK95" i="28"/>
  <c r="E17" i="31"/>
  <c r="CC81" i="28"/>
  <c r="E89" i="28"/>
  <c r="J27" i="31"/>
  <c r="CQ89" i="28"/>
  <c r="CS88" i="28"/>
  <c r="BK23" i="28"/>
  <c r="AK118" i="28"/>
  <c r="CP118" i="28"/>
  <c r="M12" i="31"/>
  <c r="AX15" i="28"/>
  <c r="BK47" i="28"/>
  <c r="P98" i="28"/>
  <c r="CE32" i="28"/>
  <c r="CO45" i="28"/>
  <c r="L14" i="31"/>
  <c r="CP80" i="28"/>
  <c r="D70" i="28"/>
  <c r="Q37" i="28"/>
  <c r="BK80" i="28"/>
  <c r="CG88" i="28"/>
  <c r="CP46" i="28"/>
  <c r="Q59" i="28"/>
  <c r="CE42" i="28"/>
  <c r="D73" i="28"/>
  <c r="Q110" i="28"/>
  <c r="C43" i="28"/>
  <c r="CP18" i="28"/>
  <c r="CO56" i="28"/>
  <c r="AL76" i="28"/>
  <c r="S77" i="28"/>
  <c r="O71" i="28"/>
  <c r="AL98" i="28"/>
  <c r="AY74" i="28"/>
  <c r="S122" i="28"/>
  <c r="AM95" i="28"/>
  <c r="CO43" i="28"/>
  <c r="E93" i="28"/>
  <c r="BI88" i="28"/>
  <c r="D82" i="28"/>
  <c r="AM73" i="28"/>
  <c r="H14" i="31"/>
  <c r="AY101" i="28"/>
  <c r="C88" i="28"/>
  <c r="AM104" i="28"/>
  <c r="Q104" i="28"/>
  <c r="BI18" i="28"/>
  <c r="AW83" i="28"/>
  <c r="CD119" i="28"/>
  <c r="S59" i="28"/>
  <c r="BJ95" i="28"/>
  <c r="CP31" i="28"/>
  <c r="C90" i="28"/>
  <c r="G55" i="28"/>
  <c r="BA108" i="28"/>
  <c r="S43" i="28"/>
  <c r="AY81" i="28"/>
  <c r="BA102" i="28"/>
  <c r="C98" i="28"/>
  <c r="P100" i="28"/>
  <c r="AK108" i="28"/>
  <c r="AO17" i="28"/>
  <c r="G67" i="28"/>
  <c r="CG108" i="28"/>
  <c r="S101" i="28"/>
  <c r="D59" i="28"/>
  <c r="S80" i="28"/>
  <c r="CC75" i="28"/>
  <c r="CO28" i="28"/>
  <c r="CC37" i="28"/>
  <c r="BJ109" i="28"/>
  <c r="O90" i="28"/>
  <c r="CC43" i="28"/>
  <c r="CP60" i="28"/>
  <c r="H15" i="31"/>
  <c r="AM109" i="28"/>
  <c r="L11" i="31"/>
  <c r="CE17" i="28"/>
  <c r="N6" i="31"/>
  <c r="C75" i="28"/>
  <c r="G45" i="28"/>
  <c r="BJ103" i="28"/>
  <c r="Q106" i="28"/>
  <c r="G37" i="28"/>
  <c r="D77" i="28"/>
  <c r="CE78" i="28"/>
  <c r="O45" i="28"/>
  <c r="S27" i="28"/>
  <c r="AX20" i="28"/>
  <c r="P104" i="28"/>
  <c r="AY32" i="28"/>
  <c r="CG28" i="28"/>
  <c r="C24" i="28"/>
  <c r="F14" i="31"/>
  <c r="D49" i="28"/>
  <c r="AX19" i="28"/>
  <c r="Q20" i="28"/>
  <c r="AO81" i="28"/>
  <c r="AY69" i="28"/>
  <c r="P82" i="28"/>
  <c r="Q55" i="28"/>
  <c r="C89" i="28"/>
  <c r="S102" i="28"/>
  <c r="BK69" i="28"/>
  <c r="CE50" i="28"/>
  <c r="BK70" i="28"/>
  <c r="CS98" i="28"/>
  <c r="CO34" i="28"/>
  <c r="K27" i="31"/>
  <c r="AW48" i="28"/>
  <c r="AY100" i="28"/>
  <c r="CQ85" i="28"/>
  <c r="AY66" i="28"/>
  <c r="D118" i="28"/>
  <c r="CG27" i="28"/>
  <c r="CC47" i="28"/>
  <c r="E112" i="28"/>
  <c r="O102" i="28"/>
  <c r="CP4" i="28"/>
  <c r="CE98" i="28"/>
  <c r="CP61" i="28"/>
  <c r="AK36" i="28"/>
  <c r="AX72" i="28"/>
  <c r="CS96" i="28"/>
  <c r="AY15" i="28"/>
  <c r="S48" i="28"/>
  <c r="AM67" i="28"/>
  <c r="CS120" i="28"/>
  <c r="E65" i="28"/>
  <c r="G68" i="28"/>
  <c r="G119" i="28"/>
  <c r="J23" i="31"/>
  <c r="AO23" i="28"/>
  <c r="G100" i="28"/>
  <c r="CG86" i="28"/>
  <c r="CO50" i="28"/>
  <c r="CO35" i="28"/>
  <c r="H21" i="31"/>
  <c r="G111" i="28"/>
  <c r="AY106" i="28"/>
  <c r="AX115" i="28"/>
  <c r="AW114" i="28"/>
  <c r="CQ68" i="28"/>
  <c r="CG109" i="28"/>
  <c r="G19" i="28"/>
  <c r="G116" i="28"/>
  <c r="D5" i="31"/>
  <c r="AK58" i="28"/>
  <c r="AW110" i="28"/>
  <c r="AO29" i="28"/>
  <c r="CQ18" i="28"/>
  <c r="AO105" i="28"/>
  <c r="Q43" i="28"/>
  <c r="Q102" i="28"/>
  <c r="CO49" i="28"/>
  <c r="G39" i="28"/>
  <c r="CO48" i="28"/>
  <c r="AK55" i="28"/>
  <c r="D50" i="28"/>
  <c r="BJ101" i="28"/>
  <c r="AL43" i="28"/>
  <c r="D32" i="28"/>
  <c r="AY42" i="28"/>
  <c r="D33" i="28"/>
  <c r="CC119" i="28"/>
  <c r="CE24" i="28"/>
  <c r="AW46" i="28"/>
  <c r="AX57" i="28"/>
  <c r="BI94" i="28"/>
  <c r="P103" i="28"/>
  <c r="CE69" i="28"/>
  <c r="E41" i="28"/>
  <c r="BJ121" i="28"/>
  <c r="AW74" i="28"/>
  <c r="P102" i="28"/>
  <c r="CP110" i="28"/>
  <c r="Q90" i="28"/>
  <c r="BA25" i="28"/>
  <c r="G104" i="28"/>
  <c r="E87" i="28"/>
  <c r="AW113" i="28"/>
  <c r="D37" i="28"/>
  <c r="I17" i="31"/>
  <c r="CC65" i="28"/>
  <c r="G105" i="28"/>
  <c r="CO102" i="28"/>
  <c r="CC18" i="28"/>
  <c r="P116" i="28"/>
  <c r="CE68" i="28"/>
  <c r="O24" i="31"/>
  <c r="CP56" i="28"/>
  <c r="G90" i="28"/>
  <c r="C83" i="28"/>
  <c r="G53" i="28"/>
  <c r="P91" i="28"/>
  <c r="AK15" i="28"/>
  <c r="S58" i="28"/>
  <c r="CD4" i="28"/>
  <c r="E111" i="28"/>
  <c r="S55" i="28"/>
  <c r="BA62" i="28"/>
  <c r="L17" i="31"/>
  <c r="CC121" i="28"/>
  <c r="CD35" i="28"/>
  <c r="BJ104" i="28"/>
  <c r="AL72" i="28"/>
  <c r="P96" i="28"/>
  <c r="CD41" i="28"/>
  <c r="AW49" i="28"/>
  <c r="CQ95" i="28"/>
  <c r="G17" i="31"/>
  <c r="CO66" i="28"/>
  <c r="AO120" i="28"/>
  <c r="C74" i="28"/>
  <c r="C79" i="28"/>
  <c r="BK109" i="28"/>
  <c r="I21" i="31"/>
  <c r="AM41" i="28"/>
  <c r="P84" i="28"/>
  <c r="BI120" i="28"/>
  <c r="I6" i="31"/>
  <c r="AO116" i="28"/>
  <c r="D122" i="28"/>
  <c r="AW102" i="28"/>
  <c r="N5" i="31"/>
  <c r="CE96" i="28"/>
  <c r="AW89" i="28"/>
  <c r="AW29" i="28"/>
  <c r="E57" i="28"/>
  <c r="C112" i="28"/>
  <c r="CE93" i="28"/>
  <c r="BK57" i="28"/>
  <c r="AM107" i="28"/>
  <c r="AL104" i="28"/>
  <c r="O7" i="31"/>
  <c r="CP26" i="28"/>
  <c r="AK101" i="28"/>
  <c r="AL40" i="28"/>
  <c r="AK26" i="28"/>
  <c r="C116" i="28"/>
  <c r="AO39" i="28"/>
  <c r="G38" i="28"/>
  <c r="K14" i="31"/>
  <c r="BJ86" i="28"/>
  <c r="E50" i="28"/>
  <c r="AL71" i="28"/>
  <c r="AM80" i="28"/>
  <c r="G76" i="28"/>
  <c r="E28" i="28"/>
  <c r="P115" i="28"/>
  <c r="E107" i="28"/>
  <c r="BA72" i="28"/>
  <c r="G66" i="28"/>
  <c r="Q49" i="28"/>
  <c r="Q122" i="28"/>
  <c r="G122" i="28"/>
  <c r="CD42" i="28"/>
  <c r="AO102" i="28"/>
  <c r="CP79" i="28"/>
  <c r="CS101" i="28"/>
  <c r="BK89" i="28"/>
  <c r="BK43" i="28"/>
  <c r="AK28" i="28"/>
  <c r="CD20" i="28"/>
  <c r="BI90" i="28"/>
  <c r="CO76" i="28"/>
  <c r="CQ50" i="28"/>
  <c r="G72" i="28"/>
  <c r="AO41" i="28"/>
  <c r="AX28" i="28"/>
  <c r="BA66" i="28"/>
  <c r="CS83" i="28"/>
  <c r="AY30" i="28"/>
  <c r="CS18" i="28"/>
  <c r="G117" i="28"/>
  <c r="CG80" i="28"/>
  <c r="CQ16" i="28"/>
  <c r="CP95" i="28"/>
  <c r="AW72" i="28"/>
  <c r="CO94" i="28"/>
  <c r="BK46" i="28"/>
  <c r="Q120" i="28"/>
  <c r="E68" i="28"/>
  <c r="E55" i="28"/>
  <c r="AO44" i="28"/>
  <c r="AL86" i="28"/>
  <c r="E108" i="28"/>
  <c r="BI55" i="28"/>
  <c r="BK60" i="28"/>
  <c r="AW120" i="28"/>
  <c r="CQ58" i="28"/>
  <c r="AW27" i="28"/>
  <c r="AK33" i="28"/>
  <c r="AO76" i="28"/>
  <c r="CP54" i="28"/>
  <c r="CG30" i="28"/>
  <c r="CC62" i="28"/>
  <c r="AK122" i="28"/>
  <c r="O68" i="28"/>
  <c r="AW55" i="28"/>
  <c r="BK30" i="28"/>
  <c r="G11" i="31"/>
  <c r="N14" i="31"/>
  <c r="CO62" i="28"/>
  <c r="AW96" i="28"/>
  <c r="CE88" i="28"/>
  <c r="O116" i="28"/>
  <c r="S112" i="28"/>
  <c r="N26" i="31"/>
  <c r="L23" i="31"/>
  <c r="AW59" i="28"/>
  <c r="AX86" i="28"/>
  <c r="N25" i="31"/>
  <c r="AK73" i="28"/>
  <c r="CG72" i="28"/>
  <c r="O77" i="28"/>
  <c r="CE100" i="28"/>
  <c r="O121" i="28"/>
  <c r="O95" i="28"/>
  <c r="P34" i="28"/>
  <c r="CD77" i="28"/>
  <c r="N9" i="31"/>
  <c r="CS87" i="28"/>
  <c r="AW80" i="28"/>
  <c r="O26" i="31"/>
  <c r="AO32" i="28"/>
  <c r="CC93" i="28"/>
  <c r="CD90" i="28"/>
  <c r="CQ82" i="28"/>
  <c r="BA86" i="28"/>
  <c r="CC16" i="28"/>
  <c r="CS37" i="28"/>
  <c r="AL4" i="28"/>
  <c r="CD76" i="28"/>
  <c r="C115" i="28"/>
  <c r="S81" i="28"/>
  <c r="E25" i="28"/>
  <c r="E15" i="28"/>
  <c r="BK63" i="28"/>
  <c r="CD65" i="28"/>
  <c r="S108" i="28"/>
  <c r="CQ57" i="28"/>
  <c r="AK91" i="28"/>
  <c r="CP81" i="28"/>
  <c r="AO88" i="28"/>
  <c r="CP83" i="28"/>
  <c r="CP99" i="28"/>
  <c r="C109" i="28"/>
  <c r="CC114" i="28"/>
  <c r="Q80" i="28"/>
  <c r="Q121" i="28"/>
  <c r="BA43" i="28"/>
  <c r="BI81" i="28"/>
  <c r="AO33" i="28"/>
  <c r="CQ41" i="28"/>
  <c r="P69" i="28"/>
  <c r="AX77" i="28"/>
  <c r="Q45" i="28"/>
  <c r="K23" i="31"/>
  <c r="CC118" i="28"/>
  <c r="AX85" i="28"/>
  <c r="AY95" i="28"/>
  <c r="P87" i="28"/>
  <c r="AX34" i="28"/>
  <c r="E49" i="28"/>
  <c r="D99" i="28"/>
  <c r="BI70" i="28"/>
  <c r="AO112" i="28"/>
  <c r="CD89" i="28"/>
  <c r="AK109" i="28"/>
  <c r="CS106" i="28"/>
  <c r="CD46" i="28"/>
  <c r="CO54" i="28"/>
  <c r="D56" i="28"/>
  <c r="D116" i="28"/>
  <c r="CE108" i="28"/>
  <c r="CP93" i="28"/>
  <c r="G49" i="28"/>
  <c r="BK66" i="28"/>
  <c r="G28" i="31"/>
  <c r="D66" i="28"/>
  <c r="CG67" i="28"/>
  <c r="CG111" i="28"/>
  <c r="L21" i="31"/>
  <c r="AO66" i="28"/>
  <c r="E75" i="28"/>
  <c r="Q42" i="28"/>
  <c r="P112" i="28"/>
  <c r="G15" i="31"/>
  <c r="P88" i="28"/>
  <c r="CO116" i="28"/>
  <c r="C51" i="28"/>
  <c r="CC17" i="28"/>
  <c r="CC39" i="28"/>
  <c r="S95" i="28"/>
  <c r="D74" i="28"/>
  <c r="D69" i="28"/>
  <c r="AY91" i="28"/>
  <c r="AK66" i="28"/>
  <c r="BI79" i="28"/>
  <c r="E83" i="28"/>
  <c r="AX105" i="28"/>
  <c r="CE35" i="28"/>
  <c r="AY31" i="28"/>
  <c r="BI61" i="28"/>
  <c r="CC21" i="28"/>
  <c r="D6" i="31"/>
  <c r="CC95" i="28"/>
  <c r="CP107" i="28"/>
  <c r="AL66" i="28"/>
  <c r="AX45" i="28"/>
  <c r="CE101" i="28"/>
  <c r="M13" i="31"/>
  <c r="D101" i="28"/>
  <c r="BI45" i="28"/>
  <c r="H9" i="31"/>
  <c r="AK16" i="28"/>
  <c r="BI93" i="28"/>
  <c r="CS68" i="28"/>
  <c r="AY107" i="28"/>
  <c r="M11" i="31"/>
  <c r="CQ43" i="28"/>
  <c r="D38" i="28"/>
  <c r="AW25" i="28"/>
  <c r="D61" i="28"/>
  <c r="F12" i="31"/>
  <c r="CC54" i="28"/>
  <c r="E103" i="28"/>
  <c r="AK81" i="28"/>
  <c r="E78" i="28"/>
  <c r="CS70" i="28"/>
  <c r="E62" i="28"/>
  <c r="AY99" i="28"/>
  <c r="AY79" i="28"/>
  <c r="AM112" i="28"/>
  <c r="CP66" i="28"/>
  <c r="CG20" i="28"/>
  <c r="I11" i="31"/>
  <c r="BA78" i="28"/>
  <c r="AX120" i="28"/>
  <c r="Q87" i="28"/>
  <c r="CP96" i="28"/>
  <c r="AK106" i="28"/>
  <c r="C57" i="28"/>
  <c r="CD120" i="28"/>
  <c r="CO78" i="28"/>
  <c r="Q39" i="28"/>
  <c r="CG65" i="28"/>
  <c r="AX112" i="28"/>
  <c r="CO86" i="28"/>
  <c r="CD32" i="28"/>
  <c r="BK122" i="28"/>
  <c r="CS26" i="28"/>
  <c r="CE63" i="28"/>
  <c r="CQ62" i="28"/>
  <c r="D14" i="31"/>
  <c r="D79" i="28"/>
  <c r="BA75" i="28"/>
  <c r="CP100" i="28"/>
  <c r="CG45" i="28"/>
  <c r="AK77" i="28"/>
  <c r="CC53" i="28"/>
  <c r="O56" i="28"/>
  <c r="D81" i="28"/>
  <c r="CS103" i="28"/>
  <c r="AX107" i="28"/>
  <c r="AL16" i="28"/>
  <c r="CE71" i="28"/>
  <c r="CC29" i="28"/>
  <c r="BJ91" i="28"/>
  <c r="AL74" i="28"/>
  <c r="CG39" i="28"/>
  <c r="AW78" i="28"/>
  <c r="AX122" i="28"/>
  <c r="CC38" i="28"/>
  <c r="BI15" i="28"/>
  <c r="D67" i="28"/>
  <c r="C87" i="28"/>
  <c r="C93" i="28"/>
  <c r="CD68" i="28"/>
  <c r="BI84" i="28"/>
  <c r="G99" i="28"/>
  <c r="CP41" i="28"/>
  <c r="BK34" i="28"/>
  <c r="J6" i="31"/>
  <c r="BI63" i="28"/>
  <c r="CC27" i="28"/>
  <c r="CO25" i="28"/>
  <c r="AW82" i="28"/>
  <c r="AY90" i="28"/>
  <c r="CG53" i="28"/>
  <c r="CQ121" i="28"/>
  <c r="C19" i="28"/>
  <c r="CE37" i="28"/>
  <c r="E27" i="31"/>
  <c r="CC34" i="28"/>
  <c r="AM61" i="28"/>
  <c r="AO19" i="28"/>
  <c r="AO79" i="28"/>
  <c r="Q88" i="28"/>
  <c r="P76" i="28"/>
  <c r="P92" i="28"/>
  <c r="CE15" i="28"/>
  <c r="AX89" i="28"/>
  <c r="S40" i="28"/>
  <c r="AL19" i="28"/>
  <c r="AL65" i="28"/>
  <c r="BI25" i="28"/>
  <c r="CQ25" i="28"/>
  <c r="AL105" i="28"/>
  <c r="CS107" i="28"/>
  <c r="BK107" i="28"/>
  <c r="CE70" i="28"/>
  <c r="AW24" i="28"/>
  <c r="P83" i="28"/>
  <c r="CG76" i="28"/>
  <c r="CQ105" i="28"/>
  <c r="AK32" i="28"/>
  <c r="CC46" i="28"/>
  <c r="AK69" i="28"/>
  <c r="BJ85" i="28"/>
  <c r="CO82" i="28"/>
  <c r="CQ72" i="28"/>
  <c r="CE75" i="28"/>
  <c r="CD84" i="28"/>
  <c r="BK39" i="28"/>
  <c r="D108" i="28"/>
  <c r="BI100" i="28"/>
  <c r="Q27" i="28"/>
  <c r="BK86" i="28"/>
  <c r="AW88" i="28"/>
  <c r="E42" i="28"/>
  <c r="CG77" i="28"/>
  <c r="AO89" i="28"/>
  <c r="E5" i="31"/>
  <c r="CQ99" i="28"/>
  <c r="C20" i="28"/>
  <c r="BI32" i="28"/>
  <c r="CS115" i="28"/>
  <c r="C21" i="28"/>
  <c r="AL67" i="28"/>
  <c r="CE26" i="28"/>
  <c r="O115" i="28"/>
  <c r="CC67" i="28"/>
  <c r="Q24" i="28"/>
  <c r="CG31" i="28"/>
  <c r="CP102" i="28"/>
  <c r="CG122" i="28"/>
  <c r="AL35" i="28"/>
  <c r="AY93" i="28"/>
  <c r="CP117" i="28"/>
  <c r="CG69" i="28"/>
  <c r="BK18" i="28"/>
  <c r="CQ24" i="28"/>
  <c r="AM86" i="28"/>
  <c r="S41" i="28"/>
  <c r="D27" i="31"/>
  <c r="BK26" i="28"/>
  <c r="CS73" i="28"/>
  <c r="CP119" i="28"/>
  <c r="C55" i="28"/>
  <c r="AL31" i="28"/>
  <c r="AY17" i="28"/>
  <c r="CQ107" i="28"/>
  <c r="CS109" i="28"/>
  <c r="BK108" i="28"/>
  <c r="CC33" i="28"/>
  <c r="AO18" i="28"/>
  <c r="F26" i="31"/>
  <c r="BI16" i="28"/>
  <c r="O110" i="28"/>
  <c r="BJ90" i="28"/>
  <c r="D48" i="28"/>
  <c r="AL47" i="28"/>
  <c r="BI114" i="28"/>
  <c r="C77" i="28"/>
  <c r="CO101" i="28"/>
  <c r="G82" i="28"/>
  <c r="AL87" i="28"/>
  <c r="CQ116" i="28"/>
  <c r="CP104" i="28"/>
  <c r="BI69" i="28"/>
  <c r="CQ61" i="28"/>
  <c r="AX106" i="28"/>
  <c r="E48" i="28"/>
  <c r="Q97" i="28"/>
  <c r="AO113" i="28"/>
  <c r="S86" i="28"/>
  <c r="CP87" i="28"/>
  <c r="AY89" i="28"/>
  <c r="D85" i="28"/>
  <c r="CE57" i="28"/>
  <c r="AW35" i="28"/>
  <c r="CO52" i="28"/>
  <c r="CO18" i="28"/>
  <c r="CC74" i="28"/>
  <c r="O30" i="28"/>
  <c r="AO35" i="28"/>
  <c r="S51" i="28"/>
  <c r="E76" i="28"/>
  <c r="P117" i="28"/>
  <c r="AL38" i="28"/>
  <c r="C92" i="28"/>
  <c r="P122" i="28"/>
  <c r="AY104" i="28"/>
  <c r="Q100" i="28"/>
  <c r="S106" i="28"/>
  <c r="H26" i="31"/>
  <c r="BK41" i="28"/>
  <c r="Q21" i="28"/>
  <c r="CD113" i="28"/>
  <c r="BI49" i="28"/>
  <c r="CS84" i="28"/>
  <c r="CD95" i="28"/>
  <c r="N27" i="31"/>
  <c r="CQ42" i="28"/>
  <c r="BK58" i="28"/>
  <c r="AL54" i="28"/>
  <c r="K17" i="31"/>
  <c r="J14" i="31"/>
  <c r="CQ59" i="28"/>
  <c r="AM70" i="28"/>
  <c r="AM117" i="28"/>
  <c r="AM82" i="28"/>
  <c r="P48" i="28"/>
  <c r="AL61" i="28"/>
  <c r="CO67" i="28"/>
  <c r="AM53" i="28"/>
  <c r="CC40" i="28"/>
  <c r="E36" i="28"/>
  <c r="Q36" i="28"/>
  <c r="C66" i="28"/>
  <c r="AK50" i="28"/>
  <c r="G65" i="28"/>
  <c r="O39" i="28"/>
  <c r="CP19" i="28"/>
  <c r="AW116" i="28"/>
  <c r="AK35" i="28"/>
  <c r="Q95" i="28"/>
  <c r="BJ68" i="28"/>
  <c r="CP37" i="28"/>
  <c r="G81" i="28"/>
  <c r="CD121" i="28"/>
  <c r="AW73" i="28"/>
  <c r="CS102" i="28"/>
  <c r="AX26" i="28"/>
  <c r="BI52" i="28"/>
  <c r="CC70" i="28"/>
  <c r="D98" i="28"/>
  <c r="M9" i="31"/>
  <c r="AY54" i="28"/>
  <c r="CO32" i="28"/>
  <c r="AM56" i="28"/>
  <c r="Q78" i="28"/>
  <c r="AL49" i="28"/>
  <c r="AY29" i="28"/>
  <c r="CS95" i="28"/>
  <c r="D4" i="28"/>
  <c r="AM31" i="28"/>
  <c r="AO86" i="28"/>
  <c r="O61" i="28"/>
  <c r="AM25" i="28"/>
  <c r="CG112" i="28"/>
  <c r="CD110" i="28"/>
  <c r="P85" i="28"/>
  <c r="BI111" i="28"/>
  <c r="CE52" i="28"/>
  <c r="AX100" i="28"/>
  <c r="AY27" i="28"/>
  <c r="AX47" i="28"/>
  <c r="AK59" i="28"/>
  <c r="AM65" i="28"/>
  <c r="E24" i="28"/>
  <c r="AW30" i="28"/>
  <c r="C60" i="28"/>
  <c r="O70" i="28"/>
  <c r="AW36" i="28"/>
  <c r="M27" i="31"/>
  <c r="AO75" i="28"/>
  <c r="AY105" i="28"/>
  <c r="BJ89" i="28"/>
  <c r="CP101" i="28"/>
  <c r="AY44" i="28"/>
  <c r="AL32" i="28"/>
  <c r="AW111" i="28"/>
  <c r="CO30" i="28"/>
  <c r="AL110" i="28"/>
  <c r="C118" i="28"/>
  <c r="BA35" i="28"/>
  <c r="AY108" i="28"/>
  <c r="CS90" i="28"/>
  <c r="CG34" i="28"/>
  <c r="E29" i="28"/>
  <c r="C103" i="28"/>
  <c r="CE120" i="28"/>
  <c r="Q111" i="28"/>
  <c r="P26" i="28"/>
  <c r="CP82" i="28"/>
  <c r="AX109" i="28"/>
  <c r="Q46" i="28"/>
  <c r="BA27" i="28"/>
  <c r="AX59" i="28"/>
  <c r="D30" i="28"/>
  <c r="BJ79" i="28"/>
  <c r="CS63" i="28"/>
  <c r="S33" i="28"/>
  <c r="CE85" i="28"/>
  <c r="P20" i="28"/>
  <c r="CE90" i="28"/>
  <c r="CG93" i="28"/>
  <c r="BA107" i="28"/>
  <c r="CS81" i="28"/>
  <c r="AK82" i="28"/>
  <c r="CD21" i="28"/>
  <c r="I26" i="31"/>
  <c r="S79" i="28"/>
  <c r="AO103" i="28"/>
  <c r="BJ107" i="28"/>
  <c r="BA69" i="28"/>
  <c r="AO115" i="28"/>
  <c r="O34" i="28"/>
  <c r="G86" i="28"/>
  <c r="BK45" i="28"/>
  <c r="CQ39" i="28"/>
  <c r="AL83" i="28"/>
  <c r="AK34" i="28"/>
  <c r="CC117" i="28"/>
  <c r="BI115" i="28"/>
  <c r="O72" i="28"/>
  <c r="BA103" i="28"/>
  <c r="AL34" i="28"/>
  <c r="BJ106" i="28"/>
  <c r="K21" i="31"/>
  <c r="C27" i="28"/>
  <c r="CE28" i="28"/>
  <c r="C81" i="28"/>
  <c r="Q16" i="28"/>
  <c r="D93" i="28"/>
  <c r="E97" i="28"/>
  <c r="AL119" i="28"/>
  <c r="CO26" i="28"/>
  <c r="BA73" i="28"/>
  <c r="CD44" i="28"/>
  <c r="S72" i="28"/>
  <c r="CD111" i="28"/>
  <c r="AW40" i="28"/>
  <c r="BA79" i="28"/>
  <c r="Q19" i="28"/>
  <c r="AM100" i="28"/>
  <c r="BK105" i="28"/>
  <c r="CS44" i="28"/>
  <c r="CP40" i="28"/>
  <c r="AK83" i="28"/>
  <c r="BI66" i="28"/>
  <c r="AY22" i="28"/>
  <c r="CG87" i="28"/>
  <c r="S25" i="28"/>
  <c r="AW63" i="28"/>
  <c r="N13" i="31"/>
  <c r="CS118" i="28"/>
  <c r="AK110" i="28"/>
  <c r="S57" i="28"/>
  <c r="Q117" i="28"/>
  <c r="CD108" i="28"/>
  <c r="AM46" i="28"/>
  <c r="CG35" i="28"/>
  <c r="CQ119" i="28"/>
  <c r="CD45" i="28"/>
  <c r="E73" i="28"/>
  <c r="Q85" i="28"/>
  <c r="CC103" i="28"/>
  <c r="Q82" i="28"/>
  <c r="Q41" i="28"/>
  <c r="O5" i="31"/>
  <c r="D88" i="28"/>
  <c r="Q66" i="28"/>
  <c r="BK53" i="28"/>
  <c r="CE65" i="28"/>
  <c r="AK71" i="28"/>
  <c r="CP30" i="28"/>
  <c r="S109" i="28"/>
  <c r="CS97" i="28"/>
  <c r="E35" i="28"/>
  <c r="BK38" i="28"/>
  <c r="S93" i="28"/>
  <c r="CS105" i="28"/>
  <c r="CO40" i="28"/>
  <c r="AY94" i="28"/>
  <c r="E80" i="28"/>
  <c r="AW104" i="28"/>
  <c r="O15" i="31"/>
  <c r="AO22" i="28"/>
  <c r="Q23" i="28"/>
  <c r="CQ15" i="28"/>
  <c r="CG120" i="28"/>
  <c r="AO87" i="28"/>
  <c r="AY33" i="28"/>
  <c r="C111" i="28"/>
  <c r="S78" i="28"/>
  <c r="S61" i="28"/>
  <c r="CO105" i="28"/>
  <c r="AM93" i="28"/>
  <c r="D117" i="28"/>
  <c r="E32" i="28"/>
  <c r="C40" i="28"/>
  <c r="C113" i="28"/>
  <c r="AX60" i="28"/>
  <c r="CG70" i="28"/>
  <c r="AO117" i="28"/>
  <c r="CC50" i="28"/>
  <c r="AM27" i="28"/>
  <c r="AX78" i="28"/>
  <c r="AL95" i="28"/>
  <c r="AW67" i="28"/>
  <c r="E102" i="28"/>
  <c r="AY48" i="28"/>
  <c r="AL50" i="28"/>
  <c r="E104" i="28"/>
  <c r="S103" i="28"/>
  <c r="Q18" i="28"/>
  <c r="G30" i="28"/>
  <c r="Q29" i="28"/>
  <c r="S71" i="28"/>
  <c r="G36" i="28"/>
  <c r="AO101" i="28"/>
  <c r="AK116" i="28"/>
  <c r="AX21" i="28"/>
  <c r="O37" i="28"/>
  <c r="D24" i="31"/>
  <c r="BJ9" i="28"/>
  <c r="P118" i="28"/>
  <c r="CC88" i="28"/>
  <c r="CQ20" i="28"/>
  <c r="AM36" i="28"/>
  <c r="BK51" i="28"/>
  <c r="G9" i="31"/>
  <c r="AX62" i="28"/>
  <c r="Q109" i="28"/>
  <c r="AM84" i="28"/>
  <c r="CC97" i="28"/>
  <c r="D12" i="31"/>
  <c r="AO31" i="28"/>
  <c r="M24" i="31"/>
  <c r="P95" i="28"/>
  <c r="CQ46" i="28"/>
  <c r="AW38" i="28"/>
  <c r="S29" i="28"/>
  <c r="BK87" i="28"/>
  <c r="CC48" i="28"/>
  <c r="CO104" i="28"/>
  <c r="CO110" i="28"/>
  <c r="CD50" i="28"/>
  <c r="N17" i="31"/>
  <c r="CD19" i="28"/>
  <c r="CG62" i="28"/>
  <c r="AX42" i="28"/>
  <c r="CE99" i="28"/>
  <c r="Q76" i="28"/>
  <c r="Q77" i="28"/>
  <c r="BK27" i="28"/>
  <c r="BK74" i="28"/>
  <c r="BI17" i="28"/>
  <c r="CS108" i="28"/>
  <c r="P70" i="28"/>
  <c r="S70" i="28"/>
  <c r="S114" i="28"/>
  <c r="G14" i="31"/>
  <c r="BA52" i="28"/>
  <c r="G87" i="28"/>
  <c r="CQ37" i="28"/>
  <c r="AX79" i="28"/>
  <c r="BI24" i="28"/>
  <c r="P89" i="28"/>
  <c r="P22" i="28"/>
  <c r="BK56" i="28"/>
  <c r="AX56" i="28"/>
  <c r="CO98" i="28"/>
  <c r="CO51" i="28"/>
  <c r="CG51" i="28"/>
  <c r="CQ17" i="28"/>
  <c r="O60" i="28"/>
  <c r="D87" i="28"/>
  <c r="O31" i="28"/>
  <c r="P101" i="28"/>
  <c r="AK92" i="28"/>
  <c r="BK88" i="28"/>
  <c r="CG81" i="28"/>
  <c r="AM32" i="28"/>
  <c r="F7" i="31"/>
  <c r="P43" i="28"/>
  <c r="CO31" i="28"/>
  <c r="AX108" i="28"/>
  <c r="O32" i="28"/>
  <c r="CS24" i="28"/>
  <c r="CD56" i="28"/>
  <c r="G12" i="31"/>
  <c r="S20" i="28"/>
  <c r="CQ120" i="28"/>
  <c r="N23" i="31"/>
  <c r="CE73" i="28"/>
  <c r="CP71" i="28"/>
  <c r="AX22" i="28"/>
  <c r="CG106" i="28"/>
  <c r="AW57" i="28"/>
  <c r="CG52" i="28"/>
  <c r="O118" i="28"/>
  <c r="BK59" i="28"/>
  <c r="C67" i="28"/>
  <c r="AW108" i="28"/>
  <c r="BJ100" i="28"/>
  <c r="P38" i="28"/>
  <c r="AL118" i="28"/>
  <c r="Q56" i="28"/>
  <c r="BK113" i="28"/>
  <c r="P79" i="28"/>
  <c r="C94" i="28"/>
  <c r="AX23" i="28"/>
  <c r="AM98" i="28"/>
  <c r="C105" i="28"/>
  <c r="Q103" i="28"/>
  <c r="BK29" i="28"/>
  <c r="BA88" i="28"/>
  <c r="D53" i="28"/>
  <c r="CP47" i="28"/>
  <c r="CE31" i="28"/>
  <c r="AY16" i="28"/>
  <c r="CP59" i="28"/>
  <c r="O93" i="28"/>
  <c r="Q116" i="28"/>
  <c r="BK35" i="28"/>
  <c r="CQ86" i="28"/>
  <c r="CS20" i="28"/>
  <c r="AK88" i="28"/>
  <c r="F17" i="31"/>
  <c r="C114" i="28"/>
  <c r="AL41" i="28"/>
  <c r="AY70" i="28"/>
  <c r="AO34" i="28"/>
  <c r="O51" i="28"/>
  <c r="AL82" i="28"/>
  <c r="CE115" i="28"/>
  <c r="D63" i="28"/>
  <c r="CS119" i="28"/>
  <c r="S118" i="28"/>
  <c r="E88" i="28"/>
  <c r="AW92" i="28"/>
  <c r="K6" i="31"/>
  <c r="AM71" i="28"/>
  <c r="BA31" i="28"/>
  <c r="AX76" i="28"/>
  <c r="AM76" i="28"/>
  <c r="BA21" i="28"/>
  <c r="AW52" i="28"/>
  <c r="C63" i="28"/>
  <c r="CO70" i="28"/>
  <c r="AK37" i="28"/>
  <c r="CD23" i="28"/>
  <c r="G21" i="31"/>
  <c r="J25" i="31"/>
  <c r="F27" i="31"/>
  <c r="CC59" i="28"/>
  <c r="AW75" i="28"/>
  <c r="AL107" i="28"/>
  <c r="BK106" i="28"/>
  <c r="CS89" i="28"/>
  <c r="CG96" i="28"/>
  <c r="CE51" i="28"/>
  <c r="O49" i="28"/>
  <c r="BA29" i="28"/>
  <c r="AL111" i="28"/>
  <c r="AW18" i="28"/>
  <c r="D25" i="28"/>
  <c r="CP57" i="28"/>
  <c r="AY47" i="28"/>
  <c r="CG75" i="28"/>
  <c r="AL73" i="28"/>
  <c r="CQ35" i="28"/>
  <c r="BJ66" i="28"/>
  <c r="CC20" i="28"/>
  <c r="CO36" i="28"/>
  <c r="P18" i="28"/>
  <c r="CC87" i="28"/>
  <c r="CP111" i="28"/>
  <c r="O25" i="28"/>
  <c r="AX37" i="28"/>
  <c r="CG38" i="28"/>
  <c r="AM120" i="28"/>
  <c r="AW97" i="28"/>
  <c r="CD53" i="28"/>
  <c r="E84" i="28"/>
  <c r="AX27" i="28"/>
  <c r="AM121" i="28"/>
  <c r="CE119" i="28"/>
  <c r="AO52" i="28"/>
  <c r="AY20" i="28"/>
  <c r="CO60" i="28"/>
  <c r="AX46" i="28"/>
  <c r="O27" i="31"/>
  <c r="AY38" i="28"/>
  <c r="AY60" i="28"/>
  <c r="AW21" i="28"/>
  <c r="BA22" i="28"/>
  <c r="BK115" i="28"/>
  <c r="S97" i="28"/>
  <c r="CO23" i="28"/>
  <c r="CC25" i="28"/>
  <c r="AL24" i="28"/>
  <c r="AL120" i="28"/>
  <c r="AK100" i="28"/>
  <c r="P73" i="28"/>
  <c r="CS79" i="28"/>
  <c r="P67" i="28"/>
  <c r="G56" i="28"/>
  <c r="BK19" i="28"/>
  <c r="AK104" i="28"/>
  <c r="E21" i="28"/>
  <c r="P121" i="28"/>
  <c r="P40" i="28"/>
  <c r="P37" i="28"/>
  <c r="S104" i="28"/>
  <c r="CE114" i="28"/>
  <c r="AO59" i="28"/>
  <c r="E38" i="28"/>
  <c r="S15" i="28"/>
  <c r="CS52" i="28"/>
  <c r="BK62" i="28"/>
  <c r="E61" i="28"/>
  <c r="E6" i="31"/>
  <c r="AK84" i="28"/>
  <c r="CQ103" i="28"/>
  <c r="CG22" i="28"/>
  <c r="S121" i="28"/>
  <c r="AX101" i="28"/>
  <c r="CP44" i="28"/>
  <c r="BA53" i="28"/>
  <c r="CC44" i="28"/>
  <c r="E115" i="28"/>
  <c r="AM44" i="28"/>
  <c r="BA89" i="28"/>
  <c r="N28" i="31"/>
  <c r="Q40" i="28"/>
  <c r="BJ99" i="28"/>
  <c r="AK42" i="28"/>
  <c r="CQ30" i="28"/>
  <c r="CD34" i="28"/>
  <c r="CE27" i="28"/>
  <c r="C34" i="28"/>
  <c r="BJ92" i="28"/>
  <c r="C82" i="28"/>
  <c r="E27" i="28"/>
  <c r="CS16" i="28"/>
  <c r="CC120" i="28"/>
  <c r="AO104" i="28"/>
  <c r="AY86" i="28"/>
  <c r="C99" i="28"/>
  <c r="CG18" i="28"/>
  <c r="AX70" i="28"/>
  <c r="CD36" i="28"/>
  <c r="AK80" i="28"/>
  <c r="BA24" i="28"/>
  <c r="AL58" i="28"/>
  <c r="K25" i="31"/>
  <c r="S16" i="28"/>
  <c r="BI43" i="28"/>
  <c r="S24" i="28"/>
  <c r="CC122" i="28"/>
  <c r="Q63" i="28"/>
  <c r="G33" i="28"/>
  <c r="AX98" i="28"/>
  <c r="D29" i="28"/>
  <c r="D119" i="28"/>
  <c r="BJ93" i="28"/>
  <c r="O19" i="28"/>
  <c r="AW76" i="28"/>
  <c r="CD100" i="28"/>
  <c r="CQ76" i="28"/>
  <c r="CG117" i="28"/>
  <c r="BI85" i="28"/>
  <c r="G94" i="28"/>
  <c r="Q83" i="28"/>
  <c r="AO49" i="28"/>
  <c r="CE34" i="28"/>
  <c r="AM116" i="28"/>
  <c r="CC77" i="28"/>
  <c r="CE83" i="28"/>
  <c r="BI91" i="28"/>
  <c r="CD22" i="28"/>
  <c r="AK111" i="28"/>
  <c r="C59" i="28"/>
  <c r="Q34" i="28"/>
  <c r="BK71" i="28"/>
  <c r="AM26" i="28"/>
  <c r="D60" i="28"/>
  <c r="O84" i="28"/>
  <c r="P27" i="28"/>
  <c r="O17" i="28"/>
  <c r="AL80" i="28"/>
  <c r="CP122" i="28"/>
  <c r="D68" i="28"/>
  <c r="S36" i="28"/>
  <c r="S32" i="28"/>
  <c r="BA71" i="28"/>
  <c r="BI44" i="28"/>
  <c r="BA109" i="28"/>
  <c r="D95" i="28"/>
  <c r="G52" i="28"/>
  <c r="BA116" i="28"/>
  <c r="CO108" i="28"/>
  <c r="CD40" i="28"/>
  <c r="CE102" i="28"/>
  <c r="S19" i="28"/>
  <c r="AY113" i="28"/>
  <c r="O79" i="28"/>
  <c r="CC35" i="28"/>
  <c r="AK90" i="28"/>
  <c r="CG49" i="28"/>
  <c r="CD81" i="28"/>
  <c r="AX51" i="28"/>
  <c r="BI96" i="28"/>
  <c r="CP34" i="28"/>
  <c r="AY46" i="28"/>
  <c r="AW99" i="28"/>
  <c r="D17" i="31"/>
  <c r="CP77" i="28"/>
  <c r="S17" i="28"/>
  <c r="AO28" i="28"/>
  <c r="BI108" i="28"/>
  <c r="P16" i="28"/>
  <c r="E43" i="28"/>
  <c r="CS42" i="28"/>
  <c r="CG105" i="28"/>
  <c r="D55" i="28"/>
  <c r="CP49" i="28"/>
  <c r="CG36" i="28"/>
  <c r="AW58" i="28"/>
  <c r="CO38" i="28"/>
  <c r="BA49" i="28"/>
  <c r="G23" i="28"/>
  <c r="AL101" i="28"/>
  <c r="CD49" i="28"/>
  <c r="CQ34" i="28"/>
  <c r="AW23" i="28"/>
  <c r="O21" i="28"/>
  <c r="CC63" i="28"/>
  <c r="CO99" i="28"/>
  <c r="AK102" i="28"/>
  <c r="BA34" i="28"/>
  <c r="AM30" i="28"/>
  <c r="AO25" i="28"/>
  <c r="S26" i="28"/>
  <c r="CC108" i="28"/>
  <c r="O82" i="28"/>
  <c r="BI71" i="28"/>
  <c r="CS45" i="28"/>
  <c r="O88" i="28"/>
  <c r="AK103" i="28"/>
  <c r="CC19" i="28"/>
  <c r="P71" i="28"/>
  <c r="CE36" i="28"/>
  <c r="CO21" i="28"/>
  <c r="E37" i="28"/>
  <c r="AY39" i="28"/>
  <c r="AO107" i="28"/>
  <c r="CO61" i="28"/>
  <c r="AY51" i="28"/>
  <c r="AX83" i="28"/>
  <c r="CD102" i="28"/>
  <c r="AL106" i="28"/>
  <c r="AY49" i="28"/>
  <c r="CD31" i="28"/>
  <c r="CE21" i="28"/>
  <c r="P60" i="28"/>
  <c r="BA44" i="28"/>
  <c r="CO109" i="28"/>
  <c r="BI60" i="28"/>
  <c r="M26" i="31"/>
  <c r="CG37" i="28"/>
  <c r="CP76" i="28"/>
  <c r="BI116" i="28"/>
  <c r="CS80" i="28"/>
  <c r="BJ78" i="28"/>
  <c r="Q57" i="28"/>
  <c r="CS33" i="28"/>
  <c r="BA115" i="28"/>
  <c r="AW20" i="28"/>
  <c r="CE67" i="28"/>
  <c r="AM110" i="28"/>
  <c r="CQ87" i="28"/>
  <c r="G115" i="28"/>
  <c r="CS53" i="28"/>
  <c r="O11" i="31"/>
  <c r="P30" i="28"/>
  <c r="C15" i="28"/>
  <c r="CD83" i="28"/>
  <c r="AO98" i="28"/>
  <c r="BK111" i="28"/>
  <c r="C36" i="28"/>
  <c r="CD101" i="28"/>
  <c r="G120" i="28"/>
  <c r="CD103" i="28"/>
  <c r="P28" i="28"/>
  <c r="CO115" i="28"/>
  <c r="AK79" i="28"/>
  <c r="C62" i="28"/>
  <c r="CC55" i="28"/>
  <c r="BI103" i="28"/>
  <c r="AM111" i="28"/>
  <c r="AX91" i="28"/>
  <c r="E54" i="28"/>
  <c r="CO57" i="28"/>
  <c r="Q44" i="28"/>
  <c r="AM45" i="28"/>
  <c r="E17" i="28"/>
  <c r="CO119" i="28"/>
  <c r="AY35" i="28"/>
  <c r="CG58" i="28"/>
  <c r="C78" i="28"/>
  <c r="BA61" i="28"/>
  <c r="O13" i="31"/>
  <c r="CS30" i="28"/>
  <c r="E46" i="28"/>
  <c r="CD51" i="28"/>
  <c r="AX53" i="28"/>
  <c r="AO36" i="28"/>
  <c r="S113" i="28"/>
  <c r="AW61" i="28"/>
  <c r="BA95" i="28"/>
  <c r="AY43" i="28"/>
  <c r="CO65" i="28"/>
  <c r="AM40" i="28"/>
  <c r="AX96" i="28"/>
  <c r="CS32" i="28"/>
  <c r="AX84" i="28"/>
  <c r="CQ56" i="28"/>
  <c r="F13" i="31"/>
  <c r="AW87" i="28"/>
  <c r="CP42" i="28"/>
  <c r="O114" i="28"/>
  <c r="CP73" i="28"/>
  <c r="S35" i="28"/>
  <c r="D113" i="28"/>
  <c r="AY53" i="28"/>
  <c r="Q92" i="28"/>
  <c r="O91" i="28"/>
  <c r="BJ84" i="28"/>
  <c r="CC61" i="28"/>
  <c r="AX54" i="28"/>
  <c r="CQ21" i="28"/>
  <c r="D36" i="28"/>
  <c r="P45" i="28"/>
  <c r="CP67" i="28"/>
  <c r="D18" i="28"/>
  <c r="AO73" i="28"/>
  <c r="AX81" i="28"/>
  <c r="CP74" i="28"/>
  <c r="D11" i="31"/>
  <c r="AO24" i="28"/>
  <c r="AM69" i="28"/>
  <c r="CE33" i="28"/>
  <c r="CS40" i="28"/>
  <c r="CE107" i="28"/>
  <c r="S66" i="28"/>
  <c r="CC72" i="28"/>
  <c r="BI48" i="28"/>
  <c r="G17" i="28"/>
  <c r="CD47" i="28"/>
  <c r="D103" i="28"/>
  <c r="BA15" i="28"/>
  <c r="BJ102" i="28"/>
  <c r="AO26" i="28"/>
  <c r="G61" i="28"/>
  <c r="CE54" i="28"/>
  <c r="L13" i="31"/>
  <c r="BI99" i="28"/>
  <c r="G27" i="28"/>
  <c r="D28" i="28"/>
  <c r="BI56" i="28"/>
  <c r="CQ63" i="28"/>
  <c r="BJ82" i="28"/>
  <c r="E66" i="28"/>
  <c r="CQ94" i="28"/>
  <c r="N24" i="31"/>
  <c r="AK30" i="28"/>
  <c r="AO74" i="28"/>
  <c r="BI51" i="28"/>
  <c r="Q69" i="28"/>
  <c r="CO79" i="28"/>
  <c r="P99" i="28"/>
  <c r="CP48" i="28"/>
  <c r="CD43" i="28"/>
  <c r="CC68" i="28"/>
  <c r="CC107" i="28"/>
  <c r="CP113" i="28"/>
  <c r="BJ83" i="28"/>
  <c r="S50" i="28"/>
  <c r="H25" i="31"/>
  <c r="AK63" i="28"/>
  <c r="CO80" i="28"/>
  <c r="AW42" i="28"/>
  <c r="AW93" i="28"/>
  <c r="AM77" i="28"/>
  <c r="D90" i="28"/>
  <c r="D35" i="28"/>
  <c r="G25" i="28"/>
  <c r="CS57" i="28"/>
  <c r="Q48" i="28"/>
  <c r="AW15" i="28"/>
  <c r="P44" i="28"/>
  <c r="D34" i="28"/>
  <c r="BA93" i="28"/>
  <c r="C16" i="28"/>
  <c r="AX82" i="28"/>
  <c r="BJ94" i="28"/>
  <c r="AO30" i="28"/>
  <c r="AL51" i="28"/>
  <c r="E26" i="28"/>
  <c r="C48" i="28"/>
  <c r="D15" i="31"/>
  <c r="BK100" i="28"/>
  <c r="E119" i="28"/>
  <c r="AX30" i="28"/>
  <c r="CQ83" i="28"/>
  <c r="BA98" i="28"/>
  <c r="BK17" i="28"/>
  <c r="CE62" i="28"/>
  <c r="BA112" i="28"/>
  <c r="CO17" i="28"/>
  <c r="D17" i="28"/>
  <c r="J26" i="31"/>
  <c r="CC109" i="28"/>
  <c r="BA97" i="28"/>
  <c r="BK50" i="28"/>
  <c r="AX71" i="28"/>
  <c r="AY76" i="28"/>
  <c r="Q113" i="28"/>
  <c r="AL60" i="28"/>
  <c r="BK40" i="28"/>
  <c r="BI110" i="28"/>
  <c r="BI67" i="28"/>
  <c r="BK116" i="28"/>
  <c r="AM22" i="28"/>
  <c r="C50" i="28"/>
  <c r="AY67" i="28"/>
  <c r="P39" i="28"/>
  <c r="CE103" i="28"/>
  <c r="AY92" i="28"/>
  <c r="P4" i="28"/>
  <c r="CP105" i="28"/>
  <c r="CQ102" i="28"/>
  <c r="AY110" i="28"/>
  <c r="CQ65" i="28"/>
  <c r="AO119" i="28"/>
  <c r="CS17" i="28"/>
  <c r="CG46" i="28"/>
  <c r="CQ100" i="28"/>
  <c r="AW109" i="28"/>
  <c r="O15" i="28"/>
  <c r="O94" i="28"/>
  <c r="AO21" i="28"/>
  <c r="S99" i="28"/>
  <c r="P33" i="28"/>
  <c r="AX104" i="28"/>
  <c r="S110" i="28"/>
  <c r="AM105" i="28"/>
  <c r="AL30" i="28"/>
  <c r="S45" i="28"/>
  <c r="G24" i="28"/>
  <c r="BI76" i="28"/>
  <c r="AL56" i="28"/>
  <c r="CQ77" i="28"/>
  <c r="L6" i="31"/>
  <c r="AY45" i="28"/>
  <c r="CD79" i="28"/>
  <c r="CP38" i="28"/>
  <c r="CQ66" i="28"/>
  <c r="G69" i="28"/>
  <c r="AW69" i="28"/>
  <c r="P24" i="28"/>
  <c r="BK32" i="28"/>
  <c r="O109" i="28"/>
  <c r="CC49" i="28"/>
  <c r="CE109" i="28"/>
  <c r="CO97" i="28"/>
  <c r="O111" i="28"/>
  <c r="AK24" i="28"/>
  <c r="P80" i="28"/>
  <c r="AY57" i="28"/>
  <c r="CG42" i="28"/>
  <c r="CC113" i="28"/>
  <c r="AW101" i="28"/>
  <c r="CD30" i="28"/>
  <c r="CP112" i="28"/>
  <c r="AO57" i="28"/>
  <c r="S91" i="28"/>
  <c r="AM54" i="28"/>
  <c r="AW37" i="28"/>
  <c r="G23" i="31"/>
  <c r="C100" i="28"/>
  <c r="AO72" i="28"/>
  <c r="AX58" i="28"/>
  <c r="AM35" i="28"/>
  <c r="BI78" i="28"/>
  <c r="P109" i="28"/>
  <c r="BK33" i="28"/>
  <c r="BA83" i="28"/>
  <c r="CO106" i="28"/>
  <c r="CG26" i="28"/>
  <c r="D45" i="28"/>
  <c r="S82" i="28"/>
  <c r="O73" i="28"/>
  <c r="AL89" i="28"/>
  <c r="CC82" i="28"/>
  <c r="CS116" i="28"/>
  <c r="P25" i="28"/>
  <c r="CS77" i="28"/>
  <c r="BK83" i="28"/>
  <c r="AO43" i="28"/>
  <c r="BK112" i="28"/>
  <c r="BI39" i="28"/>
  <c r="CD24" i="28"/>
  <c r="D57" i="28"/>
  <c r="CG40" i="28"/>
  <c r="AY84" i="28"/>
  <c r="G5" i="31"/>
  <c r="J12" i="31"/>
  <c r="AX102" i="28"/>
  <c r="D20" i="28"/>
  <c r="BK75" i="28"/>
  <c r="Q94" i="28"/>
  <c r="O86" i="28"/>
  <c r="CG74" i="28"/>
  <c r="CQ93" i="28"/>
  <c r="AX38" i="28"/>
  <c r="M28" i="31"/>
  <c r="CQ113" i="28"/>
  <c r="L9" i="31"/>
  <c r="AL91" i="28"/>
  <c r="AL17" i="28"/>
  <c r="CS46" i="28"/>
  <c r="CP22" i="28"/>
  <c r="Q22" i="28"/>
  <c r="AK52" i="28"/>
  <c r="BA122" i="28"/>
  <c r="CE94" i="28"/>
  <c r="G97" i="28"/>
  <c r="AM19" i="28"/>
  <c r="CQ97" i="28"/>
  <c r="CP28" i="28"/>
  <c r="AO54" i="28"/>
  <c r="CS31" i="28"/>
  <c r="D47" i="28"/>
  <c r="BJ72" i="28"/>
  <c r="BI46" i="28"/>
  <c r="AO92" i="28"/>
  <c r="S65" i="28"/>
  <c r="CQ112" i="28"/>
  <c r="AM42" i="28"/>
  <c r="AW56" i="28"/>
  <c r="AL22" i="28"/>
  <c r="CP65" i="28"/>
  <c r="CG94" i="28"/>
  <c r="BA47" i="28"/>
  <c r="AO108" i="28"/>
  <c r="CS27" i="28"/>
  <c r="C106" i="28"/>
  <c r="CG116" i="28"/>
  <c r="AO71" i="28"/>
  <c r="BI65" i="28"/>
  <c r="CD54" i="28"/>
  <c r="BI38" i="28"/>
  <c r="Q65" i="28"/>
  <c r="CO84" i="28"/>
  <c r="AW33" i="28"/>
  <c r="G50" i="28"/>
  <c r="O59" i="28"/>
  <c r="AO82" i="28"/>
  <c r="AO91" i="28"/>
  <c r="C33" i="28"/>
  <c r="E71" i="28"/>
  <c r="BI75" i="28"/>
  <c r="AY80" i="28"/>
  <c r="CO69" i="28"/>
  <c r="BK73" i="28"/>
  <c r="G21" i="28"/>
  <c r="CC24" i="28"/>
  <c r="AX18" i="28"/>
  <c r="BK103" i="28"/>
  <c r="G26" i="28"/>
  <c r="BA56" i="28"/>
  <c r="AO121" i="28"/>
  <c r="AM94" i="28"/>
  <c r="CE76" i="28"/>
  <c r="AW60" i="28"/>
  <c r="CO15" i="28"/>
  <c r="AL46" i="28"/>
  <c r="AX16" i="28"/>
  <c r="AK121" i="28"/>
  <c r="CG103" i="28"/>
  <c r="CS47" i="28"/>
  <c r="Q61" i="28"/>
  <c r="AX68" i="28"/>
  <c r="E16" i="28"/>
  <c r="AY24" i="28"/>
  <c r="AO50" i="28"/>
  <c r="P56" i="28"/>
  <c r="S117" i="28"/>
  <c r="Q114" i="28"/>
  <c r="Q107" i="28"/>
  <c r="O57" i="28"/>
  <c r="P47" i="28"/>
  <c r="BK97" i="28"/>
  <c r="AK70" i="28"/>
  <c r="CE74" i="28"/>
  <c r="CS23" i="28"/>
  <c r="BA17" i="28"/>
  <c r="BJ88" i="28"/>
  <c r="AY78" i="28"/>
  <c r="D28" i="31"/>
  <c r="CP109" i="28"/>
  <c r="CQ26" i="28"/>
  <c r="AX50" i="28"/>
  <c r="AM66" i="28"/>
  <c r="CD85" i="28"/>
  <c r="CE48" i="28"/>
  <c r="AO46" i="28"/>
  <c r="CS71" i="28"/>
  <c r="CO33" i="28"/>
  <c r="CC57" i="28"/>
  <c r="BK95" i="28"/>
  <c r="AO78" i="28"/>
  <c r="Q15" i="28"/>
  <c r="BA45" i="28"/>
  <c r="AX44" i="28"/>
  <c r="S107" i="28"/>
  <c r="P81" i="28"/>
  <c r="AY119" i="28"/>
  <c r="O108" i="28"/>
  <c r="C47" i="28"/>
  <c r="AM33" i="28"/>
  <c r="CP27" i="28"/>
  <c r="AY36" i="28"/>
  <c r="BA59" i="28"/>
  <c r="AO114" i="28"/>
  <c r="CD112" i="28"/>
  <c r="E96" i="28"/>
  <c r="E44" i="28"/>
  <c r="CP24" i="28"/>
  <c r="BJ67" i="28"/>
  <c r="CP36" i="28"/>
  <c r="O29" i="28"/>
  <c r="S85" i="28"/>
  <c r="CG79" i="28"/>
  <c r="CE104" i="28"/>
  <c r="AW31" i="28"/>
  <c r="CE113" i="28"/>
  <c r="O74" i="28"/>
  <c r="CG89" i="28"/>
  <c r="N7" i="31"/>
  <c r="J17" i="31"/>
  <c r="E39" i="28"/>
  <c r="AY96" i="28"/>
  <c r="CO74" i="28"/>
  <c r="AK47" i="28"/>
  <c r="AW19" i="28"/>
  <c r="AX118" i="28"/>
  <c r="AM119" i="28"/>
  <c r="CS85" i="28"/>
  <c r="CC79" i="28"/>
  <c r="E100" i="28"/>
  <c r="AW70" i="28"/>
  <c r="I23" i="31"/>
  <c r="AK76" i="28"/>
  <c r="CQ23" i="28"/>
  <c r="AK96" i="28"/>
  <c r="BI19" i="28"/>
  <c r="AX36" i="28"/>
  <c r="AM122" i="28"/>
  <c r="CS112" i="28"/>
  <c r="BA100" i="28"/>
  <c r="CC102" i="28"/>
  <c r="E86" i="28"/>
  <c r="CE45" i="28"/>
  <c r="G31" i="28"/>
  <c r="AY56" i="28"/>
  <c r="CO88" i="28"/>
  <c r="O42" i="28"/>
  <c r="AX75" i="28"/>
  <c r="CQ54" i="28"/>
  <c r="AX35" i="28"/>
  <c r="AK48" i="28"/>
  <c r="CO16" i="28"/>
  <c r="P65" i="28"/>
  <c r="CC41" i="28"/>
  <c r="CC92" i="28"/>
  <c r="J7" i="31"/>
  <c r="CD58" i="28"/>
  <c r="CP106" i="28"/>
  <c r="CG29" i="28"/>
  <c r="G103" i="28"/>
  <c r="CG115" i="28"/>
  <c r="AM63" i="28"/>
  <c r="AW100" i="28"/>
  <c r="E47" i="28"/>
  <c r="CP43" i="28"/>
  <c r="CP70" i="28"/>
  <c r="AX66" i="28"/>
  <c r="CC85" i="28"/>
  <c r="E67" i="28"/>
  <c r="C80" i="28"/>
  <c r="AY52" i="28"/>
  <c r="CG43" i="28"/>
  <c r="CQ19" i="28"/>
  <c r="AX31" i="28"/>
  <c r="CE82" i="28"/>
  <c r="E106" i="28"/>
  <c r="BA50" i="28"/>
  <c r="AW22" i="28"/>
  <c r="C31" i="28"/>
  <c r="G73" i="28"/>
  <c r="CC22" i="28"/>
  <c r="AY63" i="28"/>
  <c r="O18" i="28"/>
  <c r="CE39" i="28"/>
  <c r="P72" i="28"/>
  <c r="CE47" i="28"/>
  <c r="AO70" i="28"/>
  <c r="AX32" i="28"/>
  <c r="CC80" i="28"/>
  <c r="BI105" i="28"/>
  <c r="O85" i="28"/>
  <c r="BA67" i="28"/>
  <c r="Q62" i="28"/>
  <c r="BA55" i="28"/>
  <c r="CS94" i="28"/>
  <c r="AX103" i="28"/>
  <c r="CO47" i="28"/>
  <c r="CD80" i="28"/>
  <c r="BI57" i="28"/>
  <c r="O92" i="28"/>
  <c r="CP84" i="28"/>
  <c r="CC84" i="28"/>
  <c r="S92" i="28"/>
  <c r="S34" i="28"/>
  <c r="BK84" i="28"/>
  <c r="AK45" i="28"/>
  <c r="AK21" i="28"/>
  <c r="D25" i="31"/>
  <c r="AL42" i="28"/>
  <c r="O87" i="28"/>
  <c r="CS55" i="28"/>
  <c r="P51" i="28"/>
  <c r="CS110" i="28"/>
  <c r="O23" i="28"/>
  <c r="CP51" i="28"/>
  <c r="BI54" i="28"/>
  <c r="CD75" i="28"/>
  <c r="CE55" i="28"/>
  <c r="BK44" i="28"/>
  <c r="Q47" i="28"/>
  <c r="AO84" i="28"/>
  <c r="BI20" i="28"/>
  <c r="CE72" i="28"/>
  <c r="C120" i="28"/>
  <c r="BI28" i="28"/>
  <c r="C45" i="28"/>
  <c r="CE92" i="28"/>
  <c r="CS99" i="28"/>
  <c r="AL62" i="28"/>
  <c r="CQ84" i="28"/>
  <c r="P58" i="28"/>
  <c r="O76" i="28"/>
  <c r="AK19" i="28"/>
  <c r="G79" i="28"/>
  <c r="P42" i="28"/>
  <c r="BI104" i="28"/>
  <c r="AK38" i="28"/>
  <c r="D72" i="28"/>
  <c r="BI22" i="28"/>
  <c r="AM72" i="28"/>
  <c r="C96" i="28"/>
  <c r="AW103" i="28"/>
  <c r="CE66" i="28"/>
  <c r="AL21" i="28"/>
  <c r="CD61" i="28"/>
  <c r="BJ111" i="28"/>
  <c r="AM24" i="28"/>
  <c r="AW98" i="28"/>
  <c r="AM87" i="28"/>
  <c r="AK43" i="28"/>
  <c r="BA20" i="28"/>
  <c r="CG100" i="28"/>
  <c r="E59" i="28"/>
  <c r="AO100" i="28"/>
  <c r="S56" i="28"/>
  <c r="CS22" i="28"/>
  <c r="CP63" i="28"/>
  <c r="AK56" i="28"/>
  <c r="S73" i="28"/>
  <c r="O62" i="28"/>
  <c r="C119" i="28"/>
  <c r="CQ28" i="28"/>
  <c r="BA65" i="28"/>
  <c r="G109" i="28"/>
  <c r="AL115" i="28"/>
  <c r="AM75" i="28"/>
  <c r="O33" i="28"/>
  <c r="CG50" i="28"/>
  <c r="CC28" i="28"/>
  <c r="D104" i="28"/>
  <c r="CQ27" i="28"/>
  <c r="BI102" i="28"/>
  <c r="AO118" i="28"/>
  <c r="O58" i="28"/>
  <c r="CQ53" i="28"/>
  <c r="AX40" i="28"/>
  <c r="Q84" i="28"/>
  <c r="CS75" i="28"/>
  <c r="BJ112" i="28"/>
  <c r="L15" i="31"/>
  <c r="AW79" i="28"/>
  <c r="CC76" i="28"/>
  <c r="G35" i="28"/>
  <c r="CD27" i="28"/>
  <c r="G62" i="28"/>
  <c r="G22" i="28"/>
  <c r="CC98" i="28"/>
  <c r="CS58" i="28"/>
  <c r="BI47" i="28"/>
  <c r="CD97" i="28"/>
  <c r="CG121" i="28"/>
  <c r="L7" i="31"/>
  <c r="CG21" i="28"/>
  <c r="BK68" i="28"/>
  <c r="C70" i="28"/>
  <c r="AY118" i="28"/>
  <c r="CP35" i="28"/>
  <c r="AK85" i="28"/>
  <c r="AL112" i="28"/>
  <c r="D78" i="28"/>
  <c r="BJ98" i="28"/>
  <c r="CC78" i="28"/>
  <c r="BK24" i="28"/>
  <c r="E52" i="28"/>
  <c r="BI77" i="28"/>
  <c r="E121" i="28"/>
  <c r="CP20" i="28"/>
  <c r="AK98" i="28"/>
  <c r="CS43" i="28"/>
  <c r="BA81" i="28"/>
  <c r="BI21" i="28"/>
  <c r="CQ49" i="28"/>
  <c r="BJ119" i="28"/>
  <c r="AW121" i="28"/>
  <c r="G43" i="28"/>
  <c r="CO72" i="28"/>
  <c r="CE79" i="28"/>
  <c r="CD87" i="28"/>
  <c r="AO97" i="28"/>
  <c r="CE18" i="28"/>
  <c r="S90" i="28"/>
  <c r="CS60" i="28"/>
  <c r="CD17" i="28"/>
  <c r="CD57" i="28"/>
  <c r="AW65" i="28"/>
  <c r="D96" i="28"/>
  <c r="AO47" i="28"/>
  <c r="AM29" i="28"/>
  <c r="CP39" i="28"/>
  <c r="O38" i="28"/>
  <c r="AW41" i="28"/>
  <c r="AM60" i="28"/>
  <c r="CS66" i="28"/>
  <c r="Q54" i="28"/>
  <c r="AM85" i="28"/>
  <c r="AY25" i="28"/>
  <c r="CG114" i="28"/>
  <c r="G48" i="28"/>
  <c r="Q105" i="28"/>
  <c r="CO44" i="28"/>
  <c r="AL26" i="28"/>
  <c r="C32" i="28"/>
  <c r="BA37" i="28"/>
  <c r="AL48" i="28"/>
  <c r="BK121" i="28"/>
  <c r="AY28" i="28"/>
  <c r="AO53" i="28"/>
  <c r="CG73" i="28"/>
  <c r="AL88" i="28"/>
  <c r="P36" i="28"/>
  <c r="CO96" i="28"/>
  <c r="BK118" i="28"/>
  <c r="M23" i="31"/>
  <c r="P55" i="28"/>
  <c r="CQ101" i="28"/>
  <c r="AY26" i="28"/>
  <c r="CC52" i="28"/>
  <c r="CP89" i="28"/>
  <c r="CQ117" i="28"/>
  <c r="CD52" i="28"/>
  <c r="G93" i="28"/>
  <c r="K24" i="31"/>
  <c r="AM34" i="28"/>
  <c r="CP86" i="28"/>
  <c r="BK20" i="28"/>
  <c r="O25" i="31"/>
  <c r="BJ77" i="28"/>
  <c r="CO68" i="28"/>
  <c r="AX52" i="28"/>
  <c r="G32" i="28"/>
  <c r="CQ36" i="28"/>
  <c r="AM21" i="28"/>
  <c r="C28" i="28"/>
  <c r="AW81" i="28"/>
  <c r="CD99" i="28"/>
  <c r="D41" i="28"/>
  <c r="AW26" i="28"/>
  <c r="AL116" i="28"/>
  <c r="AK99" i="28"/>
  <c r="CO27" i="28"/>
  <c r="AX110" i="28"/>
  <c r="CS69" i="28"/>
  <c r="CE118" i="28"/>
  <c r="P108" i="28"/>
  <c r="CE23" i="28"/>
  <c r="BJ73" i="28"/>
  <c r="BA87" i="28"/>
  <c r="BI42" i="28"/>
  <c r="BK76" i="28"/>
  <c r="AY61" i="28"/>
  <c r="AY40" i="28"/>
  <c r="L28" i="31"/>
  <c r="CS29" i="28"/>
  <c r="P35" i="28"/>
  <c r="D24" i="28"/>
  <c r="BA63" i="28"/>
  <c r="AL109" i="28"/>
  <c r="AY19" i="28"/>
  <c r="CD74" i="28"/>
  <c r="I9" i="31"/>
  <c r="BI36" i="28"/>
  <c r="BK15" i="28"/>
  <c r="D107" i="28"/>
  <c r="CS114" i="28"/>
  <c r="BI62" i="28"/>
  <c r="I25" i="31"/>
  <c r="CE60" i="28"/>
  <c r="AY87" i="28"/>
  <c r="CC15" i="28"/>
  <c r="Q68" i="28"/>
  <c r="CG99" i="28"/>
  <c r="G51" i="28"/>
  <c r="AO67" i="28"/>
  <c r="AY50" i="28"/>
  <c r="CO20" i="28"/>
  <c r="CG102" i="28"/>
  <c r="CS48" i="28"/>
  <c r="G58" i="28"/>
  <c r="Q31" i="28"/>
  <c r="CG32" i="28"/>
  <c r="E20" i="28"/>
  <c r="H24" i="31"/>
  <c r="F11" i="31"/>
  <c r="O89" i="28"/>
  <c r="AK113" i="28"/>
  <c r="S74" i="28"/>
  <c r="BA33" i="28"/>
  <c r="CD66" i="28"/>
  <c r="D22" i="28"/>
  <c r="G114" i="28"/>
  <c r="BI89" i="28"/>
  <c r="I15" i="31"/>
  <c r="AM50" i="28"/>
  <c r="AK120" i="28"/>
  <c r="AX73" i="28"/>
  <c r="S115" i="28"/>
  <c r="CG91" i="28"/>
  <c r="O103" i="28"/>
  <c r="CQ122" i="28"/>
  <c r="O122" i="28"/>
  <c r="E74" i="28"/>
  <c r="BA110" i="28"/>
  <c r="BI35" i="28"/>
  <c r="M5" i="31"/>
  <c r="CS74" i="28"/>
  <c r="AW71" i="28"/>
  <c r="BA94" i="28"/>
  <c r="AK41" i="28"/>
  <c r="AO45" i="28"/>
  <c r="I27" i="31"/>
  <c r="CE22" i="28"/>
  <c r="P62" i="28"/>
  <c r="AM15" i="28"/>
  <c r="BJ117" i="28"/>
  <c r="AL63" i="28"/>
  <c r="CD98" i="28"/>
  <c r="AX80" i="28"/>
  <c r="AO63" i="28"/>
  <c r="AW107" i="28"/>
  <c r="O52" i="28"/>
  <c r="O55" i="28"/>
  <c r="AO94" i="28"/>
  <c r="CO93" i="28"/>
  <c r="CE44" i="28"/>
  <c r="CQ48" i="28"/>
  <c r="AO61" i="28"/>
  <c r="CE53" i="28"/>
  <c r="BI95" i="28"/>
  <c r="CP69" i="28"/>
  <c r="C101" i="28"/>
  <c r="BK22" i="28"/>
  <c r="BK21" i="28"/>
  <c r="C58" i="28"/>
  <c r="BI106" i="28"/>
  <c r="H7" i="31"/>
  <c r="C41" i="28"/>
  <c r="G78" i="28"/>
  <c r="AM52" i="28"/>
  <c r="AL37" i="28"/>
  <c r="E14" i="31"/>
  <c r="P66" i="28"/>
  <c r="Q74" i="28"/>
  <c r="AY34" i="28"/>
  <c r="P46" i="28"/>
  <c r="AK49" i="28"/>
  <c r="CS62" i="28"/>
  <c r="S23" i="28"/>
  <c r="O50" i="28"/>
  <c r="AL44" i="28"/>
  <c r="CE81" i="28"/>
  <c r="CQ92" i="28"/>
  <c r="K11" i="31"/>
  <c r="AO37" i="28"/>
  <c r="AX114" i="28"/>
  <c r="O67" i="28"/>
  <c r="AW94" i="28"/>
  <c r="AK86" i="28"/>
  <c r="S67" i="28"/>
  <c r="CC96" i="28"/>
  <c r="AY83" i="28"/>
  <c r="C53" i="28"/>
  <c r="P50" i="28"/>
  <c r="AO99" i="28"/>
  <c r="CG25" i="28"/>
  <c r="O112" i="28"/>
  <c r="H13" i="31"/>
  <c r="AX43" i="28"/>
  <c r="S76" i="28"/>
  <c r="G95" i="28"/>
  <c r="Q30" i="28"/>
  <c r="AO77" i="28"/>
  <c r="AM37" i="28"/>
  <c r="AO62" i="28"/>
  <c r="O78" i="28"/>
  <c r="AK39" i="28"/>
  <c r="AW32" i="28"/>
  <c r="CE112" i="28"/>
  <c r="CE117" i="28"/>
  <c r="Q60" i="28"/>
  <c r="AW47" i="28"/>
  <c r="Q118" i="28"/>
  <c r="D76" i="28"/>
  <c r="E82" i="28"/>
  <c r="BI83" i="28"/>
  <c r="CO89" i="28"/>
  <c r="D31" i="28"/>
  <c r="CG47" i="28"/>
  <c r="E23" i="28"/>
  <c r="CD96" i="28"/>
  <c r="CD117" i="28"/>
  <c r="CO73" i="28"/>
  <c r="CQ32" i="28"/>
  <c r="AW84" i="28"/>
  <c r="CE38" i="28"/>
  <c r="BK114" i="28"/>
  <c r="AL113" i="28"/>
  <c r="O65" i="28"/>
  <c r="D9" i="31"/>
  <c r="BA119" i="28"/>
  <c r="BI112" i="28"/>
  <c r="D83" i="28"/>
  <c r="AX17" i="28"/>
  <c r="AX90" i="28"/>
  <c r="AL69" i="28"/>
  <c r="CG23" i="28"/>
  <c r="CC116" i="28"/>
  <c r="CD67" i="28"/>
  <c r="AY73" i="28"/>
  <c r="BK104" i="28"/>
  <c r="BA99" i="28"/>
  <c r="CQ22" i="28"/>
  <c r="CO118" i="28"/>
  <c r="E13" i="31"/>
  <c r="AY18" i="28"/>
  <c r="AX41" i="28"/>
  <c r="CQ31" i="28"/>
  <c r="C35" i="28"/>
  <c r="CC90" i="28"/>
  <c r="AW90" i="28"/>
  <c r="AM48" i="28"/>
  <c r="BK85" i="28"/>
  <c r="S21" i="28"/>
  <c r="AX25" i="28"/>
  <c r="AM43" i="28"/>
  <c r="P52" i="28"/>
  <c r="BI72" i="28"/>
  <c r="CS61" i="28"/>
  <c r="D40" i="28"/>
  <c r="BI34" i="28"/>
  <c r="AW112" i="28"/>
  <c r="D52" i="28"/>
  <c r="CE56" i="28"/>
  <c r="G113" i="28"/>
  <c r="BA23" i="28"/>
  <c r="CE95" i="28"/>
  <c r="CD71" i="28"/>
  <c r="CC105" i="28"/>
  <c r="E90" i="28"/>
  <c r="BI68" i="28"/>
  <c r="CE41" i="28"/>
  <c r="AW45" i="28"/>
  <c r="AO15" i="28"/>
  <c r="BI26" i="28"/>
  <c r="CQ70" i="28"/>
  <c r="P54" i="28"/>
  <c r="AL94" i="28"/>
  <c r="AY65" i="28"/>
  <c r="O113" i="28"/>
  <c r="O22" i="28"/>
  <c r="AL55" i="28"/>
  <c r="I28" i="31"/>
  <c r="AY37" i="28"/>
  <c r="E91" i="28"/>
  <c r="J11" i="31"/>
  <c r="CO91" i="28"/>
  <c r="CO117" i="28"/>
  <c r="M7" i="31"/>
  <c r="CD38" i="28"/>
  <c r="CO53" i="28"/>
  <c r="P93" i="28"/>
  <c r="CE89" i="28"/>
  <c r="CD18" i="28"/>
  <c r="CG78" i="28"/>
  <c r="Q99" i="28"/>
  <c r="CG33" i="28"/>
  <c r="CS38" i="28"/>
  <c r="D16" i="28"/>
  <c r="CP68" i="28"/>
  <c r="BK16" i="28"/>
  <c r="CG59" i="28"/>
  <c r="G60" i="28"/>
  <c r="CS51" i="28"/>
  <c r="CD105" i="28"/>
  <c r="CC101" i="28"/>
  <c r="CP21" i="28"/>
  <c r="G41" i="28"/>
  <c r="AK60" i="28"/>
  <c r="CQ114" i="28"/>
  <c r="CS39" i="28"/>
  <c r="D89" i="28"/>
  <c r="CQ109" i="28"/>
  <c r="AK89" i="28"/>
  <c r="CG61" i="28"/>
  <c r="BI113" i="28"/>
  <c r="J9" i="31"/>
  <c r="CQ118" i="28"/>
  <c r="Q52" i="28"/>
  <c r="E18" i="28"/>
  <c r="D23" i="31"/>
  <c r="CD16" i="28"/>
  <c r="BA18" i="28"/>
  <c r="CE58" i="28"/>
  <c r="P31" i="28"/>
  <c r="CC45" i="28"/>
  <c r="BK82" i="28"/>
  <c r="CD82" i="28"/>
  <c r="S69" i="28"/>
  <c r="AW91" i="28"/>
  <c r="CS56" i="28"/>
  <c r="BA77" i="28"/>
  <c r="Q89" i="28"/>
  <c r="S52" i="28"/>
  <c r="E98" i="28"/>
  <c r="S75" i="28"/>
  <c r="CQ73" i="28"/>
  <c r="AL97" i="28"/>
  <c r="AL18" i="28"/>
  <c r="P19" i="28"/>
  <c r="CE111" i="28"/>
  <c r="AX88" i="28"/>
  <c r="BA74" i="28"/>
  <c r="CD26" i="28"/>
  <c r="BK42" i="28"/>
  <c r="BI33" i="28"/>
  <c r="AX67" i="28"/>
  <c r="Q81" i="28"/>
  <c r="AW53" i="28"/>
  <c r="CC58" i="28"/>
  <c r="C26" i="28"/>
  <c r="CD104" i="28"/>
  <c r="CS100" i="28"/>
  <c r="E40" i="28"/>
  <c r="S89" i="28"/>
  <c r="P106" i="28"/>
  <c r="G71" i="28"/>
  <c r="O26" i="28"/>
  <c r="CP32" i="28"/>
  <c r="AX63" i="28"/>
  <c r="CP33" i="28"/>
  <c r="BA76" i="28"/>
  <c r="CG17" i="28"/>
  <c r="AL75" i="28"/>
  <c r="P97" i="28"/>
  <c r="AK40" i="28"/>
  <c r="Q28" i="28"/>
  <c r="D26" i="31"/>
  <c r="CO63" i="28"/>
  <c r="AL108" i="28"/>
  <c r="D58" i="28"/>
  <c r="O119" i="28"/>
  <c r="AO42" i="28"/>
  <c r="M21" i="31"/>
  <c r="BA36" i="28"/>
  <c r="G57" i="28"/>
  <c r="D71" i="28"/>
  <c r="AK67" i="28"/>
  <c r="P59" i="28"/>
  <c r="G40" i="28"/>
  <c r="AL84" i="28"/>
  <c r="G92" i="28"/>
  <c r="CG104" i="28"/>
  <c r="AO95" i="28"/>
  <c r="AO69" i="28"/>
  <c r="AK61" i="28"/>
  <c r="AX95" i="28"/>
  <c r="G91" i="28"/>
  <c r="D39" i="28"/>
  <c r="BI23" i="28"/>
  <c r="BK67" i="28"/>
  <c r="Q35" i="28"/>
  <c r="G83" i="28"/>
  <c r="CQ108" i="28"/>
  <c r="AX93" i="28"/>
  <c r="BK49" i="28"/>
  <c r="G54" i="28"/>
  <c r="CP55" i="28"/>
  <c r="AK31" i="28"/>
  <c r="AM28" i="28"/>
  <c r="O81" i="28"/>
  <c r="CS121" i="28"/>
  <c r="AL33" i="28"/>
  <c r="G29" i="28"/>
  <c r="CQ52" i="28"/>
  <c r="CS15" i="28"/>
  <c r="AM49" i="28"/>
  <c r="AL27" i="28"/>
  <c r="AO55" i="28"/>
  <c r="E72" i="28"/>
  <c r="S53" i="28"/>
  <c r="AM58" i="28"/>
  <c r="D120" i="28"/>
  <c r="D23" i="28"/>
  <c r="BA114" i="28"/>
  <c r="C61" i="28"/>
  <c r="CD37" i="28"/>
  <c r="AM38" i="28"/>
  <c r="BK81" i="28"/>
  <c r="C52" i="28"/>
  <c r="AM20" i="28"/>
  <c r="CQ29" i="28"/>
  <c r="G18" i="28"/>
  <c r="CC36" i="28"/>
  <c r="BJ110" i="28"/>
  <c r="BJ81" i="28"/>
  <c r="AX111" i="28"/>
  <c r="P63" i="28"/>
  <c r="Q17" i="28"/>
  <c r="CC30" i="28"/>
  <c r="BK72" i="28"/>
  <c r="D65" i="28"/>
  <c r="CD15" i="28"/>
  <c r="AY75" i="28"/>
  <c r="C95" i="28"/>
  <c r="Q33" i="28"/>
  <c r="Q71" i="28"/>
  <c r="D42" i="28"/>
  <c r="AY62" i="28"/>
  <c r="CD94" i="28"/>
  <c r="P32" i="28"/>
  <c r="BJ75" i="28"/>
  <c r="AL39" i="28"/>
  <c r="CQ75" i="28"/>
  <c r="CE110" i="28"/>
  <c r="CD116" i="28"/>
  <c r="CS41" i="28"/>
  <c r="AK78" i="28"/>
  <c r="Q26" i="28"/>
  <c r="N12" i="31"/>
  <c r="AK114" i="28"/>
  <c r="CG66" i="28"/>
  <c r="BA120" i="28"/>
  <c r="CO42" i="28"/>
  <c r="C17" i="28"/>
  <c r="D97" i="28"/>
  <c r="G121" i="28"/>
  <c r="AO51" i="28"/>
  <c r="BJ114" i="28"/>
  <c r="CE59" i="28"/>
  <c r="P119" i="28"/>
  <c r="AY23" i="28"/>
  <c r="AL28" i="28"/>
  <c r="CS78" i="28"/>
  <c r="AY21" i="28"/>
  <c r="S94" i="28"/>
  <c r="CQ81" i="28"/>
  <c r="D46" i="28"/>
  <c r="BA90" i="28"/>
  <c r="P41" i="28"/>
  <c r="D21" i="28"/>
  <c r="AY58" i="28"/>
  <c r="CS36" i="28"/>
  <c r="AX4" i="28"/>
  <c r="BK55" i="28"/>
  <c r="G16" i="28"/>
  <c r="CO24" i="28"/>
  <c r="D43" i="28"/>
  <c r="AO122" i="28"/>
  <c r="C117" i="28"/>
  <c r="AL52" i="28"/>
  <c r="CP17" i="28"/>
  <c r="CE80" i="28"/>
  <c r="E23" i="31"/>
  <c r="P111" i="28"/>
  <c r="AO109" i="28"/>
  <c r="BK25" i="28"/>
  <c r="P74" i="28"/>
  <c r="O69" i="28"/>
  <c r="L25" i="31"/>
  <c r="AL92" i="28"/>
  <c r="CE30" i="28"/>
  <c r="E70" i="28"/>
  <c r="AO20" i="28"/>
  <c r="AL23" i="28"/>
  <c r="CG44" i="28"/>
  <c r="CO59" i="28"/>
  <c r="CS35" i="28"/>
  <c r="CE20" i="28"/>
  <c r="CO111" i="28"/>
  <c r="S116" i="28"/>
  <c r="Q119" i="28"/>
  <c r="G28" i="28"/>
  <c r="AM16" i="28"/>
  <c r="O28" i="28"/>
  <c r="S98" i="28"/>
  <c r="D105" i="28"/>
  <c r="CP25" i="28"/>
  <c r="Q53" i="28"/>
  <c r="Q79" i="28"/>
  <c r="AX87" i="28"/>
  <c r="CD62" i="28"/>
  <c r="CS21" i="28"/>
  <c r="AM57" i="28"/>
  <c r="AO48" i="28"/>
  <c r="C68" i="28"/>
  <c r="CQ67" i="28"/>
  <c r="O53" i="28"/>
  <c r="C22" i="28"/>
  <c r="S83" i="28"/>
  <c r="E19" i="28"/>
  <c r="S47" i="28"/>
  <c r="S63" i="28"/>
  <c r="BI27" i="28"/>
  <c r="C56" i="28"/>
  <c r="K26" i="31"/>
  <c r="CE46" i="28"/>
  <c r="CP23" i="28"/>
  <c r="CC23" i="28"/>
  <c r="E117" i="28"/>
  <c r="AX39" i="28"/>
  <c r="AK93" i="28"/>
  <c r="CS86" i="28"/>
  <c r="BI121" i="28"/>
  <c r="L26" i="31"/>
  <c r="CD122" i="28"/>
  <c r="G21" i="5" l="1"/>
  <c r="H21" i="5" s="1"/>
  <c r="G9" i="5"/>
  <c r="H9" i="5" s="1"/>
  <c r="E22" i="31"/>
  <c r="G8" i="3"/>
  <c r="CD8" i="28"/>
  <c r="C11" i="3" s="1"/>
  <c r="CS8" i="28"/>
  <c r="S26" i="31"/>
  <c r="S23" i="31"/>
  <c r="D22" i="31"/>
  <c r="J10" i="31"/>
  <c r="AO8" i="28"/>
  <c r="S9" i="31"/>
  <c r="O9" i="28"/>
  <c r="K10" i="31"/>
  <c r="AM8" i="28"/>
  <c r="E7" i="3" s="1"/>
  <c r="M4" i="31"/>
  <c r="F10" i="31"/>
  <c r="CC8" i="28"/>
  <c r="H11" i="3" s="1"/>
  <c r="BK8" i="28"/>
  <c r="M22" i="31"/>
  <c r="AW9" i="28"/>
  <c r="I8" i="3" s="1"/>
  <c r="BA9" i="28"/>
  <c r="S25" i="31"/>
  <c r="I22" i="31"/>
  <c r="Q8" i="28"/>
  <c r="E5" i="3" s="1"/>
  <c r="S28" i="31"/>
  <c r="CO8" i="28"/>
  <c r="H12" i="3" s="1"/>
  <c r="BI9" i="28"/>
  <c r="S9" i="28"/>
  <c r="G4" i="31"/>
  <c r="G22" i="31"/>
  <c r="O8" i="28"/>
  <c r="H5" i="3" s="1"/>
  <c r="G5" i="3"/>
  <c r="S15" i="31"/>
  <c r="AW8" i="28"/>
  <c r="H8" i="3" s="1"/>
  <c r="BA8" i="28"/>
  <c r="S11" i="31"/>
  <c r="D10" i="31"/>
  <c r="CO9" i="28"/>
  <c r="I12" i="3" s="1"/>
  <c r="C8" i="28"/>
  <c r="H4" i="3" s="1"/>
  <c r="O10" i="31"/>
  <c r="S17" i="31"/>
  <c r="S8" i="28"/>
  <c r="N22" i="31"/>
  <c r="S12" i="31"/>
  <c r="BJ10" i="28"/>
  <c r="G9" i="3" s="1"/>
  <c r="S24" i="31"/>
  <c r="CQ8" i="28"/>
  <c r="CQ10" i="28" s="1"/>
  <c r="O4" i="31"/>
  <c r="G4" i="3"/>
  <c r="G9" i="28"/>
  <c r="S27" i="31"/>
  <c r="E4" i="31"/>
  <c r="CE8" i="28"/>
  <c r="E11" i="3" s="1"/>
  <c r="BI8" i="28"/>
  <c r="H9" i="3" s="1"/>
  <c r="S14" i="31"/>
  <c r="CG9" i="28"/>
  <c r="I10" i="31"/>
  <c r="M10" i="31"/>
  <c r="S6" i="31"/>
  <c r="K22" i="31"/>
  <c r="E8" i="28"/>
  <c r="E4" i="3" s="1"/>
  <c r="G7" i="3"/>
  <c r="L22" i="31"/>
  <c r="G10" i="31"/>
  <c r="N4" i="31"/>
  <c r="G11" i="3"/>
  <c r="AK8" i="28"/>
  <c r="H7" i="3" s="1"/>
  <c r="CC9" i="28"/>
  <c r="I11" i="3" s="1"/>
  <c r="D4" i="31"/>
  <c r="S5" i="31"/>
  <c r="J22" i="31"/>
  <c r="AY8" i="28"/>
  <c r="E8" i="3" s="1"/>
  <c r="G12" i="3"/>
  <c r="L10" i="31"/>
  <c r="AX8" i="28"/>
  <c r="C8" i="3" s="1"/>
  <c r="G8" i="28"/>
  <c r="BK9" i="28"/>
  <c r="C9" i="28"/>
  <c r="I4" i="3" s="1"/>
  <c r="N10" i="31"/>
  <c r="K4" i="31"/>
  <c r="J4" i="31"/>
  <c r="E10" i="31"/>
  <c r="H10" i="31"/>
  <c r="F22" i="31"/>
  <c r="S13" i="31"/>
  <c r="AK9" i="28"/>
  <c r="I7" i="3" s="1"/>
  <c r="I4" i="31"/>
  <c r="S7" i="31"/>
  <c r="AL8" i="28"/>
  <c r="C7" i="3" s="1"/>
  <c r="P8" i="28"/>
  <c r="C5" i="3" s="1"/>
  <c r="O22" i="31"/>
  <c r="S21" i="31"/>
  <c r="CP8" i="28"/>
  <c r="CG8" i="28"/>
  <c r="CS9" i="28"/>
  <c r="D8" i="28"/>
  <c r="C4" i="3" s="1"/>
  <c r="AO9" i="28"/>
  <c r="H4" i="31"/>
  <c r="L4" i="31"/>
  <c r="H22" i="31"/>
  <c r="F4" i="31"/>
  <c r="D30" i="31"/>
  <c r="P29" i="31"/>
  <c r="P3" i="31" s="1"/>
  <c r="P2" i="31" s="1"/>
  <c r="P223" i="31" s="1"/>
  <c r="I29" i="31"/>
  <c r="H29" i="31"/>
  <c r="O29" i="31"/>
  <c r="G29" i="31"/>
  <c r="Q29" i="31"/>
  <c r="Q3" i="31" s="1"/>
  <c r="F29" i="31"/>
  <c r="N29" i="31"/>
  <c r="E29" i="31"/>
  <c r="M29" i="31"/>
  <c r="L29" i="31"/>
  <c r="K29" i="31"/>
  <c r="J29" i="31"/>
  <c r="S196" i="31"/>
  <c r="H191" i="31"/>
  <c r="H184" i="31" s="1"/>
  <c r="H183" i="31" s="1"/>
  <c r="H182" i="31" s="1"/>
  <c r="S198" i="31"/>
  <c r="N191" i="31"/>
  <c r="S201" i="31"/>
  <c r="S203" i="31"/>
  <c r="M191" i="31"/>
  <c r="M184" i="31" s="1"/>
  <c r="M183" i="31" s="1"/>
  <c r="S194" i="31"/>
  <c r="Q191" i="31"/>
  <c r="Q184" i="31" s="1"/>
  <c r="Q183" i="31" s="1"/>
  <c r="Q182" i="31" s="1"/>
  <c r="K191" i="31"/>
  <c r="K184" i="31" s="1"/>
  <c r="K183" i="31" s="1"/>
  <c r="K182" i="31" s="1"/>
  <c r="I191" i="31"/>
  <c r="I184" i="31" s="1"/>
  <c r="I183" i="31" s="1"/>
  <c r="I182" i="31" s="1"/>
  <c r="S193" i="31"/>
  <c r="D191" i="31"/>
  <c r="G191" i="31"/>
  <c r="G184" i="31" s="1"/>
  <c r="G183" i="31" s="1"/>
  <c r="G182" i="31" s="1"/>
  <c r="E191" i="31"/>
  <c r="E184" i="31" s="1"/>
  <c r="E183" i="31" s="1"/>
  <c r="E182" i="31" s="1"/>
  <c r="S200" i="31"/>
  <c r="L191" i="31"/>
  <c r="L184" i="31" s="1"/>
  <c r="L183" i="31" s="1"/>
  <c r="L182" i="31" s="1"/>
  <c r="S197" i="31"/>
  <c r="S192" i="31"/>
  <c r="S199" i="31"/>
  <c r="S195" i="31"/>
  <c r="N184" i="31"/>
  <c r="N183" i="31" s="1"/>
  <c r="N182" i="31" s="1"/>
  <c r="O191" i="31"/>
  <c r="O184" i="31" s="1"/>
  <c r="O183" i="31" s="1"/>
  <c r="O182" i="31" s="1"/>
  <c r="J191" i="31"/>
  <c r="J184" i="31" s="1"/>
  <c r="J183" i="31" s="1"/>
  <c r="J182" i="31" s="1"/>
  <c r="F191" i="31"/>
  <c r="F184" i="31" s="1"/>
  <c r="F183" i="31" s="1"/>
  <c r="F182" i="31" s="1"/>
  <c r="S202" i="31"/>
  <c r="S154" i="31"/>
  <c r="I157" i="31" a="1"/>
  <c r="I157" i="31" s="1"/>
  <c r="I31" i="31" s="1"/>
  <c r="S163" i="31"/>
  <c r="G157" i="31" a="1"/>
  <c r="G157" i="31" s="1"/>
  <c r="G31" i="31" s="1"/>
  <c r="O157" i="31" a="1"/>
  <c r="O157" i="31" s="1"/>
  <c r="O31" i="31" s="1"/>
  <c r="S120" i="31"/>
  <c r="S43" i="31"/>
  <c r="E157" i="31" a="1"/>
  <c r="E157" i="31" s="1"/>
  <c r="E31" i="31" s="1"/>
  <c r="Q10" i="28"/>
  <c r="S162" i="31"/>
  <c r="S66" i="31"/>
  <c r="S76" i="31"/>
  <c r="S134" i="31"/>
  <c r="J157" i="31" a="1"/>
  <c r="J157" i="31" s="1"/>
  <c r="J31" i="31" s="1"/>
  <c r="F157" i="31" a="1"/>
  <c r="F157" i="31" s="1"/>
  <c r="F31" i="31" s="1"/>
  <c r="M182" i="31"/>
  <c r="N157" i="31" a="1"/>
  <c r="N157" i="31" s="1"/>
  <c r="N31" i="31" s="1"/>
  <c r="S94" i="31"/>
  <c r="H157" i="31" a="1"/>
  <c r="H157" i="31" s="1"/>
  <c r="H31" i="31" s="1"/>
  <c r="Q157" i="31" a="1"/>
  <c r="Q157" i="31" s="1"/>
  <c r="Q31" i="31" s="1"/>
  <c r="D157" i="31" a="1"/>
  <c r="D157" i="31" s="1"/>
  <c r="D31" i="31" s="1"/>
  <c r="S81" i="31"/>
  <c r="S143" i="31"/>
  <c r="K157" i="31" a="1"/>
  <c r="K157" i="31" s="1"/>
  <c r="K31" i="31" s="1"/>
  <c r="L157" i="31" a="1"/>
  <c r="L157" i="31" s="1"/>
  <c r="L31" i="31" s="1"/>
  <c r="M157" i="31" a="1"/>
  <c r="M157" i="31" s="1"/>
  <c r="M31" i="31" s="1"/>
  <c r="S32" i="31"/>
  <c r="S206" i="31"/>
  <c r="D205" i="31"/>
  <c r="S205" i="31" s="1"/>
  <c r="S51" i="31"/>
  <c r="D185" i="31"/>
  <c r="S186" i="31"/>
  <c r="D158" i="31"/>
  <c r="S158" i="31" s="1"/>
  <c r="E42" i="30"/>
  <c r="E40" i="30"/>
  <c r="E38" i="30"/>
  <c r="E36" i="30"/>
  <c r="E34" i="30"/>
  <c r="E32" i="30"/>
  <c r="E30" i="30"/>
  <c r="E28" i="30"/>
  <c r="E26" i="30"/>
  <c r="E24" i="30"/>
  <c r="E22" i="30"/>
  <c r="E20" i="30"/>
  <c r="E18" i="30"/>
  <c r="E16" i="30"/>
  <c r="E14" i="30"/>
  <c r="E12" i="30"/>
  <c r="E10" i="30"/>
  <c r="E8" i="30"/>
  <c r="E43" i="30"/>
  <c r="E41" i="30"/>
  <c r="E39" i="30"/>
  <c r="E37" i="30"/>
  <c r="E35" i="30"/>
  <c r="E33" i="30"/>
  <c r="E31" i="30"/>
  <c r="E29" i="30"/>
  <c r="E27" i="30"/>
  <c r="E25" i="30"/>
  <c r="E23" i="30"/>
  <c r="E21" i="30"/>
  <c r="E19" i="30"/>
  <c r="E17" i="30"/>
  <c r="E15" i="30"/>
  <c r="E13" i="30"/>
  <c r="E11" i="30"/>
  <c r="E9" i="30"/>
  <c r="E7" i="30"/>
  <c r="E6" i="30"/>
  <c r="K80" i="30"/>
  <c r="K76" i="30"/>
  <c r="K72" i="30"/>
  <c r="K68" i="30"/>
  <c r="K64" i="30"/>
  <c r="K60" i="30"/>
  <c r="K56" i="30"/>
  <c r="K52" i="30"/>
  <c r="K48" i="30"/>
  <c r="K44" i="30"/>
  <c r="K79" i="30"/>
  <c r="K75" i="30"/>
  <c r="K71" i="30"/>
  <c r="K67" i="30"/>
  <c r="K63" i="30"/>
  <c r="K59" i="30"/>
  <c r="K55" i="30"/>
  <c r="K51" i="30"/>
  <c r="K47" i="30"/>
  <c r="K43" i="30"/>
  <c r="K41" i="30"/>
  <c r="K39" i="30"/>
  <c r="K37" i="30"/>
  <c r="K35" i="30"/>
  <c r="K33" i="30"/>
  <c r="K31" i="30"/>
  <c r="K29" i="30"/>
  <c r="K27" i="30"/>
  <c r="K25" i="30"/>
  <c r="K23" i="30"/>
  <c r="K21" i="30"/>
  <c r="K19" i="30"/>
  <c r="K17" i="30"/>
  <c r="K15" i="30"/>
  <c r="K13" i="30"/>
  <c r="K11" i="30"/>
  <c r="K9" i="30"/>
  <c r="K7" i="30"/>
  <c r="K78" i="30"/>
  <c r="K74" i="30"/>
  <c r="K70" i="30"/>
  <c r="K66" i="30"/>
  <c r="K62" i="30"/>
  <c r="K58" i="30"/>
  <c r="K54" i="30"/>
  <c r="K50" i="30"/>
  <c r="K46" i="30"/>
  <c r="K73" i="30"/>
  <c r="K77" i="30"/>
  <c r="K69" i="30"/>
  <c r="K65" i="30"/>
  <c r="K61" i="30"/>
  <c r="K57" i="30"/>
  <c r="K53" i="30"/>
  <c r="K49" i="30"/>
  <c r="K45" i="30"/>
  <c r="K42" i="30"/>
  <c r="K40" i="30"/>
  <c r="K38" i="30"/>
  <c r="K36" i="30"/>
  <c r="K34" i="30"/>
  <c r="K32" i="30"/>
  <c r="K30" i="30"/>
  <c r="K28" i="30"/>
  <c r="K26" i="30"/>
  <c r="K24" i="30"/>
  <c r="K22" i="30"/>
  <c r="K20" i="30"/>
  <c r="K18" i="30"/>
  <c r="K16" i="30"/>
  <c r="K14" i="30"/>
  <c r="K12" i="30"/>
  <c r="K10" i="30"/>
  <c r="K8" i="30"/>
  <c r="K6" i="30"/>
  <c r="G17" i="5"/>
  <c r="H17" i="5" s="1"/>
  <c r="G25" i="5"/>
  <c r="H25" i="5" s="1"/>
  <c r="G37" i="5"/>
  <c r="H37" i="5" s="1"/>
  <c r="G33" i="5"/>
  <c r="H33" i="5" s="1"/>
  <c r="G5" i="5"/>
  <c r="H5" i="5" s="1"/>
  <c r="AO10" i="12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Y12" i="5"/>
  <c r="W12" i="5"/>
  <c r="X12" i="5"/>
  <c r="U12" i="5"/>
  <c r="V12" i="5"/>
  <c r="T12" i="5"/>
  <c r="S12" i="5"/>
  <c r="Y11" i="5"/>
  <c r="W11" i="5"/>
  <c r="X11" i="5"/>
  <c r="U11" i="5"/>
  <c r="V11" i="5"/>
  <c r="T11" i="5"/>
  <c r="S11" i="5"/>
  <c r="Y9" i="5"/>
  <c r="W9" i="5"/>
  <c r="X9" i="5"/>
  <c r="U9" i="5"/>
  <c r="V9" i="5"/>
  <c r="T9" i="5"/>
  <c r="S9" i="5"/>
  <c r="Y8" i="5"/>
  <c r="W8" i="5"/>
  <c r="X8" i="5"/>
  <c r="U8" i="5"/>
  <c r="V8" i="5"/>
  <c r="T8" i="5"/>
  <c r="S8" i="5"/>
  <c r="Y7" i="5"/>
  <c r="W7" i="5"/>
  <c r="X7" i="5"/>
  <c r="U7" i="5"/>
  <c r="V7" i="5"/>
  <c r="T7" i="5"/>
  <c r="S7" i="5"/>
  <c r="Y5" i="5"/>
  <c r="W5" i="5"/>
  <c r="X5" i="5"/>
  <c r="U5" i="5"/>
  <c r="V5" i="5"/>
  <c r="T5" i="5"/>
  <c r="S5" i="5"/>
  <c r="G28" i="5" s="1"/>
  <c r="H28" i="5" s="1"/>
  <c r="Y4" i="5"/>
  <c r="W4" i="5"/>
  <c r="X4" i="5"/>
  <c r="U4" i="5"/>
  <c r="V4" i="5"/>
  <c r="T4" i="5"/>
  <c r="S4" i="5"/>
  <c r="I9" i="3" l="1"/>
  <c r="I5" i="3"/>
  <c r="BA10" i="28"/>
  <c r="CS10" i="28"/>
  <c r="BK10" i="28"/>
  <c r="CD9" i="28"/>
  <c r="CD10" i="28" s="1"/>
  <c r="AO10" i="28"/>
  <c r="AW10" i="28"/>
  <c r="G10" i="28"/>
  <c r="AM10" i="28"/>
  <c r="O10" i="28"/>
  <c r="CP9" i="28"/>
  <c r="CP10" i="28" s="1"/>
  <c r="O3" i="31"/>
  <c r="O2" i="31" s="1"/>
  <c r="O223" i="31" s="1"/>
  <c r="CO10" i="28"/>
  <c r="G3" i="31"/>
  <c r="G2" i="31" s="1"/>
  <c r="G223" i="31" s="1"/>
  <c r="CE10" i="28"/>
  <c r="E10" i="28"/>
  <c r="S22" i="31"/>
  <c r="S10" i="28"/>
  <c r="P10" i="28"/>
  <c r="L3" i="31"/>
  <c r="L2" i="31" s="1"/>
  <c r="L223" i="31" s="1"/>
  <c r="H3" i="31"/>
  <c r="H2" i="31" s="1"/>
  <c r="H223" i="31" s="1"/>
  <c r="S4" i="31"/>
  <c r="M3" i="31"/>
  <c r="M2" i="31" s="1"/>
  <c r="M223" i="31" s="1"/>
  <c r="K3" i="31"/>
  <c r="K2" i="31" s="1"/>
  <c r="K223" i="31" s="1"/>
  <c r="S10" i="31"/>
  <c r="CG10" i="28"/>
  <c r="BI10" i="28"/>
  <c r="L10" i="3" s="1"/>
  <c r="F3" i="31"/>
  <c r="F2" i="31" s="1"/>
  <c r="F223" i="31" s="1"/>
  <c r="C10" i="28"/>
  <c r="AX9" i="28"/>
  <c r="AX10" i="28" s="1"/>
  <c r="AK10" i="28"/>
  <c r="E3" i="31"/>
  <c r="E2" i="31" s="1"/>
  <c r="E223" i="31" s="1"/>
  <c r="I3" i="31"/>
  <c r="I2" i="31" s="1"/>
  <c r="I223" i="31" s="1"/>
  <c r="D9" i="28"/>
  <c r="D4" i="3" s="1"/>
  <c r="N3" i="31"/>
  <c r="N2" i="31" s="1"/>
  <c r="N223" i="31" s="1"/>
  <c r="AL9" i="28"/>
  <c r="D7" i="3" s="1"/>
  <c r="AY10" i="28"/>
  <c r="J3" i="31"/>
  <c r="J2" i="31" s="1"/>
  <c r="J223" i="31" s="1"/>
  <c r="CC10" i="28"/>
  <c r="D29" i="31"/>
  <c r="S30" i="31"/>
  <c r="S191" i="31"/>
  <c r="Q2" i="31"/>
  <c r="Q223" i="31" s="1"/>
  <c r="S31" i="31"/>
  <c r="S157" i="31"/>
  <c r="S185" i="31"/>
  <c r="D184" i="31"/>
  <c r="F36" i="5"/>
  <c r="D36" i="5"/>
  <c r="C36" i="5"/>
  <c r="F32" i="5"/>
  <c r="C32" i="5"/>
  <c r="F24" i="5"/>
  <c r="D24" i="5"/>
  <c r="F20" i="5"/>
  <c r="C20" i="5"/>
  <c r="F16" i="5"/>
  <c r="C16" i="5"/>
  <c r="F8" i="5"/>
  <c r="C4" i="5"/>
  <c r="D11" i="3" l="1"/>
  <c r="D10" i="28"/>
  <c r="AL10" i="28"/>
  <c r="D8" i="3"/>
  <c r="S29" i="31"/>
  <c r="D3" i="31"/>
  <c r="S184" i="31"/>
  <c r="D183" i="31"/>
  <c r="D16" i="5"/>
  <c r="Z5" i="5"/>
  <c r="E20" i="5"/>
  <c r="E4" i="5"/>
  <c r="Y13" i="5"/>
  <c r="D20" i="5"/>
  <c r="E24" i="5"/>
  <c r="Z12" i="5"/>
  <c r="Z11" i="5"/>
  <c r="D8" i="5"/>
  <c r="E16" i="5"/>
  <c r="D4" i="5"/>
  <c r="E8" i="5"/>
  <c r="U13" i="5"/>
  <c r="X13" i="5"/>
  <c r="Z9" i="5"/>
  <c r="D32" i="5"/>
  <c r="E36" i="5"/>
  <c r="G36" i="5" s="1"/>
  <c r="H36" i="5" s="1"/>
  <c r="C24" i="5"/>
  <c r="W13" i="5"/>
  <c r="E32" i="5"/>
  <c r="F4" i="5"/>
  <c r="C8" i="5"/>
  <c r="Z4" i="5"/>
  <c r="Z7" i="5"/>
  <c r="Z8" i="5"/>
  <c r="S13" i="5"/>
  <c r="T13" i="5"/>
  <c r="V13" i="5"/>
  <c r="G24" i="5" l="1"/>
  <c r="H24" i="5" s="1"/>
  <c r="CN10" i="28"/>
  <c r="CN9" i="28" s="1"/>
  <c r="AM10" i="12"/>
  <c r="AM9" i="12" s="1"/>
  <c r="D2" i="31"/>
  <c r="S2" i="31" s="1"/>
  <c r="S3" i="31"/>
  <c r="D182" i="31"/>
  <c r="S183" i="31"/>
  <c r="G32" i="5"/>
  <c r="H32" i="5" s="1"/>
  <c r="G20" i="5"/>
  <c r="H20" i="5" s="1"/>
  <c r="G8" i="5"/>
  <c r="H8" i="5" s="1"/>
  <c r="G16" i="5"/>
  <c r="H16" i="5" s="1"/>
  <c r="G4" i="5"/>
  <c r="H4" i="5" s="1"/>
  <c r="Z13" i="5"/>
  <c r="P10" i="12" l="1"/>
  <c r="P9" i="12" s="1"/>
  <c r="AJ10" i="28"/>
  <c r="AJ9" i="28" s="1"/>
  <c r="AV10" i="28"/>
  <c r="AV9" i="28" s="1"/>
  <c r="W10" i="12"/>
  <c r="W9" i="12" s="1"/>
  <c r="BH10" i="28"/>
  <c r="BH9" i="28" s="1"/>
  <c r="AA10" i="12"/>
  <c r="AA9" i="12" s="1"/>
  <c r="CB10" i="28"/>
  <c r="CB9" i="28" s="1"/>
  <c r="AF10" i="12"/>
  <c r="AF9" i="12" s="1"/>
  <c r="B10" i="28"/>
  <c r="B9" i="28" s="1"/>
  <c r="B10" i="12"/>
  <c r="B9" i="12" s="1"/>
  <c r="I10" i="12"/>
  <c r="I9" i="12" s="1"/>
  <c r="N10" i="28"/>
  <c r="N9" i="28" s="1"/>
  <c r="S182" i="31"/>
  <c r="D223" i="31"/>
  <c r="S223" i="31" s="1"/>
  <c r="L5" i="3" l="1"/>
  <c r="L12" i="3"/>
  <c r="L4" i="3"/>
  <c r="L11" i="3" l="1"/>
  <c r="L7" i="3"/>
  <c r="L13" i="3" s="1"/>
  <c r="L8" i="3"/>
  <c r="L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</authors>
  <commentList>
    <comment ref="B206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10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10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<sst xmlns="http://schemas.openxmlformats.org/spreadsheetml/2006/main" count="2411" uniqueCount="824">
  <si>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</si>
  <si>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</si>
  <si>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</si>
  <si>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</si>
  <si>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</si>
  <si>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</si>
  <si>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</si>
  <si>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</si>
  <si>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</si>
  <si>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</si>
  <si>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</si>
  <si>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</si>
  <si>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</si>
  <si>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</si>
  <si>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</si>
  <si>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</si>
  <si>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</si>
  <si>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</si>
  <si>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</si>
  <si>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</si>
  <si>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</si>
  <si>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</si>
  <si>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</si>
  <si>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</si>
  <si>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</si>
  <si>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</si>
  <si>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</si>
  <si>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</si>
  <si>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</si>
  <si>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</si>
  <si>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</si>
  <si>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</si>
  <si>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</si>
  <si>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</si>
  <si>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</si>
  <si>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</si>
  <si>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</si>
  <si>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</si>
  <si>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</si>
  <si>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</si>
  <si>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</si>
  <si>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</si>
  <si>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</si>
  <si>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</si>
  <si>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</si>
  <si>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</si>
  <si>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</si>
  <si>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</si>
  <si>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</si>
  <si>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</si>
  <si>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</si>
  <si>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</si>
  <si>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</si>
  <si>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</si>
  <si>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</si>
  <si>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</si>
  <si>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</si>
  <si>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</si>
  <si>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</si>
  <si>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</si>
  <si>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</si>
  <si>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</si>
  <si>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</si>
  <si>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</si>
  <si>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</si>
  <si>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</si>
  <si>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</si>
  <si>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</si>
  <si>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</si>
  <si>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</si>
  <si>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</si>
  <si>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</si>
  <si>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</si>
  <si>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</si>
  <si>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</si>
  <si>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</si>
  <si>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</si>
  <si>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</si>
  <si>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</si>
  <si>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</si>
  <si>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</si>
  <si>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</si>
  <si>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</si>
  <si>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</si>
  <si>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</si>
  <si>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</si>
  <si>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</si>
  <si>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</si>
  <si>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</si>
  <si>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</si>
  <si>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</si>
  <si>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</si>
  <si>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</si>
  <si>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</si>
  <si>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</si>
  <si>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</si>
  <si>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</si>
  <si>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</si>
  <si>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</si>
  <si>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</si>
  <si>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</si>
  <si>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</si>
  <si>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</si>
  <si>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</si>
  <si>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</si>
  <si>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</si>
  <si>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</si>
  <si>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</si>
  <si>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</si>
  <si>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</si>
  <si>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</si>
  <si>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</si>
  <si>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</si>
  <si>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</si>
  <si>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</si>
  <si>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</si>
  <si>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</si>
  <si>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</si>
  <si>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</si>
  <si>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</si>
  <si>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</si>
  <si>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</si>
  <si>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</si>
  <si>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</si>
  <si>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</si>
  <si>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</si>
  <si>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</si>
  <si>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</si>
  <si>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</si>
  <si>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</si>
  <si>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</si>
  <si>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</si>
  <si>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</si>
  <si>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</si>
  <si>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</si>
  <si>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</si>
  <si>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</si>
  <si>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</si>
  <si>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</si>
  <si>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</si>
  <si>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</si>
  <si>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</si>
  <si>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</si>
  <si>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</si>
  <si>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</si>
  <si>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</si>
  <si>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</si>
  <si>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</si>
  <si>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</si>
  <si>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</si>
  <si>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</si>
  <si>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</si>
  <si>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</si>
  <si>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</si>
  <si>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</si>
  <si>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</si>
  <si>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</si>
  <si>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</si>
  <si>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</si>
  <si>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</si>
  <si>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</si>
  <si>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</si>
  <si>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</si>
  <si>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</si>
  <si>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</si>
  <si>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</si>
  <si>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</si>
  <si>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</si>
  <si>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</si>
  <si>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</si>
  <si>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</si>
  <si>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</si>
  <si>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</si>
  <si>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</si>
  <si>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</si>
  <si>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</si>
  <si>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</si>
  <si>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</si>
  <si>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</si>
  <si>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</si>
  <si>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</si>
  <si>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</si>
  <si>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</si>
  <si>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</si>
  <si>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</si>
  <si>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</si>
  <si>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</si>
  <si>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</si>
  <si>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</si>
  <si>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</si>
  <si>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</si>
  <si>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</si>
  <si>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</si>
  <si>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</si>
  <si>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</si>
  <si>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</si>
  <si>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</si>
  <si>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</si>
  <si>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</si>
  <si>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</si>
  <si>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</si>
  <si>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</si>
  <si>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</si>
  <si>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</si>
  <si>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</si>
  <si>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</si>
  <si>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</si>
  <si>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</si>
  <si>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</si>
  <si>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</si>
  <si>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</si>
  <si>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</si>
  <si>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</si>
  <si>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</si>
  <si>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</si>
  <si>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</si>
  <si>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</si>
  <si>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</si>
  <si>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</si>
  <si>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</si>
  <si>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</si>
  <si>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</si>
  <si>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</si>
  <si>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</si>
  <si>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</si>
  <si>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</si>
  <si>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</si>
  <si>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</si>
  <si>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</si>
  <si>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</si>
  <si>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</si>
  <si>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</si>
  <si>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</si>
  <si>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</si>
  <si>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</si>
  <si>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</si>
  <si>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</si>
  <si>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</si>
  <si>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</si>
  <si>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</si>
  <si>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</si>
  <si>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</si>
  <si>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</si>
  <si>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</si>
  <si>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</si>
  <si>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</si>
  <si>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</si>
  <si>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</si>
  <si>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</si>
  <si>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</si>
  <si>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</si>
  <si>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</si>
  <si>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</si>
  <si>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</si>
  <si>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</si>
  <si>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</si>
  <si>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</si>
  <si>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</si>
  <si>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</si>
  <si>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</si>
  <si>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</si>
  <si>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</si>
  <si>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</si>
  <si>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</si>
  <si>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</si>
  <si>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</si>
  <si>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</si>
  <si>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</si>
  <si>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</si>
  <si>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</si>
  <si>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</si>
  <si>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</si>
  <si>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</si>
  <si>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</si>
  <si>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</si>
  <si>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</si>
  <si>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</si>
  <si>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</si>
  <si>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</si>
  <si>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</si>
  <si>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</si>
  <si>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</si>
  <si>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</si>
  <si>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</si>
  <si>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</si>
  <si>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</si>
  <si>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</si>
  <si>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</si>
  <si>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</si>
  <si>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</si>
  <si>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</si>
  <si>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</si>
  <si>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</si>
  <si>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</si>
  <si>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</si>
  <si>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</si>
  <si>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</si>
  <si>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</si>
  <si>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data.lancamento</t>
  </si>
  <si>
    <t>data.movimento</t>
  </si>
  <si>
    <t>lancamentos</t>
  </si>
  <si>
    <t>np</t>
  </si>
  <si>
    <t>conta.sidec/nsgd</t>
  </si>
  <si>
    <t>valor</t>
  </si>
  <si>
    <t>mot</t>
  </si>
  <si>
    <t>contrato.6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</si>
  <si>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</si>
  <si>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</si>
  <si>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</si>
  <si>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</si>
  <si>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</si>
  <si>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</si>
  <si>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</si>
  <si>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</si>
  <si>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</si>
  <si>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</si>
  <si>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</si>
  <si>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</si>
  <si>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</si>
  <si>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</si>
  <si>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</si>
  <si>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</si>
  <si>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</si>
  <si>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</si>
  <si>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</si>
  <si>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</si>
  <si>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</si>
  <si>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</si>
  <si>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</si>
  <si>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repasse.cef.terreno</t>
  </si>
  <si>
    <t>cef.terreno</t>
  </si>
  <si>
    <t>repasse.cef.obra</t>
  </si>
  <si>
    <t>cef.obra</t>
  </si>
  <si>
    <t>amortizacao.pj</t>
  </si>
  <si>
    <t>remuneracao.terreno</t>
  </si>
  <si>
    <t>remuneracao.venda</t>
  </si>
  <si>
    <t>contrato.5</t>
  </si>
  <si>
    <t>data.movimentacao</t>
  </si>
  <si>
    <t>natureza.extrato</t>
  </si>
  <si>
    <t>conta.interno</t>
  </si>
  <si>
    <t>data.lancamento.extrato</t>
  </si>
  <si>
    <t>descricao</t>
  </si>
  <si>
    <t>saldo</t>
  </si>
  <si>
    <t>conta</t>
  </si>
  <si>
    <t>agencia</t>
  </si>
  <si>
    <t>produto</t>
  </si>
  <si>
    <t>periodo.inicio</t>
  </si>
  <si>
    <t>periodo.fim</t>
  </si>
  <si>
    <t>data.consulta</t>
  </si>
  <si>
    <t>arquivo.extrato</t>
  </si>
  <si>
    <t>data.lancamento.cmfcn</t>
  </si>
  <si>
    <t>arquivo.cmfcn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</si>
  <si>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</si>
  <si>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</si>
  <si>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</si>
  <si>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</si>
  <si>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</si>
  <si>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</si>
  <si>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</si>
  <si>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</si>
  <si>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</si>
  <si>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</si>
  <si>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</si>
  <si>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</si>
  <si>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</si>
  <si>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</si>
  <si>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</si>
  <si>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cnpj</t>
  </si>
  <si>
    <t>arquivo.subtipo</t>
  </si>
  <si>
    <t>cpf.cnpj</t>
  </si>
  <si>
    <t>nome.razao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</si>
  <si>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</si>
  <si>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</si>
  <si>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</si>
  <si>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</si>
  <si>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</si>
  <si>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</si>
  <si>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</si>
  <si>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</si>
  <si>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</si>
  <si>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</si>
  <si>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</si>
  <si>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</si>
  <si>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</si>
  <si>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</si>
  <si>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</si>
  <si>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</si>
  <si>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</si>
  <si>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</si>
  <si>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</si>
  <si>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</si>
  <si>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</si>
  <si>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</si>
  <si>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</si>
  <si>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</si>
  <si>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</si>
  <si>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</si>
  <si>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</si>
  <si>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</si>
  <si>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</si>
  <si>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</si>
  <si>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</si>
  <si>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</si>
  <si>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</si>
  <si>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</si>
  <si>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</si>
  <si>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</si>
  <si>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</si>
  <si>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</si>
  <si>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</si>
  <si>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</si>
  <si>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</si>
  <si>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</si>
  <si>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</si>
  <si>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</si>
  <si>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</si>
  <si>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</si>
  <si>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</si>
  <si>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</si>
  <si>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</si>
  <si>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</si>
  <si>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</si>
  <si>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</si>
  <si>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</si>
  <si>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</si>
  <si>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</si>
  <si>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</si>
  <si>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</si>
  <si>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</si>
  <si>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</si>
  <si>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</si>
  <si>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</si>
  <si>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</si>
  <si>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</si>
  <si>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</si>
  <si>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</si>
  <si>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</si>
  <si>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</si>
  <si>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</si>
  <si>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</si>
  <si>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</si>
  <si>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</si>
  <si>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</si>
  <si>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</si>
  <si>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</si>
  <si>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</si>
  <si>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</si>
  <si>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</si>
  <si>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</si>
  <si>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</si>
  <si>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</si>
  <si>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</si>
  <si>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</si>
  <si>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</si>
  <si>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</si>
  <si>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</si>
  <si>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</si>
  <si>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</si>
  <si>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</si>
  <si>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</si>
  <si>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</si>
  <si>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</si>
  <si>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</si>
  <si>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</si>
  <si>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</si>
  <si>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</si>
  <si>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</si>
  <si>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</si>
  <si>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</si>
  <si>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</si>
  <si>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</si>
  <si>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</si>
  <si>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</si>
  <si>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</si>
  <si>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</si>
  <si>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</si>
  <si>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</si>
  <si>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</si>
  <si>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</si>
  <si>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</si>
  <si>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</si>
  <si>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</si>
  <si>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</si>
  <si>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</si>
  <si>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</si>
  <si>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</si>
  <si>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</si>
  <si>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</si>
  <si>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</si>
  <si>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</si>
  <si>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</si>
  <si>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</si>
  <si>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</si>
  <si>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</si>
  <si>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</si>
  <si>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</si>
  <si>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</si>
  <si>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AMPLA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</si>
  <si>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</si>
  <si>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</si>
  <si>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</si>
  <si>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</si>
  <si>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</si>
  <si>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</si>
  <si>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</si>
  <si>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</si>
  <si>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</si>
  <si>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</si>
  <si>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</si>
  <si>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</si>
  <si>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</si>
  <si>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</si>
  <si>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</si>
  <si>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</si>
  <si>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</si>
  <si>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</si>
  <si>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</si>
  <si>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</si>
  <si>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</si>
  <si>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</si>
  <si>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</si>
  <si>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</si>
  <si>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</si>
  <si>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</si>
  <si>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</si>
  <si>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</si>
  <si>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</si>
  <si>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</si>
  <si>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</si>
  <si>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</si>
  <si>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</si>
  <si>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</si>
  <si>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</si>
  <si>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</si>
  <si>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</si>
  <si>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</si>
  <si>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</si>
  <si>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</si>
  <si>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</si>
  <si>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</si>
  <si>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</si>
  <si>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</si>
  <si>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</si>
  <si>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</si>
  <si>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</si>
  <si>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</si>
  <si>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</si>
  <si>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</si>
  <si>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</si>
  <si>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</si>
  <si>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</si>
  <si>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</si>
  <si>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</si>
  <si>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</si>
  <si>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</si>
  <si>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</si>
  <si>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</si>
  <si>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</si>
  <si>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</si>
  <si>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</si>
  <si>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</si>
  <si>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</si>
  <si>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</si>
  <si>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</si>
  <si>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</si>
  <si>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</si>
  <si>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1.1.3.SN2.</t>
  </si>
  <si>
    <t>Ik</t>
  </si>
  <si>
    <t>1.1.3.GRA.</t>
  </si>
  <si>
    <t>1.1.3.AVS.</t>
  </si>
  <si>
    <t>1.1.3.AMP.</t>
  </si>
  <si>
    <t>1.1.3.LUC.</t>
  </si>
  <si>
    <t>1.1.3.SN4.</t>
  </si>
  <si>
    <t>1.1.4.</t>
  </si>
  <si>
    <t>Repasse ABC</t>
  </si>
  <si>
    <t>1.1.4.POM.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</si>
  <si>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</si>
  <si>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</si>
  <si>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</si>
  <si>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</si>
  <si>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</si>
  <si>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</si>
  <si>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</si>
  <si>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</si>
  <si>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</si>
  <si>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</si>
  <si>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</si>
  <si>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</si>
  <si>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</si>
  <si>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</si>
  <si>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</si>
  <si>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</si>
  <si>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JURUPITÉ - VLS5</t>
  </si>
  <si>
    <t>1.2.1.SAU.</t>
  </si>
  <si>
    <t>UP SAUDE</t>
  </si>
  <si>
    <t>1.2.1.SN4.</t>
  </si>
  <si>
    <t>UP MOVE VILA SONIA</t>
  </si>
  <si>
    <t>1.2.1.CBL.</t>
  </si>
  <si>
    <t>UP CAMPO BELO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</si>
  <si>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</si>
  <si>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</si>
  <si>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</si>
  <si>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</si>
  <si>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</si>
  <si>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</si>
  <si>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</si>
  <si>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</si>
  <si>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1.2.3.</t>
  </si>
  <si>
    <t>1.2.3.SN2.</t>
  </si>
  <si>
    <t>1.2.3.GRA.</t>
  </si>
  <si>
    <t>1.2.3.SN4.</t>
  </si>
  <si>
    <t>1.2.3.LUC.</t>
  </si>
  <si>
    <t>1.2.3.SBB.</t>
  </si>
  <si>
    <t>SANTA BIBIANA - VLS6</t>
  </si>
  <si>
    <t>1.2.3.AVS.</t>
  </si>
  <si>
    <t>1.2.3.AMP.</t>
  </si>
  <si>
    <t>1.2.3.SAU.</t>
  </si>
  <si>
    <t>1.2.3.POM.</t>
  </si>
  <si>
    <t>1.2.3.AVR.</t>
  </si>
  <si>
    <t>IBIRAPUERA</t>
  </si>
  <si>
    <t>1.2.3.NOVOS.</t>
  </si>
  <si>
    <t>NOVOS NEGOCIOS</t>
  </si>
  <si>
    <t>1.2.3.JRP.</t>
  </si>
  <si>
    <t>1.2.4.</t>
  </si>
  <si>
    <t>1.2.4.AMPLA.</t>
  </si>
  <si>
    <t>1.2.5.</t>
  </si>
  <si>
    <t>1.2.5.AMPLA.</t>
  </si>
  <si>
    <t>1.2.5.ENC.</t>
  </si>
  <si>
    <t>NOVA CIVIL</t>
  </si>
  <si>
    <t>1.2.5.USL.</t>
  </si>
  <si>
    <t>UP SALE</t>
  </si>
  <si>
    <t>1.2.6.</t>
  </si>
  <si>
    <t>1.2.6.AMP.</t>
  </si>
  <si>
    <t>1.2.7.</t>
  </si>
  <si>
    <t>1.2.7.POM.</t>
  </si>
  <si>
    <t>1.2.8.</t>
  </si>
  <si>
    <t>1.2.8.SN2.</t>
  </si>
  <si>
    <t>1.2.9.</t>
  </si>
  <si>
    <t>1.2.9.GRA.</t>
  </si>
  <si>
    <t>1.2.9.AMP.</t>
  </si>
  <si>
    <t>1.2.9.AVS.</t>
  </si>
  <si>
    <t>1.2.9.LUC.</t>
  </si>
  <si>
    <t>1.2.10.</t>
  </si>
  <si>
    <t>1.2.10.SN4.</t>
  </si>
  <si>
    <t>1.2.10.LUC.</t>
  </si>
  <si>
    <t>1.2.10.SAU.</t>
  </si>
  <si>
    <t>1.2.10.GRA.</t>
  </si>
  <si>
    <t>1.2.10.JRP.</t>
  </si>
  <si>
    <t>1.2.10.AMPLA.</t>
  </si>
  <si>
    <t>1.2.10.POM.</t>
  </si>
  <si>
    <t>1.2.10.SN2.</t>
  </si>
  <si>
    <t>1.2.10.AVS.</t>
  </si>
  <si>
    <t>1.2.10.AMP.</t>
  </si>
  <si>
    <t>1.2.10..</t>
  </si>
  <si>
    <t>LEAF POMPEO</t>
  </si>
  <si>
    <t>1.2.10.CBL.</t>
  </si>
  <si>
    <t>1.2.11.</t>
  </si>
  <si>
    <t>1.2.11.SN2.</t>
  </si>
  <si>
    <t>1.2.11.SN4.</t>
  </si>
  <si>
    <t>1.2.11.AVS.</t>
  </si>
  <si>
    <t>1.2.11.CBL.</t>
  </si>
  <si>
    <t>1.2.11.LUC.</t>
  </si>
  <si>
    <t>1.2.11.SAU.</t>
  </si>
  <si>
    <t>1.2.11.POM.</t>
  </si>
  <si>
    <t>1.2.11.BUT.</t>
  </si>
  <si>
    <t>BUTIA</t>
  </si>
  <si>
    <t>1.2.11.AVR.</t>
  </si>
  <si>
    <t>1.2.11.USL.</t>
  </si>
  <si>
    <t>1.2.11.GRA.</t>
  </si>
  <si>
    <t>1.2.11.AMP.</t>
  </si>
  <si>
    <t>1.2.11.ENC.</t>
  </si>
  <si>
    <t>1.2.11.CPE.</t>
  </si>
  <si>
    <t>CAMPOLARGO</t>
  </si>
  <si>
    <t>1.2.11.JRP.</t>
  </si>
  <si>
    <t>1.2.11.LUG.</t>
  </si>
  <si>
    <t>LUGANO</t>
  </si>
  <si>
    <t>1.2.11.SBB.</t>
  </si>
  <si>
    <t>1.2.11.INC.</t>
  </si>
  <si>
    <t>INCORFLORA</t>
  </si>
  <si>
    <t>1.2.11.DEC.</t>
  </si>
  <si>
    <t>UP DECOR</t>
  </si>
  <si>
    <t>1.2.11..</t>
  </si>
  <si>
    <t>LEAF ALVORADA</t>
  </si>
  <si>
    <t>1.2.11.JSP.</t>
  </si>
  <si>
    <t>UP JARDIM SÃO PAULO</t>
  </si>
  <si>
    <t>1.2.11.PDI.</t>
  </si>
  <si>
    <t>UP PARADA INGLESA</t>
  </si>
  <si>
    <t>1.2.11.SOC.</t>
  </si>
  <si>
    <t>UP SOCORRO</t>
  </si>
  <si>
    <t>LEAF TEIXEIRA</t>
  </si>
  <si>
    <t>1.2.12.</t>
  </si>
  <si>
    <t>1.2.12.POM.</t>
  </si>
  <si>
    <t>1.2.12.CBL.</t>
  </si>
  <si>
    <t>1.2.12.SN4.</t>
  </si>
  <si>
    <t>1.2.12.SAU.</t>
  </si>
  <si>
    <t>1.2.12.AVS.</t>
  </si>
  <si>
    <t>1.2.12.GRA.</t>
  </si>
  <si>
    <t>1.2.12.JRP.</t>
  </si>
  <si>
    <t>1.2.12.LUC.</t>
  </si>
  <si>
    <t>1.2.12.AMPLA.</t>
  </si>
  <si>
    <t>1.2.12..</t>
  </si>
  <si>
    <t>1.2.12.AMP.</t>
  </si>
  <si>
    <t>1.2.12.SN2.</t>
  </si>
  <si>
    <t>1.2.13.</t>
  </si>
  <si>
    <t>1.2.13.AMP.</t>
  </si>
  <si>
    <t>1.2.13.SN2.</t>
  </si>
  <si>
    <t>1.2.13.GRA.</t>
  </si>
  <si>
    <t>1.2.13.POM.</t>
  </si>
  <si>
    <t>1.2.14.</t>
  </si>
  <si>
    <t>1.2.14..</t>
  </si>
  <si>
    <t>ITU 38 L 12</t>
  </si>
  <si>
    <t>1.2.15.</t>
  </si>
  <si>
    <t>1.2.15.GRA.</t>
  </si>
  <si>
    <t>1.2.16.</t>
  </si>
  <si>
    <t>1.2.16.GRA.</t>
  </si>
  <si>
    <t>1.2.16.LUC.</t>
  </si>
  <si>
    <t>1.2.16.CBL.</t>
  </si>
  <si>
    <t>1.2.16.SN4.</t>
  </si>
  <si>
    <t>1.2.16.JRP.</t>
  </si>
  <si>
    <t>1.2.16.SAU.</t>
  </si>
  <si>
    <t>1.2.16.SN2.</t>
  </si>
  <si>
    <t>1.2.16.JSP.</t>
  </si>
  <si>
    <t>1.2.16.POM.</t>
  </si>
  <si>
    <t>1.2.16.SBB.</t>
  </si>
  <si>
    <t>1.2.17.</t>
  </si>
  <si>
    <t>1.2.17.AVS.</t>
  </si>
  <si>
    <t>1.2.18.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</si>
  <si>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</si>
  <si>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</si>
  <si>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</si>
  <si>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</si>
  <si>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</si>
  <si>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</si>
  <si>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</si>
  <si>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</si>
  <si>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</si>
  <si>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</si>
  <si>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</si>
  <si>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</si>
  <si>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</si>
  <si>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</si>
  <si>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</si>
  <si>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</si>
  <si>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</si>
  <si>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</si>
  <si>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</si>
  <si>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</si>
  <si>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</si>
  <si>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</si>
  <si>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</si>
  <si>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</si>
  <si>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</si>
  <si>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</si>
  <si>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</si>
  <si>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</si>
  <si>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</si>
  <si>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</si>
  <si>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</si>
  <si>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</si>
  <si>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</si>
  <si>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</si>
  <si>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</si>
  <si>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</si>
  <si>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</si>
  <si>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</si>
  <si>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</si>
  <si>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</si>
  <si>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</si>
  <si>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</si>
  <si>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</si>
  <si>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</si>
  <si>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</si>
  <si>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</si>
  <si>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AMPLA-Blue3-24500</t>
  </si>
  <si>
    <t>LUC-Eldorado -6000</t>
  </si>
  <si>
    <t>VLS IV-Pedro Maria-5000</t>
  </si>
  <si>
    <t>SAU-Cy Capital-22000</t>
  </si>
  <si>
    <t>AMPLA-Safra-2750</t>
  </si>
  <si>
    <t>AMPLA-CEF-4472</t>
  </si>
  <si>
    <t>LUC-URBEME-612</t>
  </si>
  <si>
    <t>ENC-CEF-545</t>
  </si>
  <si>
    <t>ENC-CEF-500</t>
  </si>
  <si>
    <t>INC-CEF-500</t>
  </si>
  <si>
    <t>LCG-Bradesco-400</t>
  </si>
  <si>
    <t>AMPLA-CEF-300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</si>
  <si>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</si>
  <si>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</si>
  <si>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</si>
  <si>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</si>
  <si>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</si>
  <si>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</si>
  <si>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</si>
  <si>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</si>
  <si>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</si>
  <si>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</si>
  <si>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</si>
  <si>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</si>
  <si>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</si>
  <si>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</si>
  <si>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</si>
  <si>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</si>
  <si>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</si>
  <si>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</si>
  <si>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</si>
  <si>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</si>
  <si>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</si>
  <si>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</si>
  <si>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</si>
  <si>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Distribuição de dividendos / JCP</t>
  </si>
  <si>
    <t>Variação líquida de caixa no período</t>
  </si>
  <si>
    <t>Caixa e equivalentes no início do período</t>
  </si>
  <si>
    <t>Caixa e equivalentes no fim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</si>
  <si>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</si>
  <si>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</si>
  <si>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</si>
  <si>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</si>
  <si>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</si>
  <si>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</si>
  <si>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</si>
  <si>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</si>
  <si>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</si>
  <si>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</si>
  <si>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</si>
  <si>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Up Saúde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</si>
</sst>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</numFmts>
  <fonts count="2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Segoe UI"/>
      <family val="2"/>
    </font>
  </fonts>
  <fills count="2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FF"/>
      </patternFill>
    </fill>
    <fill>
      <patternFill patternType="solid">
        <fgColor rgb="FFADD8E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44" fontId="20" fillId="0" borderId="0" applyFont="0" applyFill="0" applyBorder="0" applyAlignment="0" applyProtection="0"/>
    <xf numFmtId="9" fontId="20" fillId="0" borderId="0" applyFont="0" applyFill="0" applyBorder="0" applyAlignment="0" applyProtection="0"/>
  </cellStyleXfs>
  <cellXfs count="305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0" fontId="10" fillId="0" borderId="0" xfId="1" applyFont="1"/>
    <xf numFmtId="0" fontId="4" fillId="0" borderId="31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40" xfId="0" applyFont="1" applyFill="1" applyBorder="1" applyAlignment="1">
      <alignment horizontal="center" vertical="center"/>
    </xf>
    <xf numFmtId="0" fontId="15" fillId="15" borderId="40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4" fillId="0" borderId="29" xfId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39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7" fillId="0" borderId="47" xfId="1" applyFont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18" borderId="48" xfId="1" applyFont="1" applyFill="1" applyBorder="1" applyAlignment="1">
      <alignment horizontal="center" vertical="center" wrapText="1"/>
    </xf>
    <xf numFmtId="0" fontId="7" fillId="0" borderId="50" xfId="1" applyFont="1" applyBorder="1" applyAlignment="1">
      <alignment horizontal="center" vertical="center" wrapText="1"/>
    </xf>
    <xf numFmtId="0" fontId="7" fillId="0" borderId="51" xfId="1" applyFont="1" applyBorder="1" applyAlignment="1">
      <alignment horizontal="center" vertical="center" wrapText="1"/>
    </xf>
    <xf numFmtId="0" fontId="7" fillId="18" borderId="52" xfId="1" applyFont="1" applyFill="1" applyBorder="1" applyAlignment="1">
      <alignment horizontal="center" vertical="center" wrapText="1"/>
    </xf>
    <xf numFmtId="0" fontId="7" fillId="17" borderId="48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4" fillId="0" borderId="56" xfId="1" applyBorder="1" applyAlignment="1">
      <alignment horizontal="center" vertical="center"/>
    </xf>
    <xf numFmtId="0" fontId="4" fillId="0" borderId="57" xfId="1" applyBorder="1" applyAlignment="1">
      <alignment horizontal="center" vertical="center"/>
    </xf>
    <xf numFmtId="0" fontId="4" fillId="0" borderId="45" xfId="1" applyBorder="1" applyAlignment="1">
      <alignment horizontal="center" vertical="center"/>
    </xf>
    <xf numFmtId="0" fontId="4" fillId="0" borderId="46" xfId="1" applyBorder="1" applyAlignment="1">
      <alignment horizontal="center" vertical="center"/>
    </xf>
    <xf numFmtId="0" fontId="1" fillId="19" borderId="48" xfId="1" applyFont="1" applyFill="1" applyBorder="1" applyAlignment="1">
      <alignment horizontal="center" vertical="center" wrapText="1"/>
    </xf>
    <xf numFmtId="0" fontId="7" fillId="7" borderId="48" xfId="1" applyFont="1" applyFill="1" applyBorder="1" applyAlignment="1">
      <alignment horizontal="center" vertical="center" wrapText="1"/>
    </xf>
    <xf numFmtId="0" fontId="7" fillId="16" borderId="48" xfId="1" applyFont="1" applyFill="1" applyBorder="1" applyAlignment="1">
      <alignment horizontal="center" vertical="center" wrapText="1"/>
    </xf>
    <xf numFmtId="0" fontId="7" fillId="10" borderId="49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1" xfId="1" applyFont="1" applyFill="1" applyBorder="1" applyAlignment="1">
      <alignment horizontal="centerContinuous" vertical="center"/>
    </xf>
    <xf numFmtId="0" fontId="3" fillId="12" borderId="41" xfId="1" applyFont="1" applyFill="1" applyBorder="1" applyAlignment="1">
      <alignment horizontal="centerContinuous" vertical="center"/>
    </xf>
    <xf numFmtId="0" fontId="1" fillId="2" borderId="41" xfId="1" applyFont="1" applyFill="1" applyBorder="1" applyAlignment="1">
      <alignment horizontal="centerContinuous" vertical="center"/>
    </xf>
    <xf numFmtId="0" fontId="3" fillId="2" borderId="41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36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39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17" fillId="20" borderId="0" xfId="0" applyFont="1" applyFill="1" applyAlignment="1">
      <alignment horizontal="center" vertical="center"/>
    </xf>
    <xf numFmtId="0" fontId="17" fillId="21" borderId="0" xfId="0" applyFont="1" applyFill="1" applyAlignment="1">
      <alignment horizontal="center" vertical="center"/>
    </xf>
    <xf numFmtId="0" fontId="17" fillId="15" borderId="0" xfId="0" applyFont="1" applyFill="1" applyAlignment="1">
      <alignment horizontal="center" vertical="center"/>
    </xf>
    <xf numFmtId="0" fontId="18" fillId="0" borderId="0" xfId="0" applyFont="1"/>
    <xf numFmtId="0" fontId="0" fillId="0" borderId="58" xfId="0" applyBorder="1" applyAlignment="1">
      <alignment horizontal="left"/>
    </xf>
    <xf numFmtId="0" fontId="0" fillId="0" borderId="25" xfId="0" applyBorder="1" applyAlignment="1">
      <alignment horizontal="left"/>
    </xf>
    <xf numFmtId="0" fontId="19" fillId="0" borderId="59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9" fillId="0" borderId="27" xfId="0" applyFont="1" applyBorder="1"/>
    <xf numFmtId="0" fontId="19" fillId="0" borderId="19" xfId="0" applyFont="1" applyBorder="1" applyAlignment="1">
      <alignment horizontal="left"/>
    </xf>
    <xf numFmtId="0" fontId="0" fillId="0" borderId="60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61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2" borderId="17" xfId="0" applyNumberFormat="1" applyFont="1" applyFill="1" applyBorder="1" applyAlignment="1">
      <alignment horizontal="center" vertical="center" wrapText="1"/>
    </xf>
    <xf numFmtId="14" fontId="4" fillId="22" borderId="18" xfId="0" applyNumberFormat="1" applyFont="1" applyFill="1" applyBorder="1" applyAlignment="1">
      <alignment horizontal="center" vertical="center" wrapText="1"/>
    </xf>
    <xf numFmtId="0" fontId="4" fillId="22" borderId="19" xfId="0" applyFont="1" applyFill="1" applyBorder="1" applyAlignment="1">
      <alignment horizontal="center" vertical="center" wrapText="1"/>
    </xf>
    <xf numFmtId="14" fontId="4" fillId="23" borderId="18" xfId="0" applyNumberFormat="1" applyFont="1" applyFill="1" applyBorder="1" applyAlignment="1">
      <alignment horizontal="center" vertical="center" wrapText="1"/>
    </xf>
    <xf numFmtId="0" fontId="4" fillId="23" borderId="19" xfId="0" applyFont="1" applyFill="1" applyBorder="1" applyAlignment="1">
      <alignment horizontal="center" vertical="center" wrapText="1"/>
    </xf>
    <xf numFmtId="0" fontId="4" fillId="23" borderId="62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2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3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25" xfId="0" applyNumberFormat="1" applyFont="1" applyFill="1" applyBorder="1" applyAlignment="1">
      <alignment horizontal="center" vertical="center"/>
    </xf>
    <xf numFmtId="43" fontId="3" fillId="8" borderId="64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2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1" fontId="4" fillId="0" borderId="28" xfId="0" applyNumberFormat="1" applyFont="1" applyBorder="1" applyAlignment="1">
      <alignment horizontal="center" vertical="center"/>
    </xf>
    <xf numFmtId="43" fontId="4" fillId="0" borderId="29" xfId="0" applyNumberFormat="1" applyFont="1" applyBorder="1" applyAlignment="1">
      <alignment horizontal="center" vertical="center"/>
    </xf>
    <xf numFmtId="43" fontId="4" fillId="7" borderId="30" xfId="0" applyNumberFormat="1" applyFont="1" applyFill="1" applyBorder="1" applyAlignment="1">
      <alignment horizontal="center" vertical="center"/>
    </xf>
    <xf numFmtId="43" fontId="4" fillId="7" borderId="29" xfId="0" applyNumberFormat="1" applyFont="1" applyFill="1" applyBorder="1" applyAlignment="1">
      <alignment horizontal="center" vertical="center"/>
    </xf>
    <xf numFmtId="43" fontId="4" fillId="0" borderId="30" xfId="0" applyNumberFormat="1" applyFont="1" applyBorder="1" applyAlignment="1">
      <alignment horizontal="center" vertical="center"/>
    </xf>
    <xf numFmtId="0" fontId="18" fillId="0" borderId="65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21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2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6" xfId="0" applyBorder="1"/>
    <xf numFmtId="0" fontId="0" fillId="0" borderId="67" xfId="0" applyBorder="1"/>
    <xf numFmtId="0" fontId="0" fillId="0" borderId="3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41" fontId="0" fillId="0" borderId="6" xfId="0" applyNumberFormat="1" applyBorder="1"/>
    <xf numFmtId="0" fontId="0" fillId="0" borderId="71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8" xfId="0" applyBorder="1" applyAlignment="1">
      <alignment horizontal="left"/>
    </xf>
    <xf numFmtId="0" fontId="0" fillId="0" borderId="69" xfId="0" applyBorder="1" applyAlignment="1">
      <alignment horizontal="left"/>
    </xf>
    <xf numFmtId="0" fontId="0" fillId="10" borderId="70" xfId="0" applyFill="1" applyBorder="1"/>
    <xf numFmtId="0" fontId="0" fillId="7" borderId="70" xfId="0" applyFill="1" applyBorder="1"/>
    <xf numFmtId="0" fontId="0" fillId="11" borderId="70" xfId="0" applyFill="1" applyBorder="1"/>
    <xf numFmtId="0" fontId="0" fillId="22" borderId="70" xfId="0" applyFill="1" applyBorder="1"/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0" fillId="0" borderId="72" xfId="0" applyBorder="1"/>
    <xf numFmtId="0" fontId="1" fillId="24" borderId="0" xfId="0" applyFont="1" applyFill="1" applyAlignment="1">
      <alignment vertical="center"/>
    </xf>
    <xf numFmtId="0" fontId="1" fillId="24" borderId="0" xfId="0" applyFont="1" applyFill="1" applyAlignment="1">
      <alignment horizontal="center" vertical="center"/>
    </xf>
    <xf numFmtId="165" fontId="1" fillId="24" borderId="0" xfId="0" applyNumberFormat="1" applyFont="1" applyFill="1"/>
    <xf numFmtId="165" fontId="0" fillId="0" borderId="73" xfId="0" applyNumberFormat="1" applyBorder="1"/>
    <xf numFmtId="0" fontId="2" fillId="25" borderId="0" xfId="0" applyFont="1" applyFill="1" applyAlignment="1">
      <alignment horizontal="left" vertical="center" indent="1"/>
    </xf>
    <xf numFmtId="0" fontId="2" fillId="25" borderId="0" xfId="0" applyFont="1" applyFill="1" applyAlignment="1">
      <alignment horizontal="center" vertical="center"/>
    </xf>
    <xf numFmtId="165" fontId="2" fillId="25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6" borderId="0" xfId="0" applyFont="1" applyFill="1" applyAlignment="1">
      <alignment horizontal="left" vertical="center" indent="1"/>
    </xf>
    <xf numFmtId="0" fontId="22" fillId="26" borderId="0" xfId="0" applyFont="1" applyFill="1" applyAlignment="1">
      <alignment horizontal="center" vertical="center"/>
    </xf>
    <xf numFmtId="165" fontId="22" fillId="26" borderId="0" xfId="0" applyNumberFormat="1" applyFont="1" applyFill="1"/>
    <xf numFmtId="0" fontId="0" fillId="7" borderId="0" xfId="0" applyFill="1" applyAlignment="1">
      <alignment horizontal="left" vertical="center" indent="3"/>
    </xf>
    <xf numFmtId="165" fontId="1" fillId="24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6" borderId="0" xfId="0" applyFont="1" applyFill="1" applyAlignment="1">
      <alignment horizontal="center" vertical="center"/>
    </xf>
    <xf numFmtId="165" fontId="2" fillId="26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165" fontId="0" fillId="0" borderId="74" xfId="0" applyNumberFormat="1" applyBorder="1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41" fontId="4" fillId="0" borderId="75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6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31" xfId="0" applyFont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 wrapText="1"/>
    </xf>
    <xf numFmtId="0" fontId="4" fillId="9" borderId="31" xfId="0" applyFont="1" applyFill="1" applyBorder="1" applyAlignment="1">
      <alignment horizontal="center" vertical="center" wrapText="1"/>
    </xf>
    <xf numFmtId="0" fontId="20" fillId="9" borderId="31" xfId="0" applyFont="1" applyFill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13" borderId="16" xfId="0" applyNumberFormat="1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41" fontId="4" fillId="13" borderId="20" xfId="0" applyNumberFormat="1" applyFont="1" applyFill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9" xfId="0" applyNumberFormat="1" applyFont="1" applyFill="1" applyBorder="1" applyAlignment="1">
      <alignment horizontal="center" vertical="center"/>
    </xf>
    <xf numFmtId="0" fontId="4" fillId="0" borderId="69" xfId="0" applyFont="1" applyBorder="1" applyAlignment="1">
      <alignment horizontal="center" vertical="center"/>
    </xf>
    <xf numFmtId="0" fontId="4" fillId="0" borderId="77" xfId="0" applyFont="1" applyBorder="1" applyAlignment="1">
      <alignment horizontal="center" vertical="center"/>
    </xf>
    <xf numFmtId="41" fontId="4" fillId="7" borderId="78" xfId="0" applyNumberFormat="1" applyFont="1" applyFill="1" applyBorder="1" applyAlignment="1">
      <alignment horizontal="center" vertical="center"/>
    </xf>
    <xf numFmtId="41" fontId="4" fillId="7" borderId="29" xfId="0" applyNumberFormat="1" applyFont="1" applyFill="1" applyBorder="1" applyAlignment="1">
      <alignment horizontal="center" vertical="center"/>
    </xf>
    <xf numFmtId="41" fontId="4" fillId="0" borderId="29" xfId="0" applyNumberFormat="1" applyFont="1" applyBorder="1" applyAlignment="1">
      <alignment horizontal="center" vertical="center"/>
    </xf>
    <xf numFmtId="1" fontId="4" fillId="0" borderId="29" xfId="0" applyNumberFormat="1" applyFont="1" applyBorder="1" applyAlignment="1">
      <alignment horizontal="center" vertical="center"/>
    </xf>
    <xf numFmtId="41" fontId="4" fillId="13" borderId="39" xfId="0" applyNumberFormat="1" applyFont="1" applyFill="1" applyBorder="1" applyAlignment="1">
      <alignment horizontal="center" vertical="center"/>
    </xf>
    <xf numFmtId="41" fontId="7" fillId="0" borderId="0" xfId="1" applyNumberFormat="1" applyFont="1"/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210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Structure" Target="richData/rdrichvaluestructure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06/relationships/rdRichValue" Target="richData/rdrichvalue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microsoft.com/office/2017/10/relationships/person" Target="persons/perso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fechamento!$B$3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fechamento!$D$3:$Q$3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FA-4F2E-A945-B4224BDD0A0E}"/>
            </c:ext>
          </c:extLst>
        </c:ser>
        <c:ser>
          <c:idx val="2"/>
          <c:order val="2"/>
          <c:tx>
            <c:strRef>
              <c:f>fechamento!$B$31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fechamento!$D$31:$Q$31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FA-4F2E-A945-B4224BDD0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fechamento!$B$2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fechamento!$D$2:$Q$2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FA-4F2E-A945-B4224BDD0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tx2">
                <a:lumMod val="90000"/>
                <a:lumOff val="10000"/>
              </a:schemeClr>
            </a:solidFill>
            <a:ln>
              <a:noFill/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fechamento!$D$4:$Q$4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A-418F-AA4E-9D5B31B61BDE}"/>
            </c:ext>
          </c:extLst>
        </c:ser>
        <c:ser>
          <c:idx val="2"/>
          <c:order val="1"/>
          <c:tx>
            <c:strRef>
              <c:f>fechamento!$B$10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fechamento!$D$10:$Q$10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3A-418F-AA4E-9D5B31B61BDE}"/>
            </c:ext>
          </c:extLst>
        </c:ser>
        <c:ser>
          <c:idx val="3"/>
          <c:order val="2"/>
          <c:tx>
            <c:strRef>
              <c:f>fechamento!$B$22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fechamento!$D$22:$Q$22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3A-418F-AA4E-9D5B31B61BDE}"/>
            </c:ext>
          </c:extLst>
        </c:ser>
        <c:ser>
          <c:idx val="4"/>
          <c:order val="3"/>
          <c:tx>
            <c:strRef>
              <c:f>fechamento!$B$29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fechamento!$D$29:$Q$29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3A-418F-AA4E-9D5B31B6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fechamento!$B$2:$C$2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fechamento!$D$2:$Q$2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FD-4C7A-9A8B-43ABC88A67E3}"/>
            </c:ext>
          </c:extLst>
        </c:ser>
        <c:ser>
          <c:idx val="1"/>
          <c:order val="1"/>
          <c:tx>
            <c:strRef>
              <c:f>fechamento!$B$158:$C$158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fechamento!$D$158:$Q$158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FD-4C7A-9A8B-43ABC88A67E3}"/>
            </c:ext>
          </c:extLst>
        </c:ser>
        <c:ser>
          <c:idx val="2"/>
          <c:order val="2"/>
          <c:tx>
            <c:strRef>
              <c:f>fechamento!$B$182:$C$182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fechamento!$D$182:$Q$182</c:f>
              <c:numCache>
                <c:formatCode>#,##0;\(#,##0\)</c:formatCode>
                <c:ptCount val="14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3408120.66</c:v>
                </c:pt>
                <c:pt idx="4">
                  <c:v>6070665.4500000002</c:v>
                </c:pt>
                <c:pt idx="5">
                  <c:v>2693304.8</c:v>
                </c:pt>
                <c:pt idx="6">
                  <c:v>1715270.17</c:v>
                </c:pt>
                <c:pt idx="7">
                  <c:v>8459049.3599999994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650997.91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FD-4C7A-9A8B-43ABC88A6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3"/>
          <c:order val="3"/>
          <c:tx>
            <c:strRef>
              <c:f>fechamento!$B$223:$C$223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fechamento!$D$223:$Q$223</c:f>
              <c:numCache>
                <c:formatCode>#,##0;\(#,##0\)</c:formatCode>
                <c:ptCount val="14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3770012.18</c:v>
                </c:pt>
                <c:pt idx="4">
                  <c:v>6876868.8100000005</c:v>
                </c:pt>
                <c:pt idx="5">
                  <c:v>3463508.48</c:v>
                </c:pt>
                <c:pt idx="6">
                  <c:v>2746945.21</c:v>
                </c:pt>
                <c:pt idx="7">
                  <c:v>8859782.6399999987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  <c:pt idx="13">
                  <c:v>923837.59000000008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FD-4C7A-9A8B-43ABC88A6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fechamento!$D$4:$Q$4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C8-4360-B6EA-C619DA767AD8}"/>
            </c:ext>
          </c:extLst>
        </c:ser>
        <c:ser>
          <c:idx val="2"/>
          <c:order val="1"/>
          <c:tx>
            <c:strRef>
              <c:f>fechamento!$B$10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fechamento!$D$10:$Q$10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C8-4360-B6EA-C619DA767AD8}"/>
            </c:ext>
          </c:extLst>
        </c:ser>
        <c:ser>
          <c:idx val="3"/>
          <c:order val="2"/>
          <c:tx>
            <c:strRef>
              <c:f>fechamento!$B$22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fechamento!$D$22:$Q$22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C8-4360-B6EA-C619DA767AD8}"/>
            </c:ext>
          </c:extLst>
        </c:ser>
        <c:ser>
          <c:idx val="4"/>
          <c:order val="3"/>
          <c:tx>
            <c:strRef>
              <c:f>fechamento!$B$29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fechamento!$D$29:$Q$29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C8-4360-B6EA-C619DA767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25897161</c:v>
                      </c:pt>
                      <c:pt idx="1">
                        <c:v>41582807</c:v>
                      </c:pt>
                      <c:pt idx="3">
                        <c:v>47237835</c:v>
                      </c:pt>
                      <c:pt idx="4">
                        <c:v>64482292</c:v>
                      </c:pt>
                      <c:pt idx="5">
                        <c:v>25916905</c:v>
                      </c:pt>
                      <c:pt idx="7">
                        <c:v>60385343</c:v>
                      </c:pt>
                      <c:pt idx="8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25897161</c:v>
                      </c:pt>
                      <c:pt idx="1">
                        <c:v>41582807</c:v>
                      </c:pt>
                      <c:pt idx="3">
                        <c:v>47237835</c:v>
                      </c:pt>
                      <c:pt idx="4">
                        <c:v>64482292</c:v>
                      </c:pt>
                      <c:pt idx="5">
                        <c:v>25916905</c:v>
                      </c:pt>
                      <c:pt idx="7">
                        <c:v>60385343</c:v>
                      </c:pt>
                      <c:pt idx="8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247</xdr:row>
      <xdr:rowOff>0</xdr:rowOff>
    </xdr:from>
    <xdr:to>
      <xdr:col>3</xdr:col>
      <xdr:colOff>702468</xdr:colOff>
      <xdr:row>266</xdr:row>
      <xdr:rowOff>190499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E0B37E1-88E5-42FC-8D71-9D8DC820C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261937</xdr:colOff>
      <xdr:row>247</xdr:row>
      <xdr:rowOff>0</xdr:rowOff>
    </xdr:from>
    <xdr:to>
      <xdr:col>10</xdr:col>
      <xdr:colOff>47624</xdr:colOff>
      <xdr:row>267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702CF80-D098-473F-81E0-FC5FD03E8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226</xdr:row>
      <xdr:rowOff>0</xdr:rowOff>
    </xdr:from>
    <xdr:to>
      <xdr:col>3</xdr:col>
      <xdr:colOff>702468</xdr:colOff>
      <xdr:row>245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A59AC5FA-B4FF-429B-B821-40BE3F442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247</xdr:row>
      <xdr:rowOff>0</xdr:rowOff>
    </xdr:from>
    <xdr:to>
      <xdr:col>16</xdr:col>
      <xdr:colOff>845343</xdr:colOff>
      <xdr:row>267</xdr:row>
      <xdr:rowOff>23813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15A67E4-C478-4D5A-B6D2-3DC588BA02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21</xdr:row>
      <xdr:rowOff>0</xdr:rowOff>
    </xdr:from>
    <xdr:to>
      <xdr:col>50</xdr:col>
      <xdr:colOff>571499</xdr:colOff>
      <xdr:row>45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14</xdr:row>
      <xdr:rowOff>0</xdr:rowOff>
    </xdr:from>
    <xdr:to>
      <xdr:col>9</xdr:col>
      <xdr:colOff>392906</xdr:colOff>
      <xdr:row>35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14</xdr:row>
      <xdr:rowOff>0</xdr:rowOff>
    </xdr:from>
    <xdr:to>
      <xdr:col>20</xdr:col>
      <xdr:colOff>130969</xdr:colOff>
      <xdr:row>35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A14" totalsRowShown="0" headerRowDxfId="209">
  <autoFilter ref="A2:AA14" xr:uid="{E2096D7E-B911-4A38-A00A-E842E0AFE37E}"/>
  <sortState xmlns:xlrd2="http://schemas.microsoft.com/office/spreadsheetml/2017/richdata2" ref="A3:Y14">
    <sortCondition descending="1" ref="E2:E14"/>
  </sortState>
  <tableColumns count="27">
    <tableColumn id="1" xr3:uid="{EF216543-CABE-4D5E-861E-FE0ADE601EF3}" name="Id" dataDxfId="208">
      <calculatedColumnFormula>fin[[#This Row],[Tomadora]]&amp;"-"&amp;fin[[#This Row],[Agente]]&amp;"-"&amp;LEFT(D3,LEN(D3)-3)</calculatedColumnFormula>
    </tableColumn>
    <tableColumn id="25" xr3:uid="{5B243200-F3C0-4C7B-9DCC-2B08D171E3CF}" name="Tomadora" dataDxfId="207"/>
    <tableColumn id="2" xr3:uid="{2B3FCC14-01DF-4F8B-9F0D-27B2D101F30F}" name="Agente" dataDxfId="206"/>
    <tableColumn id="3" xr3:uid="{92F1792E-178D-4E41-88BE-8431F51DBF81}" name="Valor principal" dataDxfId="205" dataCellStyle="Moeda"/>
    <tableColumn id="12" xr3:uid="{3A475916-95DA-4E27-8994-3F9E06A21440}" name="Entrada em 2025" dataDxfId="204">
      <calculatedColumnFormula>SUM(fin[[#This Row],[jan/25]:[dez/25]])</calculatedColumnFormula>
    </tableColumn>
    <tableColumn id="4" xr3:uid="{089F25C9-6052-451B-A3E3-CCB27B5347B6}" name="Juros a.a." dataDxfId="203"/>
    <tableColumn id="5" xr3:uid="{5A5616BC-7F6C-41C4-AE15-915C36A0EAD5}" name="Data início" dataDxfId="202"/>
    <tableColumn id="6" xr3:uid="{73F0ED5F-6941-43E2-BA16-39E3DFF6E955}" name="Última parcela" dataDxfId="201"/>
    <tableColumn id="7" xr3:uid="{3C5E87F6-FDFE-4532-AA1E-B281E82393CB}" name="Valor parcela" dataDxfId="200" dataCellStyle="Moeda"/>
    <tableColumn id="8" xr3:uid="{0CF28A1A-D62F-4035-B6DD-809A41022A51}" name="Saldo" dataDxfId="199" dataCellStyle="Moeda"/>
    <tableColumn id="9" xr3:uid="{BA759F07-5419-4D6D-92D4-A84CCCFC19C2}" name="Garantia" dataDxfId="198"/>
    <tableColumn id="10" xr3:uid="{6749CF21-5EFE-4273-86E3-CB1322907385}" name="Tipo" dataDxfId="197"/>
    <tableColumn id="11" xr3:uid="{E5F28758-32FF-43F6-8F6E-D3E93CBC64CE}" name="Obs" dataDxfId="196"/>
    <tableColumn id="13" xr3:uid="{A7B1CD51-FDF4-4077-8516-3178DBD2111F}" name="jan/25" dataDxfId="195"/>
    <tableColumn id="14" xr3:uid="{46293D95-2F3B-4756-A777-3E38B9E86145}" name="fev/25" dataDxfId="194"/>
    <tableColumn id="15" xr3:uid="{E825D63D-F0DC-4560-8B74-F6E7C22556DA}" name="mar/25" dataDxfId="193"/>
    <tableColumn id="16" xr3:uid="{B6CFDC17-F3CD-4B65-8ED3-0A308627EF3F}" name="abr/25" dataDxfId="192"/>
    <tableColumn id="17" xr3:uid="{0226DA9F-D27A-4A0C-B6E8-46AB13B14A07}" name="mai/25" dataDxfId="191"/>
    <tableColumn id="18" xr3:uid="{8FF537B3-703C-45FB-BAC1-81B866E10A33}" name="jun/25" dataDxfId="190"/>
    <tableColumn id="19" xr3:uid="{FD809B44-BFA8-4055-A608-EFAA1CE73FBB}" name="jul/25" dataDxfId="189"/>
    <tableColumn id="20" xr3:uid="{5F57F0E9-1EB0-451E-ACA0-6FC49080E0F3}" name="ago/25" dataDxfId="188"/>
    <tableColumn id="21" xr3:uid="{1FB017F7-FB43-4CA4-8D8B-634C099AAF8E}" name="set/25" dataDxfId="187"/>
    <tableColumn id="22" xr3:uid="{07B9394B-217E-46F7-B59B-68886D137270}" name="out/25" dataDxfId="186"/>
    <tableColumn id="23" xr3:uid="{8BBC8703-F3F6-45E8-80D4-6CBFF8B1389F}" name="nov/25" dataDxfId="185"/>
    <tableColumn id="24" xr3:uid="{B1C13C7F-61EB-4E51-95E6-13EA8F74FE09}" name="dez/25" dataDxfId="184"/>
    <tableColumn id="26" xr3:uid="{2A2C3C61-2847-4850-AA13-E4EDE668DB8B}" name="jan/26" dataDxfId="183"/>
    <tableColumn id="27" xr3:uid="{800A30B9-1CB1-4021-AF38-5D83A719F7CB}" name="fev/26" dataDxfId="18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ik_viab" displayName="ik_viab" ref="A1:C76" totalsRowShown="0" headerRowDxfId="181">
  <autoFilter ref="A1:C76" xr:uid="{F2C31A30-48D6-4D3D-80E6-ADE1D2C39D89}"/>
  <tableColumns count="3">
    <tableColumn id="1" xr3:uid="{D7E0E5A7-FFDC-45DB-8427-200B1C655ECC}" name="Centros de negócio do Ik" dataDxfId="180"/>
    <tableColumn id="3" xr3:uid="{95650756-BB0B-4093-8A97-AA45406AFC61}" name="Categoria na viabilidade" dataDxfId="179"/>
    <tableColumn id="2" xr3:uid="{24FD4B2C-A596-4FF8-A2FE-E07069551FB8}" name="Subcategoria na viabilidade" dataDxfId="17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A78:B102" totalsRowShown="0" headerRowDxfId="177">
  <autoFilter ref="A78:B102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0DED94F-AB6C-42A7-B8EF-CD5BC285339A}" name="cef" displayName="cef" ref="A1:Q2" insertRow="1" totalsRowShown="0">
  <autoFilter ref="A1:Q2" xr:uid="{E8FA7595-112D-4C60-B256-84C25B28B431}"/>
  <tableColumns count="17">
    <tableColumn id="1" xr3:uid="{3570AA5B-AB84-4932-A4E9-065676376757}" name="contrato.cef.5"/>
    <tableColumn id="5" xr3:uid="{F4D420E6-ADFC-4E72-86B3-00C414350432}" name="repasse.cef.total"/>
    <tableColumn id="6" xr3:uid="{0C87FD47-0689-4857-9544-A0B67CD4C25A}" name="repasse.cef.incorrido"/>
    <tableColumn id="7" xr3:uid="{32EA18C0-049E-4338-B944-7719F5B1BA6C}" name="repasse.cef.a.incorrer"/>
    <tableColumn id="2" xr3:uid="{B5D5A371-0461-4A30-AFFF-6465E9D24360}" name="repasse.cef.fin"/>
    <tableColumn id="3" xr3:uid="{FFE5A976-8134-4A74-AA3B-41898723ED16}" name="repasse.cef.desc.subs"/>
    <tableColumn id="4" xr3:uid="{1C55CA90-E059-4D0D-B3B4-9186BFD6C69D}" name="repasse.cef.fgts"/>
    <tableColumn id="8" xr3:uid="{239BC140-D39A-43FA-A729-716B4AD9FB6A}" name="repasse.cef.rec.prop"/>
    <tableColumn id="9" xr3:uid="{ADB0E97D-3E88-432A-880A-ED3230671089}" name="repasse.cef.terreno.acum"/>
    <tableColumn id="10" xr3:uid="{D0282A00-490C-4B50-9685-8AE9F8F06EE6}" name="repasse.cef.terreno"/>
    <tableColumn id="11" xr3:uid="{BC55438C-9573-4A41-A46D-8E4466185312}" name="cef.terreno"/>
    <tableColumn id="12" xr3:uid="{F0183ACA-81DC-451A-A00D-4CFB875B9E43}" name="repasse.cef.obra.acum"/>
    <tableColumn id="13" xr3:uid="{67BDED87-B5B9-428A-A2D2-DD6F0E9FF78E}" name="repasse.cef.obra"/>
    <tableColumn id="14" xr3:uid="{9C666AFA-7D3B-430F-8C9E-845252D5CD56}" name="cef.obra"/>
    <tableColumn id="15" xr3:uid="{212CF00A-DBFA-4BEA-A956-F87A3BF9D7B9}" name="amortizacao.pj"/>
    <tableColumn id="16" xr3:uid="{C9E84EA5-2D30-46AD-A47E-05B773829700}" name="remuneracao.terreno"/>
    <tableColumn id="17" xr3:uid="{40B33096-7492-462E-8B71-3B165A6A9ABA}" name="remuneracao.venda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7FE320D-F5AB-4687-95CD-26A659C7A812}" name="cef.detalhado" displayName="cef.detalhado" ref="A1:AZ2" insertRow="1" totalsRowShown="0">
  <autoFilter ref="A1:AZ2" xr:uid="{E8FA7595-112D-4C60-B256-84C25B28B431}"/>
  <tableColumns count="52">
    <tableColumn id="1" xr3:uid="{445FB2DB-4705-405A-AE6B-7941D87E127E}" name="id"/>
    <tableColumn id="5" xr3:uid="{937D66A6-EA5B-4E50-B17C-CC482E2920F3}" name="empresa"/>
    <tableColumn id="6" xr3:uid="{4A7822DA-06B4-4863-82AF-FBDDD59113BF}" name="especie"/>
    <tableColumn id="7" xr3:uid="{F0487CA2-1710-4F6B-A148-AD979E4C3053}" name="unidade"/>
    <tableColumn id="2" xr3:uid="{F676F33A-7500-4C89-B9FC-3DC9F7497768}" name="cliente"/>
    <tableColumn id="3" xr3:uid="{3B58B5D3-5CE0-4704-B889-8F1CEDDE0095}" name="contrato"/>
    <tableColumn id="4" xr3:uid="{722C8955-1302-4AF2-84B3-9A3F969D5C3D}" name="contrato.cef"/>
    <tableColumn id="8" xr3:uid="{14FE0CCA-2464-421E-93D6-D4CA485EFEA3}" name="pavimento"/>
    <tableColumn id="9" xr3:uid="{0A6A33A5-A6AD-43C1-BCA2-361312ABB1EC}" name="situacao"/>
    <tableColumn id="10" xr3:uid="{D82325CC-1665-4072-9CB0-A7FB0574D14E}" name="data.venda"/>
    <tableColumn id="11" xr3:uid="{FF151E49-C892-4EC9-9EBC-D34770F7387F}" name="valor.venda"/>
    <tableColumn id="12" xr3:uid="{A8680912-30A8-43FF-ABA4-9602B6160E9D}" name="repasse.cef.total"/>
    <tableColumn id="13" xr3:uid="{146D6FA7-6218-495A-9B1B-A1FC4A674AB5}" name="checar"/>
    <tableColumn id="14" xr3:uid="{1FC6D256-87FF-46E2-A127-98202BCAEF53}" name="natureza"/>
    <tableColumn id="15" xr3:uid="{9D4AC469-60B4-4C60-AFA6-D27E2AF25569}" name="soma.meses"/>
    <tableColumn id="16" xr3:uid="{B1681E8A-00BE-4B8D-AE81-243101C04FAA}" name="2023-01-01"/>
    <tableColumn id="17" xr3:uid="{0CD6349D-8693-4068-9C69-4C44C9FBA4C8}" name="2023-02-01"/>
    <tableColumn id="18" xr3:uid="{B1E16EFA-1F05-4ED7-85C4-5F95FD200EB4}" name="2023-03-01"/>
    <tableColumn id="19" xr3:uid="{97DDE18D-094E-4617-B9A1-C863C8E5CDE4}" name="2023-04-01"/>
    <tableColumn id="20" xr3:uid="{696DB9EF-63ED-4725-B6F7-981AB3798606}" name="2023-05-01"/>
    <tableColumn id="21" xr3:uid="{81E647B5-3256-4758-8E56-C98E7197729A}" name="2023-06-01"/>
    <tableColumn id="22" xr3:uid="{8E1093AA-22D7-438B-BAE3-C5B1D2480414}" name="2023-07-01"/>
    <tableColumn id="23" xr3:uid="{3A1D130F-D6B3-44E0-A0BF-9386B326070F}" name="2023-08-01"/>
    <tableColumn id="24" xr3:uid="{9D850F15-6AF9-453E-95E1-DB903F7F3352}" name="2023-09-01"/>
    <tableColumn id="25" xr3:uid="{0D52243B-0C14-4C43-BB47-61C589E40659}" name="2023-10-01"/>
    <tableColumn id="26" xr3:uid="{91ACAC5C-C540-45D5-A33F-C4907496AA21}" name="2023-11-01"/>
    <tableColumn id="27" xr3:uid="{CF57A65B-2702-4FA6-81EC-2B4FC09B2276}" name="2023-12-01"/>
    <tableColumn id="28" xr3:uid="{DF9D1CAE-1A05-4743-BAFD-870154232381}" name="2024-01-01"/>
    <tableColumn id="29" xr3:uid="{6D3C7836-5AB6-4945-807F-00AD04F0ADA9}" name="2024-02-01"/>
    <tableColumn id="30" xr3:uid="{42D0E003-FC72-4573-BAD9-290A00A5F585}" name="2024-03-01"/>
    <tableColumn id="31" xr3:uid="{89340C5A-71B0-4135-9E8F-AE3CD82798D0}" name="2024-04-01"/>
    <tableColumn id="32" xr3:uid="{42493EEA-E194-4535-9F66-5C13E25662F7}" name="2024-05-01"/>
    <tableColumn id="33" xr3:uid="{AB53E6DC-5FAD-489E-BE88-C0C5F050E445}" name="2024-06-01"/>
    <tableColumn id="34" xr3:uid="{9FE13027-14C6-4BEA-9029-942A45170CAF}" name="2024-07-01"/>
    <tableColumn id="35" xr3:uid="{A739B5EF-3CA1-4A15-9CDF-F557B25F8727}" name="2024-08-01"/>
    <tableColumn id="36" xr3:uid="{055F9C03-6812-4ECA-9631-D72410114604}" name="2024-09-01"/>
    <tableColumn id="37" xr3:uid="{3771858B-2EC5-4716-9335-257A638EC8EB}" name="2024-10-01"/>
    <tableColumn id="38" xr3:uid="{8C961F45-F836-486B-88D0-2FCE57E2FC1B}" name="2024-11-01"/>
    <tableColumn id="39" xr3:uid="{A1478E56-FBC8-450E-97D5-552DD1762962}" name="2024-12-01"/>
    <tableColumn id="40" xr3:uid="{E3CE369C-1611-4447-AB55-E0C1B7285202}" name="2025-01-01"/>
    <tableColumn id="41" xr3:uid="{93A13F2D-20C0-4CB8-9977-9B3F9DBCB50A}" name="2025-02-01"/>
    <tableColumn id="42" xr3:uid="{9B3DC724-2C49-4758-B135-C09E2EFDD418}" name="2025-03-01"/>
    <tableColumn id="43" xr3:uid="{9BE632B8-6243-48C8-BC86-C0776574623F}" name="2025-04-01"/>
    <tableColumn id="44" xr3:uid="{A7073604-5C15-4957-B80C-972A70360D24}" name="2025-05-01"/>
    <tableColumn id="45" xr3:uid="{7F634B46-8035-4831-A893-E80621FBDBF1}" name="2025-06-01"/>
    <tableColumn id="46" xr3:uid="{60F59ED4-7806-4D03-9672-FE357E605160}" name="2025-07-01"/>
    <tableColumn id="47" xr3:uid="{BD3C232A-19D2-4752-B70D-3ECF277D8BAE}" name="2025-08-01"/>
    <tableColumn id="48" xr3:uid="{485C6391-19DA-408C-9361-490597CA8A98}" name="2025-09-01"/>
    <tableColumn id="49" xr3:uid="{5F5DF38F-5C27-493A-8D94-42C57AC7CACA}" name="2025-10-01"/>
    <tableColumn id="50" xr3:uid="{6D480EFF-6E8D-45BB-8F6C-1D4FFA58EFA9}" name="2025-11-01"/>
    <tableColumn id="51" xr3:uid="{1D485A0B-1325-42B5-9EFB-1A290F29DF79}" name="2025-12-01"/>
    <tableColumn id="52" xr3:uid="{44108546-8CA0-43CF-8E05-D36FC6F9D195}" name="2026-01-0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B0D6ED5-216C-4EF7-9D36-084A8B9D1F44}" name="cef.mensal" displayName="cef.mensal" ref="A1:AO2" insertRow="1" totalsRowShown="0">
  <autoFilter ref="A1:AO2" xr:uid="{E8FA7595-112D-4C60-B256-84C25B28B431}"/>
  <tableColumns count="41">
    <tableColumn id="1" xr3:uid="{702408BC-8951-4FC6-B47F-87616DE7E2CD}" name="empresa"/>
    <tableColumn id="5" xr3:uid="{C3B26F7D-2BBF-4662-B8B5-2624422A4090}" name="contrato.cef.5"/>
    <tableColumn id="6" xr3:uid="{0BC0B25B-9BBE-4875-B3E3-1CCBFAD5970B}" name="natureza"/>
    <tableColumn id="7" xr3:uid="{2F4D7E55-D129-4358-B138-4AA28EA85CDA}" name="total"/>
    <tableColumn id="2" xr3:uid="{97C052EB-B025-40DB-9055-B44FDE19BEF1}" name="2023-01-01"/>
    <tableColumn id="3" xr3:uid="{30934996-EEB9-42D3-9619-4718CAA379C1}" name="2023-02-01"/>
    <tableColumn id="4" xr3:uid="{6E361745-5696-40BB-A909-A294727A045E}" name="2023-03-01"/>
    <tableColumn id="8" xr3:uid="{CE3DE182-F4C0-4C4E-AE8B-7A58E031469A}" name="2023-04-01"/>
    <tableColumn id="9" xr3:uid="{715ADB3D-EB7E-4FA3-91EC-C1FC378AE4B4}" name="2023-05-01"/>
    <tableColumn id="10" xr3:uid="{21A8067A-4F4C-48E7-B376-B1BAC4245C99}" name="2023-06-01"/>
    <tableColumn id="11" xr3:uid="{3B1C7438-D13F-49F1-9FE7-76CA63F49173}" name="2023-07-01"/>
    <tableColumn id="12" xr3:uid="{45C1A75B-C985-4155-946C-C50931CD1F30}" name="2023-08-01"/>
    <tableColumn id="13" xr3:uid="{4A955A73-3B7A-4531-9680-217E54355231}" name="2023-09-01"/>
    <tableColumn id="14" xr3:uid="{9976BB27-8F35-4B0B-9603-8FCDBB3BC60F}" name="2023-10-01"/>
    <tableColumn id="15" xr3:uid="{3997742D-F062-4176-9E56-03332478BECA}" name="2023-11-01"/>
    <tableColumn id="16" xr3:uid="{60747B3E-917B-4C8A-995C-3702910B0004}" name="2023-12-01"/>
    <tableColumn id="17" xr3:uid="{6362A4DB-7ED5-403D-B942-D5BE716EAD14}" name="2024-01-01"/>
    <tableColumn id="18" xr3:uid="{F2DD90FC-56B0-4A6A-865D-7E3ECAC12127}" name="2024-02-01"/>
    <tableColumn id="19" xr3:uid="{8681AAB5-580C-484E-81D3-A297821B9116}" name="2024-03-01"/>
    <tableColumn id="20" xr3:uid="{A8094F2B-9D9E-4714-9DA3-F58906C8730C}" name="2024-04-01"/>
    <tableColumn id="21" xr3:uid="{F5CEFFF4-9595-4CE6-94A6-206E5EFCAADC}" name="2024-05-01"/>
    <tableColumn id="22" xr3:uid="{47FF30D5-14C8-4391-A5AF-95DACA69DA84}" name="2024-06-01"/>
    <tableColumn id="23" xr3:uid="{8EECFD05-6C28-4841-9701-CC6BE320A3AA}" name="2024-07-01"/>
    <tableColumn id="24" xr3:uid="{2ED8632B-D155-4914-86C3-121FB818886A}" name="2024-08-01"/>
    <tableColumn id="25" xr3:uid="{B7A335C3-D43E-4F51-B010-59520B186696}" name="2024-09-01"/>
    <tableColumn id="26" xr3:uid="{E6F80CF0-5D3D-49B0-8B59-6E323B7E243D}" name="2024-10-01"/>
    <tableColumn id="27" xr3:uid="{A1C18A37-307D-4414-BB3D-B49C648A01B2}" name="2024-11-01"/>
    <tableColumn id="28" xr3:uid="{014CC447-D539-4E88-88DA-06B9272DD4B5}" name="2024-12-01"/>
    <tableColumn id="29" xr3:uid="{15D784A7-B5FF-4FD4-8191-5904F7F16B85}" name="2025-01-01"/>
    <tableColumn id="30" xr3:uid="{25DD6811-B777-46F0-85D3-A201408F6AE0}" name="2025-02-01"/>
    <tableColumn id="31" xr3:uid="{05A94301-CEF4-41DB-80C3-5C24E67B235E}" name="2025-03-01"/>
    <tableColumn id="32" xr3:uid="{1DF65BD1-D845-41D6-A5B0-677F0EA273BD}" name="2025-04-01"/>
    <tableColumn id="33" xr3:uid="{A4E6417B-4B0E-4A1D-BA94-0878094C97C3}" name="2025-05-01"/>
    <tableColumn id="34" xr3:uid="{2268E295-F15E-441A-A720-18DB24DF7C65}" name="2025-06-01"/>
    <tableColumn id="35" xr3:uid="{7A92B096-9BFB-486D-A014-1245E34B5FC4}" name="2025-07-01"/>
    <tableColumn id="36" xr3:uid="{16959DCE-A34E-46FB-AE14-55CD0E59F2F7}" name="2025-08-01"/>
    <tableColumn id="37" xr3:uid="{D6ECF53C-680D-4EE9-951D-B7C2B212EF08}" name="2025-09-01"/>
    <tableColumn id="38" xr3:uid="{7051B578-7725-484F-8D4F-C03950498635}" name="2025-10-01"/>
    <tableColumn id="39" xr3:uid="{FF341FEE-DF31-4B23-9565-5BB0CEC075CB}" name="2025-11-01"/>
    <tableColumn id="40" xr3:uid="{E32F4B5D-70DC-419F-BBB9-625C84A48AF9}" name="2025-12-01"/>
    <tableColumn id="41" xr3:uid="{5354A28C-45E1-4297-AF6E-DD69D037B9B9}" name="2026-01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B665977-C42E-47BB-8C14-8DCC4DA9D43F}" name="cmfcns.mensal" displayName="cmfcns.mensal" ref="A1:AO2" insertRow="1" totalsRowShown="0">
  <autoFilter ref="A1:AO2" xr:uid="{E8FA7595-112D-4C60-B256-84C25B28B431}"/>
  <tableColumns count="41">
    <tableColumn id="1" xr3:uid="{C0A8606F-2763-4A3C-9C29-939A18F75D5A}" name="empresa"/>
    <tableColumn id="5" xr3:uid="{160E9163-E899-4605-B875-B6627C5BC042}" name="contrato.cef.5"/>
    <tableColumn id="6" xr3:uid="{CC60C087-89DE-464B-9709-96D1C14463E8}" name="natureza"/>
    <tableColumn id="7" xr3:uid="{961FBC02-4129-4B92-95AC-F0328DC0BB5B}" name="total"/>
    <tableColumn id="2" xr3:uid="{26FFD317-2768-4DE1-9C32-3D2016C2DD42}" name="2023-01-01"/>
    <tableColumn id="3" xr3:uid="{279C92BA-B66B-4BC7-94CB-BD1903AAA1D8}" name="2023-02-01"/>
    <tableColumn id="4" xr3:uid="{FA549DD4-1289-45C1-BC3B-123662B20A3C}" name="2023-03-01"/>
    <tableColumn id="8" xr3:uid="{E92F0077-6ECA-4A63-B6B5-A6BF8EE2EDC9}" name="2023-04-01"/>
    <tableColumn id="9" xr3:uid="{23B4E618-5FC4-4A96-B686-8D6CB6ADC13C}" name="2023-05-01"/>
    <tableColumn id="10" xr3:uid="{E0E4DCFE-318C-4C99-8DF7-AFE7A4CAE2A3}" name="2023-06-01"/>
    <tableColumn id="11" xr3:uid="{97F5B8F3-5BC1-4E8D-9554-4E4439EC7028}" name="2023-07-01"/>
    <tableColumn id="12" xr3:uid="{457F0AC4-D379-4841-9732-011F4CD1B580}" name="2023-08-01"/>
    <tableColumn id="13" xr3:uid="{0B0DAFD5-D84C-4E9F-B5D7-84112A0ED7F9}" name="2023-09-01"/>
    <tableColumn id="14" xr3:uid="{1C55C105-3643-4826-8A33-658A6FCDE3FD}" name="2023-10-01"/>
    <tableColumn id="15" xr3:uid="{D76BEBAE-378A-440A-B33E-43165EC6B39C}" name="2023-11-01"/>
    <tableColumn id="16" xr3:uid="{B914E021-E635-4ABA-A16B-5DB99B50614E}" name="2023-12-01"/>
    <tableColumn id="17" xr3:uid="{EF547370-C877-4F61-AB0F-6B3B60C33D0E}" name="2024-01-01"/>
    <tableColumn id="18" xr3:uid="{838F804A-84E3-475E-9799-496FDDBA28CA}" name="2024-02-01"/>
    <tableColumn id="19" xr3:uid="{96E1FA2F-BADC-4F36-BBC3-6462AEEF413C}" name="2024-03-01"/>
    <tableColumn id="20" xr3:uid="{EA5C59E3-1116-4559-A253-B0CDFCDA1DFA}" name="2024-04-01"/>
    <tableColumn id="21" xr3:uid="{2DAA2FD9-0542-445B-AA27-F944EF4C0D41}" name="2024-05-01"/>
    <tableColumn id="22" xr3:uid="{F658634B-D798-4DA3-9039-5672C842BB13}" name="2024-06-01"/>
    <tableColumn id="23" xr3:uid="{3D6DFD78-E433-465A-A9C1-199EBB75CB32}" name="2024-07-01"/>
    <tableColumn id="24" xr3:uid="{420475E2-C882-48C4-A7AF-09BB87D627A3}" name="2024-08-01"/>
    <tableColumn id="25" xr3:uid="{ECF0D3B4-1571-422A-ABEE-7552A7162D13}" name="2024-09-01"/>
    <tableColumn id="26" xr3:uid="{1E33B76E-0FFF-48D8-8275-8B41814CAAA9}" name="2024-10-01"/>
    <tableColumn id="27" xr3:uid="{EF96A2C7-2182-4C2B-A339-0B64D3CFB52F}" name="2024-11-01"/>
    <tableColumn id="28" xr3:uid="{DDA1C017-9F2F-4B69-90C3-DC3090AFD0D9}" name="2024-12-01"/>
    <tableColumn id="29" xr3:uid="{60A41A6C-0FCC-4C4D-9A42-47E4CA220FF6}" name="2025-01-01"/>
    <tableColumn id="30" xr3:uid="{52F96829-E06F-4411-BD43-2A403EABA276}" name="2025-02-01"/>
    <tableColumn id="31" xr3:uid="{AAEE6041-213B-4B2A-8FAA-D78F37085393}" name="2025-03-01"/>
    <tableColumn id="32" xr3:uid="{563F440A-CC20-4AC1-B38F-3719377E4E41}" name="2025-04-01"/>
    <tableColumn id="33" xr3:uid="{F557B952-907B-4D85-84C2-CF79FC532BC0}" name="2025-05-01"/>
    <tableColumn id="34" xr3:uid="{197CEA53-B412-44AD-B992-95DA01CC3407}" name="2025-06-01"/>
    <tableColumn id="35" xr3:uid="{3A9D189D-057B-4620-92CD-82FB158FB3D3}" name="2025-07-01"/>
    <tableColumn id="36" xr3:uid="{DBA78E89-3329-4BF0-82C7-D4F8C98BEACE}" name="2025-08-01"/>
    <tableColumn id="37" xr3:uid="{79E2CF8B-E9C4-40E4-8661-493F0E0BF63B}" name="2025-09-01"/>
    <tableColumn id="38" xr3:uid="{7609750B-6774-4B0D-B245-318E0934357B}" name="2025-10-01"/>
    <tableColumn id="39" xr3:uid="{D5137700-AC31-448C-8ED4-3E7071F5BD19}" name="2025-11-01"/>
    <tableColumn id="40" xr3:uid="{EA6B4636-B04A-4FF6-8CBC-E9AD9A08A390}" name="2025-12-01"/>
    <tableColumn id="41" xr3:uid="{7015876A-8B79-464C-AD10-502E6BC5F98A}" name="2026-01-0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B84DDA3-B9FF-4A67-AB7C-48EDE794BE03}" name="cmfcn.xcef" displayName="cmfcn.xcef" ref="A1:Z2" insertRow="1" totalsRowShown="0">
  <autoFilter ref="A1:Z2" xr:uid="{E8FA7595-112D-4C60-B256-84C25B28B431}"/>
  <tableColumns count="26">
    <tableColumn id="1" xr3:uid="{14730EB0-5918-48EB-BDF3-17FBDE7355B1}" name="contrato.5"/>
    <tableColumn id="5" xr3:uid="{439F3EFC-E653-41BD-8383-52415E602C65}" name="data.movimentacao"/>
    <tableColumn id="6" xr3:uid="{062DBEBE-16A2-45BC-B1B2-9A48992E1EF1}" name="valor"/>
    <tableColumn id="7" xr3:uid="{9C001FD8-0341-4BA6-A511-B6BCC1E74971}" name="empresa"/>
    <tableColumn id="2" xr3:uid="{7CC52EE6-0D2F-49D0-82F6-257170F65349}" name="natureza.extrato"/>
    <tableColumn id="3" xr3:uid="{21D2E7D5-51FA-41AF-B81A-5AF8BBD8D274}" name="conta.interno"/>
    <tableColumn id="4" xr3:uid="{986EC520-24B0-4829-AB65-E22C73AD0885}" name="data.lancamento.extrato"/>
    <tableColumn id="8" xr3:uid="{614DF566-0CAB-449A-82C9-FCD55EA625CA}" name="documento"/>
    <tableColumn id="9" xr3:uid="{89FC4374-B486-46D2-B2BE-CD59DF424E5D}" name="descricao"/>
    <tableColumn id="10" xr3:uid="{82890710-A8D2-47E6-9D90-7F090D090DA8}" name="saldo"/>
    <tableColumn id="11" xr3:uid="{252C7639-675E-467B-AD20-A80844E359C9}" name="conta"/>
    <tableColumn id="12" xr3:uid="{C8DF7D90-2BA7-4F47-8E51-ADAAD8B58398}" name="agencia"/>
    <tableColumn id="13" xr3:uid="{35DDA895-63E0-48C4-9A43-CEC26CB14244}" name="produto"/>
    <tableColumn id="14" xr3:uid="{D4FE5CB9-A79A-4684-A7A8-F341DBFFEF1A}" name="periodo.inicio"/>
    <tableColumn id="15" xr3:uid="{21F9DE9A-8914-46FB-9F80-929CBF4C48CE}" name="periodo.fim"/>
    <tableColumn id="16" xr3:uid="{D94A8B46-C795-4D3D-BD41-61B42FAB9452}" name="data.consulta"/>
    <tableColumn id="17" xr3:uid="{C9582F2F-5F86-4B47-8E0F-5A09501F74F6}" name="arquivo.extrato"/>
    <tableColumn id="18" xr3:uid="{B591D42C-63A5-4DDB-B0E1-3D5FC640F943}" name="natureza"/>
    <tableColumn id="19" xr3:uid="{6AF70C00-36FB-46A0-BCE5-3F9C018431DC}" name="contrato"/>
    <tableColumn id="20" xr3:uid="{0DDC416D-B370-4201-8582-0266179A4843}" name="data.lancamento.cmfcn"/>
    <tableColumn id="21" xr3:uid="{A74E1988-26A6-40D6-BF6A-92889BF2B22E}" name="lancamentos"/>
    <tableColumn id="22" xr3:uid="{577311E5-74BB-4EF6-9C21-CCFCCA728E7F}" name="np"/>
    <tableColumn id="23" xr3:uid="{F63549DB-901C-4B4F-A901-97B6E9477933}" name="conta.sidec/nsgd"/>
    <tableColumn id="24" xr3:uid="{7036F35E-44BF-4085-83ED-81FC66B2CF72}" name="situacao"/>
    <tableColumn id="25" xr3:uid="{B6DA876D-6F55-49B4-9932-502CC6EF298B}" name="mot"/>
    <tableColumn id="26" xr3:uid="{1D559F0B-D214-4A91-819D-87401502C998}" name="arquivo.cmfcn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0C998F-45F6-4384-8283-C43092D5A564}" name="cmfcn.xcef.mensal" displayName="cmfcn.xcef.mensal" ref="A1:AO2" insertRow="1" totalsRowShown="0">
  <autoFilter ref="A1:AO2" xr:uid="{E8FA7595-112D-4C60-B256-84C25B28B431}"/>
  <tableColumns count="41">
    <tableColumn id="1" xr3:uid="{16737C53-7697-4C40-93EB-A60BC7B7BE3A}" name="empresa"/>
    <tableColumn id="5" xr3:uid="{A0A12896-434F-4060-9057-98B57D5A48B7}" name="contrato.cef.5"/>
    <tableColumn id="6" xr3:uid="{3E65DC15-0E28-444B-A351-77BC5FB105D4}" name="natureza"/>
    <tableColumn id="7" xr3:uid="{6906359D-ABE5-4E3E-8FF2-AB871B7D81AC}" name="total"/>
    <tableColumn id="2" xr3:uid="{47ADBDB2-18E5-4244-8277-7AE8C623BDF8}" name="2023-01-01"/>
    <tableColumn id="3" xr3:uid="{5CA8C8DA-BD88-4D36-8215-5555967F8412}" name="2023-02-01"/>
    <tableColumn id="4" xr3:uid="{0C345BC2-F28C-4A4D-A194-07D5C1A83166}" name="2023-03-01"/>
    <tableColumn id="8" xr3:uid="{A5AC623A-B76C-4C21-A500-D5D24790E11B}" name="2023-04-01"/>
    <tableColumn id="9" xr3:uid="{21A77BBB-4E89-4B48-AB5D-2EE1465C837D}" name="2023-05-01"/>
    <tableColumn id="10" xr3:uid="{356D1A39-B7B6-4E16-8C3C-2BC25A90BD72}" name="2023-06-01"/>
    <tableColumn id="11" xr3:uid="{EE5B1CE5-80AD-4B71-BBA0-F5E7A0B9F212}" name="2023-07-01"/>
    <tableColumn id="12" xr3:uid="{CA0273CD-A422-4247-900B-24B5F26E8AC9}" name="2023-08-01"/>
    <tableColumn id="13" xr3:uid="{C17D353B-48D4-4F70-80B5-9F4189F23E0D}" name="2023-09-01"/>
    <tableColumn id="14" xr3:uid="{14F20464-889F-4089-B47F-66B27185B1EC}" name="2023-10-01"/>
    <tableColumn id="15" xr3:uid="{8C6718FF-C233-43E2-A3C8-CFA0C19503D5}" name="2023-11-01"/>
    <tableColumn id="16" xr3:uid="{87BCCB0B-13E8-4766-811C-9369E347E118}" name="2023-12-01"/>
    <tableColumn id="17" xr3:uid="{576F1690-1CA8-4545-B36C-3302F7232114}" name="2024-01-01"/>
    <tableColumn id="18" xr3:uid="{81EE85C3-A81D-4945-A7EF-C679F1EBAA3F}" name="2024-02-01"/>
    <tableColumn id="19" xr3:uid="{C2E7F429-B758-44A8-ABAC-10ABB6859DAF}" name="2024-03-01"/>
    <tableColumn id="20" xr3:uid="{67322397-95F5-45D2-8672-90497C838B94}" name="2024-04-01"/>
    <tableColumn id="21" xr3:uid="{FB094AEE-A222-4FBE-8AA7-6F63A6A5C5C5}" name="2024-05-01"/>
    <tableColumn id="22" xr3:uid="{79F8F673-37A2-4C6F-90DE-AB5B4525C71F}" name="2024-06-01"/>
    <tableColumn id="23" xr3:uid="{D021B1F4-B7A4-4F22-B1F2-2CB63EB59DBA}" name="2024-07-01"/>
    <tableColumn id="24" xr3:uid="{A680F19B-4594-485B-9902-10C728EEABFA}" name="2024-08-01"/>
    <tableColumn id="25" xr3:uid="{3D741469-844F-4556-BAF0-D6764CCF413E}" name="2024-09-01"/>
    <tableColumn id="26" xr3:uid="{29655A22-FF48-4DBA-BB7E-91A57903BA84}" name="2024-10-01"/>
    <tableColumn id="27" xr3:uid="{BED9D929-E89C-4939-95D5-FAFA2305A4AE}" name="2024-11-01"/>
    <tableColumn id="28" xr3:uid="{B2A4C97E-8232-4272-8E64-F09BD784E169}" name="2024-12-01"/>
    <tableColumn id="29" xr3:uid="{BD54CE8A-2B09-43A9-889C-FB2DC6C7B644}" name="2025-01-01"/>
    <tableColumn id="30" xr3:uid="{03E23FF9-B346-4516-BABA-69FE8FEC23CA}" name="2025-02-01"/>
    <tableColumn id="31" xr3:uid="{D9CF9AD8-8F78-493E-8992-6A7FAA549A9A}" name="2025-03-01"/>
    <tableColumn id="32" xr3:uid="{1160D195-4D52-4313-BADE-71CFAEC38A3A}" name="2025-04-01"/>
    <tableColumn id="33" xr3:uid="{41C48694-8169-42B7-8462-F4D29477C4D3}" name="2025-05-01"/>
    <tableColumn id="34" xr3:uid="{D8D9F450-3C54-4FB3-89C3-4D7F50128DEF}" name="2025-06-01"/>
    <tableColumn id="35" xr3:uid="{DD997470-7C97-4DB8-A106-EF87702938E8}" name="2025-07-01"/>
    <tableColumn id="36" xr3:uid="{5A4BA472-241E-4478-B17A-2BFFC2D0E817}" name="2025-08-01"/>
    <tableColumn id="37" xr3:uid="{79F3F9B4-17B2-4092-BB84-EDEB5D2E07AD}" name="2025-09-01"/>
    <tableColumn id="38" xr3:uid="{C10239E6-4889-4546-835D-A3E821264AF0}" name="2025-10-01"/>
    <tableColumn id="39" xr3:uid="{DB72C9DB-CAE9-4E6C-9191-F0B797BC84C4}" name="2025-11-01"/>
    <tableColumn id="40" xr3:uid="{35C23F06-07CE-444A-819C-AEAEFCEE7157}" name="2025-12-01"/>
    <tableColumn id="41" xr3:uid="{36C4639F-8EF2-4282-A146-E5EA3D34CD1C}" name="2026-01-01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CFFFB9-C78D-4C14-A133-EF761AF2086F}" name="xcef.mensal" displayName="xcef.mensal" ref="A1:AO2" insertRow="1" totalsRowShown="0">
  <autoFilter ref="A1:AO2" xr:uid="{E8FA7595-112D-4C60-B256-84C25B28B431}"/>
  <tableColumns count="41">
    <tableColumn id="1" xr3:uid="{84232B4A-A277-4722-87F3-AD475579790B}" name="empresa"/>
    <tableColumn id="5" xr3:uid="{FF0B5C5B-D422-43A2-A947-3B3DE8F32A3B}" name="contrato.cef.5"/>
    <tableColumn id="6" xr3:uid="{4E7C0B72-C3BC-437E-9A29-B1A9EDF7E4A1}" name="natureza"/>
    <tableColumn id="7" xr3:uid="{A52AB116-0B82-4B65-9FA1-BD7B5981D818}" name="total"/>
    <tableColumn id="2" xr3:uid="{2A3DB574-EC46-4B01-BFB7-FE02280A18D7}" name="2023-01-01"/>
    <tableColumn id="3" xr3:uid="{E318F3B6-180D-48BC-BAD5-9655DB0CE1AA}" name="2023-02-01"/>
    <tableColumn id="4" xr3:uid="{CB2F75B7-8084-4D7C-8D8B-4AEE9CEF08B8}" name="2023-03-01"/>
    <tableColumn id="8" xr3:uid="{1FF5FB65-679C-4D72-A07B-2D0B961F349B}" name="2023-04-01"/>
    <tableColumn id="9" xr3:uid="{1C630DF8-2B54-49EA-84CD-99DAC6F27574}" name="2023-05-01"/>
    <tableColumn id="10" xr3:uid="{3B56B558-9946-4F35-9984-11B1E7DC55E6}" name="2023-06-01"/>
    <tableColumn id="11" xr3:uid="{7FC24EC1-6155-4B7F-9ABA-DB96088D4ABE}" name="2023-07-01"/>
    <tableColumn id="12" xr3:uid="{ECD42742-5420-4C1B-BB2C-676386A4EE65}" name="2023-08-01"/>
    <tableColumn id="13" xr3:uid="{B65874CE-DA1A-4D6E-AC66-39361A166273}" name="2023-09-01"/>
    <tableColumn id="14" xr3:uid="{3F29506F-2830-4B2C-89BB-FC8C11B6D6A1}" name="2023-10-01"/>
    <tableColumn id="15" xr3:uid="{01DE19D6-5C4A-40FD-84AA-0DBC80EB43C8}" name="2023-11-01"/>
    <tableColumn id="16" xr3:uid="{F97BEB70-EFD1-47EC-A91E-554EAAFBDDAC}" name="2023-12-01"/>
    <tableColumn id="17" xr3:uid="{EDB20554-11A3-4628-B7CD-DF7E302014BB}" name="2024-01-01"/>
    <tableColumn id="18" xr3:uid="{0F51D975-A472-40B6-B849-97BA501F411F}" name="2024-02-01"/>
    <tableColumn id="19" xr3:uid="{C021CB69-0B38-4325-B871-B57E541D55FA}" name="2024-03-01"/>
    <tableColumn id="20" xr3:uid="{B162B028-8234-4511-BF56-EF25E97CF0E8}" name="2024-04-01"/>
    <tableColumn id="21" xr3:uid="{B8AFD97A-2246-4E0C-A159-487EB105F851}" name="2024-05-01"/>
    <tableColumn id="22" xr3:uid="{4C3AFAB6-5F32-453A-9E51-3C2F15142D07}" name="2024-06-01"/>
    <tableColumn id="23" xr3:uid="{5423C5DD-EAD8-41A7-AC62-F8E4D1582EA4}" name="2024-07-01"/>
    <tableColumn id="24" xr3:uid="{E28F9BC9-FC7A-42CF-8DAF-4460BDB0A92F}" name="2024-08-01"/>
    <tableColumn id="25" xr3:uid="{EA23A166-E59D-4E2B-A0DC-69907B8030D5}" name="2024-09-01"/>
    <tableColumn id="26" xr3:uid="{45028D15-459A-4206-9A17-394F3A1EC3EF}" name="2024-10-01"/>
    <tableColumn id="27" xr3:uid="{20EE486A-8BD7-4833-9BB2-A4BDFF5B53C3}" name="2024-11-01"/>
    <tableColumn id="28" xr3:uid="{3FC5DBBF-3440-49AF-B955-571929E84AB3}" name="2024-12-01"/>
    <tableColumn id="29" xr3:uid="{8B5EFEE7-03D9-4E80-AA74-7C2352AFB3DC}" name="2025-01-01"/>
    <tableColumn id="30" xr3:uid="{0FE9A300-E128-4F01-8E80-6297CAE77D14}" name="2025-02-01"/>
    <tableColumn id="31" xr3:uid="{98E193F3-FAD7-4DC5-A21D-2262562E044C}" name="2025-03-01"/>
    <tableColumn id="32" xr3:uid="{F1306800-5287-44E9-98E7-6D76D1A271D7}" name="2025-04-01"/>
    <tableColumn id="33" xr3:uid="{34EDAD50-B27D-4FE0-9EE3-4CCC382576C4}" name="2025-05-01"/>
    <tableColumn id="34" xr3:uid="{DA5A91EA-49C4-49EF-AE0D-DAF80F708793}" name="2025-06-01"/>
    <tableColumn id="35" xr3:uid="{2FEEBD1E-B51E-44B6-8FD9-EF4E27E55DCF}" name="2025-07-01"/>
    <tableColumn id="36" xr3:uid="{B7580611-11D7-45F2-A4E6-DD46A3E5C951}" name="2025-08-01"/>
    <tableColumn id="37" xr3:uid="{90CF8A10-DD1F-4A04-A805-788863D3F0C6}" name="2025-09-01"/>
    <tableColumn id="38" xr3:uid="{8BD0E0B9-026C-4D0C-B1F3-2D44A85D7372}" name="2025-10-01"/>
    <tableColumn id="39" xr3:uid="{FF466B26-8F06-4228-AD5A-42AD982C4F7A}" name="2025-11-01"/>
    <tableColumn id="40" xr3:uid="{5B203F91-3AAE-43FA-A312-E01A4604E7F8}" name="2025-12-01"/>
    <tableColumn id="41" xr3:uid="{6FBB14AE-1F6E-4152-96AF-73A852440AED}" name="2026-01-0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526E1F-531F-4C3A-87B8-7C76E26AC31D}" name="car" displayName="car" ref="A1:AI2" insertRow="1" totalsRowShown="0" headerRowDxfId="176" dataDxfId="175">
  <autoFilter ref="A1:AI2" xr:uid="{E04C97D4-C6EC-4BA2-BDB8-ED5F99D32C7B}"/>
  <tableColumns count="35">
    <tableColumn id="1" xr3:uid="{4909997B-2B2B-4D27-A9C9-17AC2B7FCB4A}" name="empreendimento" dataDxfId="174"/>
    <tableColumn id="2" xr3:uid="{CDDCAB66-B52F-4CE4-A1AA-DF1CB827FFD7}" name="empresa" dataDxfId="173"/>
    <tableColumn id="3" xr3:uid="{478B6D54-14CD-4239-8A35-06C05E2C0034}" name="total" dataDxfId="172"/>
    <tableColumn id="4" xr3:uid="{A2035547-2EDD-442D-867D-4D1D0A3FDB66}" name="data.vencimento" dataDxfId="171"/>
    <tableColumn id="5" xr3:uid="{3F0726B1-207E-4E5F-B88E-371390887EBA}" name="data.pagamento" dataDxfId="170"/>
    <tableColumn id="6" xr3:uid="{4E5C736C-C9C7-41C4-BB61-30DE4D353426}" name="cliente" dataDxfId="169"/>
    <tableColumn id="7" xr3:uid="{24BE1C79-3FBD-49EE-9118-020C61F0618F}" name="contrato" dataDxfId="168"/>
    <tableColumn id="8" xr3:uid="{76CABF83-306C-480E-B7F1-BF143245AD0A}" name="contrato.cef" dataDxfId="167"/>
    <tableColumn id="9" xr3:uid="{C36C6D81-914B-40B5-8F47-50F0B75C50BF}" name="repassado" dataDxfId="166"/>
    <tableColumn id="10" xr3:uid="{C31128AD-51F7-4AB6-A7DC-2B3B2F36E3D5}" name="ele" dataDxfId="165"/>
    <tableColumn id="11" xr3:uid="{7C756E32-ED80-4648-A19E-289965D74B62}" name="esp" dataDxfId="164"/>
    <tableColumn id="12" xr3:uid="{B552472A-DC85-4D8B-B38A-95AB14C5FAED}" name="esp.con" dataDxfId="163"/>
    <tableColumn id="13" xr3:uid="{3262CC77-A527-4262-8A03-9578368FB52B}" name="agente" dataDxfId="162"/>
    <tableColumn id="14" xr3:uid="{83DFB1ED-97DB-4D03-93B1-CA64F20BB062}" name="parcela" dataDxfId="161"/>
    <tableColumn id="15" xr3:uid="{310F9CCF-D057-48B5-938A-540F5BA2578D}" name="principal" dataDxfId="160"/>
    <tableColumn id="16" xr3:uid="{36C6D19D-892D-4CD3-9F52-80674518E768}" name="juros" dataDxfId="159"/>
    <tableColumn id="17" xr3:uid="{93F370C0-EA2F-44A1-916B-8E8182F153D9}" name="juros.contrato" dataDxfId="158"/>
    <tableColumn id="18" xr3:uid="{EF7F0BAE-3F57-42A4-8D98-1F1142925920}" name="juros.mora" dataDxfId="157"/>
    <tableColumn id="19" xr3:uid="{9A43C1ED-E1CC-4EA6-8401-EC5B5C9B5BA4}" name="reajuste" dataDxfId="156"/>
    <tableColumn id="20" xr3:uid="{EA813428-C73D-406F-BD01-C5FEF2D8A10E}" name="encargos" dataDxfId="155"/>
    <tableColumn id="21" xr3:uid="{6193CE30-2936-4456-B058-C4CE214BC0DF}" name="multa" dataDxfId="154"/>
    <tableColumn id="22" xr3:uid="{686C1965-8D80-4DB9-9E16-3E2927096A25}" name="seguro" dataDxfId="153"/>
    <tableColumn id="23" xr3:uid="{EB896493-CBAF-41A3-99F4-76A173BE2C0C}" name="desconto" dataDxfId="152"/>
    <tableColumn id="24" xr3:uid="{9EDB2D2C-02D2-4F78-91CB-ED7F75D2D479}" name="cart" dataDxfId="151"/>
    <tableColumn id="25" xr3:uid="{5D604426-9BA8-42CA-9137-8C0DA804C9C9}" name="r.f" dataDxfId="150"/>
    <tableColumn id="26" xr3:uid="{FCB10DC8-A106-4651-A5F5-B6CE5F43A068}" name="edificacao" dataDxfId="149"/>
    <tableColumn id="27" xr3:uid="{76DB6A1D-85DA-402A-9550-AB643C14B763}" name="especie" dataDxfId="148"/>
    <tableColumn id="28" xr3:uid="{21473A4C-57AA-40A5-A691-C041B7B3D6EA}" name="unidade" dataDxfId="147"/>
    <tableColumn id="29" xr3:uid="{6369CAC2-F1A0-4F23-931C-21656B2CFD3D}" name="data.emissao" dataDxfId="146"/>
    <tableColumn id="30" xr3:uid="{BBEB5770-261C-43DC-8867-3DBCB6D7F3FF}" name="disp" dataDxfId="145"/>
    <tableColumn id="31" xr3:uid="{E985D767-AB1F-4F90-A9CE-EF645624F8CC}" name="pavimento" dataDxfId="144"/>
    <tableColumn id="32" xr3:uid="{97282165-EF24-4BFF-AE19-D3AC538768A3}" name="arquivo" dataDxfId="143"/>
    <tableColumn id="33" xr3:uid="{91BD8B32-FBEC-4584-ACA0-5FDDB558C573}" name="arquivo.tipo" dataDxfId="142"/>
    <tableColumn id="34" xr3:uid="{B975FFCC-7F9C-416D-AE5A-B2775A88E1BD}" name="arquivo.tabela.tipo" dataDxfId="141"/>
    <tableColumn id="35" xr3:uid="{34754CAB-7AEB-4E90-9639-FB836D583D59}" name="arquivo.fonte" dataDxfId="140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56EDDC-F7D4-4AEC-98BF-DAF555C000ED}" name="cmfcns" displayName="cmfcns" ref="A1:P2" insertRow="1" totalsRowShown="0" headerRowDxfId="139" dataDxfId="138">
  <autoFilter ref="A1:P2" xr:uid="{E04C97D4-C6EC-4BA2-BDB8-ED5F99D32C7B}"/>
  <tableColumns count="16">
    <tableColumn id="1" xr3:uid="{4172D8DD-652A-486F-8850-D0F514E13987}" name="empresa" dataDxfId="137"/>
    <tableColumn id="2" xr3:uid="{C3E1CD73-1178-4A22-8DF7-A1103D01F4F6}" name="contrato" dataDxfId="136"/>
    <tableColumn id="3" xr3:uid="{00D80AC0-D4F3-479A-A2DF-3BD21F07D30A}" name="data.lancamento" dataDxfId="135"/>
    <tableColumn id="4" xr3:uid="{3A43D1CB-20B2-4507-A2CF-75D492709ED5}" name="data.movimento" dataDxfId="134"/>
    <tableColumn id="5" xr3:uid="{03FD7560-148C-4D09-AA67-5C62BEB1D7D4}" name="lancamentos" dataDxfId="133"/>
    <tableColumn id="6" xr3:uid="{555A99DA-6BE7-484C-892D-74EBB47CCF6E}" name="np" dataDxfId="132"/>
    <tableColumn id="7" xr3:uid="{F639F25F-AB6F-4547-A37F-18043BA04664}" name="conta.sidec/nsgd" dataDxfId="131"/>
    <tableColumn id="8" xr3:uid="{2FF4A02D-F9C5-4042-9BA7-16C4D4C6B2A0}" name="valor" dataDxfId="130"/>
    <tableColumn id="9" xr3:uid="{4B4BC1A3-9E68-43E3-A674-3F91378C8C01}" name="situacao" dataDxfId="129"/>
    <tableColumn id="10" xr3:uid="{624AF4C8-868A-4C89-91E1-AFA6F7E94F70}" name="mot" dataDxfId="128"/>
    <tableColumn id="11" xr3:uid="{B5D34D0A-D5BF-4097-BAE1-1007790BD9E9}" name="contrato.6" dataDxfId="127"/>
    <tableColumn id="12" xr3:uid="{6443C3FB-FB50-4940-A7CB-7BE6987DBFAF}" name="natureza" dataDxfId="126"/>
    <tableColumn id="13" xr3:uid="{646F3D89-068B-4E36-A0EA-7DC009066312}" name="arquivo" dataDxfId="125"/>
    <tableColumn id="14" xr3:uid="{6D3275CE-212B-48E9-95E5-69B03DDB5DE7}" name="arquivo.tipo" dataDxfId="124"/>
    <tableColumn id="15" xr3:uid="{4D16F173-A3E1-4747-BAB3-E8FBBB1269D5}" name="arquivo.tabela.tipo" dataDxfId="123"/>
    <tableColumn id="16" xr3:uid="{E8B89BC8-13B6-4CE3-862A-9A0D5D1EFBE8}" name="arquivo.fonte" dataDxfId="122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121" dataDxfId="120">
  <autoFilter ref="A1:E2" xr:uid="{E04C97D4-C6EC-4BA2-BDB8-ED5F99D32C7B}"/>
  <tableColumns count="5">
    <tableColumn id="1" xr3:uid="{F8991AC9-B496-4071-88D0-965AA7E56347}" name="id.contr" dataDxfId="119"/>
    <tableColumn id="2" xr3:uid="{848121DC-6D2B-4A17-AB11-1C54A6302ADF}" name="empresa" dataDxfId="118"/>
    <tableColumn id="3" xr3:uid="{996BCA97-A76D-4FF6-9F2B-C2FD653CD03C}" name="contrato" dataDxfId="117"/>
    <tableColumn id="4" xr3:uid="{0BD26A3E-381C-43D9-88DA-1591A2D9509E}" name="contrato.cef" dataDxfId="116"/>
    <tableColumn id="5" xr3:uid="{C3B3C125-1D2F-4D6D-B9A4-2B2A5043EC4D}" name="repassado" dataDxfId="115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B3E146-2E41-468D-836B-509ADD12A808}" name="cr" displayName="cr" ref="A1:AI2" insertRow="1" totalsRowShown="0" headerRowDxfId="114" dataDxfId="113">
  <autoFilter ref="A1:AI2" xr:uid="{E04C97D4-C6EC-4BA2-BDB8-ED5F99D32C7B}"/>
  <tableColumns count="35">
    <tableColumn id="1" xr3:uid="{440B0FCC-48BC-4A20-8D62-29D670ECD1C9}" name="empreendimento" dataDxfId="112"/>
    <tableColumn id="2" xr3:uid="{C4C9E047-46CD-4AFC-9FF5-5203CB7360AF}" name="empresa" dataDxfId="111"/>
    <tableColumn id="3" xr3:uid="{501C34BC-6BA6-4281-9132-43392569CBEE}" name="total" dataDxfId="110"/>
    <tableColumn id="4" xr3:uid="{A838AC47-467F-4E9D-9F94-A1394090D05B}" name="data.vencimento" dataDxfId="109"/>
    <tableColumn id="5" xr3:uid="{C70A3A55-B10E-43B3-AA98-82D38FCB332A}" name="data.pagamento" dataDxfId="108"/>
    <tableColumn id="6" xr3:uid="{FE773079-73DE-4706-841B-CDA7C988A739}" name="cliente" dataDxfId="107"/>
    <tableColumn id="7" xr3:uid="{5E710180-3A09-4950-9046-A417817BEEB2}" name="contrato" dataDxfId="106"/>
    <tableColumn id="8" xr3:uid="{08CD3258-1FB8-4322-976F-447FDA2C11A5}" name="contrato.cef" dataDxfId="105"/>
    <tableColumn id="9" xr3:uid="{F132141F-0E22-4446-A08A-A339E69305BB}" name="repassado" dataDxfId="104"/>
    <tableColumn id="10" xr3:uid="{B2DC5E90-57FC-465B-9241-C6E02D54C932}" name="ele" dataDxfId="103"/>
    <tableColumn id="11" xr3:uid="{3BAE7148-7786-4CC3-A1ED-E2F4E356A31C}" name="esp" dataDxfId="102"/>
    <tableColumn id="12" xr3:uid="{E8C648F2-C4D1-4B71-BB5B-67C6822F651E}" name="esp.con" dataDxfId="101"/>
    <tableColumn id="13" xr3:uid="{F2AC8E18-7DF4-4E50-AE58-67D4A87720E3}" name="agente" dataDxfId="100"/>
    <tableColumn id="14" xr3:uid="{292DCC56-D05C-4CAC-9B47-33DF6961E235}" name="parcela" dataDxfId="99"/>
    <tableColumn id="15" xr3:uid="{D28109D0-605F-49B9-8F22-8D653BFC0CDC}" name="principal" dataDxfId="98"/>
    <tableColumn id="16" xr3:uid="{52C4AB26-8C44-4203-A468-F2EA98122F69}" name="juros" dataDxfId="97"/>
    <tableColumn id="17" xr3:uid="{D4B1234D-BCBB-4A99-9D57-68454B0846CA}" name="juros.contrato" dataDxfId="96"/>
    <tableColumn id="18" xr3:uid="{89090CD6-79F4-4CEC-9FAC-EB04946BB4F2}" name="juros.mora" dataDxfId="95"/>
    <tableColumn id="19" xr3:uid="{9C6A8D08-5299-48EA-83CE-C4238DDBC7FE}" name="reajuste" dataDxfId="94"/>
    <tableColumn id="20" xr3:uid="{44FAEF10-5B85-4ABB-960F-A48BD5686E7B}" name="encargos" dataDxfId="93"/>
    <tableColumn id="21" xr3:uid="{7BF8EC05-0D70-4A61-842E-1612E21CCB59}" name="multa" dataDxfId="92"/>
    <tableColumn id="22" xr3:uid="{299A2E45-7670-47D0-8628-654C154FDB62}" name="seguro" dataDxfId="91"/>
    <tableColumn id="23" xr3:uid="{14086FCE-9BC8-4718-9590-FC63802E3C1D}" name="desconto" dataDxfId="90"/>
    <tableColumn id="24" xr3:uid="{06FE7AE8-8861-47B9-B133-7CB71DE335F3}" name="cart" dataDxfId="89"/>
    <tableColumn id="25" xr3:uid="{28493125-0867-480D-9B4A-53E567936A7D}" name="r.f" dataDxfId="88"/>
    <tableColumn id="26" xr3:uid="{5A2AD706-329A-4381-8F39-ED5E8D9B1927}" name="edificacao" dataDxfId="87"/>
    <tableColumn id="27" xr3:uid="{0AEB20CC-6745-4FFE-9570-C675ED06E8C5}" name="especie" dataDxfId="86"/>
    <tableColumn id="28" xr3:uid="{9B937B69-72C2-48D1-87E6-FE61EC303BD3}" name="unidade" dataDxfId="85"/>
    <tableColumn id="29" xr3:uid="{4175B748-09C4-4D25-BB08-7951F4F93E29}" name="data.emissao" dataDxfId="84"/>
    <tableColumn id="30" xr3:uid="{83375F18-967D-4549-BE36-79D7DE239F44}" name="disp" dataDxfId="83"/>
    <tableColumn id="31" xr3:uid="{DE734EC2-AACD-400F-99DD-D85DEB6F0823}" name="pavimento" dataDxfId="82"/>
    <tableColumn id="32" xr3:uid="{3C92D6FA-F73F-48EA-A351-B3654A31F7FA}" name="arquivo" dataDxfId="81"/>
    <tableColumn id="33" xr3:uid="{8F933408-16A2-40AA-823E-51ADD96D66FD}" name="arquivo.tipo" dataDxfId="80"/>
    <tableColumn id="34" xr3:uid="{11AB353A-112C-4504-A4CB-FF6E41B10CC8}" name="arquivo.tabela.tipo" dataDxfId="79"/>
    <tableColumn id="35" xr3:uid="{3CC8E619-73CA-4718-AC18-0FB6AD2F3F3C}" name="arquivo.fonte" dataDxfId="78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E2" insertRow="1" totalsRowShown="0" headerRowDxfId="77" dataDxfId="76">
  <autoFilter ref="A1:AE2" xr:uid="{E04C97D4-C6EC-4BA2-BDB8-ED5F99D32C7B}"/>
  <tableColumns count="31">
    <tableColumn id="1" xr3:uid="{7591C1E4-333E-46EC-B95F-BF5541B357A4}" name="n.siban" dataDxfId="75"/>
    <tableColumn id="2" xr3:uid="{96E89845-4235-4A02-B7CE-0DF0B7B694DB}" name="nucleo.num" dataDxfId="74"/>
    <tableColumn id="3" xr3:uid="{0F46A9C7-7C83-42D1-A309-7325397F5236}" name="empresa" dataDxfId="73"/>
    <tableColumn id="4" xr3:uid="{F721C566-B42C-4B2C-9946-7DA03969DC90}" name="centro.negocio" dataDxfId="72"/>
    <tableColumn id="5" xr3:uid="{8D9D4173-C28C-4992-A064-F483ADDB0E23}" name="origem" dataDxfId="71"/>
    <tableColumn id="6" xr3:uid="{81048B38-F467-4E84-8A20-F585D954E066}" name="tipo.entrada" dataDxfId="70"/>
    <tableColumn id="7" xr3:uid="{6CBBA08B-DF25-4369-A82D-8FA8F29EFA80}" name="documento" dataDxfId="69"/>
    <tableColumn id="8" xr3:uid="{7ABB27F8-B8CB-470A-8419-30B67BC51AD4}" name="parcela" dataDxfId="68"/>
    <tableColumn id="9" xr3:uid="{69DFD527-31D6-4991-B07E-927ACDC7CCA5}" name="data.vencimento" dataDxfId="67"/>
    <tableColumn id="10" xr3:uid="{A011B5AE-D821-47F3-A9A6-F73395565959}" name="data.pagamento" dataDxfId="66"/>
    <tableColumn id="11" xr3:uid="{C3536954-73DF-43E9-B074-638C86E811AA}" name="valor" dataDxfId="65"/>
    <tableColumn id="12" xr3:uid="{F3716B11-9C97-4DB0-8371-CE9B5B6B2835}" name="a/c" dataDxfId="64"/>
    <tableColumn id="13" xr3:uid="{22491C3C-25CC-446A-9E63-A4864D1C0FC9}" name="documento.pagto" dataDxfId="63"/>
    <tableColumn id="14" xr3:uid="{9F6A6033-77D1-4985-A84E-8552AC4C5382}" name="credor" dataDxfId="62"/>
    <tableColumn id="15" xr3:uid="{E076FDFD-C917-4899-BB40-F4499FF592BE}" name="classe" dataDxfId="61"/>
    <tableColumn id="16" xr3:uid="{75ABA4F4-48E3-4C5F-8173-5ED4DBFA82D8}" name="assunto.titulo" dataDxfId="60"/>
    <tableColumn id="17" xr3:uid="{8CA2E840-C63A-4531-93C8-123AFA79FB8C}" name="grupo.titulo" dataDxfId="59"/>
    <tableColumn id="18" xr3:uid="{5752141F-D6C3-4E1A-B10F-5C08983DA09A}" name="subgrupo.titulo" dataDxfId="58"/>
    <tableColumn id="19" xr3:uid="{4F627380-75D5-43C0-9A09-E48059974E95}" name="classificacao" dataDxfId="57"/>
    <tableColumn id="20" xr3:uid="{58602D9F-504C-4459-831A-2C342BEDC48D}" name="d/c" dataDxfId="56"/>
    <tableColumn id="21" xr3:uid="{327A2116-6BB3-4610-A671-1A4C96BFEC0F}" name="nucleo" dataDxfId="55"/>
    <tableColumn id="22" xr3:uid="{983BAABF-26E4-4519-AA67-4856AFC95801}" name="cod.grupo.nuc" dataDxfId="54"/>
    <tableColumn id="23" xr3:uid="{80C8F68F-ECB3-49D4-A74E-D629239E9C92}" name="grupo.nucleo" dataDxfId="53"/>
    <tableColumn id="24" xr3:uid="{D442FD0E-1287-4A06-98FC-6B0AEAD7BEC9}" name="cod.grupo.cen" dataDxfId="52"/>
    <tableColumn id="25" xr3:uid="{6DFAC642-E786-4831-B43F-F44A89E2D703}" name="grupo.centro" dataDxfId="51"/>
    <tableColumn id="26" xr3:uid="{C2FECD4D-2685-40F5-8A02-E4AF08AA3A80}" name="cod.classe.cen" dataDxfId="50"/>
    <tableColumn id="27" xr3:uid="{C9A23853-8F7E-4588-B7FD-8D6378266F1E}" name="classe.centro" dataDxfId="49"/>
    <tableColumn id="28" xr3:uid="{F2EB607E-C2EE-4A67-B514-8C0634DDFE5B}" name="arquivo" dataDxfId="48"/>
    <tableColumn id="29" xr3:uid="{F25F60B2-DE2C-4070-9B2E-8992D19A74E5}" name="arquivo.tabela.tipo" dataDxfId="47"/>
    <tableColumn id="30" xr3:uid="{BD1F13BE-7F96-454A-BF6E-E5CC7E3E33C5}" name="arquivo.tipo" dataDxfId="46"/>
    <tableColumn id="31" xr3:uid="{EABBC6B5-0899-4C37-87FE-DAB7CEAB1319}" name="arquivo.fonte" dataDxfId="45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44" dataDxfId="43">
  <autoFilter ref="A1:L2" xr:uid="{E04C97D4-C6EC-4BA2-BDB8-ED5F99D32C7B}"/>
  <tableColumns count="12">
    <tableColumn id="1" xr3:uid="{B5DFC91C-E081-4C3D-92BC-96E63DBDA06E}" name="empresa" dataDxfId="42"/>
    <tableColumn id="2" xr3:uid="{FA8F031D-9B1D-4B80-B82B-8AD3A6BAC081}" name="contrato.cef.5" dataDxfId="41"/>
    <tableColumn id="3" xr3:uid="{AA23661F-0E86-454B-B6FA-A33BA6F0CD1B}" name="repasse.cef.total" dataDxfId="40"/>
    <tableColumn id="4" xr3:uid="{EE24BE11-7DE0-4865-9425-57AA4E53C3E7}" name="repasse.cef.incorrido" dataDxfId="39"/>
    <tableColumn id="5" xr3:uid="{0F4302C0-1CDD-4B4D-A83B-6214CFBCD2EA}" name="repasse.cef.a.incorrer" dataDxfId="38"/>
    <tableColumn id="6" xr3:uid="{9D6ADF16-5B0C-4F1A-AEEF-585B9E5F5755}" name="repasse.cef.fin" dataDxfId="37"/>
    <tableColumn id="7" xr3:uid="{37A1F46E-AFA9-4CD2-A308-F4D6219EF875}" name="repasse.cef.desc.subs" dataDxfId="36"/>
    <tableColumn id="8" xr3:uid="{E6BABD7C-7C5B-4C88-A5BF-AF4E450F389B}" name="repasse.cef.fgts" dataDxfId="35"/>
    <tableColumn id="9" xr3:uid="{A2FE521F-3077-4FE2-BEC6-79AE0FCEB217}" name="repasse.cef.rec.prop" dataDxfId="34"/>
    <tableColumn id="10" xr3:uid="{68CE88C2-EF45-4F98-8368-487AAE13F73A}" name="repasse.cef.terreno.acum" dataDxfId="33"/>
    <tableColumn id="11" xr3:uid="{6013DC4F-C554-47DC-9D7B-BF1FFA36C501}" name="repasse.cef.obra.acum" dataDxfId="32"/>
    <tableColumn id="12" xr3:uid="{2706354C-F402-4E95-A801-2AA598F4077D}" name="arquivo" dataDxfId="31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134101-94C6-452B-A3DB-0A665188E984}" name="xcef" displayName="xcef" ref="A1:Y2" insertRow="1" totalsRowShown="0" dataDxfId="30">
  <autoFilter ref="A1:Y2" xr:uid="{E04C97D4-C6EC-4BA2-BDB8-ED5F99D32C7B}"/>
  <tableColumns count="25">
    <tableColumn id="1" xr3:uid="{0C22C526-E0A4-4F19-9BFE-30A9404472CD}" name="data.lancamento" dataDxfId="29"/>
    <tableColumn id="2" xr3:uid="{77A03ED4-07AB-4294-89B2-72F5A8531326}" name="data.movimentacao" dataDxfId="28"/>
    <tableColumn id="3" xr3:uid="{8E7D4A26-597A-4986-9AF0-612B794EA45B}" name="documento" dataDxfId="27"/>
    <tableColumn id="4" xr3:uid="{06FCC6D4-D79B-41F2-9126-2E69213661EB}" name="descricao" dataDxfId="26"/>
    <tableColumn id="5" xr3:uid="{107A43C0-34F7-4408-922D-AAADC6BF37F3}" name="valor" dataDxfId="25"/>
    <tableColumn id="6" xr3:uid="{09FE998E-342D-4736-9BB8-8FF3C2A6765F}" name="saldo" dataDxfId="24"/>
    <tableColumn id="7" xr3:uid="{31B83EA8-E994-4C22-8F63-DB4DE7347A72}" name="natureza" dataDxfId="23"/>
    <tableColumn id="8" xr3:uid="{9FF89394-DB6C-472E-B8CF-32A54F20916F}" name="conta.interno" dataDxfId="22"/>
    <tableColumn id="9" xr3:uid="{D16991DF-006C-47C6-A7DC-8A6D45AE7F93}" name="conta" dataDxfId="21"/>
    <tableColumn id="10" xr3:uid="{46FE67B9-DDA4-4981-9ADD-336B51199073}" name="agencia" dataDxfId="20"/>
    <tableColumn id="11" xr3:uid="{106409A4-5784-4CE9-B47D-4651D0D2B24F}" name="produto" dataDxfId="19"/>
    <tableColumn id="12" xr3:uid="{294E05C9-8719-4B5F-9739-460DCC8837BC}" name="cnpj" dataDxfId="18"/>
    <tableColumn id="13" xr3:uid="{BDABB899-332A-4C59-8F5E-EBFC6B9693CB}" name="empresa" dataDxfId="17"/>
    <tableColumn id="14" xr3:uid="{C32649AC-F44D-4ECB-B27F-39D6B2234A5A}" name="periodo.inicio" dataDxfId="16"/>
    <tableColumn id="15" xr3:uid="{042272D5-5081-4172-90C7-797A3A0FC47C}" name="periodo.fim" dataDxfId="15"/>
    <tableColumn id="16" xr3:uid="{AAC2D316-D99D-4D45-A5D7-86ED7FD79233}" name="data.consulta" dataDxfId="14"/>
    <tableColumn id="17" xr3:uid="{4F43FE29-AE51-4748-BB1C-03776FDB54A0}" name="contrato.6" dataDxfId="13"/>
    <tableColumn id="18" xr3:uid="{BA7C8B05-EC97-4DD1-ADAB-499A0C3F8884}" name="contrato.5" dataDxfId="12"/>
    <tableColumn id="19" xr3:uid="{5B94869F-C19E-4CBA-8E80-EB7ABD65C157}" name="arquivo" dataDxfId="11"/>
    <tableColumn id="20" xr3:uid="{79DA71AA-04CA-4142-9A14-2BE319F88A71}" name="arquivo.subtipo" dataDxfId="10"/>
    <tableColumn id="21" xr3:uid="{1FC43668-A538-4BF0-82FF-91F3B3E7A6F8}" name="arquivo.tabela.tipo" dataDxfId="9"/>
    <tableColumn id="22" xr3:uid="{266A2BD1-7B58-4A0F-9676-569158F177E3}" name="arquivo.tipo" dataDxfId="8"/>
    <tableColumn id="23" xr3:uid="{D0812C23-470A-4BD9-BAB8-15E89CF0394E}" name="arquivo.fonte" dataDxfId="7"/>
    <tableColumn id="24" xr3:uid="{E59DF5AE-465D-4001-B538-D96ECFCFDAAA}" name="cpf.cnpj" dataDxfId="6"/>
    <tableColumn id="25" xr3:uid="{551B28B2-E69A-4957-8C64-BA60F29F2BF3}" name="nome.razao" dataDxfId="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06" dT="2026-01-16T14:46:35.94" personId="{42E265A3-45EC-48D4-9B29-0671EDA53BA5}" id="{B97EF171-1111-419D-8615-2A0F4FE5751F}">
    <text>Deveria ser possível separar entre amortização e juros</text>
  </threadedComment>
  <threadedComment ref="M210" dT="2026-02-06T16:34:53.82" personId="{42E265A3-45EC-48D4-9B29-0671EDA53BA5}" id="{36865222-C131-45FD-9980-EEE90DD0E7E9}">
    <text>3M incluído manualmente</text>
  </threadedComment>
  <threadedComment ref="N210" dT="2026-02-06T16:36:34.39" personId="{42E265A3-45EC-48D4-9B29-0671EDA53BA5}" id="{928B6802-F15E-48F8-B189-5913C3914911}">
    <text>4,2M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dimension ref="A1:U225"/>
  <sheetViews>
    <sheetView workbookViewId="0"/>
  </sheetViews>
  <sheetFormatPr defaultRowHeight="15" outlineLevelRow="2" x14ac:dyDescent="0.25"/>
  <cols>
    <col min="1" max="1" width="18.85546875" bestFit="1" customWidth="1"/>
    <col min="2" max="2" width="52" bestFit="1" customWidth="1"/>
    <col min="3" max="3" width="9.7109375" customWidth="1"/>
    <col min="4" max="17" width="15.7109375" customWidth="1"/>
    <col min="18" max="18" width="3.7109375" customWidth="1"/>
    <col min="19" max="19" width="15.7109375" customWidth="1"/>
    <col min="20" max="20" width="3.7109375" customWidth="1"/>
    <col min="21" max="21" width="15.7109375" customWidth="1"/>
    <col min="22" max="22" width="3.7109375" customWidth="1"/>
  </cols>
  <sheetData>
    <row r="1" spans="1:21" x14ac:dyDescent="0.25">
      <c r="A1" s="237" t="s">
        <v>540</v>
      </c>
      <c r="B1" s="237" t="s">
        <v>541</v>
      </c>
      <c r="C1" s="237" t="s">
        <v>542</v>
      </c>
      <c r="D1" s="238">
        <v>45658</v>
      </c>
      <c r="E1" s="238">
        <v>45689</v>
      </c>
      <c r="F1" s="238">
        <v>45717</v>
      </c>
      <c r="G1" s="238">
        <v>45748</v>
      </c>
      <c r="H1" s="238">
        <v>45778</v>
      </c>
      <c r="I1" s="238">
        <v>45809</v>
      </c>
      <c r="J1" s="238">
        <v>45839</v>
      </c>
      <c r="K1" s="238">
        <v>45870</v>
      </c>
      <c r="L1" s="238">
        <v>45901</v>
      </c>
      <c r="M1" s="238">
        <v>45931</v>
      </c>
      <c r="N1" s="238">
        <v>45962</v>
      </c>
      <c r="O1" s="238">
        <v>45992</v>
      </c>
      <c r="P1" s="238">
        <v>46023</v>
      </c>
      <c r="Q1" s="238">
        <v>46054</v>
      </c>
      <c r="S1" s="239" t="s">
        <v>30</v>
      </c>
      <c r="U1" s="217" t="s">
        <v>543</v>
      </c>
    </row>
    <row r="2" spans="1:21" x14ac:dyDescent="0.25">
      <c r="A2" s="240" t="s">
        <v>544</v>
      </c>
      <c r="B2" s="240" t="s">
        <v>545</v>
      </c>
      <c r="C2" s="241"/>
      <c r="D2" s="242">
        <f t="shared" ref="D2:Q2" ca="1" si="0">D$3+D$31</f>
        <v>66315.199999999997</v>
      </c>
      <c r="E2" s="242">
        <f t="shared" ca="1" si="0"/>
        <v>102314.88</v>
      </c>
      <c r="F2" s="242">
        <f t="shared" ca="1" si="0"/>
        <v>247260.96</v>
      </c>
      <c r="G2" s="242">
        <f t="shared" ca="1" si="0"/>
        <v>361891.51999999996</v>
      </c>
      <c r="H2" s="242">
        <f t="shared" ca="1" si="0"/>
        <v>806203.36</v>
      </c>
      <c r="I2" s="242">
        <f t="shared" ca="1" si="0"/>
        <v>770203.68</v>
      </c>
      <c r="J2" s="242">
        <f t="shared" ca="1" si="0"/>
        <v>1031675.04</v>
      </c>
      <c r="K2" s="242">
        <f t="shared" ca="1" si="0"/>
        <v>400733.28</v>
      </c>
      <c r="L2" s="242">
        <f t="shared" ca="1" si="0"/>
        <v>345786.39999999997</v>
      </c>
      <c r="M2" s="242">
        <f t="shared" ca="1" si="0"/>
        <v>622415.52</v>
      </c>
      <c r="N2" s="242">
        <f t="shared" ca="1" si="0"/>
        <v>378944</v>
      </c>
      <c r="O2" s="242">
        <f t="shared" ca="1" si="0"/>
        <v>324944.48000000004</v>
      </c>
      <c r="P2" s="242">
        <f t="shared" ca="1" si="0"/>
        <v>179998.4</v>
      </c>
      <c r="Q2" s="242">
        <f t="shared" ca="1" si="0"/>
        <v>272839.67999999999</v>
      </c>
      <c r="S2" s="243">
        <f t="shared" ref="S2:S28" ca="1" si="1">SUM(D2:Q2)</f>
        <v>5911526.4000000004</v>
      </c>
      <c r="U2" s="218" t="s">
        <v>546</v>
      </c>
    </row>
    <row r="3" spans="1:21" x14ac:dyDescent="0.25">
      <c r="A3" s="244" t="s">
        <v>547</v>
      </c>
      <c r="B3" s="244" t="s">
        <v>548</v>
      </c>
      <c r="C3" s="245"/>
      <c r="D3" s="246">
        <f t="shared" ref="D3:Q3" ca="1" si="2">SUM(D$4,D$10,D$22,D$29)</f>
        <v>66315.199999999997</v>
      </c>
      <c r="E3" s="246">
        <f t="shared" ca="1" si="2"/>
        <v>102314.88</v>
      </c>
      <c r="F3" s="246">
        <f t="shared" ca="1" si="2"/>
        <v>247260.96</v>
      </c>
      <c r="G3" s="246">
        <f t="shared" ca="1" si="2"/>
        <v>361891.51999999996</v>
      </c>
      <c r="H3" s="246">
        <f t="shared" ca="1" si="2"/>
        <v>806203.36</v>
      </c>
      <c r="I3" s="246">
        <f t="shared" ca="1" si="2"/>
        <v>770203.68</v>
      </c>
      <c r="J3" s="246">
        <f t="shared" ca="1" si="2"/>
        <v>1031675.04</v>
      </c>
      <c r="K3" s="246">
        <f t="shared" ca="1" si="2"/>
        <v>400733.28</v>
      </c>
      <c r="L3" s="246">
        <f t="shared" ca="1" si="2"/>
        <v>345786.39999999997</v>
      </c>
      <c r="M3" s="246">
        <f t="shared" ca="1" si="2"/>
        <v>622415.52</v>
      </c>
      <c r="N3" s="246">
        <f t="shared" ca="1" si="2"/>
        <v>378944</v>
      </c>
      <c r="O3" s="246">
        <f t="shared" ca="1" si="2"/>
        <v>324944.48000000004</v>
      </c>
      <c r="P3" s="246">
        <f t="shared" ca="1" si="2"/>
        <v>179998.4</v>
      </c>
      <c r="Q3" s="246">
        <f t="shared" ca="1" si="2"/>
        <v>272839.67999999999</v>
      </c>
      <c r="S3" s="243">
        <f t="shared" ca="1" si="1"/>
        <v>5911526.4000000004</v>
      </c>
    </row>
    <row r="4" spans="1:21" outlineLevel="1" x14ac:dyDescent="0.25">
      <c r="A4" s="247" t="s">
        <v>549</v>
      </c>
      <c r="B4" s="247" t="s">
        <v>550</v>
      </c>
      <c r="C4" s="248" t="s">
        <v>516</v>
      </c>
      <c r="D4" s="249">
        <f t="shared" ref="D4:Q4" ca="1" si="3">SUM(D$5:D$9)</f>
        <v>0</v>
      </c>
      <c r="E4" s="249">
        <f t="shared" ca="1" si="3"/>
        <v>0</v>
      </c>
      <c r="F4" s="249">
        <f t="shared" ca="1" si="3"/>
        <v>0</v>
      </c>
      <c r="G4" s="249">
        <f t="shared" ca="1" si="3"/>
        <v>0</v>
      </c>
      <c r="H4" s="249">
        <f t="shared" ca="1" si="3"/>
        <v>0</v>
      </c>
      <c r="I4" s="249">
        <f t="shared" ca="1" si="3"/>
        <v>0</v>
      </c>
      <c r="J4" s="249">
        <f t="shared" ca="1" si="3"/>
        <v>0</v>
      </c>
      <c r="K4" s="249">
        <f t="shared" ca="1" si="3"/>
        <v>0</v>
      </c>
      <c r="L4" s="249">
        <f t="shared" ca="1" si="3"/>
        <v>0</v>
      </c>
      <c r="M4" s="249">
        <f t="shared" ca="1" si="3"/>
        <v>0</v>
      </c>
      <c r="N4" s="249">
        <f t="shared" ca="1" si="3"/>
        <v>0</v>
      </c>
      <c r="O4" s="249">
        <f t="shared" ca="1" si="3"/>
        <v>0</v>
      </c>
      <c r="P4" s="249">
        <f t="shared" ca="1" si="3"/>
        <v>0</v>
      </c>
      <c r="Q4" s="249">
        <f t="shared" ca="1" si="3"/>
        <v>0</v>
      </c>
      <c r="S4" s="243">
        <f t="shared" ca="1" si="1"/>
        <v>0</v>
      </c>
    </row>
    <row r="5" spans="1:21" outlineLevel="2" x14ac:dyDescent="0.25">
      <c r="A5" s="250" t="s">
        <v>551</v>
      </c>
      <c r="B5" s="250" t="s">
        <v>17</v>
      </c>
      <c r="C5" s="197" t="s">
        <v>516</v>
      </c>
      <c r="D5" s="251">
        <f ca="1">SUMIFS(rec.uni[2025-01-01],
INDIRECT("rec.uni[natureza]"),"repasse.cef.obra",
INDIRECT("rec.uni[empresa]"),$B5)+
SUMIFS(rec.uni[2025-01-01],
INDIRECT("rec.uni[natureza]"),"repasse.cef.terreno",
INDIRECT("rec.uni[empresa]"),$B5)</f>
        <v>0</v>
      </c>
      <c r="E5" s="251">
        <f ca="1">SUMIFS(rec.uni[2025-02-01],
INDIRECT("rec.uni[natureza]"),"repasse.cef.obra",
INDIRECT("rec.uni[empresa]"),$B5)+
SUMIFS(rec.uni[2025-02-01],
INDIRECT("rec.uni[natureza]"),"repasse.cef.terreno",
INDIRECT("rec.uni[empresa]"),$B5)</f>
        <v>0</v>
      </c>
      <c r="F5" s="251">
        <f ca="1">SUMIFS(rec.uni[2025-03-01],
INDIRECT("rec.uni[natureza]"),"repasse.cef.obra",
INDIRECT("rec.uni[empresa]"),$B5)+
SUMIFS(rec.uni[2025-03-01],
INDIRECT("rec.uni[natureza]"),"repasse.cef.terreno",
INDIRECT("rec.uni[empresa]"),$B5)</f>
        <v>0</v>
      </c>
      <c r="G5" s="251">
        <f ca="1">SUMIFS(rec.uni[2025-04-01],
INDIRECT("rec.uni[natureza]"),"repasse.cef.obra",
INDIRECT("rec.uni[empresa]"),$B5)+
SUMIFS(rec.uni[2025-04-01],
INDIRECT("rec.uni[natureza]"),"repasse.cef.terreno",
INDIRECT("rec.uni[empresa]"),$B5)</f>
        <v>0</v>
      </c>
      <c r="H5" s="251">
        <f ca="1">SUMIFS(rec.uni[2025-05-01],
INDIRECT("rec.uni[natureza]"),"repasse.cef.obra",
INDIRECT("rec.uni[empresa]"),$B5)+
SUMIFS(rec.uni[2025-05-01],
INDIRECT("rec.uni[natureza]"),"repasse.cef.terreno",
INDIRECT("rec.uni[empresa]"),$B5)</f>
        <v>0</v>
      </c>
      <c r="I5" s="251">
        <f ca="1">SUMIFS(rec.uni[2025-06-01],
INDIRECT("rec.uni[natureza]"),"repasse.cef.obra",
INDIRECT("rec.uni[empresa]"),$B5)+
SUMIFS(rec.uni[2025-06-01],
INDIRECT("rec.uni[natureza]"),"repasse.cef.terreno",
INDIRECT("rec.uni[empresa]"),$B5)</f>
        <v>0</v>
      </c>
      <c r="J5" s="251">
        <f ca="1">SUMIFS(rec.uni[2025-07-01],
INDIRECT("rec.uni[natureza]"),"repasse.cef.obra",
INDIRECT("rec.uni[empresa]"),$B5)+
SUMIFS(rec.uni[2025-07-01],
INDIRECT("rec.uni[natureza]"),"repasse.cef.terreno",
INDIRECT("rec.uni[empresa]"),$B5)</f>
        <v>0</v>
      </c>
      <c r="K5" s="251">
        <f ca="1">SUMIFS(rec.uni[2025-08-01],
INDIRECT("rec.uni[natureza]"),"repasse.cef.obra",
INDIRECT("rec.uni[empresa]"),$B5)+
SUMIFS(rec.uni[2025-08-01],
INDIRECT("rec.uni[natureza]"),"repasse.cef.terreno",
INDIRECT("rec.uni[empresa]"),$B5)</f>
        <v>0</v>
      </c>
      <c r="L5" s="251">
        <f ca="1">SUMIFS(rec.uni[2025-09-01],
INDIRECT("rec.uni[natureza]"),"repasse.cef.obra",
INDIRECT("rec.uni[empresa]"),$B5)+
SUMIFS(rec.uni[2025-09-01],
INDIRECT("rec.uni[natureza]"),"repasse.cef.terreno",
INDIRECT("rec.uni[empresa]"),$B5)</f>
        <v>0</v>
      </c>
      <c r="M5" s="251">
        <f ca="1">SUMIFS(rec.uni[2025-10-01],
INDIRECT("rec.uni[natureza]"),"repasse.cef.obra",
INDIRECT("rec.uni[empresa]"),$B5)+
SUMIFS(rec.uni[2025-10-01],
INDIRECT("rec.uni[natureza]"),"repasse.cef.terreno",
INDIRECT("rec.uni[empresa]"),$B5)</f>
        <v>0</v>
      </c>
      <c r="N5" s="251">
        <f ca="1">SUMIFS(rec.uni[2025-11-01],
INDIRECT("rec.uni[natureza]"),"repasse.cef.obra",
INDIRECT("rec.uni[empresa]"),$B5)+
SUMIFS(rec.uni[2025-11-01],
INDIRECT("rec.uni[natureza]"),"repasse.cef.terreno",
INDIRECT("rec.uni[empresa]"),$B5)</f>
        <v>0</v>
      </c>
      <c r="O5" s="251">
        <f ca="1">SUMIFS(rec.uni[2025-12-01],
INDIRECT("rec.uni[natureza]"),"repasse.cef.obra",
INDIRECT("rec.uni[empresa]"),$B5)+
SUMIFS(rec.uni[2025-12-01],
INDIRECT("rec.uni[natureza]"),"repasse.cef.terreno",
INDIRECT("rec.uni[empresa]"),$B5)</f>
        <v>0</v>
      </c>
      <c r="P5" s="251">
        <f ca="1">SUMIFS(rec.uni[2026-01-01],
INDIRECT("rec.uni[natureza]"),"repasse.cef.obra",
INDIRECT("rec.uni[empresa]"),$B5)+
SUMIFS(rec.uni[2026-01-01],
INDIRECT("rec.uni[natureza]"),"repasse.cef.terreno",
INDIRECT("rec.uni[empresa]"),$B5)</f>
        <v>0</v>
      </c>
      <c r="Q5" s="251">
        <f ca="1">SUMIFS(rec.uni[2026-02-01],
INDIRECT("rec.uni[natureza]"),"repasse.cef.obra",
INDIRECT("rec.uni[empresa]"),$B5)+
SUMIFS(rec.uni[2026-02-01],
INDIRECT("rec.uni[natureza]"),"repasse.cef.terreno",
INDIRECT("rec.uni[empresa]"),$B5)</f>
        <v>0</v>
      </c>
      <c r="S5" s="243">
        <f t="shared" ca="1" si="1"/>
        <v>0</v>
      </c>
    </row>
    <row r="6" spans="1:21" outlineLevel="2" x14ac:dyDescent="0.25">
      <c r="A6" s="250" t="s">
        <v>552</v>
      </c>
      <c r="B6" s="250" t="s">
        <v>14</v>
      </c>
      <c r="C6" s="197" t="s">
        <v>516</v>
      </c>
      <c r="D6" s="251">
        <f ca="1">SUMIFS(rec.uni[2025-01-01],
INDIRECT("rec.uni[natureza]"),"repasse.cef.obra",
INDIRECT("rec.uni[empresa]"),$B6)+
SUMIFS(rec.uni[2025-01-01],
INDIRECT("rec.uni[natureza]"),"repasse.cef.terreno",
INDIRECT("rec.uni[empresa]"),$B6)</f>
        <v>0</v>
      </c>
      <c r="E6" s="251">
        <f ca="1">SUMIFS(rec.uni[2025-02-01],
INDIRECT("rec.uni[natureza]"),"repasse.cef.obra",
INDIRECT("rec.uni[empresa]"),$B6)+
SUMIFS(rec.uni[2025-02-01],
INDIRECT("rec.uni[natureza]"),"repasse.cef.terreno",
INDIRECT("rec.uni[empresa]"),$B6)</f>
        <v>0</v>
      </c>
      <c r="F6" s="251">
        <f ca="1">SUMIFS(rec.uni[2025-03-01],
INDIRECT("rec.uni[natureza]"),"repasse.cef.obra",
INDIRECT("rec.uni[empresa]"),$B6)+
SUMIFS(rec.uni[2025-03-01],
INDIRECT("rec.uni[natureza]"),"repasse.cef.terreno",
INDIRECT("rec.uni[empresa]"),$B6)</f>
        <v>0</v>
      </c>
      <c r="G6" s="251">
        <f ca="1">SUMIFS(rec.uni[2025-04-01],
INDIRECT("rec.uni[natureza]"),"repasse.cef.obra",
INDIRECT("rec.uni[empresa]"),$B6)+
SUMIFS(rec.uni[2025-04-01],
INDIRECT("rec.uni[natureza]"),"repasse.cef.terreno",
INDIRECT("rec.uni[empresa]"),$B6)</f>
        <v>0</v>
      </c>
      <c r="H6" s="251">
        <f ca="1">SUMIFS(rec.uni[2025-05-01],
INDIRECT("rec.uni[natureza]"),"repasse.cef.obra",
INDIRECT("rec.uni[empresa]"),$B6)+
SUMIFS(rec.uni[2025-05-01],
INDIRECT("rec.uni[natureza]"),"repasse.cef.terreno",
INDIRECT("rec.uni[empresa]"),$B6)</f>
        <v>0</v>
      </c>
      <c r="I6" s="251">
        <f ca="1">SUMIFS(rec.uni[2025-06-01],
INDIRECT("rec.uni[natureza]"),"repasse.cef.obra",
INDIRECT("rec.uni[empresa]"),$B6)+
SUMIFS(rec.uni[2025-06-01],
INDIRECT("rec.uni[natureza]"),"repasse.cef.terreno",
INDIRECT("rec.uni[empresa]"),$B6)</f>
        <v>0</v>
      </c>
      <c r="J6" s="251">
        <f ca="1">SUMIFS(rec.uni[2025-07-01],
INDIRECT("rec.uni[natureza]"),"repasse.cef.obra",
INDIRECT("rec.uni[empresa]"),$B6)+
SUMIFS(rec.uni[2025-07-01],
INDIRECT("rec.uni[natureza]"),"repasse.cef.terreno",
INDIRECT("rec.uni[empresa]"),$B6)</f>
        <v>0</v>
      </c>
      <c r="K6" s="251">
        <f ca="1">SUMIFS(rec.uni[2025-08-01],
INDIRECT("rec.uni[natureza]"),"repasse.cef.obra",
INDIRECT("rec.uni[empresa]"),$B6)+
SUMIFS(rec.uni[2025-08-01],
INDIRECT("rec.uni[natureza]"),"repasse.cef.terreno",
INDIRECT("rec.uni[empresa]"),$B6)</f>
        <v>0</v>
      </c>
      <c r="L6" s="251">
        <f ca="1">SUMIFS(rec.uni[2025-09-01],
INDIRECT("rec.uni[natureza]"),"repasse.cef.obra",
INDIRECT("rec.uni[empresa]"),$B6)+
SUMIFS(rec.uni[2025-09-01],
INDIRECT("rec.uni[natureza]"),"repasse.cef.terreno",
INDIRECT("rec.uni[empresa]"),$B6)</f>
        <v>0</v>
      </c>
      <c r="M6" s="251">
        <f ca="1">SUMIFS(rec.uni[2025-10-01],
INDIRECT("rec.uni[natureza]"),"repasse.cef.obra",
INDIRECT("rec.uni[empresa]"),$B6)+
SUMIFS(rec.uni[2025-10-01],
INDIRECT("rec.uni[natureza]"),"repasse.cef.terreno",
INDIRECT("rec.uni[empresa]"),$B6)</f>
        <v>0</v>
      </c>
      <c r="N6" s="251">
        <f ca="1">SUMIFS(rec.uni[2025-11-01],
INDIRECT("rec.uni[natureza]"),"repasse.cef.obra",
INDIRECT("rec.uni[empresa]"),$B6)+
SUMIFS(rec.uni[2025-11-01],
INDIRECT("rec.uni[natureza]"),"repasse.cef.terreno",
INDIRECT("rec.uni[empresa]"),$B6)</f>
        <v>0</v>
      </c>
      <c r="O6" s="251">
        <f ca="1">SUMIFS(rec.uni[2025-12-01],
INDIRECT("rec.uni[natureza]"),"repasse.cef.obra",
INDIRECT("rec.uni[empresa]"),$B6)+
SUMIFS(rec.uni[2025-12-01],
INDIRECT("rec.uni[natureza]"),"repasse.cef.terreno",
INDIRECT("rec.uni[empresa]"),$B6)</f>
        <v>0</v>
      </c>
      <c r="P6" s="251">
        <f ca="1">SUMIFS(rec.uni[2026-01-01],
INDIRECT("rec.uni[natureza]"),"repasse.cef.obra",
INDIRECT("rec.uni[empresa]"),$B6)+
SUMIFS(rec.uni[2026-01-01],
INDIRECT("rec.uni[natureza]"),"repasse.cef.terreno",
INDIRECT("rec.uni[empresa]"),$B6)</f>
        <v>0</v>
      </c>
      <c r="Q6" s="251">
        <f ca="1">SUMIFS(rec.uni[2026-02-01],
INDIRECT("rec.uni[natureza]"),"repasse.cef.obra",
INDIRECT("rec.uni[empresa]"),$B6)+
SUMIFS(rec.uni[2026-02-01],
INDIRECT("rec.uni[natureza]"),"repasse.cef.terreno",
INDIRECT("rec.uni[empresa]"),$B6)</f>
        <v>0</v>
      </c>
      <c r="S6" s="243">
        <f t="shared" ca="1" si="1"/>
        <v>0</v>
      </c>
    </row>
    <row r="7" spans="1:21" outlineLevel="2" x14ac:dyDescent="0.25">
      <c r="A7" s="250" t="s">
        <v>553</v>
      </c>
      <c r="B7" s="250" t="s">
        <v>12</v>
      </c>
      <c r="C7" s="197" t="s">
        <v>516</v>
      </c>
      <c r="D7" s="251">
        <f ca="1">SUMIFS(rec.uni[2025-01-01],
INDIRECT("rec.uni[natureza]"),"repasse.cef.obra",
INDIRECT("rec.uni[empresa]"),$B7)+
SUMIFS(rec.uni[2025-01-01],
INDIRECT("rec.uni[natureza]"),"repasse.cef.terreno",
INDIRECT("rec.uni[empresa]"),$B7)</f>
        <v>0</v>
      </c>
      <c r="E7" s="251">
        <f ca="1">SUMIFS(rec.uni[2025-02-01],
INDIRECT("rec.uni[natureza]"),"repasse.cef.obra",
INDIRECT("rec.uni[empresa]"),$B7)+
SUMIFS(rec.uni[2025-02-01],
INDIRECT("rec.uni[natureza]"),"repasse.cef.terreno",
INDIRECT("rec.uni[empresa]"),$B7)</f>
        <v>0</v>
      </c>
      <c r="F7" s="251">
        <f ca="1">SUMIFS(rec.uni[2025-03-01],
INDIRECT("rec.uni[natureza]"),"repasse.cef.obra",
INDIRECT("rec.uni[empresa]"),$B7)+
SUMIFS(rec.uni[2025-03-01],
INDIRECT("rec.uni[natureza]"),"repasse.cef.terreno",
INDIRECT("rec.uni[empresa]"),$B7)</f>
        <v>0</v>
      </c>
      <c r="G7" s="251">
        <f ca="1">SUMIFS(rec.uni[2025-04-01],
INDIRECT("rec.uni[natureza]"),"repasse.cef.obra",
INDIRECT("rec.uni[empresa]"),$B7)+
SUMIFS(rec.uni[2025-04-01],
INDIRECT("rec.uni[natureza]"),"repasse.cef.terreno",
INDIRECT("rec.uni[empresa]"),$B7)</f>
        <v>0</v>
      </c>
      <c r="H7" s="251">
        <f ca="1">SUMIFS(rec.uni[2025-05-01],
INDIRECT("rec.uni[natureza]"),"repasse.cef.obra",
INDIRECT("rec.uni[empresa]"),$B7)+
SUMIFS(rec.uni[2025-05-01],
INDIRECT("rec.uni[natureza]"),"repasse.cef.terreno",
INDIRECT("rec.uni[empresa]"),$B7)</f>
        <v>0</v>
      </c>
      <c r="I7" s="251">
        <f ca="1">SUMIFS(rec.uni[2025-06-01],
INDIRECT("rec.uni[natureza]"),"repasse.cef.obra",
INDIRECT("rec.uni[empresa]"),$B7)+
SUMIFS(rec.uni[2025-06-01],
INDIRECT("rec.uni[natureza]"),"repasse.cef.terreno",
INDIRECT("rec.uni[empresa]"),$B7)</f>
        <v>0</v>
      </c>
      <c r="J7" s="251">
        <f ca="1">SUMIFS(rec.uni[2025-07-01],
INDIRECT("rec.uni[natureza]"),"repasse.cef.obra",
INDIRECT("rec.uni[empresa]"),$B7)+
SUMIFS(rec.uni[2025-07-01],
INDIRECT("rec.uni[natureza]"),"repasse.cef.terreno",
INDIRECT("rec.uni[empresa]"),$B7)</f>
        <v>0</v>
      </c>
      <c r="K7" s="251">
        <f ca="1">SUMIFS(rec.uni[2025-08-01],
INDIRECT("rec.uni[natureza]"),"repasse.cef.obra",
INDIRECT("rec.uni[empresa]"),$B7)+
SUMIFS(rec.uni[2025-08-01],
INDIRECT("rec.uni[natureza]"),"repasse.cef.terreno",
INDIRECT("rec.uni[empresa]"),$B7)</f>
        <v>0</v>
      </c>
      <c r="L7" s="251">
        <f ca="1">SUMIFS(rec.uni[2025-09-01],
INDIRECT("rec.uni[natureza]"),"repasse.cef.obra",
INDIRECT("rec.uni[empresa]"),$B7)+
SUMIFS(rec.uni[2025-09-01],
INDIRECT("rec.uni[natureza]"),"repasse.cef.terreno",
INDIRECT("rec.uni[empresa]"),$B7)</f>
        <v>0</v>
      </c>
      <c r="M7" s="251">
        <f ca="1">SUMIFS(rec.uni[2025-10-01],
INDIRECT("rec.uni[natureza]"),"repasse.cef.obra",
INDIRECT("rec.uni[empresa]"),$B7)+
SUMIFS(rec.uni[2025-10-01],
INDIRECT("rec.uni[natureza]"),"repasse.cef.terreno",
INDIRECT("rec.uni[empresa]"),$B7)</f>
        <v>0</v>
      </c>
      <c r="N7" s="251">
        <f ca="1">SUMIFS(rec.uni[2025-11-01],
INDIRECT("rec.uni[natureza]"),"repasse.cef.obra",
INDIRECT("rec.uni[empresa]"),$B7)+
SUMIFS(rec.uni[2025-11-01],
INDIRECT("rec.uni[natureza]"),"repasse.cef.terreno",
INDIRECT("rec.uni[empresa]"),$B7)</f>
        <v>0</v>
      </c>
      <c r="O7" s="251">
        <f ca="1">SUMIFS(rec.uni[2025-12-01],
INDIRECT("rec.uni[natureza]"),"repasse.cef.obra",
INDIRECT("rec.uni[empresa]"),$B7)+
SUMIFS(rec.uni[2025-12-01],
INDIRECT("rec.uni[natureza]"),"repasse.cef.terreno",
INDIRECT("rec.uni[empresa]"),$B7)</f>
        <v>0</v>
      </c>
      <c r="P7" s="251">
        <f ca="1">SUMIFS(rec.uni[2026-01-01],
INDIRECT("rec.uni[natureza]"),"repasse.cef.obra",
INDIRECT("rec.uni[empresa]"),$B7)+
SUMIFS(rec.uni[2026-01-01],
INDIRECT("rec.uni[natureza]"),"repasse.cef.terreno",
INDIRECT("rec.uni[empresa]"),$B7)</f>
        <v>0</v>
      </c>
      <c r="Q7" s="251">
        <f ca="1">SUMIFS(rec.uni[2026-02-01],
INDIRECT("rec.uni[natureza]"),"repasse.cef.obra",
INDIRECT("rec.uni[empresa]"),$B7)+
SUMIFS(rec.uni[2026-02-01],
INDIRECT("rec.uni[natureza]"),"repasse.cef.terreno",
INDIRECT("rec.uni[empresa]"),$B7)</f>
        <v>0</v>
      </c>
      <c r="S7" s="243">
        <f t="shared" ca="1" si="1"/>
        <v>0</v>
      </c>
    </row>
    <row r="8" spans="1:21" outlineLevel="2" x14ac:dyDescent="0.25">
      <c r="A8" s="250" t="s">
        <v>554</v>
      </c>
      <c r="B8" s="250" t="s">
        <v>13</v>
      </c>
      <c r="C8" s="197" t="s">
        <v>516</v>
      </c>
      <c r="D8" s="251">
        <f ca="1">SUMIFS(rec.uni[2025-01-01],
INDIRECT("rec.uni[natureza]"),"repasse.cef.obra",
INDIRECT("rec.uni[empresa]"),$B8)+
SUMIFS(rec.uni[2025-01-01],
INDIRECT("rec.uni[natureza]"),"repasse.cef.terreno",
INDIRECT("rec.uni[empresa]"),$B8)</f>
        <v>0</v>
      </c>
      <c r="E8" s="251">
        <f ca="1">SUMIFS(rec.uni[2025-02-01],
INDIRECT("rec.uni[natureza]"),"repasse.cef.obra",
INDIRECT("rec.uni[empresa]"),$B8)+
SUMIFS(rec.uni[2025-02-01],
INDIRECT("rec.uni[natureza]"),"repasse.cef.terreno",
INDIRECT("rec.uni[empresa]"),$B8)</f>
        <v>0</v>
      </c>
      <c r="F8" s="251">
        <f ca="1">SUMIFS(rec.uni[2025-03-01],
INDIRECT("rec.uni[natureza]"),"repasse.cef.obra",
INDIRECT("rec.uni[empresa]"),$B8)+
SUMIFS(rec.uni[2025-03-01],
INDIRECT("rec.uni[natureza]"),"repasse.cef.terreno",
INDIRECT("rec.uni[empresa]"),$B8)</f>
        <v>0</v>
      </c>
      <c r="G8" s="251">
        <f ca="1">SUMIFS(rec.uni[2025-04-01],
INDIRECT("rec.uni[natureza]"),"repasse.cef.obra",
INDIRECT("rec.uni[empresa]"),$B8)+
SUMIFS(rec.uni[2025-04-01],
INDIRECT("rec.uni[natureza]"),"repasse.cef.terreno",
INDIRECT("rec.uni[empresa]"),$B8)</f>
        <v>0</v>
      </c>
      <c r="H8" s="251">
        <f ca="1">SUMIFS(rec.uni[2025-05-01],
INDIRECT("rec.uni[natureza]"),"repasse.cef.obra",
INDIRECT("rec.uni[empresa]"),$B8)+
SUMIFS(rec.uni[2025-05-01],
INDIRECT("rec.uni[natureza]"),"repasse.cef.terreno",
INDIRECT("rec.uni[empresa]"),$B8)</f>
        <v>0</v>
      </c>
      <c r="I8" s="251">
        <f ca="1">SUMIFS(rec.uni[2025-06-01],
INDIRECT("rec.uni[natureza]"),"repasse.cef.obra",
INDIRECT("rec.uni[empresa]"),$B8)+
SUMIFS(rec.uni[2025-06-01],
INDIRECT("rec.uni[natureza]"),"repasse.cef.terreno",
INDIRECT("rec.uni[empresa]"),$B8)</f>
        <v>0</v>
      </c>
      <c r="J8" s="251">
        <f ca="1">SUMIFS(rec.uni[2025-07-01],
INDIRECT("rec.uni[natureza]"),"repasse.cef.obra",
INDIRECT("rec.uni[empresa]"),$B8)+
SUMIFS(rec.uni[2025-07-01],
INDIRECT("rec.uni[natureza]"),"repasse.cef.terreno",
INDIRECT("rec.uni[empresa]"),$B8)</f>
        <v>0</v>
      </c>
      <c r="K8" s="251">
        <f ca="1">SUMIFS(rec.uni[2025-08-01],
INDIRECT("rec.uni[natureza]"),"repasse.cef.obra",
INDIRECT("rec.uni[empresa]"),$B8)+
SUMIFS(rec.uni[2025-08-01],
INDIRECT("rec.uni[natureza]"),"repasse.cef.terreno",
INDIRECT("rec.uni[empresa]"),$B8)</f>
        <v>0</v>
      </c>
      <c r="L8" s="251">
        <f ca="1">SUMIFS(rec.uni[2025-09-01],
INDIRECT("rec.uni[natureza]"),"repasse.cef.obra",
INDIRECT("rec.uni[empresa]"),$B8)+
SUMIFS(rec.uni[2025-09-01],
INDIRECT("rec.uni[natureza]"),"repasse.cef.terreno",
INDIRECT("rec.uni[empresa]"),$B8)</f>
        <v>0</v>
      </c>
      <c r="M8" s="251">
        <f ca="1">SUMIFS(rec.uni[2025-10-01],
INDIRECT("rec.uni[natureza]"),"repasse.cef.obra",
INDIRECT("rec.uni[empresa]"),$B8)+
SUMIFS(rec.uni[2025-10-01],
INDIRECT("rec.uni[natureza]"),"repasse.cef.terreno",
INDIRECT("rec.uni[empresa]"),$B8)</f>
        <v>0</v>
      </c>
      <c r="N8" s="251">
        <f ca="1">SUMIFS(rec.uni[2025-11-01],
INDIRECT("rec.uni[natureza]"),"repasse.cef.obra",
INDIRECT("rec.uni[empresa]"),$B8)+
SUMIFS(rec.uni[2025-11-01],
INDIRECT("rec.uni[natureza]"),"repasse.cef.terreno",
INDIRECT("rec.uni[empresa]"),$B8)</f>
        <v>0</v>
      </c>
      <c r="O8" s="251">
        <f ca="1">SUMIFS(rec.uni[2025-12-01],
INDIRECT("rec.uni[natureza]"),"repasse.cef.obra",
INDIRECT("rec.uni[empresa]"),$B8)+
SUMIFS(rec.uni[2025-12-01],
INDIRECT("rec.uni[natureza]"),"repasse.cef.terreno",
INDIRECT("rec.uni[empresa]"),$B8)</f>
        <v>0</v>
      </c>
      <c r="P8" s="251">
        <f ca="1">SUMIFS(rec.uni[2026-01-01],
INDIRECT("rec.uni[natureza]"),"repasse.cef.obra",
INDIRECT("rec.uni[empresa]"),$B8)+
SUMIFS(rec.uni[2026-01-01],
INDIRECT("rec.uni[natureza]"),"repasse.cef.terreno",
INDIRECT("rec.uni[empresa]"),$B8)</f>
        <v>0</v>
      </c>
      <c r="Q8" s="251">
        <f ca="1">SUMIFS(rec.uni[2026-02-01],
INDIRECT("rec.uni[natureza]"),"repasse.cef.obra",
INDIRECT("rec.uni[empresa]"),$B8)+
SUMIFS(rec.uni[2026-02-01],
INDIRECT("rec.uni[natureza]"),"repasse.cef.terreno",
INDIRECT("rec.uni[empresa]"),$B8)</f>
        <v>0</v>
      </c>
      <c r="S8" s="243">
        <f t="shared" ref="S8" ca="1" si="4">SUM(D8:Q8)</f>
        <v>0</v>
      </c>
    </row>
    <row r="9" spans="1:21" outlineLevel="2" x14ac:dyDescent="0.25">
      <c r="A9" s="250" t="s">
        <v>813</v>
      </c>
      <c r="B9" s="250" t="s">
        <v>15</v>
      </c>
      <c r="C9" s="197" t="s">
        <v>516</v>
      </c>
      <c r="D9" s="251">
        <f ca="1">SUMIFS(rec.uni[2025-01-01],
INDIRECT("rec.uni[natureza]"),"repasse.cef.obra",
INDIRECT("rec.uni[empresa]"),$B9)+
SUMIFS(rec.uni[2025-01-01],
INDIRECT("rec.uni[natureza]"),"repasse.cef.terreno",
INDIRECT("rec.uni[empresa]"),$B9)</f>
        <v>0</v>
      </c>
      <c r="E9" s="251">
        <f ca="1">SUMIFS(rec.uni[2025-02-01],
INDIRECT("rec.uni[natureza]"),"repasse.cef.obra",
INDIRECT("rec.uni[empresa]"),$B9)+
SUMIFS(rec.uni[2025-02-01],
INDIRECT("rec.uni[natureza]"),"repasse.cef.terreno",
INDIRECT("rec.uni[empresa]"),$B9)</f>
        <v>0</v>
      </c>
      <c r="F9" s="251">
        <f ca="1">SUMIFS(rec.uni[2025-03-01],
INDIRECT("rec.uni[natureza]"),"repasse.cef.obra",
INDIRECT("rec.uni[empresa]"),$B9)+
SUMIFS(rec.uni[2025-03-01],
INDIRECT("rec.uni[natureza]"),"repasse.cef.terreno",
INDIRECT("rec.uni[empresa]"),$B9)</f>
        <v>0</v>
      </c>
      <c r="G9" s="251">
        <f ca="1">SUMIFS(rec.uni[2025-04-01],
INDIRECT("rec.uni[natureza]"),"repasse.cef.obra",
INDIRECT("rec.uni[empresa]"),$B9)+
SUMIFS(rec.uni[2025-04-01],
INDIRECT("rec.uni[natureza]"),"repasse.cef.terreno",
INDIRECT("rec.uni[empresa]"),$B9)</f>
        <v>0</v>
      </c>
      <c r="H9" s="251">
        <f ca="1">SUMIFS(rec.uni[2025-05-01],
INDIRECT("rec.uni[natureza]"),"repasse.cef.obra",
INDIRECT("rec.uni[empresa]"),$B9)+
SUMIFS(rec.uni[2025-05-01],
INDIRECT("rec.uni[natureza]"),"repasse.cef.terreno",
INDIRECT("rec.uni[empresa]"),$B9)</f>
        <v>0</v>
      </c>
      <c r="I9" s="251">
        <f ca="1">SUMIFS(rec.uni[2025-06-01],
INDIRECT("rec.uni[natureza]"),"repasse.cef.obra",
INDIRECT("rec.uni[empresa]"),$B9)+
SUMIFS(rec.uni[2025-06-01],
INDIRECT("rec.uni[natureza]"),"repasse.cef.terreno",
INDIRECT("rec.uni[empresa]"),$B9)</f>
        <v>0</v>
      </c>
      <c r="J9" s="251">
        <f ca="1">SUMIFS(rec.uni[2025-07-01],
INDIRECT("rec.uni[natureza]"),"repasse.cef.obra",
INDIRECT("rec.uni[empresa]"),$B9)+
SUMIFS(rec.uni[2025-07-01],
INDIRECT("rec.uni[natureza]"),"repasse.cef.terreno",
INDIRECT("rec.uni[empresa]"),$B9)</f>
        <v>0</v>
      </c>
      <c r="K9" s="251">
        <f ca="1">SUMIFS(rec.uni[2025-08-01],
INDIRECT("rec.uni[natureza]"),"repasse.cef.obra",
INDIRECT("rec.uni[empresa]"),$B9)+
SUMIFS(rec.uni[2025-08-01],
INDIRECT("rec.uni[natureza]"),"repasse.cef.terreno",
INDIRECT("rec.uni[empresa]"),$B9)</f>
        <v>0</v>
      </c>
      <c r="L9" s="251">
        <f ca="1">SUMIFS(rec.uni[2025-09-01],
INDIRECT("rec.uni[natureza]"),"repasse.cef.obra",
INDIRECT("rec.uni[empresa]"),$B9)+
SUMIFS(rec.uni[2025-09-01],
INDIRECT("rec.uni[natureza]"),"repasse.cef.terreno",
INDIRECT("rec.uni[empresa]"),$B9)</f>
        <v>0</v>
      </c>
      <c r="M9" s="251">
        <f ca="1">SUMIFS(rec.uni[2025-10-01],
INDIRECT("rec.uni[natureza]"),"repasse.cef.obra",
INDIRECT("rec.uni[empresa]"),$B9)+
SUMIFS(rec.uni[2025-10-01],
INDIRECT("rec.uni[natureza]"),"repasse.cef.terreno",
INDIRECT("rec.uni[empresa]"),$B9)</f>
        <v>0</v>
      </c>
      <c r="N9" s="251">
        <f ca="1">SUMIFS(rec.uni[2025-11-01],
INDIRECT("rec.uni[natureza]"),"repasse.cef.obra",
INDIRECT("rec.uni[empresa]"),$B9)+
SUMIFS(rec.uni[2025-11-01],
INDIRECT("rec.uni[natureza]"),"repasse.cef.terreno",
INDIRECT("rec.uni[empresa]"),$B9)</f>
        <v>0</v>
      </c>
      <c r="O9" s="251">
        <f ca="1">SUMIFS(rec.uni[2025-12-01],
INDIRECT("rec.uni[natureza]"),"repasse.cef.obra",
INDIRECT("rec.uni[empresa]"),$B9)+
SUMIFS(rec.uni[2025-12-01],
INDIRECT("rec.uni[natureza]"),"repasse.cef.terreno",
INDIRECT("rec.uni[empresa]"),$B9)</f>
        <v>0</v>
      </c>
      <c r="P9" s="251">
        <f ca="1">SUMIFS(rec.uni[2026-01-01],
INDIRECT("rec.uni[natureza]"),"repasse.cef.obra",
INDIRECT("rec.uni[empresa]"),$B9)+
SUMIFS(rec.uni[2026-01-01],
INDIRECT("rec.uni[natureza]"),"repasse.cef.terreno",
INDIRECT("rec.uni[empresa]"),$B9)</f>
        <v>0</v>
      </c>
      <c r="Q9" s="251">
        <f ca="1">SUMIFS(rec.uni[2026-02-01],
INDIRECT("rec.uni[natureza]"),"repasse.cef.obra",
INDIRECT("rec.uni[empresa]"),$B9)+
SUMIFS(rec.uni[2026-02-01],
INDIRECT("rec.uni[natureza]"),"repasse.cef.terreno",
INDIRECT("rec.uni[empresa]"),$B9)</f>
        <v>0</v>
      </c>
      <c r="S9" s="243">
        <f t="shared" ca="1" si="1"/>
        <v>0</v>
      </c>
    </row>
    <row r="10" spans="1:21" outlineLevel="1" x14ac:dyDescent="0.25">
      <c r="A10" s="247" t="s">
        <v>555</v>
      </c>
      <c r="B10" s="247" t="s">
        <v>21</v>
      </c>
      <c r="C10" s="248" t="s">
        <v>556</v>
      </c>
      <c r="D10" s="249">
        <f t="shared" ref="D10:Q10" ca="1" si="5">SUM(D$11:D$21)</f>
        <v>0</v>
      </c>
      <c r="E10" s="249">
        <f t="shared" ca="1" si="5"/>
        <v>0</v>
      </c>
      <c r="F10" s="249">
        <f t="shared" ca="1" si="5"/>
        <v>0</v>
      </c>
      <c r="G10" s="249">
        <f t="shared" ca="1" si="5"/>
        <v>0</v>
      </c>
      <c r="H10" s="249">
        <f t="shared" ca="1" si="5"/>
        <v>0</v>
      </c>
      <c r="I10" s="249">
        <f t="shared" ca="1" si="5"/>
        <v>0</v>
      </c>
      <c r="J10" s="249">
        <f t="shared" ca="1" si="5"/>
        <v>0</v>
      </c>
      <c r="K10" s="249">
        <f t="shared" ca="1" si="5"/>
        <v>0</v>
      </c>
      <c r="L10" s="249">
        <f t="shared" ca="1" si="5"/>
        <v>0</v>
      </c>
      <c r="M10" s="249">
        <f t="shared" ca="1" si="5"/>
        <v>0</v>
      </c>
      <c r="N10" s="249">
        <f t="shared" ca="1" si="5"/>
        <v>0</v>
      </c>
      <c r="O10" s="249">
        <f t="shared" ca="1" si="5"/>
        <v>0</v>
      </c>
      <c r="P10" s="249">
        <f t="shared" ca="1" si="5"/>
        <v>0</v>
      </c>
      <c r="Q10" s="249">
        <f t="shared" ca="1" si="5"/>
        <v>0</v>
      </c>
      <c r="S10" s="243">
        <f t="shared" ca="1" si="1"/>
        <v>0</v>
      </c>
    </row>
    <row r="11" spans="1:21" outlineLevel="2" x14ac:dyDescent="0.25">
      <c r="A11" s="250" t="s">
        <v>557</v>
      </c>
      <c r="B11" s="250" t="s">
        <v>17</v>
      </c>
      <c r="C11" s="197" t="s">
        <v>556</v>
      </c>
      <c r="D11" s="251">
        <f ca="1">SUMIFS(rec.uni[2025-01-01],
INDIRECT("rec.uni[natureza]"),"pro.soluto",
INDIRECT("rec.uni[empresa]"),$B11)</f>
        <v>0</v>
      </c>
      <c r="E11" s="251">
        <f ca="1">SUMIFS(rec.uni[2025-02-01],
INDIRECT("rec.uni[natureza]"),"pro.soluto",
INDIRECT("rec.uni[empresa]"),$B11)</f>
        <v>0</v>
      </c>
      <c r="F11" s="251">
        <f ca="1">SUMIFS(rec.uni[2025-03-01],
INDIRECT("rec.uni[natureza]"),"pro.soluto",
INDIRECT("rec.uni[empresa]"),$B11)</f>
        <v>0</v>
      </c>
      <c r="G11" s="251">
        <f ca="1">SUMIFS(rec.uni[2025-04-01],
INDIRECT("rec.uni[natureza]"),"pro.soluto",
INDIRECT("rec.uni[empresa]"),$B11)</f>
        <v>0</v>
      </c>
      <c r="H11" s="251">
        <f ca="1">SUMIFS(rec.uni[2025-05-01],
INDIRECT("rec.uni[natureza]"),"pro.soluto",
INDIRECT("rec.uni[empresa]"),$B11)</f>
        <v>0</v>
      </c>
      <c r="I11" s="251">
        <f ca="1">SUMIFS(rec.uni[2025-06-01],
INDIRECT("rec.uni[natureza]"),"pro.soluto",
INDIRECT("rec.uni[empresa]"),$B11)</f>
        <v>0</v>
      </c>
      <c r="J11" s="251">
        <f ca="1">SUMIFS(rec.uni[2025-07-01],
INDIRECT("rec.uni[natureza]"),"pro.soluto",
INDIRECT("rec.uni[empresa]"),$B11)</f>
        <v>0</v>
      </c>
      <c r="K11" s="251">
        <f ca="1">SUMIFS(rec.uni[2025-08-01],
INDIRECT("rec.uni[natureza]"),"pro.soluto",
INDIRECT("rec.uni[empresa]"),$B11)</f>
        <v>0</v>
      </c>
      <c r="L11" s="251">
        <f ca="1">SUMIFS(rec.uni[2025-09-01],
INDIRECT("rec.uni[natureza]"),"pro.soluto",
INDIRECT("rec.uni[empresa]"),$B11)</f>
        <v>0</v>
      </c>
      <c r="M11" s="251">
        <f ca="1">SUMIFS(rec.uni[2025-10-01],
INDIRECT("rec.uni[natureza]"),"pro.soluto",
INDIRECT("rec.uni[empresa]"),$B11)</f>
        <v>0</v>
      </c>
      <c r="N11" s="251">
        <f ca="1">SUMIFS(rec.uni[2025-11-01],
INDIRECT("rec.uni[natureza]"),"pro.soluto",
INDIRECT("rec.uni[empresa]"),$B11)</f>
        <v>0</v>
      </c>
      <c r="O11" s="251">
        <f ca="1">SUMIFS(rec.uni[2025-12-01],
INDIRECT("rec.uni[natureza]"),"pro.soluto",
INDIRECT("rec.uni[empresa]"),$B11)</f>
        <v>0</v>
      </c>
      <c r="P11" s="251">
        <f ca="1">SUMIFS(rec.uni[2026-01-01],
INDIRECT("rec.uni[natureza]"),"pro.soluto",
INDIRECT("rec.uni[empresa]"),$B11)</f>
        <v>0</v>
      </c>
      <c r="Q11" s="251">
        <f ca="1">SUMIFS(rec.uni[2026-02-01],
INDIRECT("rec.uni[natureza]"),"pro.soluto",
INDIRECT("rec.uni[empresa]"),$B11)</f>
        <v>0</v>
      </c>
      <c r="S11" s="243">
        <f t="shared" ca="1" si="1"/>
        <v>0</v>
      </c>
    </row>
    <row r="12" spans="1:21" outlineLevel="2" x14ac:dyDescent="0.25">
      <c r="A12" s="250" t="s">
        <v>558</v>
      </c>
      <c r="B12" s="250" t="s">
        <v>18</v>
      </c>
      <c r="C12" s="197" t="s">
        <v>556</v>
      </c>
      <c r="D12" s="251">
        <f ca="1">SUMIFS(rec.uni[2025-01-01],
INDIRECT("rec.uni[natureza]"),"pro.soluto",
INDIRECT("rec.uni[empresa]"),$B12)</f>
        <v>0</v>
      </c>
      <c r="E12" s="251">
        <f ca="1">SUMIFS(rec.uni[2025-02-01],
INDIRECT("rec.uni[natureza]"),"pro.soluto",
INDIRECT("rec.uni[empresa]"),$B12)</f>
        <v>0</v>
      </c>
      <c r="F12" s="251">
        <f ca="1">SUMIFS(rec.uni[2025-03-01],
INDIRECT("rec.uni[natureza]"),"pro.soluto",
INDIRECT("rec.uni[empresa]"),$B12)</f>
        <v>0</v>
      </c>
      <c r="G12" s="251">
        <f ca="1">SUMIFS(rec.uni[2025-04-01],
INDIRECT("rec.uni[natureza]"),"pro.soluto",
INDIRECT("rec.uni[empresa]"),$B12)</f>
        <v>0</v>
      </c>
      <c r="H12" s="251">
        <f ca="1">SUMIFS(rec.uni[2025-05-01],
INDIRECT("rec.uni[natureza]"),"pro.soluto",
INDIRECT("rec.uni[empresa]"),$B12)</f>
        <v>0</v>
      </c>
      <c r="I12" s="251">
        <f ca="1">SUMIFS(rec.uni[2025-06-01],
INDIRECT("rec.uni[natureza]"),"pro.soluto",
INDIRECT("rec.uni[empresa]"),$B12)</f>
        <v>0</v>
      </c>
      <c r="J12" s="251">
        <f ca="1">SUMIFS(rec.uni[2025-07-01],
INDIRECT("rec.uni[natureza]"),"pro.soluto",
INDIRECT("rec.uni[empresa]"),$B12)</f>
        <v>0</v>
      </c>
      <c r="K12" s="251">
        <f ca="1">SUMIFS(rec.uni[2025-08-01],
INDIRECT("rec.uni[natureza]"),"pro.soluto",
INDIRECT("rec.uni[empresa]"),$B12)</f>
        <v>0</v>
      </c>
      <c r="L12" s="251">
        <f ca="1">SUMIFS(rec.uni[2025-09-01],
INDIRECT("rec.uni[natureza]"),"pro.soluto",
INDIRECT("rec.uni[empresa]"),$B12)</f>
        <v>0</v>
      </c>
      <c r="M12" s="251">
        <f ca="1">SUMIFS(rec.uni[2025-10-01],
INDIRECT("rec.uni[natureza]"),"pro.soluto",
INDIRECT("rec.uni[empresa]"),$B12)</f>
        <v>0</v>
      </c>
      <c r="N12" s="251">
        <f ca="1">SUMIFS(rec.uni[2025-11-01],
INDIRECT("rec.uni[natureza]"),"pro.soluto",
INDIRECT("rec.uni[empresa]"),$B12)</f>
        <v>0</v>
      </c>
      <c r="O12" s="251">
        <f ca="1">SUMIFS(rec.uni[2025-12-01],
INDIRECT("rec.uni[natureza]"),"pro.soluto",
INDIRECT("rec.uni[empresa]"),$B12)</f>
        <v>0</v>
      </c>
      <c r="P12" s="251">
        <f ca="1">SUMIFS(rec.uni[2026-01-01],
INDIRECT("rec.uni[natureza]"),"pro.soluto",
INDIRECT("rec.uni[empresa]"),$B12)</f>
        <v>0</v>
      </c>
      <c r="Q12" s="251">
        <f ca="1">SUMIFS(rec.uni[2026-02-01],
INDIRECT("rec.uni[natureza]"),"pro.soluto",
INDIRECT("rec.uni[empresa]"),$B12)</f>
        <v>0</v>
      </c>
      <c r="S12" s="243">
        <f t="shared" ca="1" si="1"/>
        <v>0</v>
      </c>
    </row>
    <row r="13" spans="1:21" outlineLevel="2" x14ac:dyDescent="0.25">
      <c r="A13" s="250" t="s">
        <v>559</v>
      </c>
      <c r="B13" s="250" t="s">
        <v>14</v>
      </c>
      <c r="C13" s="197" t="s">
        <v>556</v>
      </c>
      <c r="D13" s="251">
        <f ca="1">SUMIFS(rec.uni[2025-01-01],
INDIRECT("rec.uni[natureza]"),"pro.soluto",
INDIRECT("rec.uni[empresa]"),$B13)</f>
        <v>0</v>
      </c>
      <c r="E13" s="251">
        <f ca="1">SUMIFS(rec.uni[2025-02-01],
INDIRECT("rec.uni[natureza]"),"pro.soluto",
INDIRECT("rec.uni[empresa]"),$B13)</f>
        <v>0</v>
      </c>
      <c r="F13" s="251">
        <f ca="1">SUMIFS(rec.uni[2025-03-01],
INDIRECT("rec.uni[natureza]"),"pro.soluto",
INDIRECT("rec.uni[empresa]"),$B13)</f>
        <v>0</v>
      </c>
      <c r="G13" s="251">
        <f ca="1">SUMIFS(rec.uni[2025-04-01],
INDIRECT("rec.uni[natureza]"),"pro.soluto",
INDIRECT("rec.uni[empresa]"),$B13)</f>
        <v>0</v>
      </c>
      <c r="H13" s="251">
        <f ca="1">SUMIFS(rec.uni[2025-05-01],
INDIRECT("rec.uni[natureza]"),"pro.soluto",
INDIRECT("rec.uni[empresa]"),$B13)</f>
        <v>0</v>
      </c>
      <c r="I13" s="251">
        <f ca="1">SUMIFS(rec.uni[2025-06-01],
INDIRECT("rec.uni[natureza]"),"pro.soluto",
INDIRECT("rec.uni[empresa]"),$B13)</f>
        <v>0</v>
      </c>
      <c r="J13" s="251">
        <f ca="1">SUMIFS(rec.uni[2025-07-01],
INDIRECT("rec.uni[natureza]"),"pro.soluto",
INDIRECT("rec.uni[empresa]"),$B13)</f>
        <v>0</v>
      </c>
      <c r="K13" s="251">
        <f ca="1">SUMIFS(rec.uni[2025-08-01],
INDIRECT("rec.uni[natureza]"),"pro.soluto",
INDIRECT("rec.uni[empresa]"),$B13)</f>
        <v>0</v>
      </c>
      <c r="L13" s="251">
        <f ca="1">SUMIFS(rec.uni[2025-09-01],
INDIRECT("rec.uni[natureza]"),"pro.soluto",
INDIRECT("rec.uni[empresa]"),$B13)</f>
        <v>0</v>
      </c>
      <c r="M13" s="251">
        <f ca="1">SUMIFS(rec.uni[2025-10-01],
INDIRECT("rec.uni[natureza]"),"pro.soluto",
INDIRECT("rec.uni[empresa]"),$B13)</f>
        <v>0</v>
      </c>
      <c r="N13" s="251">
        <f ca="1">SUMIFS(rec.uni[2025-11-01],
INDIRECT("rec.uni[natureza]"),"pro.soluto",
INDIRECT("rec.uni[empresa]"),$B13)</f>
        <v>0</v>
      </c>
      <c r="O13" s="251">
        <f ca="1">SUMIFS(rec.uni[2025-12-01],
INDIRECT("rec.uni[natureza]"),"pro.soluto",
INDIRECT("rec.uni[empresa]"),$B13)</f>
        <v>0</v>
      </c>
      <c r="P13" s="251">
        <f ca="1">SUMIFS(rec.uni[2026-01-01],
INDIRECT("rec.uni[natureza]"),"pro.soluto",
INDIRECT("rec.uni[empresa]"),$B13)</f>
        <v>0</v>
      </c>
      <c r="Q13" s="251">
        <f ca="1">SUMIFS(rec.uni[2026-02-01],
INDIRECT("rec.uni[natureza]"),"pro.soluto",
INDIRECT("rec.uni[empresa]"),$B13)</f>
        <v>0</v>
      </c>
      <c r="S13" s="243">
        <f t="shared" ca="1" si="1"/>
        <v>0</v>
      </c>
    </row>
    <row r="14" spans="1:21" outlineLevel="2" x14ac:dyDescent="0.25">
      <c r="A14" s="250" t="s">
        <v>560</v>
      </c>
      <c r="B14" s="250" t="s">
        <v>12</v>
      </c>
      <c r="C14" s="197" t="s">
        <v>556</v>
      </c>
      <c r="D14" s="251">
        <f ca="1">SUMIFS(rec.uni[2025-01-01],
INDIRECT("rec.uni[natureza]"),"pro.soluto",
INDIRECT("rec.uni[empresa]"),$B14)</f>
        <v>0</v>
      </c>
      <c r="E14" s="251">
        <f ca="1">SUMIFS(rec.uni[2025-02-01],
INDIRECT("rec.uni[natureza]"),"pro.soluto",
INDIRECT("rec.uni[empresa]"),$B14)</f>
        <v>0</v>
      </c>
      <c r="F14" s="251">
        <f ca="1">SUMIFS(rec.uni[2025-03-01],
INDIRECT("rec.uni[natureza]"),"pro.soluto",
INDIRECT("rec.uni[empresa]"),$B14)</f>
        <v>0</v>
      </c>
      <c r="G14" s="251">
        <f ca="1">SUMIFS(rec.uni[2025-04-01],
INDIRECT("rec.uni[natureza]"),"pro.soluto",
INDIRECT("rec.uni[empresa]"),$B14)</f>
        <v>0</v>
      </c>
      <c r="H14" s="251">
        <f ca="1">SUMIFS(rec.uni[2025-05-01],
INDIRECT("rec.uni[natureza]"),"pro.soluto",
INDIRECT("rec.uni[empresa]"),$B14)</f>
        <v>0</v>
      </c>
      <c r="I14" s="251">
        <f ca="1">SUMIFS(rec.uni[2025-06-01],
INDIRECT("rec.uni[natureza]"),"pro.soluto",
INDIRECT("rec.uni[empresa]"),$B14)</f>
        <v>0</v>
      </c>
      <c r="J14" s="251">
        <f ca="1">SUMIFS(rec.uni[2025-07-01],
INDIRECT("rec.uni[natureza]"),"pro.soluto",
INDIRECT("rec.uni[empresa]"),$B14)</f>
        <v>0</v>
      </c>
      <c r="K14" s="251">
        <f ca="1">SUMIFS(rec.uni[2025-08-01],
INDIRECT("rec.uni[natureza]"),"pro.soluto",
INDIRECT("rec.uni[empresa]"),$B14)</f>
        <v>0</v>
      </c>
      <c r="L14" s="251">
        <f ca="1">SUMIFS(rec.uni[2025-09-01],
INDIRECT("rec.uni[natureza]"),"pro.soluto",
INDIRECT("rec.uni[empresa]"),$B14)</f>
        <v>0</v>
      </c>
      <c r="M14" s="251">
        <f ca="1">SUMIFS(rec.uni[2025-10-01],
INDIRECT("rec.uni[natureza]"),"pro.soluto",
INDIRECT("rec.uni[empresa]"),$B14)</f>
        <v>0</v>
      </c>
      <c r="N14" s="251">
        <f ca="1">SUMIFS(rec.uni[2025-11-01],
INDIRECT("rec.uni[natureza]"),"pro.soluto",
INDIRECT("rec.uni[empresa]"),$B14)</f>
        <v>0</v>
      </c>
      <c r="O14" s="251">
        <f ca="1">SUMIFS(rec.uni[2025-12-01],
INDIRECT("rec.uni[natureza]"),"pro.soluto",
INDIRECT("rec.uni[empresa]"),$B14)</f>
        <v>0</v>
      </c>
      <c r="P14" s="251">
        <f ca="1">SUMIFS(rec.uni[2026-01-01],
INDIRECT("rec.uni[natureza]"),"pro.soluto",
INDIRECT("rec.uni[empresa]"),$B14)</f>
        <v>0</v>
      </c>
      <c r="Q14" s="251">
        <f ca="1">SUMIFS(rec.uni[2026-02-01],
INDIRECT("rec.uni[natureza]"),"pro.soluto",
INDIRECT("rec.uni[empresa]"),$B14)</f>
        <v>0</v>
      </c>
      <c r="S14" s="243">
        <f t="shared" ca="1" si="1"/>
        <v>0</v>
      </c>
    </row>
    <row r="15" spans="1:21" outlineLevel="2" x14ac:dyDescent="0.25">
      <c r="A15" s="250" t="s">
        <v>561</v>
      </c>
      <c r="B15" s="250" t="s">
        <v>16</v>
      </c>
      <c r="C15" s="197" t="s">
        <v>556</v>
      </c>
      <c r="D15" s="251">
        <f ca="1">SUMIFS(rec.uni[2025-01-01],
INDIRECT("rec.uni[natureza]"),"pro.soluto",
INDIRECT("rec.uni[empresa]"),$B15)</f>
        <v>0</v>
      </c>
      <c r="E15" s="251">
        <f ca="1">SUMIFS(rec.uni[2025-02-01],
INDIRECT("rec.uni[natureza]"),"pro.soluto",
INDIRECT("rec.uni[empresa]"),$B15)</f>
        <v>0</v>
      </c>
      <c r="F15" s="251">
        <f ca="1">SUMIFS(rec.uni[2025-03-01],
INDIRECT("rec.uni[natureza]"),"pro.soluto",
INDIRECT("rec.uni[empresa]"),$B15)</f>
        <v>0</v>
      </c>
      <c r="G15" s="251">
        <f ca="1">SUMIFS(rec.uni[2025-04-01],
INDIRECT("rec.uni[natureza]"),"pro.soluto",
INDIRECT("rec.uni[empresa]"),$B15)</f>
        <v>0</v>
      </c>
      <c r="H15" s="251">
        <f ca="1">SUMIFS(rec.uni[2025-05-01],
INDIRECT("rec.uni[natureza]"),"pro.soluto",
INDIRECT("rec.uni[empresa]"),$B15)</f>
        <v>0</v>
      </c>
      <c r="I15" s="251">
        <f ca="1">SUMIFS(rec.uni[2025-06-01],
INDIRECT("rec.uni[natureza]"),"pro.soluto",
INDIRECT("rec.uni[empresa]"),$B15)</f>
        <v>0</v>
      </c>
      <c r="J15" s="251">
        <f ca="1">SUMIFS(rec.uni[2025-07-01],
INDIRECT("rec.uni[natureza]"),"pro.soluto",
INDIRECT("rec.uni[empresa]"),$B15)</f>
        <v>0</v>
      </c>
      <c r="K15" s="251">
        <f ca="1">SUMIFS(rec.uni[2025-08-01],
INDIRECT("rec.uni[natureza]"),"pro.soluto",
INDIRECT("rec.uni[empresa]"),$B15)</f>
        <v>0</v>
      </c>
      <c r="L15" s="251">
        <f ca="1">SUMIFS(rec.uni[2025-09-01],
INDIRECT("rec.uni[natureza]"),"pro.soluto",
INDIRECT("rec.uni[empresa]"),$B15)</f>
        <v>0</v>
      </c>
      <c r="M15" s="251">
        <f ca="1">SUMIFS(rec.uni[2025-10-01],
INDIRECT("rec.uni[natureza]"),"pro.soluto",
INDIRECT("rec.uni[empresa]"),$B15)</f>
        <v>0</v>
      </c>
      <c r="N15" s="251">
        <f ca="1">SUMIFS(rec.uni[2025-11-01],
INDIRECT("rec.uni[natureza]"),"pro.soluto",
INDIRECT("rec.uni[empresa]"),$B15)</f>
        <v>0</v>
      </c>
      <c r="O15" s="251">
        <f ca="1">SUMIFS(rec.uni[2025-12-01],
INDIRECT("rec.uni[natureza]"),"pro.soluto",
INDIRECT("rec.uni[empresa]"),$B15)</f>
        <v>0</v>
      </c>
      <c r="P15" s="251">
        <f ca="1">SUMIFS(rec.uni[2026-01-01],
INDIRECT("rec.uni[natureza]"),"pro.soluto",
INDIRECT("rec.uni[empresa]"),$B15)</f>
        <v>0</v>
      </c>
      <c r="Q15" s="251">
        <f ca="1">SUMIFS(rec.uni[2026-02-01],
INDIRECT("rec.uni[natureza]"),"pro.soluto",
INDIRECT("rec.uni[empresa]"),$B15)</f>
        <v>0</v>
      </c>
      <c r="S15" s="243">
        <f t="shared" ca="1" si="1"/>
        <v>0</v>
      </c>
    </row>
    <row r="16" spans="1:21" outlineLevel="2" x14ac:dyDescent="0.25">
      <c r="A16" s="250" t="s">
        <v>820</v>
      </c>
      <c r="B16" s="250" t="s">
        <v>821</v>
      </c>
      <c r="C16" s="197" t="s">
        <v>556</v>
      </c>
      <c r="D16" s="251">
        <f ca="1">SUMIFS(rec.uni[2025-01-01],
INDIRECT("rec.uni[natureza]"),"pro.soluto",
INDIRECT("rec.uni[empresa]"),$B16)</f>
        <v>0</v>
      </c>
      <c r="E16" s="251">
        <f ca="1">SUMIFS(rec.uni[2025-02-01],
INDIRECT("rec.uni[natureza]"),"pro.soluto",
INDIRECT("rec.uni[empresa]"),$B16)</f>
        <v>0</v>
      </c>
      <c r="F16" s="251">
        <f ca="1">SUMIFS(rec.uni[2025-03-01],
INDIRECT("rec.uni[natureza]"),"pro.soluto",
INDIRECT("rec.uni[empresa]"),$B16)</f>
        <v>0</v>
      </c>
      <c r="G16" s="251">
        <f ca="1">SUMIFS(rec.uni[2025-04-01],
INDIRECT("rec.uni[natureza]"),"pro.soluto",
INDIRECT("rec.uni[empresa]"),$B16)</f>
        <v>0</v>
      </c>
      <c r="H16" s="251">
        <f ca="1">SUMIFS(rec.uni[2025-05-01],
INDIRECT("rec.uni[natureza]"),"pro.soluto",
INDIRECT("rec.uni[empresa]"),$B16)</f>
        <v>0</v>
      </c>
      <c r="I16" s="251">
        <f ca="1">SUMIFS(rec.uni[2025-06-01],
INDIRECT("rec.uni[natureza]"),"pro.soluto",
INDIRECT("rec.uni[empresa]"),$B16)</f>
        <v>0</v>
      </c>
      <c r="J16" s="251">
        <f ca="1">SUMIFS(rec.uni[2025-07-01],
INDIRECT("rec.uni[natureza]"),"pro.soluto",
INDIRECT("rec.uni[empresa]"),$B16)</f>
        <v>0</v>
      </c>
      <c r="K16" s="251">
        <f ca="1">SUMIFS(rec.uni[2025-08-01],
INDIRECT("rec.uni[natureza]"),"pro.soluto",
INDIRECT("rec.uni[empresa]"),$B16)</f>
        <v>0</v>
      </c>
      <c r="L16" s="251">
        <f ca="1">SUMIFS(rec.uni[2025-09-01],
INDIRECT("rec.uni[natureza]"),"pro.soluto",
INDIRECT("rec.uni[empresa]"),$B16)</f>
        <v>0</v>
      </c>
      <c r="M16" s="251">
        <f ca="1">SUMIFS(rec.uni[2025-10-01],
INDIRECT("rec.uni[natureza]"),"pro.soluto",
INDIRECT("rec.uni[empresa]"),$B16)</f>
        <v>0</v>
      </c>
      <c r="N16" s="251">
        <f ca="1">SUMIFS(rec.uni[2025-11-01],
INDIRECT("rec.uni[natureza]"),"pro.soluto",
INDIRECT("rec.uni[empresa]"),$B16)</f>
        <v>0</v>
      </c>
      <c r="O16" s="251">
        <f ca="1">SUMIFS(rec.uni[2025-12-01],
INDIRECT("rec.uni[natureza]"),"pro.soluto",
INDIRECT("rec.uni[empresa]"),$B16)</f>
        <v>0</v>
      </c>
      <c r="P16" s="251">
        <f ca="1">SUMIFS(rec.uni[2026-01-01],
INDIRECT("rec.uni[natureza]"),"pro.soluto",
INDIRECT("rec.uni[empresa]"),$B16)</f>
        <v>0</v>
      </c>
      <c r="Q16" s="251">
        <f ca="1">SUMIFS(rec.uni[2026-02-01],
INDIRECT("rec.uni[natureza]"),"pro.soluto",
INDIRECT("rec.uni[empresa]"),$B16)</f>
        <v>0</v>
      </c>
      <c r="S16" s="243">
        <f t="shared" ref="S16" ca="1" si="6">SUM(D16:Q16)</f>
        <v>0</v>
      </c>
    </row>
    <row r="17" spans="1:19" outlineLevel="2" x14ac:dyDescent="0.25">
      <c r="A17" s="250" t="s">
        <v>562</v>
      </c>
      <c r="B17" s="250" t="s">
        <v>15</v>
      </c>
      <c r="C17" s="197" t="s">
        <v>556</v>
      </c>
      <c r="D17" s="251">
        <f ca="1">SUMIFS(rec.uni[2025-01-01],
INDIRECT("rec.uni[natureza]"),"pro.soluto",
INDIRECT("rec.uni[empresa]"),$B17)</f>
        <v>0</v>
      </c>
      <c r="E17" s="251">
        <f ca="1">SUMIFS(rec.uni[2025-02-01],
INDIRECT("rec.uni[natureza]"),"pro.soluto",
INDIRECT("rec.uni[empresa]"),$B17)</f>
        <v>0</v>
      </c>
      <c r="F17" s="251">
        <f ca="1">SUMIFS(rec.uni[2025-03-01],
INDIRECT("rec.uni[natureza]"),"pro.soluto",
INDIRECT("rec.uni[empresa]"),$B17)</f>
        <v>0</v>
      </c>
      <c r="G17" s="251">
        <f ca="1">SUMIFS(rec.uni[2025-04-01],
INDIRECT("rec.uni[natureza]"),"pro.soluto",
INDIRECT("rec.uni[empresa]"),$B17)</f>
        <v>0</v>
      </c>
      <c r="H17" s="251">
        <f ca="1">SUMIFS(rec.uni[2025-05-01],
INDIRECT("rec.uni[natureza]"),"pro.soluto",
INDIRECT("rec.uni[empresa]"),$B17)</f>
        <v>0</v>
      </c>
      <c r="I17" s="251">
        <f ca="1">SUMIFS(rec.uni[2025-06-01],
INDIRECT("rec.uni[natureza]"),"pro.soluto",
INDIRECT("rec.uni[empresa]"),$B17)</f>
        <v>0</v>
      </c>
      <c r="J17" s="251">
        <f ca="1">SUMIFS(rec.uni[2025-07-01],
INDIRECT("rec.uni[natureza]"),"pro.soluto",
INDIRECT("rec.uni[empresa]"),$B17)</f>
        <v>0</v>
      </c>
      <c r="K17" s="251">
        <f ca="1">SUMIFS(rec.uni[2025-08-01],
INDIRECT("rec.uni[natureza]"),"pro.soluto",
INDIRECT("rec.uni[empresa]"),$B17)</f>
        <v>0</v>
      </c>
      <c r="L17" s="251">
        <f ca="1">SUMIFS(rec.uni[2025-09-01],
INDIRECT("rec.uni[natureza]"),"pro.soluto",
INDIRECT("rec.uni[empresa]"),$B17)</f>
        <v>0</v>
      </c>
      <c r="M17" s="251">
        <f ca="1">SUMIFS(rec.uni[2025-10-01],
INDIRECT("rec.uni[natureza]"),"pro.soluto",
INDIRECT("rec.uni[empresa]"),$B17)</f>
        <v>0</v>
      </c>
      <c r="N17" s="251">
        <f ca="1">SUMIFS(rec.uni[2025-11-01],
INDIRECT("rec.uni[natureza]"),"pro.soluto",
INDIRECT("rec.uni[empresa]"),$B17)</f>
        <v>0</v>
      </c>
      <c r="O17" s="251">
        <f ca="1">SUMIFS(rec.uni[2025-12-01],
INDIRECT("rec.uni[natureza]"),"pro.soluto",
INDIRECT("rec.uni[empresa]"),$B17)</f>
        <v>0</v>
      </c>
      <c r="P17" s="251">
        <f ca="1">SUMIFS(rec.uni[2026-01-01],
INDIRECT("rec.uni[natureza]"),"pro.soluto",
INDIRECT("rec.uni[empresa]"),$B17)</f>
        <v>0</v>
      </c>
      <c r="Q17" s="251">
        <f ca="1">SUMIFS(rec.uni[2026-02-01],
INDIRECT("rec.uni[natureza]"),"pro.soluto",
INDIRECT("rec.uni[empresa]"),$B17)</f>
        <v>0</v>
      </c>
      <c r="S17" s="243">
        <f t="shared" ca="1" si="1"/>
        <v>0</v>
      </c>
    </row>
    <row r="18" spans="1:19" outlineLevel="2" x14ac:dyDescent="0.25">
      <c r="A18" s="250" t="s">
        <v>563</v>
      </c>
      <c r="B18" s="250" t="s">
        <v>13</v>
      </c>
      <c r="C18" s="197" t="s">
        <v>556</v>
      </c>
      <c r="D18" s="251">
        <f ca="1">SUMIFS(rec.uni[2025-01-01],
INDIRECT("rec.uni[natureza]"),"pro.soluto",
INDIRECT("rec.uni[empresa]"),$B18)</f>
        <v>0</v>
      </c>
      <c r="E18" s="251">
        <f ca="1">SUMIFS(rec.uni[2025-02-01],
INDIRECT("rec.uni[natureza]"),"pro.soluto",
INDIRECT("rec.uni[empresa]"),$B18)</f>
        <v>0</v>
      </c>
      <c r="F18" s="251">
        <f ca="1">SUMIFS(rec.uni[2025-03-01],
INDIRECT("rec.uni[natureza]"),"pro.soluto",
INDIRECT("rec.uni[empresa]"),$B18)</f>
        <v>0</v>
      </c>
      <c r="G18" s="251">
        <f ca="1">SUMIFS(rec.uni[2025-04-01],
INDIRECT("rec.uni[natureza]"),"pro.soluto",
INDIRECT("rec.uni[empresa]"),$B18)</f>
        <v>0</v>
      </c>
      <c r="H18" s="251">
        <f ca="1">SUMIFS(rec.uni[2025-05-01],
INDIRECT("rec.uni[natureza]"),"pro.soluto",
INDIRECT("rec.uni[empresa]"),$B18)</f>
        <v>0</v>
      </c>
      <c r="I18" s="251">
        <f ca="1">SUMIFS(rec.uni[2025-06-01],
INDIRECT("rec.uni[natureza]"),"pro.soluto",
INDIRECT("rec.uni[empresa]"),$B18)</f>
        <v>0</v>
      </c>
      <c r="J18" s="251">
        <f ca="1">SUMIFS(rec.uni[2025-07-01],
INDIRECT("rec.uni[natureza]"),"pro.soluto",
INDIRECT("rec.uni[empresa]"),$B18)</f>
        <v>0</v>
      </c>
      <c r="K18" s="251">
        <f ca="1">SUMIFS(rec.uni[2025-08-01],
INDIRECT("rec.uni[natureza]"),"pro.soluto",
INDIRECT("rec.uni[empresa]"),$B18)</f>
        <v>0</v>
      </c>
      <c r="L18" s="251">
        <f ca="1">SUMIFS(rec.uni[2025-09-01],
INDIRECT("rec.uni[natureza]"),"pro.soluto",
INDIRECT("rec.uni[empresa]"),$B18)</f>
        <v>0</v>
      </c>
      <c r="M18" s="251">
        <f ca="1">SUMIFS(rec.uni[2025-10-01],
INDIRECT("rec.uni[natureza]"),"pro.soluto",
INDIRECT("rec.uni[empresa]"),$B18)</f>
        <v>0</v>
      </c>
      <c r="N18" s="251">
        <f ca="1">SUMIFS(rec.uni[2025-11-01],
INDIRECT("rec.uni[natureza]"),"pro.soluto",
INDIRECT("rec.uni[empresa]"),$B18)</f>
        <v>0</v>
      </c>
      <c r="O18" s="251">
        <f ca="1">SUMIFS(rec.uni[2025-12-01],
INDIRECT("rec.uni[natureza]"),"pro.soluto",
INDIRECT("rec.uni[empresa]"),$B18)</f>
        <v>0</v>
      </c>
      <c r="P18" s="251">
        <f ca="1">SUMIFS(rec.uni[2026-01-01],
INDIRECT("rec.uni[natureza]"),"pro.soluto",
INDIRECT("rec.uni[empresa]"),$B18)</f>
        <v>0</v>
      </c>
      <c r="Q18" s="251">
        <f ca="1">SUMIFS(rec.uni[2026-02-01],
INDIRECT("rec.uni[natureza]"),"pro.soluto",
INDIRECT("rec.uni[empresa]"),$B18)</f>
        <v>0</v>
      </c>
      <c r="S18" s="243">
        <f t="shared" ca="1" si="1"/>
        <v>0</v>
      </c>
    </row>
    <row r="19" spans="1:19" outlineLevel="2" x14ac:dyDescent="0.25">
      <c r="A19" s="250" t="s">
        <v>815</v>
      </c>
      <c r="B19" s="250" t="s">
        <v>507</v>
      </c>
      <c r="C19" s="197" t="s">
        <v>556</v>
      </c>
      <c r="D19" s="251">
        <f ca="1">SUMIFS(rec.uni[2025-01-01],
INDIRECT("rec.uni[natureza]"),"pro.soluto",
INDIRECT("rec.uni[empresa]"),$B19)</f>
        <v>0</v>
      </c>
      <c r="E19" s="251">
        <f ca="1">SUMIFS(rec.uni[2025-02-01],
INDIRECT("rec.uni[natureza]"),"pro.soluto",
INDIRECT("rec.uni[empresa]"),$B19)</f>
        <v>0</v>
      </c>
      <c r="F19" s="251">
        <f ca="1">SUMIFS(rec.uni[2025-03-01],
INDIRECT("rec.uni[natureza]"),"pro.soluto",
INDIRECT("rec.uni[empresa]"),$B19)</f>
        <v>0</v>
      </c>
      <c r="G19" s="251">
        <f ca="1">SUMIFS(rec.uni[2025-04-01],
INDIRECT("rec.uni[natureza]"),"pro.soluto",
INDIRECT("rec.uni[empresa]"),$B19)</f>
        <v>0</v>
      </c>
      <c r="H19" s="251">
        <f ca="1">SUMIFS(rec.uni[2025-05-01],
INDIRECT("rec.uni[natureza]"),"pro.soluto",
INDIRECT("rec.uni[empresa]"),$B19)</f>
        <v>0</v>
      </c>
      <c r="I19" s="251">
        <f ca="1">SUMIFS(rec.uni[2025-06-01],
INDIRECT("rec.uni[natureza]"),"pro.soluto",
INDIRECT("rec.uni[empresa]"),$B19)</f>
        <v>0</v>
      </c>
      <c r="J19" s="251">
        <f ca="1">SUMIFS(rec.uni[2025-07-01],
INDIRECT("rec.uni[natureza]"),"pro.soluto",
INDIRECT("rec.uni[empresa]"),$B19)</f>
        <v>0</v>
      </c>
      <c r="K19" s="251">
        <f ca="1">SUMIFS(rec.uni[2025-08-01],
INDIRECT("rec.uni[natureza]"),"pro.soluto",
INDIRECT("rec.uni[empresa]"),$B19)</f>
        <v>0</v>
      </c>
      <c r="L19" s="251">
        <f ca="1">SUMIFS(rec.uni[2025-09-01],
INDIRECT("rec.uni[natureza]"),"pro.soluto",
INDIRECT("rec.uni[empresa]"),$B19)</f>
        <v>0</v>
      </c>
      <c r="M19" s="251">
        <f ca="1">SUMIFS(rec.uni[2025-10-01],
INDIRECT("rec.uni[natureza]"),"pro.soluto",
INDIRECT("rec.uni[empresa]"),$B19)</f>
        <v>0</v>
      </c>
      <c r="N19" s="251">
        <f ca="1">SUMIFS(rec.uni[2025-11-01],
INDIRECT("rec.uni[natureza]"),"pro.soluto",
INDIRECT("rec.uni[empresa]"),$B19)</f>
        <v>0</v>
      </c>
      <c r="O19" s="251">
        <f ca="1">SUMIFS(rec.uni[2025-12-01],
INDIRECT("rec.uni[natureza]"),"pro.soluto",
INDIRECT("rec.uni[empresa]"),$B19)</f>
        <v>0</v>
      </c>
      <c r="P19" s="251">
        <f ca="1">SUMIFS(rec.uni[2026-01-01],
INDIRECT("rec.uni[natureza]"),"pro.soluto",
INDIRECT("rec.uni[empresa]"),$B19)</f>
        <v>0</v>
      </c>
      <c r="Q19" s="251">
        <f ca="1">SUMIFS(rec.uni[2026-02-01],
INDIRECT("rec.uni[natureza]"),"pro.soluto",
INDIRECT("rec.uni[empresa]"),$B19)</f>
        <v>0</v>
      </c>
      <c r="S19" s="243">
        <f t="shared" ca="1" si="1"/>
        <v>0</v>
      </c>
    </row>
    <row r="20" spans="1:19" outlineLevel="2" x14ac:dyDescent="0.25">
      <c r="A20" s="250" t="s">
        <v>816</v>
      </c>
      <c r="B20" s="250" t="s">
        <v>818</v>
      </c>
      <c r="C20" s="197" t="s">
        <v>556</v>
      </c>
      <c r="D20" s="251">
        <f ca="1">SUMIFS(rec.uni[2025-01-01],
INDIRECT("rec.uni[natureza]"),"pro.soluto",
INDIRECT("rec.uni[empresa]"),$B20)</f>
        <v>0</v>
      </c>
      <c r="E20" s="251">
        <f ca="1">SUMIFS(rec.uni[2025-02-01],
INDIRECT("rec.uni[natureza]"),"pro.soluto",
INDIRECT("rec.uni[empresa]"),$B20)</f>
        <v>0</v>
      </c>
      <c r="F20" s="251">
        <f ca="1">SUMIFS(rec.uni[2025-03-01],
INDIRECT("rec.uni[natureza]"),"pro.soluto",
INDIRECT("rec.uni[empresa]"),$B20)</f>
        <v>0</v>
      </c>
      <c r="G20" s="251">
        <f ca="1">SUMIFS(rec.uni[2025-04-01],
INDIRECT("rec.uni[natureza]"),"pro.soluto",
INDIRECT("rec.uni[empresa]"),$B20)</f>
        <v>0</v>
      </c>
      <c r="H20" s="251">
        <f ca="1">SUMIFS(rec.uni[2025-05-01],
INDIRECT("rec.uni[natureza]"),"pro.soluto",
INDIRECT("rec.uni[empresa]"),$B20)</f>
        <v>0</v>
      </c>
      <c r="I20" s="251">
        <f ca="1">SUMIFS(rec.uni[2025-06-01],
INDIRECT("rec.uni[natureza]"),"pro.soluto",
INDIRECT("rec.uni[empresa]"),$B20)</f>
        <v>0</v>
      </c>
      <c r="J20" s="251">
        <f ca="1">SUMIFS(rec.uni[2025-07-01],
INDIRECT("rec.uni[natureza]"),"pro.soluto",
INDIRECT("rec.uni[empresa]"),$B20)</f>
        <v>0</v>
      </c>
      <c r="K20" s="251">
        <f ca="1">SUMIFS(rec.uni[2025-08-01],
INDIRECT("rec.uni[natureza]"),"pro.soluto",
INDIRECT("rec.uni[empresa]"),$B20)</f>
        <v>0</v>
      </c>
      <c r="L20" s="251">
        <f ca="1">SUMIFS(rec.uni[2025-09-01],
INDIRECT("rec.uni[natureza]"),"pro.soluto",
INDIRECT("rec.uni[empresa]"),$B20)</f>
        <v>0</v>
      </c>
      <c r="M20" s="251">
        <f ca="1">SUMIFS(rec.uni[2025-10-01],
INDIRECT("rec.uni[natureza]"),"pro.soluto",
INDIRECT("rec.uni[empresa]"),$B20)</f>
        <v>0</v>
      </c>
      <c r="N20" s="251">
        <f ca="1">SUMIFS(rec.uni[2025-11-01],
INDIRECT("rec.uni[natureza]"),"pro.soluto",
INDIRECT("rec.uni[empresa]"),$B20)</f>
        <v>0</v>
      </c>
      <c r="O20" s="251">
        <f ca="1">SUMIFS(rec.uni[2025-12-01],
INDIRECT("rec.uni[natureza]"),"pro.soluto",
INDIRECT("rec.uni[empresa]"),$B20)</f>
        <v>0</v>
      </c>
      <c r="P20" s="251">
        <f ca="1">SUMIFS(rec.uni[2026-01-01],
INDIRECT("rec.uni[natureza]"),"pro.soluto",
INDIRECT("rec.uni[empresa]"),$B20)</f>
        <v>0</v>
      </c>
      <c r="Q20" s="251">
        <f ca="1">SUMIFS(rec.uni[2026-02-01],
INDIRECT("rec.uni[natureza]"),"pro.soluto",
INDIRECT("rec.uni[empresa]"),$B20)</f>
        <v>0</v>
      </c>
      <c r="S20" s="243">
        <f t="shared" ref="S20" ca="1" si="7">SUM(D20:Q20)</f>
        <v>0</v>
      </c>
    </row>
    <row r="21" spans="1:19" outlineLevel="2" x14ac:dyDescent="0.25">
      <c r="A21" s="250" t="s">
        <v>817</v>
      </c>
      <c r="B21" s="250" t="s">
        <v>819</v>
      </c>
      <c r="C21" s="197" t="s">
        <v>556</v>
      </c>
      <c r="D21" s="251">
        <f ca="1">SUMIFS(rec.uni[2025-01-01],
INDIRECT("rec.uni[natureza]"),"pro.soluto",
INDIRECT("rec.uni[empresa]"),$B21)</f>
        <v>0</v>
      </c>
      <c r="E21" s="251">
        <f ca="1">SUMIFS(rec.uni[2025-02-01],
INDIRECT("rec.uni[natureza]"),"pro.soluto",
INDIRECT("rec.uni[empresa]"),$B21)</f>
        <v>0</v>
      </c>
      <c r="F21" s="251">
        <f ca="1">SUMIFS(rec.uni[2025-03-01],
INDIRECT("rec.uni[natureza]"),"pro.soluto",
INDIRECT("rec.uni[empresa]"),$B21)</f>
        <v>0</v>
      </c>
      <c r="G21" s="251">
        <f ca="1">SUMIFS(rec.uni[2025-04-01],
INDIRECT("rec.uni[natureza]"),"pro.soluto",
INDIRECT("rec.uni[empresa]"),$B21)</f>
        <v>0</v>
      </c>
      <c r="H21" s="251">
        <f ca="1">SUMIFS(rec.uni[2025-05-01],
INDIRECT("rec.uni[natureza]"),"pro.soluto",
INDIRECT("rec.uni[empresa]"),$B21)</f>
        <v>0</v>
      </c>
      <c r="I21" s="251">
        <f ca="1">SUMIFS(rec.uni[2025-06-01],
INDIRECT("rec.uni[natureza]"),"pro.soluto",
INDIRECT("rec.uni[empresa]"),$B21)</f>
        <v>0</v>
      </c>
      <c r="J21" s="251">
        <f ca="1">SUMIFS(rec.uni[2025-07-01],
INDIRECT("rec.uni[natureza]"),"pro.soluto",
INDIRECT("rec.uni[empresa]"),$B21)</f>
        <v>0</v>
      </c>
      <c r="K21" s="251">
        <f ca="1">SUMIFS(rec.uni[2025-08-01],
INDIRECT("rec.uni[natureza]"),"pro.soluto",
INDIRECT("rec.uni[empresa]"),$B21)</f>
        <v>0</v>
      </c>
      <c r="L21" s="251">
        <f ca="1">SUMIFS(rec.uni[2025-09-01],
INDIRECT("rec.uni[natureza]"),"pro.soluto",
INDIRECT("rec.uni[empresa]"),$B21)</f>
        <v>0</v>
      </c>
      <c r="M21" s="251">
        <f ca="1">SUMIFS(rec.uni[2025-10-01],
INDIRECT("rec.uni[natureza]"),"pro.soluto",
INDIRECT("rec.uni[empresa]"),$B21)</f>
        <v>0</v>
      </c>
      <c r="N21" s="251">
        <f ca="1">SUMIFS(rec.uni[2025-11-01],
INDIRECT("rec.uni[natureza]"),"pro.soluto",
INDIRECT("rec.uni[empresa]"),$B21)</f>
        <v>0</v>
      </c>
      <c r="O21" s="251">
        <f ca="1">SUMIFS(rec.uni[2025-12-01],
INDIRECT("rec.uni[natureza]"),"pro.soluto",
INDIRECT("rec.uni[empresa]"),$B21)</f>
        <v>0</v>
      </c>
      <c r="P21" s="251">
        <f ca="1">SUMIFS(rec.uni[2026-01-01],
INDIRECT("rec.uni[natureza]"),"pro.soluto",
INDIRECT("rec.uni[empresa]"),$B21)</f>
        <v>0</v>
      </c>
      <c r="Q21" s="251">
        <f ca="1">SUMIFS(rec.uni[2026-02-01],
INDIRECT("rec.uni[natureza]"),"pro.soluto",
INDIRECT("rec.uni[empresa]"),$B21)</f>
        <v>0</v>
      </c>
      <c r="S21" s="243">
        <f t="shared" ca="1" si="1"/>
        <v>0</v>
      </c>
    </row>
    <row r="22" spans="1:19" outlineLevel="1" x14ac:dyDescent="0.25">
      <c r="A22" s="247" t="s">
        <v>564</v>
      </c>
      <c r="B22" s="247" t="s">
        <v>565</v>
      </c>
      <c r="C22" s="248" t="s">
        <v>556</v>
      </c>
      <c r="D22" s="249">
        <f t="shared" ref="D22:Q22" ca="1" si="8">SUM(D$23:D$28)</f>
        <v>0</v>
      </c>
      <c r="E22" s="249">
        <f t="shared" ca="1" si="8"/>
        <v>0</v>
      </c>
      <c r="F22" s="249">
        <f t="shared" ca="1" si="8"/>
        <v>0</v>
      </c>
      <c r="G22" s="249">
        <f t="shared" ca="1" si="8"/>
        <v>0</v>
      </c>
      <c r="H22" s="249">
        <f t="shared" ca="1" si="8"/>
        <v>0</v>
      </c>
      <c r="I22" s="249">
        <f t="shared" ca="1" si="8"/>
        <v>0</v>
      </c>
      <c r="J22" s="249">
        <f t="shared" ca="1" si="8"/>
        <v>0</v>
      </c>
      <c r="K22" s="249">
        <f t="shared" ca="1" si="8"/>
        <v>0</v>
      </c>
      <c r="L22" s="249">
        <f t="shared" ca="1" si="8"/>
        <v>0</v>
      </c>
      <c r="M22" s="249">
        <f t="shared" ca="1" si="8"/>
        <v>0</v>
      </c>
      <c r="N22" s="249">
        <f t="shared" ca="1" si="8"/>
        <v>0</v>
      </c>
      <c r="O22" s="249">
        <f t="shared" ca="1" si="8"/>
        <v>0</v>
      </c>
      <c r="P22" s="249">
        <f t="shared" ca="1" si="8"/>
        <v>0</v>
      </c>
      <c r="Q22" s="249">
        <f t="shared" ca="1" si="8"/>
        <v>0</v>
      </c>
      <c r="S22" s="243">
        <f t="shared" ca="1" si="1"/>
        <v>0</v>
      </c>
    </row>
    <row r="23" spans="1:19" outlineLevel="2" x14ac:dyDescent="0.25">
      <c r="A23" s="250" t="s">
        <v>566</v>
      </c>
      <c r="B23" s="250" t="s">
        <v>17</v>
      </c>
      <c r="C23" s="197" t="s">
        <v>567</v>
      </c>
      <c r="D23" s="251">
        <f ca="1">SUMIFS(rec.uni[2025-01-01],
INDIRECT("rec.uni[natureza]"),"taxa.extra",
INDIRECT("rec.uni[empresa]"),$B23)</f>
        <v>0</v>
      </c>
      <c r="E23" s="251">
        <f ca="1">SUMIFS(rec.uni[2025-02-01],
INDIRECT("rec.uni[natureza]"),"taxa.extra",
INDIRECT("rec.uni[empresa]"),$B23)</f>
        <v>0</v>
      </c>
      <c r="F23" s="251">
        <f ca="1">SUMIFS(rec.uni[2025-03-01],
INDIRECT("rec.uni[natureza]"),"taxa.extra",
INDIRECT("rec.uni[empresa]"),$B23)</f>
        <v>0</v>
      </c>
      <c r="G23" s="251">
        <f ca="1">SUMIFS(rec.uni[2025-04-01],
INDIRECT("rec.uni[natureza]"),"taxa.extra",
INDIRECT("rec.uni[empresa]"),$B23)</f>
        <v>0</v>
      </c>
      <c r="H23" s="251">
        <f ca="1">SUMIFS(rec.uni[2025-05-01],
INDIRECT("rec.uni[natureza]"),"taxa.extra",
INDIRECT("rec.uni[empresa]"),$B23)</f>
        <v>0</v>
      </c>
      <c r="I23" s="251">
        <f ca="1">SUMIFS(rec.uni[2025-06-01],
INDIRECT("rec.uni[natureza]"),"taxa.extra",
INDIRECT("rec.uni[empresa]"),$B23)</f>
        <v>0</v>
      </c>
      <c r="J23" s="251">
        <f ca="1">SUMIFS(rec.uni[2025-07-01],
INDIRECT("rec.uni[natureza]"),"taxa.extra",
INDIRECT("rec.uni[empresa]"),$B23)</f>
        <v>0</v>
      </c>
      <c r="K23" s="251">
        <f ca="1">SUMIFS(rec.uni[2025-08-01],
INDIRECT("rec.uni[natureza]"),"taxa.extra",
INDIRECT("rec.uni[empresa]"),$B23)</f>
        <v>0</v>
      </c>
      <c r="L23" s="251">
        <f ca="1">SUMIFS(rec.uni[2025-09-01],
INDIRECT("rec.uni[natureza]"),"taxa.extra",
INDIRECT("rec.uni[empresa]"),$B23)</f>
        <v>0</v>
      </c>
      <c r="M23" s="251">
        <f ca="1">SUMIFS(rec.uni[2025-10-01],
INDIRECT("rec.uni[natureza]"),"taxa.extra",
INDIRECT("rec.uni[empresa]"),$B23)</f>
        <v>0</v>
      </c>
      <c r="N23" s="251">
        <f ca="1">SUMIFS(rec.uni[2025-11-01],
INDIRECT("rec.uni[natureza]"),"taxa.extra",
INDIRECT("rec.uni[empresa]"),$B23)</f>
        <v>0</v>
      </c>
      <c r="O23" s="251">
        <f ca="1">SUMIFS(rec.uni[2025-12-01],
INDIRECT("rec.uni[natureza]"),"taxa.extra",
INDIRECT("rec.uni[empresa]"),$B23)</f>
        <v>0</v>
      </c>
      <c r="P23" s="251">
        <f ca="1">SUMIFS(rec.uni[2026-01-01],
INDIRECT("rec.uni[natureza]"),"taxa.extra",
INDIRECT("rec.uni[empresa]"),$B23)</f>
        <v>0</v>
      </c>
      <c r="Q23" s="251">
        <f ca="1">SUMIFS(rec.uni[2026-02-01],
INDIRECT("rec.uni[natureza]"),"taxa.extra",
INDIRECT("rec.uni[empresa]"),$B23)</f>
        <v>0</v>
      </c>
      <c r="S23" s="243">
        <f t="shared" ca="1" si="1"/>
        <v>0</v>
      </c>
    </row>
    <row r="24" spans="1:19" outlineLevel="2" x14ac:dyDescent="0.25">
      <c r="A24" s="250" t="s">
        <v>568</v>
      </c>
      <c r="B24" s="250" t="s">
        <v>14</v>
      </c>
      <c r="C24" s="197" t="s">
        <v>567</v>
      </c>
      <c r="D24" s="251">
        <f ca="1">SUMIFS(rec.uni[2025-01-01],
INDIRECT("rec.uni[natureza]"),"taxa.extra",
INDIRECT("rec.uni[empresa]"),$B24)</f>
        <v>0</v>
      </c>
      <c r="E24" s="251">
        <f ca="1">SUMIFS(rec.uni[2025-02-01],
INDIRECT("rec.uni[natureza]"),"taxa.extra",
INDIRECT("rec.uni[empresa]"),$B24)</f>
        <v>0</v>
      </c>
      <c r="F24" s="251">
        <f ca="1">SUMIFS(rec.uni[2025-03-01],
INDIRECT("rec.uni[natureza]"),"taxa.extra",
INDIRECT("rec.uni[empresa]"),$B24)</f>
        <v>0</v>
      </c>
      <c r="G24" s="251">
        <f ca="1">SUMIFS(rec.uni[2025-04-01],
INDIRECT("rec.uni[natureza]"),"taxa.extra",
INDIRECT("rec.uni[empresa]"),$B24)</f>
        <v>0</v>
      </c>
      <c r="H24" s="251">
        <f ca="1">SUMIFS(rec.uni[2025-05-01],
INDIRECT("rec.uni[natureza]"),"taxa.extra",
INDIRECT("rec.uni[empresa]"),$B24)</f>
        <v>0</v>
      </c>
      <c r="I24" s="251">
        <f ca="1">SUMIFS(rec.uni[2025-06-01],
INDIRECT("rec.uni[natureza]"),"taxa.extra",
INDIRECT("rec.uni[empresa]"),$B24)</f>
        <v>0</v>
      </c>
      <c r="J24" s="251">
        <f ca="1">SUMIFS(rec.uni[2025-07-01],
INDIRECT("rec.uni[natureza]"),"taxa.extra",
INDIRECT("rec.uni[empresa]"),$B24)</f>
        <v>0</v>
      </c>
      <c r="K24" s="251">
        <f ca="1">SUMIFS(rec.uni[2025-08-01],
INDIRECT("rec.uni[natureza]"),"taxa.extra",
INDIRECT("rec.uni[empresa]"),$B24)</f>
        <v>0</v>
      </c>
      <c r="L24" s="251">
        <f ca="1">SUMIFS(rec.uni[2025-09-01],
INDIRECT("rec.uni[natureza]"),"taxa.extra",
INDIRECT("rec.uni[empresa]"),$B24)</f>
        <v>0</v>
      </c>
      <c r="M24" s="251">
        <f ca="1">SUMIFS(rec.uni[2025-10-01],
INDIRECT("rec.uni[natureza]"),"taxa.extra",
INDIRECT("rec.uni[empresa]"),$B24)</f>
        <v>0</v>
      </c>
      <c r="N24" s="251">
        <f ca="1">SUMIFS(rec.uni[2025-11-01],
INDIRECT("rec.uni[natureza]"),"taxa.extra",
INDIRECT("rec.uni[empresa]"),$B24)</f>
        <v>0</v>
      </c>
      <c r="O24" s="251">
        <f ca="1">SUMIFS(rec.uni[2025-12-01],
INDIRECT("rec.uni[natureza]"),"taxa.extra",
INDIRECT("rec.uni[empresa]"),$B24)</f>
        <v>0</v>
      </c>
      <c r="P24" s="251">
        <f ca="1">SUMIFS(rec.uni[2026-01-01],
INDIRECT("rec.uni[natureza]"),"taxa.extra",
INDIRECT("rec.uni[empresa]"),$B24)</f>
        <v>0</v>
      </c>
      <c r="Q24" s="251">
        <f ca="1">SUMIFS(rec.uni[2026-02-01],
INDIRECT("rec.uni[natureza]"),"taxa.extra",
INDIRECT("rec.uni[empresa]"),$B24)</f>
        <v>0</v>
      </c>
      <c r="S24" s="243">
        <f t="shared" ca="1" si="1"/>
        <v>0</v>
      </c>
    </row>
    <row r="25" spans="1:19" outlineLevel="2" x14ac:dyDescent="0.25">
      <c r="A25" s="250" t="s">
        <v>569</v>
      </c>
      <c r="B25" s="250" t="s">
        <v>13</v>
      </c>
      <c r="C25" s="197" t="s">
        <v>567</v>
      </c>
      <c r="D25" s="251">
        <f ca="1">SUMIFS(rec.uni[2025-01-01],
INDIRECT("rec.uni[natureza]"),"taxa.extra",
INDIRECT("rec.uni[empresa]"),$B25)</f>
        <v>0</v>
      </c>
      <c r="E25" s="251">
        <f ca="1">SUMIFS(rec.uni[2025-02-01],
INDIRECT("rec.uni[natureza]"),"taxa.extra",
INDIRECT("rec.uni[empresa]"),$B25)</f>
        <v>0</v>
      </c>
      <c r="F25" s="251">
        <f ca="1">SUMIFS(rec.uni[2025-03-01],
INDIRECT("rec.uni[natureza]"),"taxa.extra",
INDIRECT("rec.uni[empresa]"),$B25)</f>
        <v>0</v>
      </c>
      <c r="G25" s="251">
        <f ca="1">SUMIFS(rec.uni[2025-04-01],
INDIRECT("rec.uni[natureza]"),"taxa.extra",
INDIRECT("rec.uni[empresa]"),$B25)</f>
        <v>0</v>
      </c>
      <c r="H25" s="251">
        <f ca="1">SUMIFS(rec.uni[2025-05-01],
INDIRECT("rec.uni[natureza]"),"taxa.extra",
INDIRECT("rec.uni[empresa]"),$B25)</f>
        <v>0</v>
      </c>
      <c r="I25" s="251">
        <f ca="1">SUMIFS(rec.uni[2025-06-01],
INDIRECT("rec.uni[natureza]"),"taxa.extra",
INDIRECT("rec.uni[empresa]"),$B25)</f>
        <v>0</v>
      </c>
      <c r="J25" s="251">
        <f ca="1">SUMIFS(rec.uni[2025-07-01],
INDIRECT("rec.uni[natureza]"),"taxa.extra",
INDIRECT("rec.uni[empresa]"),$B25)</f>
        <v>0</v>
      </c>
      <c r="K25" s="251">
        <f ca="1">SUMIFS(rec.uni[2025-08-01],
INDIRECT("rec.uni[natureza]"),"taxa.extra",
INDIRECT("rec.uni[empresa]"),$B25)</f>
        <v>0</v>
      </c>
      <c r="L25" s="251">
        <f ca="1">SUMIFS(rec.uni[2025-09-01],
INDIRECT("rec.uni[natureza]"),"taxa.extra",
INDIRECT("rec.uni[empresa]"),$B25)</f>
        <v>0</v>
      </c>
      <c r="M25" s="251">
        <f ca="1">SUMIFS(rec.uni[2025-10-01],
INDIRECT("rec.uni[natureza]"),"taxa.extra",
INDIRECT("rec.uni[empresa]"),$B25)</f>
        <v>0</v>
      </c>
      <c r="N25" s="251">
        <f ca="1">SUMIFS(rec.uni[2025-11-01],
INDIRECT("rec.uni[natureza]"),"taxa.extra",
INDIRECT("rec.uni[empresa]"),$B25)</f>
        <v>0</v>
      </c>
      <c r="O25" s="251">
        <f ca="1">SUMIFS(rec.uni[2025-12-01],
INDIRECT("rec.uni[natureza]"),"taxa.extra",
INDIRECT("rec.uni[empresa]"),$B25)</f>
        <v>0</v>
      </c>
      <c r="P25" s="251">
        <f ca="1">SUMIFS(rec.uni[2026-01-01],
INDIRECT("rec.uni[natureza]"),"taxa.extra",
INDIRECT("rec.uni[empresa]"),$B25)</f>
        <v>0</v>
      </c>
      <c r="Q25" s="251">
        <f ca="1">SUMIFS(rec.uni[2026-02-01],
INDIRECT("rec.uni[natureza]"),"taxa.extra",
INDIRECT("rec.uni[empresa]"),$B25)</f>
        <v>0</v>
      </c>
      <c r="S25" s="243">
        <f t="shared" ca="1" si="1"/>
        <v>0</v>
      </c>
    </row>
    <row r="26" spans="1:19" outlineLevel="2" x14ac:dyDescent="0.25">
      <c r="A26" s="250" t="s">
        <v>570</v>
      </c>
      <c r="B26" s="250" t="s">
        <v>12</v>
      </c>
      <c r="C26" s="197" t="s">
        <v>567</v>
      </c>
      <c r="D26" s="251">
        <f ca="1">SUMIFS(rec.uni[2025-01-01],
INDIRECT("rec.uni[natureza]"),"taxa.extra",
INDIRECT("rec.uni[empresa]"),$B26)</f>
        <v>0</v>
      </c>
      <c r="E26" s="251">
        <f ca="1">SUMIFS(rec.uni[2025-02-01],
INDIRECT("rec.uni[natureza]"),"taxa.extra",
INDIRECT("rec.uni[empresa]"),$B26)</f>
        <v>0</v>
      </c>
      <c r="F26" s="251">
        <f ca="1">SUMIFS(rec.uni[2025-03-01],
INDIRECT("rec.uni[natureza]"),"taxa.extra",
INDIRECT("rec.uni[empresa]"),$B26)</f>
        <v>0</v>
      </c>
      <c r="G26" s="251">
        <f ca="1">SUMIFS(rec.uni[2025-04-01],
INDIRECT("rec.uni[natureza]"),"taxa.extra",
INDIRECT("rec.uni[empresa]"),$B26)</f>
        <v>0</v>
      </c>
      <c r="H26" s="251">
        <f ca="1">SUMIFS(rec.uni[2025-05-01],
INDIRECT("rec.uni[natureza]"),"taxa.extra",
INDIRECT("rec.uni[empresa]"),$B26)</f>
        <v>0</v>
      </c>
      <c r="I26" s="251">
        <f ca="1">SUMIFS(rec.uni[2025-06-01],
INDIRECT("rec.uni[natureza]"),"taxa.extra",
INDIRECT("rec.uni[empresa]"),$B26)</f>
        <v>0</v>
      </c>
      <c r="J26" s="251">
        <f ca="1">SUMIFS(rec.uni[2025-07-01],
INDIRECT("rec.uni[natureza]"),"taxa.extra",
INDIRECT("rec.uni[empresa]"),$B26)</f>
        <v>0</v>
      </c>
      <c r="K26" s="251">
        <f ca="1">SUMIFS(rec.uni[2025-08-01],
INDIRECT("rec.uni[natureza]"),"taxa.extra",
INDIRECT("rec.uni[empresa]"),$B26)</f>
        <v>0</v>
      </c>
      <c r="L26" s="251">
        <f ca="1">SUMIFS(rec.uni[2025-09-01],
INDIRECT("rec.uni[natureza]"),"taxa.extra",
INDIRECT("rec.uni[empresa]"),$B26)</f>
        <v>0</v>
      </c>
      <c r="M26" s="251">
        <f ca="1">SUMIFS(rec.uni[2025-10-01],
INDIRECT("rec.uni[natureza]"),"taxa.extra",
INDIRECT("rec.uni[empresa]"),$B26)</f>
        <v>0</v>
      </c>
      <c r="N26" s="251">
        <f ca="1">SUMIFS(rec.uni[2025-11-01],
INDIRECT("rec.uni[natureza]"),"taxa.extra",
INDIRECT("rec.uni[empresa]"),$B26)</f>
        <v>0</v>
      </c>
      <c r="O26" s="251">
        <f ca="1">SUMIFS(rec.uni[2025-12-01],
INDIRECT("rec.uni[natureza]"),"taxa.extra",
INDIRECT("rec.uni[empresa]"),$B26)</f>
        <v>0</v>
      </c>
      <c r="P26" s="251">
        <f ca="1">SUMIFS(rec.uni[2026-01-01],
INDIRECT("rec.uni[natureza]"),"taxa.extra",
INDIRECT("rec.uni[empresa]"),$B26)</f>
        <v>0</v>
      </c>
      <c r="Q26" s="251">
        <f ca="1">SUMIFS(rec.uni[2026-02-01],
INDIRECT("rec.uni[natureza]"),"taxa.extra",
INDIRECT("rec.uni[empresa]"),$B26)</f>
        <v>0</v>
      </c>
      <c r="S26" s="243">
        <f t="shared" ca="1" si="1"/>
        <v>0</v>
      </c>
    </row>
    <row r="27" spans="1:19" outlineLevel="2" x14ac:dyDescent="0.25">
      <c r="A27" s="250" t="s">
        <v>571</v>
      </c>
      <c r="B27" s="250" t="s">
        <v>15</v>
      </c>
      <c r="C27" s="197" t="s">
        <v>567</v>
      </c>
      <c r="D27" s="251">
        <f ca="1">SUMIFS(rec.uni[2025-01-01],
INDIRECT("rec.uni[natureza]"),"taxa.extra",
INDIRECT("rec.uni[empresa]"),$B27)</f>
        <v>0</v>
      </c>
      <c r="E27" s="251">
        <f ca="1">SUMIFS(rec.uni[2025-02-01],
INDIRECT("rec.uni[natureza]"),"taxa.extra",
INDIRECT("rec.uni[empresa]"),$B27)</f>
        <v>0</v>
      </c>
      <c r="F27" s="251">
        <f ca="1">SUMIFS(rec.uni[2025-03-01],
INDIRECT("rec.uni[natureza]"),"taxa.extra",
INDIRECT("rec.uni[empresa]"),$B27)</f>
        <v>0</v>
      </c>
      <c r="G27" s="251">
        <f ca="1">SUMIFS(rec.uni[2025-04-01],
INDIRECT("rec.uni[natureza]"),"taxa.extra",
INDIRECT("rec.uni[empresa]"),$B27)</f>
        <v>0</v>
      </c>
      <c r="H27" s="251">
        <f ca="1">SUMIFS(rec.uni[2025-05-01],
INDIRECT("rec.uni[natureza]"),"taxa.extra",
INDIRECT("rec.uni[empresa]"),$B27)</f>
        <v>0</v>
      </c>
      <c r="I27" s="251">
        <f ca="1">SUMIFS(rec.uni[2025-06-01],
INDIRECT("rec.uni[natureza]"),"taxa.extra",
INDIRECT("rec.uni[empresa]"),$B27)</f>
        <v>0</v>
      </c>
      <c r="J27" s="251">
        <f ca="1">SUMIFS(rec.uni[2025-07-01],
INDIRECT("rec.uni[natureza]"),"taxa.extra",
INDIRECT("rec.uni[empresa]"),$B27)</f>
        <v>0</v>
      </c>
      <c r="K27" s="251">
        <f ca="1">SUMIFS(rec.uni[2025-08-01],
INDIRECT("rec.uni[natureza]"),"taxa.extra",
INDIRECT("rec.uni[empresa]"),$B27)</f>
        <v>0</v>
      </c>
      <c r="L27" s="251">
        <f ca="1">SUMIFS(rec.uni[2025-09-01],
INDIRECT("rec.uni[natureza]"),"taxa.extra",
INDIRECT("rec.uni[empresa]"),$B27)</f>
        <v>0</v>
      </c>
      <c r="M27" s="251">
        <f ca="1">SUMIFS(rec.uni[2025-10-01],
INDIRECT("rec.uni[natureza]"),"taxa.extra",
INDIRECT("rec.uni[empresa]"),$B27)</f>
        <v>0</v>
      </c>
      <c r="N27" s="251">
        <f ca="1">SUMIFS(rec.uni[2025-11-01],
INDIRECT("rec.uni[natureza]"),"taxa.extra",
INDIRECT("rec.uni[empresa]"),$B27)</f>
        <v>0</v>
      </c>
      <c r="O27" s="251">
        <f ca="1">SUMIFS(rec.uni[2025-12-01],
INDIRECT("rec.uni[natureza]"),"taxa.extra",
INDIRECT("rec.uni[empresa]"),$B27)</f>
        <v>0</v>
      </c>
      <c r="P27" s="251">
        <f ca="1">SUMIFS(rec.uni[2026-01-01],
INDIRECT("rec.uni[natureza]"),"taxa.extra",
INDIRECT("rec.uni[empresa]"),$B27)</f>
        <v>0</v>
      </c>
      <c r="Q27" s="251">
        <f ca="1">SUMIFS(rec.uni[2026-02-01],
INDIRECT("rec.uni[natureza]"),"taxa.extra",
INDIRECT("rec.uni[empresa]"),$B27)</f>
        <v>0</v>
      </c>
      <c r="S27" s="243">
        <f t="shared" ca="1" si="1"/>
        <v>0</v>
      </c>
    </row>
    <row r="28" spans="1:19" outlineLevel="2" x14ac:dyDescent="0.25">
      <c r="A28" s="250" t="s">
        <v>572</v>
      </c>
      <c r="B28" s="250" t="s">
        <v>18</v>
      </c>
      <c r="C28" s="197" t="s">
        <v>567</v>
      </c>
      <c r="D28" s="251">
        <f ca="1">SUMIFS(rec.uni[2025-01-01],
INDIRECT("rec.uni[natureza]"),"taxa.extra",
INDIRECT("rec.uni[empresa]"),$B28)</f>
        <v>0</v>
      </c>
      <c r="E28" s="251">
        <f ca="1">SUMIFS(rec.uni[2025-02-01],
INDIRECT("rec.uni[natureza]"),"taxa.extra",
INDIRECT("rec.uni[empresa]"),$B28)</f>
        <v>0</v>
      </c>
      <c r="F28" s="251">
        <f ca="1">SUMIFS(rec.uni[2025-03-01],
INDIRECT("rec.uni[natureza]"),"taxa.extra",
INDIRECT("rec.uni[empresa]"),$B28)</f>
        <v>0</v>
      </c>
      <c r="G28" s="251">
        <f ca="1">SUMIFS(rec.uni[2025-04-01],
INDIRECT("rec.uni[natureza]"),"taxa.extra",
INDIRECT("rec.uni[empresa]"),$B28)</f>
        <v>0</v>
      </c>
      <c r="H28" s="251">
        <f ca="1">SUMIFS(rec.uni[2025-05-01],
INDIRECT("rec.uni[natureza]"),"taxa.extra",
INDIRECT("rec.uni[empresa]"),$B28)</f>
        <v>0</v>
      </c>
      <c r="I28" s="251">
        <f ca="1">SUMIFS(rec.uni[2025-06-01],
INDIRECT("rec.uni[natureza]"),"taxa.extra",
INDIRECT("rec.uni[empresa]"),$B28)</f>
        <v>0</v>
      </c>
      <c r="J28" s="251">
        <f ca="1">SUMIFS(rec.uni[2025-07-01],
INDIRECT("rec.uni[natureza]"),"taxa.extra",
INDIRECT("rec.uni[empresa]"),$B28)</f>
        <v>0</v>
      </c>
      <c r="K28" s="251">
        <f ca="1">SUMIFS(rec.uni[2025-08-01],
INDIRECT("rec.uni[natureza]"),"taxa.extra",
INDIRECT("rec.uni[empresa]"),$B28)</f>
        <v>0</v>
      </c>
      <c r="L28" s="251">
        <f ca="1">SUMIFS(rec.uni[2025-09-01],
INDIRECT("rec.uni[natureza]"),"taxa.extra",
INDIRECT("rec.uni[empresa]"),$B28)</f>
        <v>0</v>
      </c>
      <c r="M28" s="251">
        <f ca="1">SUMIFS(rec.uni[2025-10-01],
INDIRECT("rec.uni[natureza]"),"taxa.extra",
INDIRECT("rec.uni[empresa]"),$B28)</f>
        <v>0</v>
      </c>
      <c r="N28" s="251">
        <f ca="1">SUMIFS(rec.uni[2025-11-01],
INDIRECT("rec.uni[natureza]"),"taxa.extra",
INDIRECT("rec.uni[empresa]"),$B28)</f>
        <v>0</v>
      </c>
      <c r="O28" s="251">
        <f ca="1">SUMIFS(rec.uni[2025-12-01],
INDIRECT("rec.uni[natureza]"),"taxa.extra",
INDIRECT("rec.uni[empresa]"),$B28)</f>
        <v>0</v>
      </c>
      <c r="P28" s="251">
        <f ca="1">SUMIFS(rec.uni[2026-01-01],
INDIRECT("rec.uni[natureza]"),"taxa.extra",
INDIRECT("rec.uni[empresa]"),$B28)</f>
        <v>0</v>
      </c>
      <c r="Q28" s="251">
        <f ca="1">SUMIFS(rec.uni[2026-02-01],
INDIRECT("rec.uni[natureza]"),"taxa.extra",
INDIRECT("rec.uni[empresa]"),$B28)</f>
        <v>0</v>
      </c>
      <c r="S28" s="243">
        <f t="shared" ca="1" si="1"/>
        <v>0</v>
      </c>
    </row>
    <row r="29" spans="1:19" outlineLevel="1" x14ac:dyDescent="0.25">
      <c r="A29" s="247" t="s">
        <v>573</v>
      </c>
      <c r="B29" s="252" t="s">
        <v>574</v>
      </c>
      <c r="C29" s="248" t="s">
        <v>27</v>
      </c>
      <c r="D29" s="249">
        <f t="shared" ref="D29:Q29" si="9">SUM(D$30)</f>
        <v>66315.199999999997</v>
      </c>
      <c r="E29" s="249">
        <f t="shared" si="9"/>
        <v>102314.88</v>
      </c>
      <c r="F29" s="249">
        <f t="shared" si="9"/>
        <v>247260.96</v>
      </c>
      <c r="G29" s="249">
        <f t="shared" si="9"/>
        <v>361891.51999999996</v>
      </c>
      <c r="H29" s="249">
        <f t="shared" si="9"/>
        <v>806203.36</v>
      </c>
      <c r="I29" s="249">
        <f t="shared" si="9"/>
        <v>770203.68</v>
      </c>
      <c r="J29" s="249">
        <f t="shared" si="9"/>
        <v>1031675.04</v>
      </c>
      <c r="K29" s="249">
        <f t="shared" si="9"/>
        <v>400733.28</v>
      </c>
      <c r="L29" s="249">
        <f t="shared" si="9"/>
        <v>345786.39999999997</v>
      </c>
      <c r="M29" s="249">
        <f t="shared" si="9"/>
        <v>622415.52</v>
      </c>
      <c r="N29" s="249">
        <f t="shared" si="9"/>
        <v>378944</v>
      </c>
      <c r="O29" s="249">
        <f t="shared" si="9"/>
        <v>324944.48000000004</v>
      </c>
      <c r="P29" s="249">
        <f t="shared" si="9"/>
        <v>179998.4</v>
      </c>
      <c r="Q29" s="249">
        <f t="shared" si="9"/>
        <v>272839.67999999999</v>
      </c>
      <c r="S29" s="243">
        <f t="shared" ref="S29:S42" si="10">SUM(D29:Q29)</f>
        <v>5911526.4000000004</v>
      </c>
    </row>
    <row r="30" spans="1:19" outlineLevel="2" x14ac:dyDescent="0.25">
      <c r="A30" s="250" t="s">
        <v>575</v>
      </c>
      <c r="B30" s="250" t="s">
        <v>16</v>
      </c>
      <c r="C30" s="197" t="s">
        <v>27</v>
      </c>
      <c r="D30" s="251" cm="1">
        <f t="array" ref="D30:Q30">TRANSPOSE(inputs!BJ$51:BJ$64)</f>
        <v>66315.199999999997</v>
      </c>
      <c r="E30" s="251">
        <v>102314.88</v>
      </c>
      <c r="F30" s="251">
        <v>247260.96</v>
      </c>
      <c r="G30" s="251">
        <v>361891.51999999996</v>
      </c>
      <c r="H30" s="251">
        <v>806203.36</v>
      </c>
      <c r="I30" s="251">
        <v>770203.68</v>
      </c>
      <c r="J30" s="251">
        <v>1031675.04</v>
      </c>
      <c r="K30" s="251">
        <v>400733.28</v>
      </c>
      <c r="L30" s="251">
        <v>345786.39999999997</v>
      </c>
      <c r="M30" s="251">
        <v>622415.52</v>
      </c>
      <c r="N30" s="251">
        <v>378944</v>
      </c>
      <c r="O30" s="251">
        <v>324944.48000000004</v>
      </c>
      <c r="P30" s="251">
        <v>179998.4</v>
      </c>
      <c r="Q30" s="251">
        <v>272839.67999999999</v>
      </c>
      <c r="S30" s="243">
        <f t="shared" si="10"/>
        <v>5911526.4000000004</v>
      </c>
    </row>
    <row r="31" spans="1:19" x14ac:dyDescent="0.25">
      <c r="A31" s="253" t="s">
        <v>576</v>
      </c>
      <c r="B31" s="253" t="s">
        <v>577</v>
      </c>
      <c r="C31" s="254" t="s">
        <v>556</v>
      </c>
      <c r="D31" s="255">
        <f>SUM(D$32,D$43,D$51,D$64,D$66,D$70,D$72,D$74,D$76,D$81,D$94,D$120,D$134,D$139,D$141,D$143,D$154,D$157)</f>
        <v>0</v>
      </c>
      <c r="E31" s="255">
        <f t="shared" ref="E31:Q31" si="11">SUM(E$32,E$43,E$51,E$64,E$66,E$70,E$72,E$74,E$76,E$81,E$94,E$120,E$134,E$139,E$141,E$143,E$154,E$157)</f>
        <v>0</v>
      </c>
      <c r="F31" s="255">
        <f t="shared" si="11"/>
        <v>0</v>
      </c>
      <c r="G31" s="255">
        <f t="shared" si="11"/>
        <v>0</v>
      </c>
      <c r="H31" s="255">
        <f t="shared" si="11"/>
        <v>0</v>
      </c>
      <c r="I31" s="255">
        <f t="shared" si="11"/>
        <v>0</v>
      </c>
      <c r="J31" s="255">
        <f t="shared" si="11"/>
        <v>0</v>
      </c>
      <c r="K31" s="255">
        <f t="shared" si="11"/>
        <v>0</v>
      </c>
      <c r="L31" s="255">
        <f t="shared" si="11"/>
        <v>0</v>
      </c>
      <c r="M31" s="255">
        <f t="shared" si="11"/>
        <v>0</v>
      </c>
      <c r="N31" s="255">
        <f t="shared" si="11"/>
        <v>0</v>
      </c>
      <c r="O31" s="255">
        <f t="shared" si="11"/>
        <v>0</v>
      </c>
      <c r="P31" s="255">
        <f t="shared" si="11"/>
        <v>0</v>
      </c>
      <c r="Q31" s="255">
        <f t="shared" si="11"/>
        <v>0</v>
      </c>
      <c r="S31" s="243">
        <f t="shared" si="10"/>
        <v>0</v>
      </c>
    </row>
    <row r="32" spans="1:19" outlineLevel="1" x14ac:dyDescent="0.25">
      <c r="A32" s="247" t="s">
        <v>578</v>
      </c>
      <c r="B32" s="247" t="s">
        <v>392</v>
      </c>
      <c r="C32" s="248" t="s">
        <v>556</v>
      </c>
      <c r="D32" s="249">
        <f>SUM(D$33:D$42)</f>
        <v>0</v>
      </c>
      <c r="E32" s="249">
        <f t="shared" ref="E32:Q32" si="12">SUM(E$33:E$42)</f>
        <v>0</v>
      </c>
      <c r="F32" s="249">
        <f t="shared" si="12"/>
        <v>0</v>
      </c>
      <c r="G32" s="249">
        <f t="shared" si="12"/>
        <v>0</v>
      </c>
      <c r="H32" s="249">
        <f t="shared" si="12"/>
        <v>0</v>
      </c>
      <c r="I32" s="249">
        <f t="shared" si="12"/>
        <v>0</v>
      </c>
      <c r="J32" s="249">
        <f t="shared" si="12"/>
        <v>0</v>
      </c>
      <c r="K32" s="249">
        <f t="shared" si="12"/>
        <v>0</v>
      </c>
      <c r="L32" s="249">
        <f t="shared" si="12"/>
        <v>0</v>
      </c>
      <c r="M32" s="249">
        <f t="shared" si="12"/>
        <v>0</v>
      </c>
      <c r="N32" s="249">
        <f t="shared" si="12"/>
        <v>0</v>
      </c>
      <c r="O32" s="249">
        <f t="shared" si="12"/>
        <v>0</v>
      </c>
      <c r="P32" s="249">
        <f t="shared" si="12"/>
        <v>0</v>
      </c>
      <c r="Q32" s="249">
        <f t="shared" si="12"/>
        <v>0</v>
      </c>
      <c r="S32" s="243">
        <f t="shared" si="10"/>
        <v>0</v>
      </c>
    </row>
    <row r="33" spans="1:19" outlineLevel="2" x14ac:dyDescent="0.25">
      <c r="A33" s="250" t="s">
        <v>579</v>
      </c>
      <c r="B33" s="250" t="s">
        <v>580</v>
      </c>
      <c r="C33" s="197" t="s">
        <v>556</v>
      </c>
      <c r="D33" s="251" cm="1">
        <f t="array" ref="D33">-SUMPRODUCT(
  desp[valor] *
  (desp[nucleo]=$B33) *
  (desp[centro.negocio]=$B$32) *
  (desp[data.pagamento]&gt;=D$1) *
  (desp[data.pagamento]&lt;EOMONTH(D$1,0)+1)
)</f>
        <v>0</v>
      </c>
      <c r="E33" s="251" cm="1">
        <f t="array" ref="E33">-SUMPRODUCT(
  desp[valor] *
  (desp[nucleo]=$B33) *
  (desp[centro.negocio]=$B$32) *
  (desp[data.pagamento]&gt;=E$1) *
  (desp[data.pagamento]&lt;EOMONTH(E$1,0)+1)
)</f>
        <v>0</v>
      </c>
      <c r="F33" s="251" cm="1">
        <f t="array" ref="F33">-SUMPRODUCT(
  desp[valor] *
  (desp[nucleo]=$B33) *
  (desp[centro.negocio]=$B$32) *
  (desp[data.pagamento]&gt;=F$1) *
  (desp[data.pagamento]&lt;EOMONTH(F$1,0)+1)
)</f>
        <v>0</v>
      </c>
      <c r="G33" s="251" cm="1">
        <f t="array" ref="G33">-SUMPRODUCT(
  desp[valor] *
  (desp[nucleo]=$B33) *
  (desp[centro.negocio]=$B$32) *
  (desp[data.pagamento]&gt;=G$1) *
  (desp[data.pagamento]&lt;EOMONTH(G$1,0)+1)
)</f>
        <v>0</v>
      </c>
      <c r="H33" s="251" cm="1">
        <f t="array" ref="H33">-SUMPRODUCT(
  desp[valor] *
  (desp[nucleo]=$B33) *
  (desp[centro.negocio]=$B$32) *
  (desp[data.pagamento]&gt;=H$1) *
  (desp[data.pagamento]&lt;EOMONTH(H$1,0)+1)
)</f>
        <v>0</v>
      </c>
      <c r="I33" s="251" cm="1">
        <f t="array" ref="I33">-SUMPRODUCT(
  desp[valor] *
  (desp[nucleo]=$B33) *
  (desp[centro.negocio]=$B$32) *
  (desp[data.pagamento]&gt;=I$1) *
  (desp[data.pagamento]&lt;EOMONTH(I$1,0)+1)
)</f>
        <v>0</v>
      </c>
      <c r="J33" s="251" cm="1">
        <f t="array" ref="J33">-SUMPRODUCT(
  desp[valor] *
  (desp[nucleo]=$B33) *
  (desp[centro.negocio]=$B$32) *
  (desp[data.pagamento]&gt;=J$1) *
  (desp[data.pagamento]&lt;EOMONTH(J$1,0)+1)
)</f>
        <v>0</v>
      </c>
      <c r="K33" s="251" cm="1">
        <f t="array" ref="K33">-SUMPRODUCT(
  desp[valor] *
  (desp[nucleo]=$B33) *
  (desp[centro.negocio]=$B$32) *
  (desp[data.pagamento]&gt;=K$1) *
  (desp[data.pagamento]&lt;EOMONTH(K$1,0)+1)
)</f>
        <v>0</v>
      </c>
      <c r="L33" s="251" cm="1">
        <f t="array" ref="L33">-SUMPRODUCT(
  desp[valor] *
  (desp[nucleo]=$B33) *
  (desp[centro.negocio]=$B$32) *
  (desp[data.pagamento]&gt;=L$1) *
  (desp[data.pagamento]&lt;EOMONTH(L$1,0)+1)
)</f>
        <v>0</v>
      </c>
      <c r="M33" s="251" cm="1">
        <f t="array" ref="M33">-SUMPRODUCT(
  desp[valor] *
  (desp[nucleo]=$B33) *
  (desp[centro.negocio]=$B$32) *
  (desp[data.pagamento]&gt;=M$1) *
  (desp[data.pagamento]&lt;EOMONTH(M$1,0)+1)
)</f>
        <v>0</v>
      </c>
      <c r="N33" s="251" cm="1">
        <f t="array" ref="N33">-SUMPRODUCT(
  desp[valor] *
  (desp[nucleo]=$B33) *
  (desp[centro.negocio]=$B$32) *
  (desp[data.pagamento]&gt;=N$1) *
  (desp[data.pagamento]&lt;EOMONTH(N$1,0)+1)
)</f>
        <v>0</v>
      </c>
      <c r="O33" s="251" cm="1">
        <f t="array" ref="O33">-SUMPRODUCT(
  desp[valor] *
  (desp[nucleo]=$B33) *
  (desp[centro.negocio]=$B$32) *
  (desp[data.pagamento]&gt;=O$1) *
  (desp[data.pagamento]&lt;EOMONTH(O$1,0)+1)
)</f>
        <v>0</v>
      </c>
      <c r="P33" s="251" cm="1">
        <f t="array" ref="P33">-SUMPRODUCT(
  desp[valor] *
  (desp[nucleo]=$B33) *
  (desp[centro.negocio]=$B$32) *
  (desp[data.pagamento]&gt;=P$1) *
  (desp[data.pagamento]&lt;EOMONTH(P$1,0)+1)
)</f>
        <v>0</v>
      </c>
      <c r="Q33" s="251" cm="1">
        <f t="array" ref="Q33">-SUMPRODUCT(
  desp[valor] *
  (desp[nucleo]=$B33) *
  (desp[centro.negocio]=$B$32) *
  (desp[data.pagamento]&gt;=Q$1) *
  (desp[data.pagamento]&lt;EOMONTH(Q$1,0)+1)
)</f>
        <v>0</v>
      </c>
      <c r="S33" s="243">
        <f t="shared" si="10"/>
        <v>0</v>
      </c>
    </row>
    <row r="34" spans="1:19" outlineLevel="2" x14ac:dyDescent="0.25">
      <c r="A34" s="250" t="s">
        <v>581</v>
      </c>
      <c r="B34" s="250" t="s">
        <v>582</v>
      </c>
      <c r="C34" s="197" t="s">
        <v>556</v>
      </c>
      <c r="D34" s="251" cm="1">
        <f t="array" ref="D34">-SUMPRODUCT(
  desp[valor] *
  (desp[nucleo]=$B34) *
  (desp[centro.negocio]=$B$32) *
  (desp[data.pagamento]&gt;=D$1) *
  (desp[data.pagamento]&lt;EOMONTH(D$1,0)+1)
)</f>
        <v>0</v>
      </c>
      <c r="E34" s="251" cm="1">
        <f t="array" ref="E34">-SUMPRODUCT(
  desp[valor] *
  (desp[nucleo]=$B34) *
  (desp[centro.negocio]=$B$32) *
  (desp[data.pagamento]&gt;=E$1) *
  (desp[data.pagamento]&lt;EOMONTH(E$1,0)+1)
)</f>
        <v>0</v>
      </c>
      <c r="F34" s="251" cm="1">
        <f t="array" ref="F34">-SUMPRODUCT(
  desp[valor] *
  (desp[nucleo]=$B34) *
  (desp[centro.negocio]=$B$32) *
  (desp[data.pagamento]&gt;=F$1) *
  (desp[data.pagamento]&lt;EOMONTH(F$1,0)+1)
)</f>
        <v>0</v>
      </c>
      <c r="G34" s="251" cm="1">
        <f t="array" ref="G34">-SUMPRODUCT(
  desp[valor] *
  (desp[nucleo]=$B34) *
  (desp[centro.negocio]=$B$32) *
  (desp[data.pagamento]&gt;=G$1) *
  (desp[data.pagamento]&lt;EOMONTH(G$1,0)+1)
)</f>
        <v>0</v>
      </c>
      <c r="H34" s="251" cm="1">
        <f t="array" ref="H34">-SUMPRODUCT(
  desp[valor] *
  (desp[nucleo]=$B34) *
  (desp[centro.negocio]=$B$32) *
  (desp[data.pagamento]&gt;=H$1) *
  (desp[data.pagamento]&lt;EOMONTH(H$1,0)+1)
)</f>
        <v>0</v>
      </c>
      <c r="I34" s="251" cm="1">
        <f t="array" ref="I34">-SUMPRODUCT(
  desp[valor] *
  (desp[nucleo]=$B34) *
  (desp[centro.negocio]=$B$32) *
  (desp[data.pagamento]&gt;=I$1) *
  (desp[data.pagamento]&lt;EOMONTH(I$1,0)+1)
)</f>
        <v>0</v>
      </c>
      <c r="J34" s="251" cm="1">
        <f t="array" ref="J34">-SUMPRODUCT(
  desp[valor] *
  (desp[nucleo]=$B34) *
  (desp[centro.negocio]=$B$32) *
  (desp[data.pagamento]&gt;=J$1) *
  (desp[data.pagamento]&lt;EOMONTH(J$1,0)+1)
)</f>
        <v>0</v>
      </c>
      <c r="K34" s="251" cm="1">
        <f t="array" ref="K34">-SUMPRODUCT(
  desp[valor] *
  (desp[nucleo]=$B34) *
  (desp[centro.negocio]=$B$32) *
  (desp[data.pagamento]&gt;=K$1) *
  (desp[data.pagamento]&lt;EOMONTH(K$1,0)+1)
)</f>
        <v>0</v>
      </c>
      <c r="L34" s="251" cm="1">
        <f t="array" ref="L34">-SUMPRODUCT(
  desp[valor] *
  (desp[nucleo]=$B34) *
  (desp[centro.negocio]=$B$32) *
  (desp[data.pagamento]&gt;=L$1) *
  (desp[data.pagamento]&lt;EOMONTH(L$1,0)+1)
)</f>
        <v>0</v>
      </c>
      <c r="M34" s="251" cm="1">
        <f t="array" ref="M34">-SUMPRODUCT(
  desp[valor] *
  (desp[nucleo]=$B34) *
  (desp[centro.negocio]=$B$32) *
  (desp[data.pagamento]&gt;=M$1) *
  (desp[data.pagamento]&lt;EOMONTH(M$1,0)+1)
)</f>
        <v>0</v>
      </c>
      <c r="N34" s="251" cm="1">
        <f t="array" ref="N34">-SUMPRODUCT(
  desp[valor] *
  (desp[nucleo]=$B34) *
  (desp[centro.negocio]=$B$32) *
  (desp[data.pagamento]&gt;=N$1) *
  (desp[data.pagamento]&lt;EOMONTH(N$1,0)+1)
)</f>
        <v>0</v>
      </c>
      <c r="O34" s="251" cm="1">
        <f t="array" ref="O34">-SUMPRODUCT(
  desp[valor] *
  (desp[nucleo]=$B34) *
  (desp[centro.negocio]=$B$32) *
  (desp[data.pagamento]&gt;=O$1) *
  (desp[data.pagamento]&lt;EOMONTH(O$1,0)+1)
)</f>
        <v>0</v>
      </c>
      <c r="P34" s="251" cm="1">
        <f t="array" ref="P34">-SUMPRODUCT(
  desp[valor] *
  (desp[nucleo]=$B34) *
  (desp[centro.negocio]=$B$32) *
  (desp[data.pagamento]&gt;=P$1) *
  (desp[data.pagamento]&lt;EOMONTH(P$1,0)+1)
)</f>
        <v>0</v>
      </c>
      <c r="Q34" s="251" cm="1">
        <f t="array" ref="Q34">-SUMPRODUCT(
  desp[valor] *
  (desp[nucleo]=$B34) *
  (desp[centro.negocio]=$B$32) *
  (desp[data.pagamento]&gt;=Q$1) *
  (desp[data.pagamento]&lt;EOMONTH(Q$1,0)+1)
)</f>
        <v>0</v>
      </c>
      <c r="S34" s="243">
        <f t="shared" si="10"/>
        <v>0</v>
      </c>
    </row>
    <row r="35" spans="1:19" outlineLevel="2" x14ac:dyDescent="0.25">
      <c r="A35" s="250" t="s">
        <v>583</v>
      </c>
      <c r="B35" s="250" t="s">
        <v>584</v>
      </c>
      <c r="C35" s="197" t="s">
        <v>556</v>
      </c>
      <c r="D35" s="251" cm="1">
        <f t="array" ref="D35">-SUMPRODUCT(
  desp[valor] *
  (desp[nucleo]=$B35) *
  (desp[centro.negocio]=$B$32) *
  (desp[data.pagamento]&gt;=D$1) *
  (desp[data.pagamento]&lt;EOMONTH(D$1,0)+1)
)</f>
        <v>0</v>
      </c>
      <c r="E35" s="251" cm="1">
        <f t="array" ref="E35">-SUMPRODUCT(
  desp[valor] *
  (desp[nucleo]=$B35) *
  (desp[centro.negocio]=$B$32) *
  (desp[data.pagamento]&gt;=E$1) *
  (desp[data.pagamento]&lt;EOMONTH(E$1,0)+1)
)</f>
        <v>0</v>
      </c>
      <c r="F35" s="251" cm="1">
        <f t="array" ref="F35">-SUMPRODUCT(
  desp[valor] *
  (desp[nucleo]=$B35) *
  (desp[centro.negocio]=$B$32) *
  (desp[data.pagamento]&gt;=F$1) *
  (desp[data.pagamento]&lt;EOMONTH(F$1,0)+1)
)</f>
        <v>0</v>
      </c>
      <c r="G35" s="251" cm="1">
        <f t="array" ref="G35">-SUMPRODUCT(
  desp[valor] *
  (desp[nucleo]=$B35) *
  (desp[centro.negocio]=$B$32) *
  (desp[data.pagamento]&gt;=G$1) *
  (desp[data.pagamento]&lt;EOMONTH(G$1,0)+1)
)</f>
        <v>0</v>
      </c>
      <c r="H35" s="251" cm="1">
        <f t="array" ref="H35">-SUMPRODUCT(
  desp[valor] *
  (desp[nucleo]=$B35) *
  (desp[centro.negocio]=$B$32) *
  (desp[data.pagamento]&gt;=H$1) *
  (desp[data.pagamento]&lt;EOMONTH(H$1,0)+1)
)</f>
        <v>0</v>
      </c>
      <c r="I35" s="251" cm="1">
        <f t="array" ref="I35">-SUMPRODUCT(
  desp[valor] *
  (desp[nucleo]=$B35) *
  (desp[centro.negocio]=$B$32) *
  (desp[data.pagamento]&gt;=I$1) *
  (desp[data.pagamento]&lt;EOMONTH(I$1,0)+1)
)</f>
        <v>0</v>
      </c>
      <c r="J35" s="251" cm="1">
        <f t="array" ref="J35">-SUMPRODUCT(
  desp[valor] *
  (desp[nucleo]=$B35) *
  (desp[centro.negocio]=$B$32) *
  (desp[data.pagamento]&gt;=J$1) *
  (desp[data.pagamento]&lt;EOMONTH(J$1,0)+1)
)</f>
        <v>0</v>
      </c>
      <c r="K35" s="251" cm="1">
        <f t="array" ref="K35">-SUMPRODUCT(
  desp[valor] *
  (desp[nucleo]=$B35) *
  (desp[centro.negocio]=$B$32) *
  (desp[data.pagamento]&gt;=K$1) *
  (desp[data.pagamento]&lt;EOMONTH(K$1,0)+1)
)</f>
        <v>0</v>
      </c>
      <c r="L35" s="251" cm="1">
        <f t="array" ref="L35">-SUMPRODUCT(
  desp[valor] *
  (desp[nucleo]=$B35) *
  (desp[centro.negocio]=$B$32) *
  (desp[data.pagamento]&gt;=L$1) *
  (desp[data.pagamento]&lt;EOMONTH(L$1,0)+1)
)</f>
        <v>0</v>
      </c>
      <c r="M35" s="251" cm="1">
        <f t="array" ref="M35">-SUMPRODUCT(
  desp[valor] *
  (desp[nucleo]=$B35) *
  (desp[centro.negocio]=$B$32) *
  (desp[data.pagamento]&gt;=M$1) *
  (desp[data.pagamento]&lt;EOMONTH(M$1,0)+1)
)</f>
        <v>0</v>
      </c>
      <c r="N35" s="251" cm="1">
        <f t="array" ref="N35">-SUMPRODUCT(
  desp[valor] *
  (desp[nucleo]=$B35) *
  (desp[centro.negocio]=$B$32) *
  (desp[data.pagamento]&gt;=N$1) *
  (desp[data.pagamento]&lt;EOMONTH(N$1,0)+1)
)</f>
        <v>0</v>
      </c>
      <c r="O35" s="251" cm="1">
        <f t="array" ref="O35">-SUMPRODUCT(
  desp[valor] *
  (desp[nucleo]=$B35) *
  (desp[centro.negocio]=$B$32) *
  (desp[data.pagamento]&gt;=O$1) *
  (desp[data.pagamento]&lt;EOMONTH(O$1,0)+1)
)</f>
        <v>0</v>
      </c>
      <c r="P35" s="251" cm="1">
        <f t="array" ref="P35">-SUMPRODUCT(
  desp[valor] *
  (desp[nucleo]=$B35) *
  (desp[centro.negocio]=$B$32) *
  (desp[data.pagamento]&gt;=P$1) *
  (desp[data.pagamento]&lt;EOMONTH(P$1,0)+1)
)</f>
        <v>0</v>
      </c>
      <c r="Q35" s="251" cm="1">
        <f t="array" ref="Q35">-SUMPRODUCT(
  desp[valor] *
  (desp[nucleo]=$B35) *
  (desp[centro.negocio]=$B$32) *
  (desp[data.pagamento]&gt;=Q$1) *
  (desp[data.pagamento]&lt;EOMONTH(Q$1,0)+1)
)</f>
        <v>0</v>
      </c>
      <c r="S35" s="243">
        <f t="shared" si="10"/>
        <v>0</v>
      </c>
    </row>
    <row r="36" spans="1:19" outlineLevel="2" x14ac:dyDescent="0.25">
      <c r="A36" s="250" t="s">
        <v>585</v>
      </c>
      <c r="B36" s="250" t="s">
        <v>586</v>
      </c>
      <c r="C36" s="197" t="s">
        <v>556</v>
      </c>
      <c r="D36" s="251" cm="1">
        <f t="array" ref="D36">-SUMPRODUCT(
  desp[valor] *
  (desp[nucleo]=$B36) *
  (desp[centro.negocio]=$B$32) *
  (desp[data.pagamento]&gt;=D$1) *
  (desp[data.pagamento]&lt;EOMONTH(D$1,0)+1)
)</f>
        <v>0</v>
      </c>
      <c r="E36" s="251" cm="1">
        <f t="array" ref="E36">-SUMPRODUCT(
  desp[valor] *
  (desp[nucleo]=$B36) *
  (desp[centro.negocio]=$B$32) *
  (desp[data.pagamento]&gt;=E$1) *
  (desp[data.pagamento]&lt;EOMONTH(E$1,0)+1)
)</f>
        <v>0</v>
      </c>
      <c r="F36" s="251" cm="1">
        <f t="array" ref="F36">-SUMPRODUCT(
  desp[valor] *
  (desp[nucleo]=$B36) *
  (desp[centro.negocio]=$B$32) *
  (desp[data.pagamento]&gt;=F$1) *
  (desp[data.pagamento]&lt;EOMONTH(F$1,0)+1)
)</f>
        <v>0</v>
      </c>
      <c r="G36" s="251" cm="1">
        <f t="array" ref="G36">-SUMPRODUCT(
  desp[valor] *
  (desp[nucleo]=$B36) *
  (desp[centro.negocio]=$B$32) *
  (desp[data.pagamento]&gt;=G$1) *
  (desp[data.pagamento]&lt;EOMONTH(G$1,0)+1)
)</f>
        <v>0</v>
      </c>
      <c r="H36" s="251" cm="1">
        <f t="array" ref="H36">-SUMPRODUCT(
  desp[valor] *
  (desp[nucleo]=$B36) *
  (desp[centro.negocio]=$B$32) *
  (desp[data.pagamento]&gt;=H$1) *
  (desp[data.pagamento]&lt;EOMONTH(H$1,0)+1)
)</f>
        <v>0</v>
      </c>
      <c r="I36" s="251" cm="1">
        <f t="array" ref="I36">-SUMPRODUCT(
  desp[valor] *
  (desp[nucleo]=$B36) *
  (desp[centro.negocio]=$B$32) *
  (desp[data.pagamento]&gt;=I$1) *
  (desp[data.pagamento]&lt;EOMONTH(I$1,0)+1)
)</f>
        <v>0</v>
      </c>
      <c r="J36" s="251" cm="1">
        <f t="array" ref="J36">-SUMPRODUCT(
  desp[valor] *
  (desp[nucleo]=$B36) *
  (desp[centro.negocio]=$B$32) *
  (desp[data.pagamento]&gt;=J$1) *
  (desp[data.pagamento]&lt;EOMONTH(J$1,0)+1)
)</f>
        <v>0</v>
      </c>
      <c r="K36" s="251" cm="1">
        <f t="array" ref="K36">-SUMPRODUCT(
  desp[valor] *
  (desp[nucleo]=$B36) *
  (desp[centro.negocio]=$B$32) *
  (desp[data.pagamento]&gt;=K$1) *
  (desp[data.pagamento]&lt;EOMONTH(K$1,0)+1)
)</f>
        <v>0</v>
      </c>
      <c r="L36" s="251" cm="1">
        <f t="array" ref="L36">-SUMPRODUCT(
  desp[valor] *
  (desp[nucleo]=$B36) *
  (desp[centro.negocio]=$B$32) *
  (desp[data.pagamento]&gt;=L$1) *
  (desp[data.pagamento]&lt;EOMONTH(L$1,0)+1)
)</f>
        <v>0</v>
      </c>
      <c r="M36" s="251" cm="1">
        <f t="array" ref="M36">-SUMPRODUCT(
  desp[valor] *
  (desp[nucleo]=$B36) *
  (desp[centro.negocio]=$B$32) *
  (desp[data.pagamento]&gt;=M$1) *
  (desp[data.pagamento]&lt;EOMONTH(M$1,0)+1)
)</f>
        <v>0</v>
      </c>
      <c r="N36" s="251" cm="1">
        <f t="array" ref="N36">-SUMPRODUCT(
  desp[valor] *
  (desp[nucleo]=$B36) *
  (desp[centro.negocio]=$B$32) *
  (desp[data.pagamento]&gt;=N$1) *
  (desp[data.pagamento]&lt;EOMONTH(N$1,0)+1)
)</f>
        <v>0</v>
      </c>
      <c r="O36" s="251" cm="1">
        <f t="array" ref="O36">-SUMPRODUCT(
  desp[valor] *
  (desp[nucleo]=$B36) *
  (desp[centro.negocio]=$B$32) *
  (desp[data.pagamento]&gt;=O$1) *
  (desp[data.pagamento]&lt;EOMONTH(O$1,0)+1)
)</f>
        <v>0</v>
      </c>
      <c r="P36" s="251" cm="1">
        <f t="array" ref="P36">-SUMPRODUCT(
  desp[valor] *
  (desp[nucleo]=$B36) *
  (desp[centro.negocio]=$B$32) *
  (desp[data.pagamento]&gt;=P$1) *
  (desp[data.pagamento]&lt;EOMONTH(P$1,0)+1)
)</f>
        <v>0</v>
      </c>
      <c r="Q36" s="251" cm="1">
        <f t="array" ref="Q36">-SUMPRODUCT(
  desp[valor] *
  (desp[nucleo]=$B36) *
  (desp[centro.negocio]=$B$32) *
  (desp[data.pagamento]&gt;=Q$1) *
  (desp[data.pagamento]&lt;EOMONTH(Q$1,0)+1)
)</f>
        <v>0</v>
      </c>
      <c r="S36" s="243">
        <f t="shared" si="10"/>
        <v>0</v>
      </c>
    </row>
    <row r="37" spans="1:19" outlineLevel="2" x14ac:dyDescent="0.25">
      <c r="A37" s="250" t="s">
        <v>587</v>
      </c>
      <c r="B37" s="250" t="s">
        <v>588</v>
      </c>
      <c r="C37" s="197" t="s">
        <v>556</v>
      </c>
      <c r="D37" s="251" cm="1">
        <f t="array" ref="D37">-SUMPRODUCT(
  desp[valor] *
  (desp[nucleo]=$B37) *
  (desp[centro.negocio]=$B$32) *
  (desp[data.pagamento]&gt;=D$1) *
  (desp[data.pagamento]&lt;EOMONTH(D$1,0)+1)
)</f>
        <v>0</v>
      </c>
      <c r="E37" s="251" cm="1">
        <f t="array" ref="E37">-SUMPRODUCT(
  desp[valor] *
  (desp[nucleo]=$B37) *
  (desp[centro.negocio]=$B$32) *
  (desp[data.pagamento]&gt;=E$1) *
  (desp[data.pagamento]&lt;EOMONTH(E$1,0)+1)
)</f>
        <v>0</v>
      </c>
      <c r="F37" s="251" cm="1">
        <f t="array" ref="F37">-SUMPRODUCT(
  desp[valor] *
  (desp[nucleo]=$B37) *
  (desp[centro.negocio]=$B$32) *
  (desp[data.pagamento]&gt;=F$1) *
  (desp[data.pagamento]&lt;EOMONTH(F$1,0)+1)
)</f>
        <v>0</v>
      </c>
      <c r="G37" s="251" cm="1">
        <f t="array" ref="G37">-SUMPRODUCT(
  desp[valor] *
  (desp[nucleo]=$B37) *
  (desp[centro.negocio]=$B$32) *
  (desp[data.pagamento]&gt;=G$1) *
  (desp[data.pagamento]&lt;EOMONTH(G$1,0)+1)
)</f>
        <v>0</v>
      </c>
      <c r="H37" s="251" cm="1">
        <f t="array" ref="H37">-SUMPRODUCT(
  desp[valor] *
  (desp[nucleo]=$B37) *
  (desp[centro.negocio]=$B$32) *
  (desp[data.pagamento]&gt;=H$1) *
  (desp[data.pagamento]&lt;EOMONTH(H$1,0)+1)
)</f>
        <v>0</v>
      </c>
      <c r="I37" s="251" cm="1">
        <f t="array" ref="I37">-SUMPRODUCT(
  desp[valor] *
  (desp[nucleo]=$B37) *
  (desp[centro.negocio]=$B$32) *
  (desp[data.pagamento]&gt;=I$1) *
  (desp[data.pagamento]&lt;EOMONTH(I$1,0)+1)
)</f>
        <v>0</v>
      </c>
      <c r="J37" s="251" cm="1">
        <f t="array" ref="J37">-SUMPRODUCT(
  desp[valor] *
  (desp[nucleo]=$B37) *
  (desp[centro.negocio]=$B$32) *
  (desp[data.pagamento]&gt;=J$1) *
  (desp[data.pagamento]&lt;EOMONTH(J$1,0)+1)
)</f>
        <v>0</v>
      </c>
      <c r="K37" s="251" cm="1">
        <f t="array" ref="K37">-SUMPRODUCT(
  desp[valor] *
  (desp[nucleo]=$B37) *
  (desp[centro.negocio]=$B$32) *
  (desp[data.pagamento]&gt;=K$1) *
  (desp[data.pagamento]&lt;EOMONTH(K$1,0)+1)
)</f>
        <v>0</v>
      </c>
      <c r="L37" s="251" cm="1">
        <f t="array" ref="L37">-SUMPRODUCT(
  desp[valor] *
  (desp[nucleo]=$B37) *
  (desp[centro.negocio]=$B$32) *
  (desp[data.pagamento]&gt;=L$1) *
  (desp[data.pagamento]&lt;EOMONTH(L$1,0)+1)
)</f>
        <v>0</v>
      </c>
      <c r="M37" s="251" cm="1">
        <f t="array" ref="M37">-SUMPRODUCT(
  desp[valor] *
  (desp[nucleo]=$B37) *
  (desp[centro.negocio]=$B$32) *
  (desp[data.pagamento]&gt;=M$1) *
  (desp[data.pagamento]&lt;EOMONTH(M$1,0)+1)
)</f>
        <v>0</v>
      </c>
      <c r="N37" s="251" cm="1">
        <f t="array" ref="N37">-SUMPRODUCT(
  desp[valor] *
  (desp[nucleo]=$B37) *
  (desp[centro.negocio]=$B$32) *
  (desp[data.pagamento]&gt;=N$1) *
  (desp[data.pagamento]&lt;EOMONTH(N$1,0)+1)
)</f>
        <v>0</v>
      </c>
      <c r="O37" s="251" cm="1">
        <f t="array" ref="O37">-SUMPRODUCT(
  desp[valor] *
  (desp[nucleo]=$B37) *
  (desp[centro.negocio]=$B$32) *
  (desp[data.pagamento]&gt;=O$1) *
  (desp[data.pagamento]&lt;EOMONTH(O$1,0)+1)
)</f>
        <v>0</v>
      </c>
      <c r="P37" s="251" cm="1">
        <f t="array" ref="P37">-SUMPRODUCT(
  desp[valor] *
  (desp[nucleo]=$B37) *
  (desp[centro.negocio]=$B$32) *
  (desp[data.pagamento]&gt;=P$1) *
  (desp[data.pagamento]&lt;EOMONTH(P$1,0)+1)
)</f>
        <v>0</v>
      </c>
      <c r="Q37" s="251" cm="1">
        <f t="array" ref="Q37">-SUMPRODUCT(
  desp[valor] *
  (desp[nucleo]=$B37) *
  (desp[centro.negocio]=$B$32) *
  (desp[data.pagamento]&gt;=Q$1) *
  (desp[data.pagamento]&lt;EOMONTH(Q$1,0)+1)
)</f>
        <v>0</v>
      </c>
      <c r="S37" s="243">
        <f t="shared" si="10"/>
        <v>0</v>
      </c>
    </row>
    <row r="38" spans="1:19" outlineLevel="2" x14ac:dyDescent="0.25">
      <c r="A38" s="250" t="s">
        <v>589</v>
      </c>
      <c r="B38" s="250" t="s">
        <v>590</v>
      </c>
      <c r="C38" s="197" t="s">
        <v>556</v>
      </c>
      <c r="D38" s="251" cm="1">
        <f t="array" ref="D38">-SUMPRODUCT(
  desp[valor] *
  (desp[nucleo]=$B38) *
  (desp[centro.negocio]=$B$32) *
  (desp[data.pagamento]&gt;=D$1) *
  (desp[data.pagamento]&lt;EOMONTH(D$1,0)+1)
)</f>
        <v>0</v>
      </c>
      <c r="E38" s="251" cm="1">
        <f t="array" ref="E38">-SUMPRODUCT(
  desp[valor] *
  (desp[nucleo]=$B38) *
  (desp[centro.negocio]=$B$32) *
  (desp[data.pagamento]&gt;=E$1) *
  (desp[data.pagamento]&lt;EOMONTH(E$1,0)+1)
)</f>
        <v>0</v>
      </c>
      <c r="F38" s="251" cm="1">
        <f t="array" ref="F38">-SUMPRODUCT(
  desp[valor] *
  (desp[nucleo]=$B38) *
  (desp[centro.negocio]=$B$32) *
  (desp[data.pagamento]&gt;=F$1) *
  (desp[data.pagamento]&lt;EOMONTH(F$1,0)+1)
)</f>
        <v>0</v>
      </c>
      <c r="G38" s="251" cm="1">
        <f t="array" ref="G38">-SUMPRODUCT(
  desp[valor] *
  (desp[nucleo]=$B38) *
  (desp[centro.negocio]=$B$32) *
  (desp[data.pagamento]&gt;=G$1) *
  (desp[data.pagamento]&lt;EOMONTH(G$1,0)+1)
)</f>
        <v>0</v>
      </c>
      <c r="H38" s="251" cm="1">
        <f t="array" ref="H38">-SUMPRODUCT(
  desp[valor] *
  (desp[nucleo]=$B38) *
  (desp[centro.negocio]=$B$32) *
  (desp[data.pagamento]&gt;=H$1) *
  (desp[data.pagamento]&lt;EOMONTH(H$1,0)+1)
)</f>
        <v>0</v>
      </c>
      <c r="I38" s="251" cm="1">
        <f t="array" ref="I38">-SUMPRODUCT(
  desp[valor] *
  (desp[nucleo]=$B38) *
  (desp[centro.negocio]=$B$32) *
  (desp[data.pagamento]&gt;=I$1) *
  (desp[data.pagamento]&lt;EOMONTH(I$1,0)+1)
)</f>
        <v>0</v>
      </c>
      <c r="J38" s="251" cm="1">
        <f t="array" ref="J38">-SUMPRODUCT(
  desp[valor] *
  (desp[nucleo]=$B38) *
  (desp[centro.negocio]=$B$32) *
  (desp[data.pagamento]&gt;=J$1) *
  (desp[data.pagamento]&lt;EOMONTH(J$1,0)+1)
)</f>
        <v>0</v>
      </c>
      <c r="K38" s="251" cm="1">
        <f t="array" ref="K38">-SUMPRODUCT(
  desp[valor] *
  (desp[nucleo]=$B38) *
  (desp[centro.negocio]=$B$32) *
  (desp[data.pagamento]&gt;=K$1) *
  (desp[data.pagamento]&lt;EOMONTH(K$1,0)+1)
)</f>
        <v>0</v>
      </c>
      <c r="L38" s="251" cm="1">
        <f t="array" ref="L38">-SUMPRODUCT(
  desp[valor] *
  (desp[nucleo]=$B38) *
  (desp[centro.negocio]=$B$32) *
  (desp[data.pagamento]&gt;=L$1) *
  (desp[data.pagamento]&lt;EOMONTH(L$1,0)+1)
)</f>
        <v>0</v>
      </c>
      <c r="M38" s="251" cm="1">
        <f t="array" ref="M38">-SUMPRODUCT(
  desp[valor] *
  (desp[nucleo]=$B38) *
  (desp[centro.negocio]=$B$32) *
  (desp[data.pagamento]&gt;=M$1) *
  (desp[data.pagamento]&lt;EOMONTH(M$1,0)+1)
)</f>
        <v>0</v>
      </c>
      <c r="N38" s="251" cm="1">
        <f t="array" ref="N38">-SUMPRODUCT(
  desp[valor] *
  (desp[nucleo]=$B38) *
  (desp[centro.negocio]=$B$32) *
  (desp[data.pagamento]&gt;=N$1) *
  (desp[data.pagamento]&lt;EOMONTH(N$1,0)+1)
)</f>
        <v>0</v>
      </c>
      <c r="O38" s="251" cm="1">
        <f t="array" ref="O38">-SUMPRODUCT(
  desp[valor] *
  (desp[nucleo]=$B38) *
  (desp[centro.negocio]=$B$32) *
  (desp[data.pagamento]&gt;=O$1) *
  (desp[data.pagamento]&lt;EOMONTH(O$1,0)+1)
)</f>
        <v>0</v>
      </c>
      <c r="P38" s="251" cm="1">
        <f t="array" ref="P38">-SUMPRODUCT(
  desp[valor] *
  (desp[nucleo]=$B38) *
  (desp[centro.negocio]=$B$32) *
  (desp[data.pagamento]&gt;=P$1) *
  (desp[data.pagamento]&lt;EOMONTH(P$1,0)+1)
)</f>
        <v>0</v>
      </c>
      <c r="Q38" s="251" cm="1">
        <f t="array" ref="Q38">-SUMPRODUCT(
  desp[valor] *
  (desp[nucleo]=$B38) *
  (desp[centro.negocio]=$B$32) *
  (desp[data.pagamento]&gt;=Q$1) *
  (desp[data.pagamento]&lt;EOMONTH(Q$1,0)+1)
)</f>
        <v>0</v>
      </c>
      <c r="S38" s="243">
        <f t="shared" si="10"/>
        <v>0</v>
      </c>
    </row>
    <row r="39" spans="1:19" outlineLevel="2" x14ac:dyDescent="0.25">
      <c r="A39" s="250" t="s">
        <v>591</v>
      </c>
      <c r="B39" s="250" t="s">
        <v>592</v>
      </c>
      <c r="C39" s="197" t="s">
        <v>556</v>
      </c>
      <c r="D39" s="251" cm="1">
        <f t="array" ref="D39">-SUMPRODUCT(
  desp[valor] *
  (desp[nucleo]=$B39) *
  (desp[centro.negocio]=$B$32) *
  (desp[data.pagamento]&gt;=D$1) *
  (desp[data.pagamento]&lt;EOMONTH(D$1,0)+1)
)</f>
        <v>0</v>
      </c>
      <c r="E39" s="251" cm="1">
        <f t="array" ref="E39">-SUMPRODUCT(
  desp[valor] *
  (desp[nucleo]=$B39) *
  (desp[centro.negocio]=$B$32) *
  (desp[data.pagamento]&gt;=E$1) *
  (desp[data.pagamento]&lt;EOMONTH(E$1,0)+1)
)</f>
        <v>0</v>
      </c>
      <c r="F39" s="251" cm="1">
        <f t="array" ref="F39">-SUMPRODUCT(
  desp[valor] *
  (desp[nucleo]=$B39) *
  (desp[centro.negocio]=$B$32) *
  (desp[data.pagamento]&gt;=F$1) *
  (desp[data.pagamento]&lt;EOMONTH(F$1,0)+1)
)</f>
        <v>0</v>
      </c>
      <c r="G39" s="251" cm="1">
        <f t="array" ref="G39">-SUMPRODUCT(
  desp[valor] *
  (desp[nucleo]=$B39) *
  (desp[centro.negocio]=$B$32) *
  (desp[data.pagamento]&gt;=G$1) *
  (desp[data.pagamento]&lt;EOMONTH(G$1,0)+1)
)</f>
        <v>0</v>
      </c>
      <c r="H39" s="251" cm="1">
        <f t="array" ref="H39">-SUMPRODUCT(
  desp[valor] *
  (desp[nucleo]=$B39) *
  (desp[centro.negocio]=$B$32) *
  (desp[data.pagamento]&gt;=H$1) *
  (desp[data.pagamento]&lt;EOMONTH(H$1,0)+1)
)</f>
        <v>0</v>
      </c>
      <c r="I39" s="251" cm="1">
        <f t="array" ref="I39">-SUMPRODUCT(
  desp[valor] *
  (desp[nucleo]=$B39) *
  (desp[centro.negocio]=$B$32) *
  (desp[data.pagamento]&gt;=I$1) *
  (desp[data.pagamento]&lt;EOMONTH(I$1,0)+1)
)</f>
        <v>0</v>
      </c>
      <c r="J39" s="251" cm="1">
        <f t="array" ref="J39">-SUMPRODUCT(
  desp[valor] *
  (desp[nucleo]=$B39) *
  (desp[centro.negocio]=$B$32) *
  (desp[data.pagamento]&gt;=J$1) *
  (desp[data.pagamento]&lt;EOMONTH(J$1,0)+1)
)</f>
        <v>0</v>
      </c>
      <c r="K39" s="251" cm="1">
        <f t="array" ref="K39">-SUMPRODUCT(
  desp[valor] *
  (desp[nucleo]=$B39) *
  (desp[centro.negocio]=$B$32) *
  (desp[data.pagamento]&gt;=K$1) *
  (desp[data.pagamento]&lt;EOMONTH(K$1,0)+1)
)</f>
        <v>0</v>
      </c>
      <c r="L39" s="251" cm="1">
        <f t="array" ref="L39">-SUMPRODUCT(
  desp[valor] *
  (desp[nucleo]=$B39) *
  (desp[centro.negocio]=$B$32) *
  (desp[data.pagamento]&gt;=L$1) *
  (desp[data.pagamento]&lt;EOMONTH(L$1,0)+1)
)</f>
        <v>0</v>
      </c>
      <c r="M39" s="251" cm="1">
        <f t="array" ref="M39">-SUMPRODUCT(
  desp[valor] *
  (desp[nucleo]=$B39) *
  (desp[centro.negocio]=$B$32) *
  (desp[data.pagamento]&gt;=M$1) *
  (desp[data.pagamento]&lt;EOMONTH(M$1,0)+1)
)</f>
        <v>0</v>
      </c>
      <c r="N39" s="251" cm="1">
        <f t="array" ref="N39">-SUMPRODUCT(
  desp[valor] *
  (desp[nucleo]=$B39) *
  (desp[centro.negocio]=$B$32) *
  (desp[data.pagamento]&gt;=N$1) *
  (desp[data.pagamento]&lt;EOMONTH(N$1,0)+1)
)</f>
        <v>0</v>
      </c>
      <c r="O39" s="251" cm="1">
        <f t="array" ref="O39">-SUMPRODUCT(
  desp[valor] *
  (desp[nucleo]=$B39) *
  (desp[centro.negocio]=$B$32) *
  (desp[data.pagamento]&gt;=O$1) *
  (desp[data.pagamento]&lt;EOMONTH(O$1,0)+1)
)</f>
        <v>0</v>
      </c>
      <c r="P39" s="251" cm="1">
        <f t="array" ref="P39">-SUMPRODUCT(
  desp[valor] *
  (desp[nucleo]=$B39) *
  (desp[centro.negocio]=$B$32) *
  (desp[data.pagamento]&gt;=P$1) *
  (desp[data.pagamento]&lt;EOMONTH(P$1,0)+1)
)</f>
        <v>0</v>
      </c>
      <c r="Q39" s="251" cm="1">
        <f t="array" ref="Q39">-SUMPRODUCT(
  desp[valor] *
  (desp[nucleo]=$B39) *
  (desp[centro.negocio]=$B$32) *
  (desp[data.pagamento]&gt;=Q$1) *
  (desp[data.pagamento]&lt;EOMONTH(Q$1,0)+1)
)</f>
        <v>0</v>
      </c>
      <c r="S39" s="243">
        <f t="shared" si="10"/>
        <v>0</v>
      </c>
    </row>
    <row r="40" spans="1:19" outlineLevel="2" x14ac:dyDescent="0.25">
      <c r="A40" s="250" t="s">
        <v>593</v>
      </c>
      <c r="B40" s="250" t="s">
        <v>594</v>
      </c>
      <c r="C40" s="197" t="s">
        <v>556</v>
      </c>
      <c r="D40" s="251" cm="1">
        <f t="array" ref="D40">-SUMPRODUCT(
  desp[valor] *
  (desp[nucleo]=$B40) *
  (desp[centro.negocio]=$B$32) *
  (desp[data.pagamento]&gt;=D$1) *
  (desp[data.pagamento]&lt;EOMONTH(D$1,0)+1)
)</f>
        <v>0</v>
      </c>
      <c r="E40" s="251" cm="1">
        <f t="array" ref="E40">-SUMPRODUCT(
  desp[valor] *
  (desp[nucleo]=$B40) *
  (desp[centro.negocio]=$B$32) *
  (desp[data.pagamento]&gt;=E$1) *
  (desp[data.pagamento]&lt;EOMONTH(E$1,0)+1)
)</f>
        <v>0</v>
      </c>
      <c r="F40" s="251" cm="1">
        <f t="array" ref="F40">-SUMPRODUCT(
  desp[valor] *
  (desp[nucleo]=$B40) *
  (desp[centro.negocio]=$B$32) *
  (desp[data.pagamento]&gt;=F$1) *
  (desp[data.pagamento]&lt;EOMONTH(F$1,0)+1)
)</f>
        <v>0</v>
      </c>
      <c r="G40" s="251" cm="1">
        <f t="array" ref="G40">-SUMPRODUCT(
  desp[valor] *
  (desp[nucleo]=$B40) *
  (desp[centro.negocio]=$B$32) *
  (desp[data.pagamento]&gt;=G$1) *
  (desp[data.pagamento]&lt;EOMONTH(G$1,0)+1)
)</f>
        <v>0</v>
      </c>
      <c r="H40" s="251" cm="1">
        <f t="array" ref="H40">-SUMPRODUCT(
  desp[valor] *
  (desp[nucleo]=$B40) *
  (desp[centro.negocio]=$B$32) *
  (desp[data.pagamento]&gt;=H$1) *
  (desp[data.pagamento]&lt;EOMONTH(H$1,0)+1)
)</f>
        <v>0</v>
      </c>
      <c r="I40" s="251" cm="1">
        <f t="array" ref="I40">-SUMPRODUCT(
  desp[valor] *
  (desp[nucleo]=$B40) *
  (desp[centro.negocio]=$B$32) *
  (desp[data.pagamento]&gt;=I$1) *
  (desp[data.pagamento]&lt;EOMONTH(I$1,0)+1)
)</f>
        <v>0</v>
      </c>
      <c r="J40" s="251" cm="1">
        <f t="array" ref="J40">-SUMPRODUCT(
  desp[valor] *
  (desp[nucleo]=$B40) *
  (desp[centro.negocio]=$B$32) *
  (desp[data.pagamento]&gt;=J$1) *
  (desp[data.pagamento]&lt;EOMONTH(J$1,0)+1)
)</f>
        <v>0</v>
      </c>
      <c r="K40" s="251" cm="1">
        <f t="array" ref="K40">-SUMPRODUCT(
  desp[valor] *
  (desp[nucleo]=$B40) *
  (desp[centro.negocio]=$B$32) *
  (desp[data.pagamento]&gt;=K$1) *
  (desp[data.pagamento]&lt;EOMONTH(K$1,0)+1)
)</f>
        <v>0</v>
      </c>
      <c r="L40" s="251" cm="1">
        <f t="array" ref="L40">-SUMPRODUCT(
  desp[valor] *
  (desp[nucleo]=$B40) *
  (desp[centro.negocio]=$B$32) *
  (desp[data.pagamento]&gt;=L$1) *
  (desp[data.pagamento]&lt;EOMONTH(L$1,0)+1)
)</f>
        <v>0</v>
      </c>
      <c r="M40" s="251" cm="1">
        <f t="array" ref="M40">-SUMPRODUCT(
  desp[valor] *
  (desp[nucleo]=$B40) *
  (desp[centro.negocio]=$B$32) *
  (desp[data.pagamento]&gt;=M$1) *
  (desp[data.pagamento]&lt;EOMONTH(M$1,0)+1)
)</f>
        <v>0</v>
      </c>
      <c r="N40" s="251" cm="1">
        <f t="array" ref="N40">-SUMPRODUCT(
  desp[valor] *
  (desp[nucleo]=$B40) *
  (desp[centro.negocio]=$B$32) *
  (desp[data.pagamento]&gt;=N$1) *
  (desp[data.pagamento]&lt;EOMONTH(N$1,0)+1)
)</f>
        <v>0</v>
      </c>
      <c r="O40" s="251" cm="1">
        <f t="array" ref="O40">-SUMPRODUCT(
  desp[valor] *
  (desp[nucleo]=$B40) *
  (desp[centro.negocio]=$B$32) *
  (desp[data.pagamento]&gt;=O$1) *
  (desp[data.pagamento]&lt;EOMONTH(O$1,0)+1)
)</f>
        <v>0</v>
      </c>
      <c r="P40" s="251" cm="1">
        <f t="array" ref="P40">-SUMPRODUCT(
  desp[valor] *
  (desp[nucleo]=$B40) *
  (desp[centro.negocio]=$B$32) *
  (desp[data.pagamento]&gt;=P$1) *
  (desp[data.pagamento]&lt;EOMONTH(P$1,0)+1)
)</f>
        <v>0</v>
      </c>
      <c r="Q40" s="251" cm="1">
        <f t="array" ref="Q40">-SUMPRODUCT(
  desp[valor] *
  (desp[nucleo]=$B40) *
  (desp[centro.negocio]=$B$32) *
  (desp[data.pagamento]&gt;=Q$1) *
  (desp[data.pagamento]&lt;EOMONTH(Q$1,0)+1)
)</f>
        <v>0</v>
      </c>
      <c r="S40" s="243">
        <f t="shared" si="10"/>
        <v>0</v>
      </c>
    </row>
    <row r="41" spans="1:19" outlineLevel="2" x14ac:dyDescent="0.25">
      <c r="A41" s="250" t="s">
        <v>595</v>
      </c>
      <c r="B41" s="250" t="s">
        <v>596</v>
      </c>
      <c r="C41" s="197" t="s">
        <v>556</v>
      </c>
      <c r="D41" s="251" cm="1">
        <f t="array" ref="D41">-SUMPRODUCT(
  desp[valor] *
  (desp[nucleo]=$B41) *
  (desp[centro.negocio]=$B$32) *
  (desp[data.pagamento]&gt;=D$1) *
  (desp[data.pagamento]&lt;EOMONTH(D$1,0)+1)
)</f>
        <v>0</v>
      </c>
      <c r="E41" s="251" cm="1">
        <f t="array" ref="E41">-SUMPRODUCT(
  desp[valor] *
  (desp[nucleo]=$B41) *
  (desp[centro.negocio]=$B$32) *
  (desp[data.pagamento]&gt;=E$1) *
  (desp[data.pagamento]&lt;EOMONTH(E$1,0)+1)
)</f>
        <v>0</v>
      </c>
      <c r="F41" s="251" cm="1">
        <f t="array" ref="F41">-SUMPRODUCT(
  desp[valor] *
  (desp[nucleo]=$B41) *
  (desp[centro.negocio]=$B$32) *
  (desp[data.pagamento]&gt;=F$1) *
  (desp[data.pagamento]&lt;EOMONTH(F$1,0)+1)
)</f>
        <v>0</v>
      </c>
      <c r="G41" s="251" cm="1">
        <f t="array" ref="G41">-SUMPRODUCT(
  desp[valor] *
  (desp[nucleo]=$B41) *
  (desp[centro.negocio]=$B$32) *
  (desp[data.pagamento]&gt;=G$1) *
  (desp[data.pagamento]&lt;EOMONTH(G$1,0)+1)
)</f>
        <v>0</v>
      </c>
      <c r="H41" s="251" cm="1">
        <f t="array" ref="H41">-SUMPRODUCT(
  desp[valor] *
  (desp[nucleo]=$B41) *
  (desp[centro.negocio]=$B$32) *
  (desp[data.pagamento]&gt;=H$1) *
  (desp[data.pagamento]&lt;EOMONTH(H$1,0)+1)
)</f>
        <v>0</v>
      </c>
      <c r="I41" s="251" cm="1">
        <f t="array" ref="I41">-SUMPRODUCT(
  desp[valor] *
  (desp[nucleo]=$B41) *
  (desp[centro.negocio]=$B$32) *
  (desp[data.pagamento]&gt;=I$1) *
  (desp[data.pagamento]&lt;EOMONTH(I$1,0)+1)
)</f>
        <v>0</v>
      </c>
      <c r="J41" s="251" cm="1">
        <f t="array" ref="J41">-SUMPRODUCT(
  desp[valor] *
  (desp[nucleo]=$B41) *
  (desp[centro.negocio]=$B$32) *
  (desp[data.pagamento]&gt;=J$1) *
  (desp[data.pagamento]&lt;EOMONTH(J$1,0)+1)
)</f>
        <v>0</v>
      </c>
      <c r="K41" s="251" cm="1">
        <f t="array" ref="K41">-SUMPRODUCT(
  desp[valor] *
  (desp[nucleo]=$B41) *
  (desp[centro.negocio]=$B$32) *
  (desp[data.pagamento]&gt;=K$1) *
  (desp[data.pagamento]&lt;EOMONTH(K$1,0)+1)
)</f>
        <v>0</v>
      </c>
      <c r="L41" s="251" cm="1">
        <f t="array" ref="L41">-SUMPRODUCT(
  desp[valor] *
  (desp[nucleo]=$B41) *
  (desp[centro.negocio]=$B$32) *
  (desp[data.pagamento]&gt;=L$1) *
  (desp[data.pagamento]&lt;EOMONTH(L$1,0)+1)
)</f>
        <v>0</v>
      </c>
      <c r="M41" s="251" cm="1">
        <f t="array" ref="M41">-SUMPRODUCT(
  desp[valor] *
  (desp[nucleo]=$B41) *
  (desp[centro.negocio]=$B$32) *
  (desp[data.pagamento]&gt;=M$1) *
  (desp[data.pagamento]&lt;EOMONTH(M$1,0)+1)
)</f>
        <v>0</v>
      </c>
      <c r="N41" s="251" cm="1">
        <f t="array" ref="N41">-SUMPRODUCT(
  desp[valor] *
  (desp[nucleo]=$B41) *
  (desp[centro.negocio]=$B$32) *
  (desp[data.pagamento]&gt;=N$1) *
  (desp[data.pagamento]&lt;EOMONTH(N$1,0)+1)
)</f>
        <v>0</v>
      </c>
      <c r="O41" s="251" cm="1">
        <f t="array" ref="O41">-SUMPRODUCT(
  desp[valor] *
  (desp[nucleo]=$B41) *
  (desp[centro.negocio]=$B$32) *
  (desp[data.pagamento]&gt;=O$1) *
  (desp[data.pagamento]&lt;EOMONTH(O$1,0)+1)
)</f>
        <v>0</v>
      </c>
      <c r="P41" s="251" cm="1">
        <f t="array" ref="P41">-SUMPRODUCT(
  desp[valor] *
  (desp[nucleo]=$B41) *
  (desp[centro.negocio]=$B$32) *
  (desp[data.pagamento]&gt;=P$1) *
  (desp[data.pagamento]&lt;EOMONTH(P$1,0)+1)
)</f>
        <v>0</v>
      </c>
      <c r="Q41" s="251" cm="1">
        <f t="array" ref="Q41">-SUMPRODUCT(
  desp[valor] *
  (desp[nucleo]=$B41) *
  (desp[centro.negocio]=$B$32) *
  (desp[data.pagamento]&gt;=Q$1) *
  (desp[data.pagamento]&lt;EOMONTH(Q$1,0)+1)
)</f>
        <v>0</v>
      </c>
      <c r="S41" s="243">
        <f t="shared" si="10"/>
        <v>0</v>
      </c>
    </row>
    <row r="42" spans="1:19" outlineLevel="2" x14ac:dyDescent="0.25">
      <c r="A42" s="250" t="s">
        <v>597</v>
      </c>
      <c r="B42" s="250" t="s">
        <v>598</v>
      </c>
      <c r="C42" s="197" t="s">
        <v>556</v>
      </c>
      <c r="D42" s="251" cm="1">
        <f t="array" ref="D42">-SUMPRODUCT(
  desp[valor] *
  (desp[nucleo]=$B42) *
  (desp[centro.negocio]=$B$32) *
  (desp[data.pagamento]&gt;=D$1) *
  (desp[data.pagamento]&lt;EOMONTH(D$1,0)+1)
)</f>
        <v>0</v>
      </c>
      <c r="E42" s="251" cm="1">
        <f t="array" ref="E42">-SUMPRODUCT(
  desp[valor] *
  (desp[nucleo]=$B42) *
  (desp[centro.negocio]=$B$32) *
  (desp[data.pagamento]&gt;=E$1) *
  (desp[data.pagamento]&lt;EOMONTH(E$1,0)+1)
)</f>
        <v>0</v>
      </c>
      <c r="F42" s="251" cm="1">
        <f t="array" ref="F42">-SUMPRODUCT(
  desp[valor] *
  (desp[nucleo]=$B42) *
  (desp[centro.negocio]=$B$32) *
  (desp[data.pagamento]&gt;=F$1) *
  (desp[data.pagamento]&lt;EOMONTH(F$1,0)+1)
)</f>
        <v>0</v>
      </c>
      <c r="G42" s="251" cm="1">
        <f t="array" ref="G42">-SUMPRODUCT(
  desp[valor] *
  (desp[nucleo]=$B42) *
  (desp[centro.negocio]=$B$32) *
  (desp[data.pagamento]&gt;=G$1) *
  (desp[data.pagamento]&lt;EOMONTH(G$1,0)+1)
)</f>
        <v>0</v>
      </c>
      <c r="H42" s="251" cm="1">
        <f t="array" ref="H42">-SUMPRODUCT(
  desp[valor] *
  (desp[nucleo]=$B42) *
  (desp[centro.negocio]=$B$32) *
  (desp[data.pagamento]&gt;=H$1) *
  (desp[data.pagamento]&lt;EOMONTH(H$1,0)+1)
)</f>
        <v>0</v>
      </c>
      <c r="I42" s="251" cm="1">
        <f t="array" ref="I42">-SUMPRODUCT(
  desp[valor] *
  (desp[nucleo]=$B42) *
  (desp[centro.negocio]=$B$32) *
  (desp[data.pagamento]&gt;=I$1) *
  (desp[data.pagamento]&lt;EOMONTH(I$1,0)+1)
)</f>
        <v>0</v>
      </c>
      <c r="J42" s="251" cm="1">
        <f t="array" ref="J42">-SUMPRODUCT(
  desp[valor] *
  (desp[nucleo]=$B42) *
  (desp[centro.negocio]=$B$32) *
  (desp[data.pagamento]&gt;=J$1) *
  (desp[data.pagamento]&lt;EOMONTH(J$1,0)+1)
)</f>
        <v>0</v>
      </c>
      <c r="K42" s="251" cm="1">
        <f t="array" ref="K42">-SUMPRODUCT(
  desp[valor] *
  (desp[nucleo]=$B42) *
  (desp[centro.negocio]=$B$32) *
  (desp[data.pagamento]&gt;=K$1) *
  (desp[data.pagamento]&lt;EOMONTH(K$1,0)+1)
)</f>
        <v>0</v>
      </c>
      <c r="L42" s="251" cm="1">
        <f t="array" ref="L42">-SUMPRODUCT(
  desp[valor] *
  (desp[nucleo]=$B42) *
  (desp[centro.negocio]=$B$32) *
  (desp[data.pagamento]&gt;=L$1) *
  (desp[data.pagamento]&lt;EOMONTH(L$1,0)+1)
)</f>
        <v>0</v>
      </c>
      <c r="M42" s="251" cm="1">
        <f t="array" ref="M42">-SUMPRODUCT(
  desp[valor] *
  (desp[nucleo]=$B42) *
  (desp[centro.negocio]=$B$32) *
  (desp[data.pagamento]&gt;=M$1) *
  (desp[data.pagamento]&lt;EOMONTH(M$1,0)+1)
)</f>
        <v>0</v>
      </c>
      <c r="N42" s="251" cm="1">
        <f t="array" ref="N42">-SUMPRODUCT(
  desp[valor] *
  (desp[nucleo]=$B42) *
  (desp[centro.negocio]=$B$32) *
  (desp[data.pagamento]&gt;=N$1) *
  (desp[data.pagamento]&lt;EOMONTH(N$1,0)+1)
)</f>
        <v>0</v>
      </c>
      <c r="O42" s="251" cm="1">
        <f t="array" ref="O42">-SUMPRODUCT(
  desp[valor] *
  (desp[nucleo]=$B42) *
  (desp[centro.negocio]=$B$32) *
  (desp[data.pagamento]&gt;=O$1) *
  (desp[data.pagamento]&lt;EOMONTH(O$1,0)+1)
)</f>
        <v>0</v>
      </c>
      <c r="P42" s="251" cm="1">
        <f t="array" ref="P42">-SUMPRODUCT(
  desp[valor] *
  (desp[nucleo]=$B42) *
  (desp[centro.negocio]=$B$32) *
  (desp[data.pagamento]&gt;=P$1) *
  (desp[data.pagamento]&lt;EOMONTH(P$1,0)+1)
)</f>
        <v>0</v>
      </c>
      <c r="Q42" s="251" cm="1">
        <f t="array" ref="Q42">-SUMPRODUCT(
  desp[valor] *
  (desp[nucleo]=$B42) *
  (desp[centro.negocio]=$B$32) *
  (desp[data.pagamento]&gt;=Q$1) *
  (desp[data.pagamento]&lt;EOMONTH(Q$1,0)+1)
)</f>
        <v>0</v>
      </c>
      <c r="S42" s="243">
        <f t="shared" si="10"/>
        <v>0</v>
      </c>
    </row>
    <row r="43" spans="1:19" outlineLevel="1" x14ac:dyDescent="0.25">
      <c r="A43" s="247" t="s">
        <v>599</v>
      </c>
      <c r="B43" s="247" t="s">
        <v>432</v>
      </c>
      <c r="C43" s="248" t="s">
        <v>556</v>
      </c>
      <c r="D43" s="249">
        <f>SUM(D$44:D$50)</f>
        <v>0</v>
      </c>
      <c r="E43" s="249">
        <f t="shared" ref="E43:Q43" si="13">SUM(E$44:E$50)</f>
        <v>0</v>
      </c>
      <c r="F43" s="249">
        <f t="shared" si="13"/>
        <v>0</v>
      </c>
      <c r="G43" s="249">
        <f t="shared" si="13"/>
        <v>0</v>
      </c>
      <c r="H43" s="249">
        <f t="shared" si="13"/>
        <v>0</v>
      </c>
      <c r="I43" s="249">
        <f t="shared" si="13"/>
        <v>0</v>
      </c>
      <c r="J43" s="249">
        <f t="shared" si="13"/>
        <v>0</v>
      </c>
      <c r="K43" s="249">
        <f t="shared" si="13"/>
        <v>0</v>
      </c>
      <c r="L43" s="249">
        <f t="shared" si="13"/>
        <v>0</v>
      </c>
      <c r="M43" s="249">
        <f t="shared" si="13"/>
        <v>0</v>
      </c>
      <c r="N43" s="249">
        <f t="shared" si="13"/>
        <v>0</v>
      </c>
      <c r="O43" s="249">
        <f t="shared" si="13"/>
        <v>0</v>
      </c>
      <c r="P43" s="249">
        <f t="shared" si="13"/>
        <v>0</v>
      </c>
      <c r="Q43" s="249">
        <f t="shared" si="13"/>
        <v>0</v>
      </c>
      <c r="S43" s="243">
        <f t="shared" ref="S43" si="14">SUM(D43:Q43)</f>
        <v>0</v>
      </c>
    </row>
    <row r="44" spans="1:19" outlineLevel="2" x14ac:dyDescent="0.25">
      <c r="A44" s="250" t="s">
        <v>600</v>
      </c>
      <c r="B44" s="250" t="s">
        <v>596</v>
      </c>
      <c r="C44" s="197" t="s">
        <v>556</v>
      </c>
      <c r="D44" s="251" cm="1">
        <f t="array" ref="D44">-SUMPRODUCT(
  desp[valor] *
  (desp[nucleo]=$B44) *
  (desp[centro.negocio]=$B$43) *
  (desp[data.pagamento]&gt;=D$1) *
  (desp[data.pagamento]&lt;EOMONTH(D$1,0)+1)
)</f>
        <v>0</v>
      </c>
      <c r="E44" s="251" cm="1">
        <f t="array" ref="E44">-SUMPRODUCT(
  desp[valor] *
  (desp[nucleo]=$B44) *
  (desp[centro.negocio]=$B$43) *
  (desp[data.pagamento]&gt;=E$1) *
  (desp[data.pagamento]&lt;EOMONTH(E$1,0)+1)
)</f>
        <v>0</v>
      </c>
      <c r="F44" s="251" cm="1">
        <f t="array" ref="F44">-SUMPRODUCT(
  desp[valor] *
  (desp[nucleo]=$B44) *
  (desp[centro.negocio]=$B$43) *
  (desp[data.pagamento]&gt;=F$1) *
  (desp[data.pagamento]&lt;EOMONTH(F$1,0)+1)
)</f>
        <v>0</v>
      </c>
      <c r="G44" s="251" cm="1">
        <f t="array" ref="G44">-SUMPRODUCT(
  desp[valor] *
  (desp[nucleo]=$B44) *
  (desp[centro.negocio]=$B$43) *
  (desp[data.pagamento]&gt;=G$1) *
  (desp[data.pagamento]&lt;EOMONTH(G$1,0)+1)
)</f>
        <v>0</v>
      </c>
      <c r="H44" s="251" cm="1">
        <f t="array" ref="H44">-SUMPRODUCT(
  desp[valor] *
  (desp[nucleo]=$B44) *
  (desp[centro.negocio]=$B$43) *
  (desp[data.pagamento]&gt;=H$1) *
  (desp[data.pagamento]&lt;EOMONTH(H$1,0)+1)
)</f>
        <v>0</v>
      </c>
      <c r="I44" s="251" cm="1">
        <f t="array" ref="I44">-SUMPRODUCT(
  desp[valor] *
  (desp[nucleo]=$B44) *
  (desp[centro.negocio]=$B$43) *
  (desp[data.pagamento]&gt;=I$1) *
  (desp[data.pagamento]&lt;EOMONTH(I$1,0)+1)
)</f>
        <v>0</v>
      </c>
      <c r="J44" s="251" cm="1">
        <f t="array" ref="J44">-SUMPRODUCT(
  desp[valor] *
  (desp[nucleo]=$B44) *
  (desp[centro.negocio]=$B$43) *
  (desp[data.pagamento]&gt;=J$1) *
  (desp[data.pagamento]&lt;EOMONTH(J$1,0)+1)
)</f>
        <v>0</v>
      </c>
      <c r="K44" s="251" cm="1">
        <f t="array" ref="K44">-SUMPRODUCT(
  desp[valor] *
  (desp[nucleo]=$B44) *
  (desp[centro.negocio]=$B$43) *
  (desp[data.pagamento]&gt;=K$1) *
  (desp[data.pagamento]&lt;EOMONTH(K$1,0)+1)
)</f>
        <v>0</v>
      </c>
      <c r="L44" s="251" cm="1">
        <f t="array" ref="L44">-SUMPRODUCT(
  desp[valor] *
  (desp[nucleo]=$B44) *
  (desp[centro.negocio]=$B$43) *
  (desp[data.pagamento]&gt;=L$1) *
  (desp[data.pagamento]&lt;EOMONTH(L$1,0)+1)
)</f>
        <v>0</v>
      </c>
      <c r="M44" s="251" cm="1">
        <f t="array" ref="M44">-SUMPRODUCT(
  desp[valor] *
  (desp[nucleo]=$B44) *
  (desp[centro.negocio]=$B$43) *
  (desp[data.pagamento]&gt;=M$1) *
  (desp[data.pagamento]&lt;EOMONTH(M$1,0)+1)
)</f>
        <v>0</v>
      </c>
      <c r="N44" s="251" cm="1">
        <f t="array" ref="N44">-SUMPRODUCT(
  desp[valor] *
  (desp[nucleo]=$B44) *
  (desp[centro.negocio]=$B$43) *
  (desp[data.pagamento]&gt;=N$1) *
  (desp[data.pagamento]&lt;EOMONTH(N$1,0)+1)
)</f>
        <v>0</v>
      </c>
      <c r="O44" s="251" cm="1">
        <f t="array" ref="O44">-SUMPRODUCT(
  desp[valor] *
  (desp[nucleo]=$B44) *
  (desp[centro.negocio]=$B$43) *
  (desp[data.pagamento]&gt;=O$1) *
  (desp[data.pagamento]&lt;EOMONTH(O$1,0)+1)
)</f>
        <v>0</v>
      </c>
      <c r="P44" s="251" cm="1">
        <f t="array" ref="P44">-SUMPRODUCT(
  desp[valor] *
  (desp[nucleo]=$B44) *
  (desp[centro.negocio]=$B$43) *
  (desp[data.pagamento]&gt;=P$1) *
  (desp[data.pagamento]&lt;EOMONTH(P$1,0)+1)
)</f>
        <v>0</v>
      </c>
      <c r="Q44" s="251" cm="1">
        <f t="array" ref="Q44">-SUMPRODUCT(
  desp[valor] *
  (desp[nucleo]=$B44) *
  (desp[centro.negocio]=$B$43) *
  (desp[data.pagamento]&gt;=Q$1) *
  (desp[data.pagamento]&lt;EOMONTH(Q$1,0)+1)
)</f>
        <v>0</v>
      </c>
      <c r="S44" s="243">
        <f>SUM(D44:Q44)</f>
        <v>0</v>
      </c>
    </row>
    <row r="45" spans="1:19" outlineLevel="2" x14ac:dyDescent="0.25">
      <c r="A45" s="250" t="s">
        <v>601</v>
      </c>
      <c r="B45" s="250" t="s">
        <v>590</v>
      </c>
      <c r="C45" s="197" t="s">
        <v>556</v>
      </c>
      <c r="D45" s="251" cm="1">
        <f t="array" ref="D45">-SUMPRODUCT(
  desp[valor] *
  (desp[nucleo]=$B45) *
  (desp[centro.negocio]=$B$43) *
  (desp[data.pagamento]&gt;=D$1) *
  (desp[data.pagamento]&lt;EOMONTH(D$1,0)+1)
)</f>
        <v>0</v>
      </c>
      <c r="E45" s="251" cm="1">
        <f t="array" ref="E45">-SUMPRODUCT(
  desp[valor] *
  (desp[nucleo]=$B45) *
  (desp[centro.negocio]=$B$43) *
  (desp[data.pagamento]&gt;=E$1) *
  (desp[data.pagamento]&lt;EOMONTH(E$1,0)+1)
)</f>
        <v>0</v>
      </c>
      <c r="F45" s="251" cm="1">
        <f t="array" ref="F45">-SUMPRODUCT(
  desp[valor] *
  (desp[nucleo]=$B45) *
  (desp[centro.negocio]=$B$43) *
  (desp[data.pagamento]&gt;=F$1) *
  (desp[data.pagamento]&lt;EOMONTH(F$1,0)+1)
)</f>
        <v>0</v>
      </c>
      <c r="G45" s="251" cm="1">
        <f t="array" ref="G45">-SUMPRODUCT(
  desp[valor] *
  (desp[nucleo]=$B45) *
  (desp[centro.negocio]=$B$43) *
  (desp[data.pagamento]&gt;=G$1) *
  (desp[data.pagamento]&lt;EOMONTH(G$1,0)+1)
)</f>
        <v>0</v>
      </c>
      <c r="H45" s="251" cm="1">
        <f t="array" ref="H45">-SUMPRODUCT(
  desp[valor] *
  (desp[nucleo]=$B45) *
  (desp[centro.negocio]=$B$43) *
  (desp[data.pagamento]&gt;=H$1) *
  (desp[data.pagamento]&lt;EOMONTH(H$1,0)+1)
)</f>
        <v>0</v>
      </c>
      <c r="I45" s="251" cm="1">
        <f t="array" ref="I45">-SUMPRODUCT(
  desp[valor] *
  (desp[nucleo]=$B45) *
  (desp[centro.negocio]=$B$43) *
  (desp[data.pagamento]&gt;=I$1) *
  (desp[data.pagamento]&lt;EOMONTH(I$1,0)+1)
)</f>
        <v>0</v>
      </c>
      <c r="J45" s="251" cm="1">
        <f t="array" ref="J45">-SUMPRODUCT(
  desp[valor] *
  (desp[nucleo]=$B45) *
  (desp[centro.negocio]=$B$43) *
  (desp[data.pagamento]&gt;=J$1) *
  (desp[data.pagamento]&lt;EOMONTH(J$1,0)+1)
)</f>
        <v>0</v>
      </c>
      <c r="K45" s="251" cm="1">
        <f t="array" ref="K45">-SUMPRODUCT(
  desp[valor] *
  (desp[nucleo]=$B45) *
  (desp[centro.negocio]=$B$43) *
  (desp[data.pagamento]&gt;=K$1) *
  (desp[data.pagamento]&lt;EOMONTH(K$1,0)+1)
)</f>
        <v>0</v>
      </c>
      <c r="L45" s="251" cm="1">
        <f t="array" ref="L45">-SUMPRODUCT(
  desp[valor] *
  (desp[nucleo]=$B45) *
  (desp[centro.negocio]=$B$43) *
  (desp[data.pagamento]&gt;=L$1) *
  (desp[data.pagamento]&lt;EOMONTH(L$1,0)+1)
)</f>
        <v>0</v>
      </c>
      <c r="M45" s="251" cm="1">
        <f t="array" ref="M45">-SUMPRODUCT(
  desp[valor] *
  (desp[nucleo]=$B45) *
  (desp[centro.negocio]=$B$43) *
  (desp[data.pagamento]&gt;=M$1) *
  (desp[data.pagamento]&lt;EOMONTH(M$1,0)+1)
)</f>
        <v>0</v>
      </c>
      <c r="N45" s="251" cm="1">
        <f t="array" ref="N45">-SUMPRODUCT(
  desp[valor] *
  (desp[nucleo]=$B45) *
  (desp[centro.negocio]=$B$43) *
  (desp[data.pagamento]&gt;=N$1) *
  (desp[data.pagamento]&lt;EOMONTH(N$1,0)+1)
)</f>
        <v>0</v>
      </c>
      <c r="O45" s="251" cm="1">
        <f t="array" ref="O45">-SUMPRODUCT(
  desp[valor] *
  (desp[nucleo]=$B45) *
  (desp[centro.negocio]=$B$43) *
  (desp[data.pagamento]&gt;=O$1) *
  (desp[data.pagamento]&lt;EOMONTH(O$1,0)+1)
)</f>
        <v>0</v>
      </c>
      <c r="P45" s="251" cm="1">
        <f t="array" ref="P45">-SUMPRODUCT(
  desp[valor] *
  (desp[nucleo]=$B45) *
  (desp[centro.negocio]=$B$43) *
  (desp[data.pagamento]&gt;=P$1) *
  (desp[data.pagamento]&lt;EOMONTH(P$1,0)+1)
)</f>
        <v>0</v>
      </c>
      <c r="Q45" s="251" cm="1">
        <f t="array" ref="Q45">-SUMPRODUCT(
  desp[valor] *
  (desp[nucleo]=$B45) *
  (desp[centro.negocio]=$B$43) *
  (desp[data.pagamento]&gt;=Q$1) *
  (desp[data.pagamento]&lt;EOMONTH(Q$1,0)+1)
)</f>
        <v>0</v>
      </c>
      <c r="S45" s="243">
        <f>SUM(D45:Q45)</f>
        <v>0</v>
      </c>
    </row>
    <row r="46" spans="1:19" outlineLevel="2" x14ac:dyDescent="0.25">
      <c r="A46" s="250" t="s">
        <v>602</v>
      </c>
      <c r="B46" s="250" t="s">
        <v>594</v>
      </c>
      <c r="C46" s="197" t="s">
        <v>556</v>
      </c>
      <c r="D46" s="251" cm="1">
        <f t="array" ref="D46">-SUMPRODUCT(
  desp[valor] *
  (desp[nucleo]=$B46) *
  (desp[centro.negocio]=$B$43) *
  (desp[data.pagamento]&gt;=D$1) *
  (desp[data.pagamento]&lt;EOMONTH(D$1,0)+1)
)</f>
        <v>0</v>
      </c>
      <c r="E46" s="251" cm="1">
        <f t="array" ref="E46">-SUMPRODUCT(
  desp[valor] *
  (desp[nucleo]=$B46) *
  (desp[centro.negocio]=$B$43) *
  (desp[data.pagamento]&gt;=E$1) *
  (desp[data.pagamento]&lt;EOMONTH(E$1,0)+1)
)</f>
        <v>0</v>
      </c>
      <c r="F46" s="251" cm="1">
        <f t="array" ref="F46">-SUMPRODUCT(
  desp[valor] *
  (desp[nucleo]=$B46) *
  (desp[centro.negocio]=$B$43) *
  (desp[data.pagamento]&gt;=F$1) *
  (desp[data.pagamento]&lt;EOMONTH(F$1,0)+1)
)</f>
        <v>0</v>
      </c>
      <c r="G46" s="251" cm="1">
        <f t="array" ref="G46">-SUMPRODUCT(
  desp[valor] *
  (desp[nucleo]=$B46) *
  (desp[centro.negocio]=$B$43) *
  (desp[data.pagamento]&gt;=G$1) *
  (desp[data.pagamento]&lt;EOMONTH(G$1,0)+1)
)</f>
        <v>0</v>
      </c>
      <c r="H46" s="251" cm="1">
        <f t="array" ref="H46">-SUMPRODUCT(
  desp[valor] *
  (desp[nucleo]=$B46) *
  (desp[centro.negocio]=$B$43) *
  (desp[data.pagamento]&gt;=H$1) *
  (desp[data.pagamento]&lt;EOMONTH(H$1,0)+1)
)</f>
        <v>0</v>
      </c>
      <c r="I46" s="251" cm="1">
        <f t="array" ref="I46">-SUMPRODUCT(
  desp[valor] *
  (desp[nucleo]=$B46) *
  (desp[centro.negocio]=$B$43) *
  (desp[data.pagamento]&gt;=I$1) *
  (desp[data.pagamento]&lt;EOMONTH(I$1,0)+1)
)</f>
        <v>0</v>
      </c>
      <c r="J46" s="251" cm="1">
        <f t="array" ref="J46">-SUMPRODUCT(
  desp[valor] *
  (desp[nucleo]=$B46) *
  (desp[centro.negocio]=$B$43) *
  (desp[data.pagamento]&gt;=J$1) *
  (desp[data.pagamento]&lt;EOMONTH(J$1,0)+1)
)</f>
        <v>0</v>
      </c>
      <c r="K46" s="251" cm="1">
        <f t="array" ref="K46">-SUMPRODUCT(
  desp[valor] *
  (desp[nucleo]=$B46) *
  (desp[centro.negocio]=$B$43) *
  (desp[data.pagamento]&gt;=K$1) *
  (desp[data.pagamento]&lt;EOMONTH(K$1,0)+1)
)</f>
        <v>0</v>
      </c>
      <c r="L46" s="251" cm="1">
        <f t="array" ref="L46">-SUMPRODUCT(
  desp[valor] *
  (desp[nucleo]=$B46) *
  (desp[centro.negocio]=$B$43) *
  (desp[data.pagamento]&gt;=L$1) *
  (desp[data.pagamento]&lt;EOMONTH(L$1,0)+1)
)</f>
        <v>0</v>
      </c>
      <c r="M46" s="251" cm="1">
        <f t="array" ref="M46">-SUMPRODUCT(
  desp[valor] *
  (desp[nucleo]=$B46) *
  (desp[centro.negocio]=$B$43) *
  (desp[data.pagamento]&gt;=M$1) *
  (desp[data.pagamento]&lt;EOMONTH(M$1,0)+1)
)</f>
        <v>0</v>
      </c>
      <c r="N46" s="251" cm="1">
        <f t="array" ref="N46">-SUMPRODUCT(
  desp[valor] *
  (desp[nucleo]=$B46) *
  (desp[centro.negocio]=$B$43) *
  (desp[data.pagamento]&gt;=N$1) *
  (desp[data.pagamento]&lt;EOMONTH(N$1,0)+1)
)</f>
        <v>0</v>
      </c>
      <c r="O46" s="251" cm="1">
        <f t="array" ref="O46">-SUMPRODUCT(
  desp[valor] *
  (desp[nucleo]=$B46) *
  (desp[centro.negocio]=$B$43) *
  (desp[data.pagamento]&gt;=O$1) *
  (desp[data.pagamento]&lt;EOMONTH(O$1,0)+1)
)</f>
        <v>0</v>
      </c>
      <c r="P46" s="251" cm="1">
        <f t="array" ref="P46">-SUMPRODUCT(
  desp[valor] *
  (desp[nucleo]=$B46) *
  (desp[centro.negocio]=$B$43) *
  (desp[data.pagamento]&gt;=P$1) *
  (desp[data.pagamento]&lt;EOMONTH(P$1,0)+1)
)</f>
        <v>0</v>
      </c>
      <c r="Q46" s="251" cm="1">
        <f t="array" ref="Q46">-SUMPRODUCT(
  desp[valor] *
  (desp[nucleo]=$B46) *
  (desp[centro.negocio]=$B$43) *
  (desp[data.pagamento]&gt;=Q$1) *
  (desp[data.pagamento]&lt;EOMONTH(Q$1,0)+1)
)</f>
        <v>0</v>
      </c>
      <c r="S46" s="243">
        <f t="shared" ref="S46" si="15">SUM(D46:Q46)</f>
        <v>0</v>
      </c>
    </row>
    <row r="47" spans="1:19" outlineLevel="2" x14ac:dyDescent="0.25">
      <c r="A47" s="250" t="s">
        <v>603</v>
      </c>
      <c r="B47" s="250" t="s">
        <v>586</v>
      </c>
      <c r="C47" s="197" t="s">
        <v>556</v>
      </c>
      <c r="D47" s="251" cm="1">
        <f t="array" ref="D47">-SUMPRODUCT(
  desp[valor] *
  (desp[nucleo]=$B47) *
  (desp[centro.negocio]=$B$43) *
  (desp[data.pagamento]&gt;=D$1) *
  (desp[data.pagamento]&lt;EOMONTH(D$1,0)+1)
)</f>
        <v>0</v>
      </c>
      <c r="E47" s="251" cm="1">
        <f t="array" ref="E47">-SUMPRODUCT(
  desp[valor] *
  (desp[nucleo]=$B47) *
  (desp[centro.negocio]=$B$43) *
  (desp[data.pagamento]&gt;=E$1) *
  (desp[data.pagamento]&lt;EOMONTH(E$1,0)+1)
)</f>
        <v>0</v>
      </c>
      <c r="F47" s="251" cm="1">
        <f t="array" ref="F47">-SUMPRODUCT(
  desp[valor] *
  (desp[nucleo]=$B47) *
  (desp[centro.negocio]=$B$43) *
  (desp[data.pagamento]&gt;=F$1) *
  (desp[data.pagamento]&lt;EOMONTH(F$1,0)+1)
)</f>
        <v>0</v>
      </c>
      <c r="G47" s="251" cm="1">
        <f t="array" ref="G47">-SUMPRODUCT(
  desp[valor] *
  (desp[nucleo]=$B47) *
  (desp[centro.negocio]=$B$43) *
  (desp[data.pagamento]&gt;=G$1) *
  (desp[data.pagamento]&lt;EOMONTH(G$1,0)+1)
)</f>
        <v>0</v>
      </c>
      <c r="H47" s="251" cm="1">
        <f t="array" ref="H47">-SUMPRODUCT(
  desp[valor] *
  (desp[nucleo]=$B47) *
  (desp[centro.negocio]=$B$43) *
  (desp[data.pagamento]&gt;=H$1) *
  (desp[data.pagamento]&lt;EOMONTH(H$1,0)+1)
)</f>
        <v>0</v>
      </c>
      <c r="I47" s="251" cm="1">
        <f t="array" ref="I47">-SUMPRODUCT(
  desp[valor] *
  (desp[nucleo]=$B47) *
  (desp[centro.negocio]=$B$43) *
  (desp[data.pagamento]&gt;=I$1) *
  (desp[data.pagamento]&lt;EOMONTH(I$1,0)+1)
)</f>
        <v>0</v>
      </c>
      <c r="J47" s="251" cm="1">
        <f t="array" ref="J47">-SUMPRODUCT(
  desp[valor] *
  (desp[nucleo]=$B47) *
  (desp[centro.negocio]=$B$43) *
  (desp[data.pagamento]&gt;=J$1) *
  (desp[data.pagamento]&lt;EOMONTH(J$1,0)+1)
)</f>
        <v>0</v>
      </c>
      <c r="K47" s="251" cm="1">
        <f t="array" ref="K47">-SUMPRODUCT(
  desp[valor] *
  (desp[nucleo]=$B47) *
  (desp[centro.negocio]=$B$43) *
  (desp[data.pagamento]&gt;=K$1) *
  (desp[data.pagamento]&lt;EOMONTH(K$1,0)+1)
)</f>
        <v>0</v>
      </c>
      <c r="L47" s="251" cm="1">
        <f t="array" ref="L47">-SUMPRODUCT(
  desp[valor] *
  (desp[nucleo]=$B47) *
  (desp[centro.negocio]=$B$43) *
  (desp[data.pagamento]&gt;=L$1) *
  (desp[data.pagamento]&lt;EOMONTH(L$1,0)+1)
)</f>
        <v>0</v>
      </c>
      <c r="M47" s="251" cm="1">
        <f t="array" ref="M47">-SUMPRODUCT(
  desp[valor] *
  (desp[nucleo]=$B47) *
  (desp[centro.negocio]=$B$43) *
  (desp[data.pagamento]&gt;=M$1) *
  (desp[data.pagamento]&lt;EOMONTH(M$1,0)+1)
)</f>
        <v>0</v>
      </c>
      <c r="N47" s="251" cm="1">
        <f t="array" ref="N47">-SUMPRODUCT(
  desp[valor] *
  (desp[nucleo]=$B47) *
  (desp[centro.negocio]=$B$43) *
  (desp[data.pagamento]&gt;=N$1) *
  (desp[data.pagamento]&lt;EOMONTH(N$1,0)+1)
)</f>
        <v>0</v>
      </c>
      <c r="O47" s="251" cm="1">
        <f t="array" ref="O47">-SUMPRODUCT(
  desp[valor] *
  (desp[nucleo]=$B47) *
  (desp[centro.negocio]=$B$43) *
  (desp[data.pagamento]&gt;=O$1) *
  (desp[data.pagamento]&lt;EOMONTH(O$1,0)+1)
)</f>
        <v>0</v>
      </c>
      <c r="P47" s="251" cm="1">
        <f t="array" ref="P47">-SUMPRODUCT(
  desp[valor] *
  (desp[nucleo]=$B47) *
  (desp[centro.negocio]=$B$43) *
  (desp[data.pagamento]&gt;=P$1) *
  (desp[data.pagamento]&lt;EOMONTH(P$1,0)+1)
)</f>
        <v>0</v>
      </c>
      <c r="Q47" s="251" cm="1">
        <f t="array" ref="Q47">-SUMPRODUCT(
  desp[valor] *
  (desp[nucleo]=$B47) *
  (desp[centro.negocio]=$B$43) *
  (desp[data.pagamento]&gt;=Q$1) *
  (desp[data.pagamento]&lt;EOMONTH(Q$1,0)+1)
)</f>
        <v>0</v>
      </c>
      <c r="S47" s="243">
        <f>SUM(D47:Q47)</f>
        <v>0</v>
      </c>
    </row>
    <row r="48" spans="1:19" outlineLevel="2" x14ac:dyDescent="0.25">
      <c r="A48" s="250" t="s">
        <v>604</v>
      </c>
      <c r="B48" s="250" t="s">
        <v>580</v>
      </c>
      <c r="C48" s="197" t="s">
        <v>556</v>
      </c>
      <c r="D48" s="251" cm="1">
        <f t="array" ref="D48">-SUMPRODUCT(
  desp[valor] *
  (desp[nucleo]=$B48) *
  (desp[centro.negocio]=$B$43) *
  (desp[data.pagamento]&gt;=D$1) *
  (desp[data.pagamento]&lt;EOMONTH(D$1,0)+1)
)</f>
        <v>0</v>
      </c>
      <c r="E48" s="251" cm="1">
        <f t="array" ref="E48">-SUMPRODUCT(
  desp[valor] *
  (desp[nucleo]=$B48) *
  (desp[centro.negocio]=$B$43) *
  (desp[data.pagamento]&gt;=E$1) *
  (desp[data.pagamento]&lt;EOMONTH(E$1,0)+1)
)</f>
        <v>0</v>
      </c>
      <c r="F48" s="251" cm="1">
        <f t="array" ref="F48">-SUMPRODUCT(
  desp[valor] *
  (desp[nucleo]=$B48) *
  (desp[centro.negocio]=$B$43) *
  (desp[data.pagamento]&gt;=F$1) *
  (desp[data.pagamento]&lt;EOMONTH(F$1,0)+1)
)</f>
        <v>0</v>
      </c>
      <c r="G48" s="251" cm="1">
        <f t="array" ref="G48">-SUMPRODUCT(
  desp[valor] *
  (desp[nucleo]=$B48) *
  (desp[centro.negocio]=$B$43) *
  (desp[data.pagamento]&gt;=G$1) *
  (desp[data.pagamento]&lt;EOMONTH(G$1,0)+1)
)</f>
        <v>0</v>
      </c>
      <c r="H48" s="251" cm="1">
        <f t="array" ref="H48">-SUMPRODUCT(
  desp[valor] *
  (desp[nucleo]=$B48) *
  (desp[centro.negocio]=$B$43) *
  (desp[data.pagamento]&gt;=H$1) *
  (desp[data.pagamento]&lt;EOMONTH(H$1,0)+1)
)</f>
        <v>0</v>
      </c>
      <c r="I48" s="251" cm="1">
        <f t="array" ref="I48">-SUMPRODUCT(
  desp[valor] *
  (desp[nucleo]=$B48) *
  (desp[centro.negocio]=$B$43) *
  (desp[data.pagamento]&gt;=I$1) *
  (desp[data.pagamento]&lt;EOMONTH(I$1,0)+1)
)</f>
        <v>0</v>
      </c>
      <c r="J48" s="251" cm="1">
        <f t="array" ref="J48">-SUMPRODUCT(
  desp[valor] *
  (desp[nucleo]=$B48) *
  (desp[centro.negocio]=$B$43) *
  (desp[data.pagamento]&gt;=J$1) *
  (desp[data.pagamento]&lt;EOMONTH(J$1,0)+1)
)</f>
        <v>0</v>
      </c>
      <c r="K48" s="251" cm="1">
        <f t="array" ref="K48">-SUMPRODUCT(
  desp[valor] *
  (desp[nucleo]=$B48) *
  (desp[centro.negocio]=$B$43) *
  (desp[data.pagamento]&gt;=K$1) *
  (desp[data.pagamento]&lt;EOMONTH(K$1,0)+1)
)</f>
        <v>0</v>
      </c>
      <c r="L48" s="251" cm="1">
        <f t="array" ref="L48">-SUMPRODUCT(
  desp[valor] *
  (desp[nucleo]=$B48) *
  (desp[centro.negocio]=$B$43) *
  (desp[data.pagamento]&gt;=L$1) *
  (desp[data.pagamento]&lt;EOMONTH(L$1,0)+1)
)</f>
        <v>0</v>
      </c>
      <c r="M48" s="251" cm="1">
        <f t="array" ref="M48">-SUMPRODUCT(
  desp[valor] *
  (desp[nucleo]=$B48) *
  (desp[centro.negocio]=$B$43) *
  (desp[data.pagamento]&gt;=M$1) *
  (desp[data.pagamento]&lt;EOMONTH(M$1,0)+1)
)</f>
        <v>0</v>
      </c>
      <c r="N48" s="251" cm="1">
        <f t="array" ref="N48">-SUMPRODUCT(
  desp[valor] *
  (desp[nucleo]=$B48) *
  (desp[centro.negocio]=$B$43) *
  (desp[data.pagamento]&gt;=N$1) *
  (desp[data.pagamento]&lt;EOMONTH(N$1,0)+1)
)</f>
        <v>0</v>
      </c>
      <c r="O48" s="251" cm="1">
        <f t="array" ref="O48">-SUMPRODUCT(
  desp[valor] *
  (desp[nucleo]=$B48) *
  (desp[centro.negocio]=$B$43) *
  (desp[data.pagamento]&gt;=O$1) *
  (desp[data.pagamento]&lt;EOMONTH(O$1,0)+1)
)</f>
        <v>0</v>
      </c>
      <c r="P48" s="251" cm="1">
        <f t="array" ref="P48">-SUMPRODUCT(
  desp[valor] *
  (desp[nucleo]=$B48) *
  (desp[centro.negocio]=$B$43) *
  (desp[data.pagamento]&gt;=P$1) *
  (desp[data.pagamento]&lt;EOMONTH(P$1,0)+1)
)</f>
        <v>0</v>
      </c>
      <c r="Q48" s="251" cm="1">
        <f t="array" ref="Q48">-SUMPRODUCT(
  desp[valor] *
  (desp[nucleo]=$B48) *
  (desp[centro.negocio]=$B$43) *
  (desp[data.pagamento]&gt;=Q$1) *
  (desp[data.pagamento]&lt;EOMONTH(Q$1,0)+1)
)</f>
        <v>0</v>
      </c>
      <c r="S48" s="243">
        <f t="shared" ref="S48:S55" si="16">SUM(D48:Q48)</f>
        <v>0</v>
      </c>
    </row>
    <row r="49" spans="1:19" outlineLevel="2" x14ac:dyDescent="0.25">
      <c r="A49" s="250" t="s">
        <v>605</v>
      </c>
      <c r="B49" s="250" t="s">
        <v>588</v>
      </c>
      <c r="C49" s="197" t="s">
        <v>556</v>
      </c>
      <c r="D49" s="251" cm="1">
        <f t="array" ref="D49">-SUMPRODUCT(
  desp[valor] *
  (desp[nucleo]=$B49) *
  (desp[centro.negocio]=$B$43) *
  (desp[data.pagamento]&gt;=D$1) *
  (desp[data.pagamento]&lt;EOMONTH(D$1,0)+1)
)</f>
        <v>0</v>
      </c>
      <c r="E49" s="251" cm="1">
        <f t="array" ref="E49">-SUMPRODUCT(
  desp[valor] *
  (desp[nucleo]=$B49) *
  (desp[centro.negocio]=$B$43) *
  (desp[data.pagamento]&gt;=E$1) *
  (desp[data.pagamento]&lt;EOMONTH(E$1,0)+1)
)</f>
        <v>0</v>
      </c>
      <c r="F49" s="251" cm="1">
        <f t="array" ref="F49">-SUMPRODUCT(
  desp[valor] *
  (desp[nucleo]=$B49) *
  (desp[centro.negocio]=$B$43) *
  (desp[data.pagamento]&gt;=F$1) *
  (desp[data.pagamento]&lt;EOMONTH(F$1,0)+1)
)</f>
        <v>0</v>
      </c>
      <c r="G49" s="251" cm="1">
        <f t="array" ref="G49">-SUMPRODUCT(
  desp[valor] *
  (desp[nucleo]=$B49) *
  (desp[centro.negocio]=$B$43) *
  (desp[data.pagamento]&gt;=G$1) *
  (desp[data.pagamento]&lt;EOMONTH(G$1,0)+1)
)</f>
        <v>0</v>
      </c>
      <c r="H49" s="251" cm="1">
        <f t="array" ref="H49">-SUMPRODUCT(
  desp[valor] *
  (desp[nucleo]=$B49) *
  (desp[centro.negocio]=$B$43) *
  (desp[data.pagamento]&gt;=H$1) *
  (desp[data.pagamento]&lt;EOMONTH(H$1,0)+1)
)</f>
        <v>0</v>
      </c>
      <c r="I49" s="251" cm="1">
        <f t="array" ref="I49">-SUMPRODUCT(
  desp[valor] *
  (desp[nucleo]=$B49) *
  (desp[centro.negocio]=$B$43) *
  (desp[data.pagamento]&gt;=I$1) *
  (desp[data.pagamento]&lt;EOMONTH(I$1,0)+1)
)</f>
        <v>0</v>
      </c>
      <c r="J49" s="251" cm="1">
        <f t="array" ref="J49">-SUMPRODUCT(
  desp[valor] *
  (desp[nucleo]=$B49) *
  (desp[centro.negocio]=$B$43) *
  (desp[data.pagamento]&gt;=J$1) *
  (desp[data.pagamento]&lt;EOMONTH(J$1,0)+1)
)</f>
        <v>0</v>
      </c>
      <c r="K49" s="251" cm="1">
        <f t="array" ref="K49">-SUMPRODUCT(
  desp[valor] *
  (desp[nucleo]=$B49) *
  (desp[centro.negocio]=$B$43) *
  (desp[data.pagamento]&gt;=K$1) *
  (desp[data.pagamento]&lt;EOMONTH(K$1,0)+1)
)</f>
        <v>0</v>
      </c>
      <c r="L49" s="251" cm="1">
        <f t="array" ref="L49">-SUMPRODUCT(
  desp[valor] *
  (desp[nucleo]=$B49) *
  (desp[centro.negocio]=$B$43) *
  (desp[data.pagamento]&gt;=L$1) *
  (desp[data.pagamento]&lt;EOMONTH(L$1,0)+1)
)</f>
        <v>0</v>
      </c>
      <c r="M49" s="251" cm="1">
        <f t="array" ref="M49">-SUMPRODUCT(
  desp[valor] *
  (desp[nucleo]=$B49) *
  (desp[centro.negocio]=$B$43) *
  (desp[data.pagamento]&gt;=M$1) *
  (desp[data.pagamento]&lt;EOMONTH(M$1,0)+1)
)</f>
        <v>0</v>
      </c>
      <c r="N49" s="251" cm="1">
        <f t="array" ref="N49">-SUMPRODUCT(
  desp[valor] *
  (desp[nucleo]=$B49) *
  (desp[centro.negocio]=$B$43) *
  (desp[data.pagamento]&gt;=N$1) *
  (desp[data.pagamento]&lt;EOMONTH(N$1,0)+1)
)</f>
        <v>0</v>
      </c>
      <c r="O49" s="251" cm="1">
        <f t="array" ref="O49">-SUMPRODUCT(
  desp[valor] *
  (desp[nucleo]=$B49) *
  (desp[centro.negocio]=$B$43) *
  (desp[data.pagamento]&gt;=O$1) *
  (desp[data.pagamento]&lt;EOMONTH(O$1,0)+1)
)</f>
        <v>0</v>
      </c>
      <c r="P49" s="251" cm="1">
        <f t="array" ref="P49">-SUMPRODUCT(
  desp[valor] *
  (desp[nucleo]=$B49) *
  (desp[centro.negocio]=$B$43) *
  (desp[data.pagamento]&gt;=P$1) *
  (desp[data.pagamento]&lt;EOMONTH(P$1,0)+1)
)</f>
        <v>0</v>
      </c>
      <c r="Q49" s="251" cm="1">
        <f t="array" ref="Q49">-SUMPRODUCT(
  desp[valor] *
  (desp[nucleo]=$B49) *
  (desp[centro.negocio]=$B$43) *
  (desp[data.pagamento]&gt;=Q$1) *
  (desp[data.pagamento]&lt;EOMONTH(Q$1,0)+1)
)</f>
        <v>0</v>
      </c>
      <c r="S49" s="243">
        <f t="shared" si="16"/>
        <v>0</v>
      </c>
    </row>
    <row r="50" spans="1:19" outlineLevel="2" x14ac:dyDescent="0.25">
      <c r="A50" s="250" t="s">
        <v>606</v>
      </c>
      <c r="B50" s="250" t="s">
        <v>584</v>
      </c>
      <c r="C50" s="197" t="s">
        <v>556</v>
      </c>
      <c r="D50" s="251" cm="1">
        <f t="array" ref="D50">-SUMPRODUCT(
  desp[valor] *
  (desp[nucleo]=$B50) *
  (desp[centro.negocio]=$B$43) *
  (desp[data.pagamento]&gt;=D$1) *
  (desp[data.pagamento]&lt;EOMONTH(D$1,0)+1)
)</f>
        <v>0</v>
      </c>
      <c r="E50" s="251" cm="1">
        <f t="array" ref="E50">-SUMPRODUCT(
  desp[valor] *
  (desp[nucleo]=$B50) *
  (desp[centro.negocio]=$B$43) *
  (desp[data.pagamento]&gt;=E$1) *
  (desp[data.pagamento]&lt;EOMONTH(E$1,0)+1)
)</f>
        <v>0</v>
      </c>
      <c r="F50" s="251" cm="1">
        <f t="array" ref="F50">-SUMPRODUCT(
  desp[valor] *
  (desp[nucleo]=$B50) *
  (desp[centro.negocio]=$B$43) *
  (desp[data.pagamento]&gt;=F$1) *
  (desp[data.pagamento]&lt;EOMONTH(F$1,0)+1)
)</f>
        <v>0</v>
      </c>
      <c r="G50" s="251" cm="1">
        <f t="array" ref="G50">-SUMPRODUCT(
  desp[valor] *
  (desp[nucleo]=$B50) *
  (desp[centro.negocio]=$B$43) *
  (desp[data.pagamento]&gt;=G$1) *
  (desp[data.pagamento]&lt;EOMONTH(G$1,0)+1)
)</f>
        <v>0</v>
      </c>
      <c r="H50" s="251" cm="1">
        <f t="array" ref="H50">-SUMPRODUCT(
  desp[valor] *
  (desp[nucleo]=$B50) *
  (desp[centro.negocio]=$B$43) *
  (desp[data.pagamento]&gt;=H$1) *
  (desp[data.pagamento]&lt;EOMONTH(H$1,0)+1)
)</f>
        <v>0</v>
      </c>
      <c r="I50" s="251" cm="1">
        <f t="array" ref="I50">-SUMPRODUCT(
  desp[valor] *
  (desp[nucleo]=$B50) *
  (desp[centro.negocio]=$B$43) *
  (desp[data.pagamento]&gt;=I$1) *
  (desp[data.pagamento]&lt;EOMONTH(I$1,0)+1)
)</f>
        <v>0</v>
      </c>
      <c r="J50" s="251" cm="1">
        <f t="array" ref="J50">-SUMPRODUCT(
  desp[valor] *
  (desp[nucleo]=$B50) *
  (desp[centro.negocio]=$B$43) *
  (desp[data.pagamento]&gt;=J$1) *
  (desp[data.pagamento]&lt;EOMONTH(J$1,0)+1)
)</f>
        <v>0</v>
      </c>
      <c r="K50" s="251" cm="1">
        <f t="array" ref="K50">-SUMPRODUCT(
  desp[valor] *
  (desp[nucleo]=$B50) *
  (desp[centro.negocio]=$B$43) *
  (desp[data.pagamento]&gt;=K$1) *
  (desp[data.pagamento]&lt;EOMONTH(K$1,0)+1)
)</f>
        <v>0</v>
      </c>
      <c r="L50" s="251" cm="1">
        <f t="array" ref="L50">-SUMPRODUCT(
  desp[valor] *
  (desp[nucleo]=$B50) *
  (desp[centro.negocio]=$B$43) *
  (desp[data.pagamento]&gt;=L$1) *
  (desp[data.pagamento]&lt;EOMONTH(L$1,0)+1)
)</f>
        <v>0</v>
      </c>
      <c r="M50" s="251" cm="1">
        <f t="array" ref="M50">-SUMPRODUCT(
  desp[valor] *
  (desp[nucleo]=$B50) *
  (desp[centro.negocio]=$B$43) *
  (desp[data.pagamento]&gt;=M$1) *
  (desp[data.pagamento]&lt;EOMONTH(M$1,0)+1)
)</f>
        <v>0</v>
      </c>
      <c r="N50" s="251" cm="1">
        <f t="array" ref="N50">-SUMPRODUCT(
  desp[valor] *
  (desp[nucleo]=$B50) *
  (desp[centro.negocio]=$B$43) *
  (desp[data.pagamento]&gt;=N$1) *
  (desp[data.pagamento]&lt;EOMONTH(N$1,0)+1)
)</f>
        <v>0</v>
      </c>
      <c r="O50" s="251" cm="1">
        <f t="array" ref="O50">-SUMPRODUCT(
  desp[valor] *
  (desp[nucleo]=$B50) *
  (desp[centro.negocio]=$B$43) *
  (desp[data.pagamento]&gt;=O$1) *
  (desp[data.pagamento]&lt;EOMONTH(O$1,0)+1)
)</f>
        <v>0</v>
      </c>
      <c r="P50" s="251" cm="1">
        <f t="array" ref="P50">-SUMPRODUCT(
  desp[valor] *
  (desp[nucleo]=$B50) *
  (desp[centro.negocio]=$B$43) *
  (desp[data.pagamento]&gt;=P$1) *
  (desp[data.pagamento]&lt;EOMONTH(P$1,0)+1)
)</f>
        <v>0</v>
      </c>
      <c r="Q50" s="251" cm="1">
        <f t="array" ref="Q50">-SUMPRODUCT(
  desp[valor] *
  (desp[nucleo]=$B50) *
  (desp[centro.negocio]=$B$43) *
  (desp[data.pagamento]&gt;=Q$1) *
  (desp[data.pagamento]&lt;EOMONTH(Q$1,0)+1)
)</f>
        <v>0</v>
      </c>
      <c r="S50" s="243">
        <f t="shared" si="16"/>
        <v>0</v>
      </c>
    </row>
    <row r="51" spans="1:19" outlineLevel="1" x14ac:dyDescent="0.25">
      <c r="A51" s="247" t="s">
        <v>607</v>
      </c>
      <c r="B51" s="247" t="s">
        <v>390</v>
      </c>
      <c r="C51" s="248" t="s">
        <v>556</v>
      </c>
      <c r="D51" s="249">
        <f>SUM(D$52:D$63)</f>
        <v>0</v>
      </c>
      <c r="E51" s="249">
        <f t="shared" ref="E51:Q51" si="17">SUM(E$52:E$63)</f>
        <v>0</v>
      </c>
      <c r="F51" s="249">
        <f t="shared" si="17"/>
        <v>0</v>
      </c>
      <c r="G51" s="249">
        <f t="shared" si="17"/>
        <v>0</v>
      </c>
      <c r="H51" s="249">
        <f t="shared" si="17"/>
        <v>0</v>
      </c>
      <c r="I51" s="249">
        <f t="shared" si="17"/>
        <v>0</v>
      </c>
      <c r="J51" s="249">
        <f t="shared" si="17"/>
        <v>0</v>
      </c>
      <c r="K51" s="249">
        <f t="shared" si="17"/>
        <v>0</v>
      </c>
      <c r="L51" s="249">
        <f t="shared" si="17"/>
        <v>0</v>
      </c>
      <c r="M51" s="249">
        <f t="shared" si="17"/>
        <v>0</v>
      </c>
      <c r="N51" s="249">
        <f t="shared" si="17"/>
        <v>0</v>
      </c>
      <c r="O51" s="249">
        <f t="shared" si="17"/>
        <v>0</v>
      </c>
      <c r="P51" s="249">
        <f t="shared" si="17"/>
        <v>0</v>
      </c>
      <c r="Q51" s="249">
        <f t="shared" si="17"/>
        <v>0</v>
      </c>
      <c r="S51" s="243">
        <f t="shared" si="16"/>
        <v>0</v>
      </c>
    </row>
    <row r="52" spans="1:19" outlineLevel="2" x14ac:dyDescent="0.25">
      <c r="A52" s="250" t="s">
        <v>608</v>
      </c>
      <c r="B52" s="250" t="s">
        <v>580</v>
      </c>
      <c r="C52" s="197" t="s">
        <v>556</v>
      </c>
      <c r="D52" s="251" cm="1">
        <f t="array" ref="D52">-SUMPRODUCT(
  desp[valor] *
  (desp[nucleo]=$B52) *
  (desp[centro.negocio]=$B$51) *
  (desp[data.pagamento]&gt;=D$1) *
  (desp[data.pagamento]&lt;EOMONTH(D$1,0)+1)
)</f>
        <v>0</v>
      </c>
      <c r="E52" s="251" cm="1">
        <f t="array" ref="E52">-SUMPRODUCT(
  desp[valor] *
  (desp[nucleo]=$B52) *
  (desp[centro.negocio]=$B$51) *
  (desp[data.pagamento]&gt;=E$1) *
  (desp[data.pagamento]&lt;EOMONTH(E$1,0)+1)
)</f>
        <v>0</v>
      </c>
      <c r="F52" s="251" cm="1">
        <f t="array" ref="F52">-SUMPRODUCT(
  desp[valor] *
  (desp[nucleo]=$B52) *
  (desp[centro.negocio]=$B$51) *
  (desp[data.pagamento]&gt;=F$1) *
  (desp[data.pagamento]&lt;EOMONTH(F$1,0)+1)
)</f>
        <v>0</v>
      </c>
      <c r="G52" s="251" cm="1">
        <f t="array" ref="G52">-SUMPRODUCT(
  desp[valor] *
  (desp[nucleo]=$B52) *
  (desp[centro.negocio]=$B$51) *
  (desp[data.pagamento]&gt;=G$1) *
  (desp[data.pagamento]&lt;EOMONTH(G$1,0)+1)
)</f>
        <v>0</v>
      </c>
      <c r="H52" s="251" cm="1">
        <f t="array" ref="H52">-SUMPRODUCT(
  desp[valor] *
  (desp[nucleo]=$B52) *
  (desp[centro.negocio]=$B$51) *
  (desp[data.pagamento]&gt;=H$1) *
  (desp[data.pagamento]&lt;EOMONTH(H$1,0)+1)
)</f>
        <v>0</v>
      </c>
      <c r="I52" s="251" cm="1">
        <f t="array" ref="I52">-SUMPRODUCT(
  desp[valor] *
  (desp[nucleo]=$B52) *
  (desp[centro.negocio]=$B$51) *
  (desp[data.pagamento]&gt;=I$1) *
  (desp[data.pagamento]&lt;EOMONTH(I$1,0)+1)
)</f>
        <v>0</v>
      </c>
      <c r="J52" s="251" cm="1">
        <f t="array" ref="J52">-SUMPRODUCT(
  desp[valor] *
  (desp[nucleo]=$B52) *
  (desp[centro.negocio]=$B$51) *
  (desp[data.pagamento]&gt;=J$1) *
  (desp[data.pagamento]&lt;EOMONTH(J$1,0)+1)
)</f>
        <v>0</v>
      </c>
      <c r="K52" s="251" cm="1">
        <f t="array" ref="K52">-SUMPRODUCT(
  desp[valor] *
  (desp[nucleo]=$B52) *
  (desp[centro.negocio]=$B$51) *
  (desp[data.pagamento]&gt;=K$1) *
  (desp[data.pagamento]&lt;EOMONTH(K$1,0)+1)
)</f>
        <v>0</v>
      </c>
      <c r="L52" s="251" cm="1">
        <f t="array" ref="L52">-SUMPRODUCT(
  desp[valor] *
  (desp[nucleo]=$B52) *
  (desp[centro.negocio]=$B$51) *
  (desp[data.pagamento]&gt;=L$1) *
  (desp[data.pagamento]&lt;EOMONTH(L$1,0)+1)
)</f>
        <v>0</v>
      </c>
      <c r="M52" s="251" cm="1">
        <f t="array" ref="M52">-SUMPRODUCT(
  desp[valor] *
  (desp[nucleo]=$B52) *
  (desp[centro.negocio]=$B$51) *
  (desp[data.pagamento]&gt;=M$1) *
  (desp[data.pagamento]&lt;EOMONTH(M$1,0)+1)
)</f>
        <v>0</v>
      </c>
      <c r="N52" s="251" cm="1">
        <f t="array" ref="N52">-SUMPRODUCT(
  desp[valor] *
  (desp[nucleo]=$B52) *
  (desp[centro.negocio]=$B$51) *
  (desp[data.pagamento]&gt;=N$1) *
  (desp[data.pagamento]&lt;EOMONTH(N$1,0)+1)
)</f>
        <v>0</v>
      </c>
      <c r="O52" s="251" cm="1">
        <f t="array" ref="O52">-SUMPRODUCT(
  desp[valor] *
  (desp[nucleo]=$B52) *
  (desp[centro.negocio]=$B$51) *
  (desp[data.pagamento]&gt;=O$1) *
  (desp[data.pagamento]&lt;EOMONTH(O$1,0)+1)
)</f>
        <v>0</v>
      </c>
      <c r="P52" s="251" cm="1">
        <f t="array" ref="P52">-SUMPRODUCT(
  desp[valor] *
  (desp[nucleo]=$B52) *
  (desp[centro.negocio]=$B$51) *
  (desp[data.pagamento]&gt;=P$1) *
  (desp[data.pagamento]&lt;EOMONTH(P$1,0)+1)
)</f>
        <v>0</v>
      </c>
      <c r="Q52" s="251" cm="1">
        <f t="array" ref="Q52">-SUMPRODUCT(
  desp[valor] *
  (desp[nucleo]=$B52) *
  (desp[centro.negocio]=$B$51) *
  (desp[data.pagamento]&gt;=Q$1) *
  (desp[data.pagamento]&lt;EOMONTH(Q$1,0)+1)
)</f>
        <v>0</v>
      </c>
      <c r="S52" s="243">
        <f t="shared" si="16"/>
        <v>0</v>
      </c>
    </row>
    <row r="53" spans="1:19" outlineLevel="2" x14ac:dyDescent="0.25">
      <c r="A53" s="250" t="s">
        <v>609</v>
      </c>
      <c r="B53" s="250" t="s">
        <v>586</v>
      </c>
      <c r="C53" s="197" t="s">
        <v>556</v>
      </c>
      <c r="D53" s="251" cm="1">
        <f t="array" ref="D53">-SUMPRODUCT(
  desp[valor] *
  (desp[nucleo]=$B53) *
  (desp[centro.negocio]=$B$51) *
  (desp[data.pagamento]&gt;=D$1) *
  (desp[data.pagamento]&lt;EOMONTH(D$1,0)+1)
)</f>
        <v>0</v>
      </c>
      <c r="E53" s="251" cm="1">
        <f t="array" ref="E53">-SUMPRODUCT(
  desp[valor] *
  (desp[nucleo]=$B53) *
  (desp[centro.negocio]=$B$51) *
  (desp[data.pagamento]&gt;=E$1) *
  (desp[data.pagamento]&lt;EOMONTH(E$1,0)+1)
)</f>
        <v>0</v>
      </c>
      <c r="F53" s="251" cm="1">
        <f t="array" ref="F53">-SUMPRODUCT(
  desp[valor] *
  (desp[nucleo]=$B53) *
  (desp[centro.negocio]=$B$51) *
  (desp[data.pagamento]&gt;=F$1) *
  (desp[data.pagamento]&lt;EOMONTH(F$1,0)+1)
)</f>
        <v>0</v>
      </c>
      <c r="G53" s="251" cm="1">
        <f t="array" ref="G53">-SUMPRODUCT(
  desp[valor] *
  (desp[nucleo]=$B53) *
  (desp[centro.negocio]=$B$51) *
  (desp[data.pagamento]&gt;=G$1) *
  (desp[data.pagamento]&lt;EOMONTH(G$1,0)+1)
)</f>
        <v>0</v>
      </c>
      <c r="H53" s="251" cm="1">
        <f t="array" ref="H53">-SUMPRODUCT(
  desp[valor] *
  (desp[nucleo]=$B53) *
  (desp[centro.negocio]=$B$51) *
  (desp[data.pagamento]&gt;=H$1) *
  (desp[data.pagamento]&lt;EOMONTH(H$1,0)+1)
)</f>
        <v>0</v>
      </c>
      <c r="I53" s="251" cm="1">
        <f t="array" ref="I53">-SUMPRODUCT(
  desp[valor] *
  (desp[nucleo]=$B53) *
  (desp[centro.negocio]=$B$51) *
  (desp[data.pagamento]&gt;=I$1) *
  (desp[data.pagamento]&lt;EOMONTH(I$1,0)+1)
)</f>
        <v>0</v>
      </c>
      <c r="J53" s="251" cm="1">
        <f t="array" ref="J53">-SUMPRODUCT(
  desp[valor] *
  (desp[nucleo]=$B53) *
  (desp[centro.negocio]=$B$51) *
  (desp[data.pagamento]&gt;=J$1) *
  (desp[data.pagamento]&lt;EOMONTH(J$1,0)+1)
)</f>
        <v>0</v>
      </c>
      <c r="K53" s="251" cm="1">
        <f t="array" ref="K53">-SUMPRODUCT(
  desp[valor] *
  (desp[nucleo]=$B53) *
  (desp[centro.negocio]=$B$51) *
  (desp[data.pagamento]&gt;=K$1) *
  (desp[data.pagamento]&lt;EOMONTH(K$1,0)+1)
)</f>
        <v>0</v>
      </c>
      <c r="L53" s="251" cm="1">
        <f t="array" ref="L53">-SUMPRODUCT(
  desp[valor] *
  (desp[nucleo]=$B53) *
  (desp[centro.negocio]=$B$51) *
  (desp[data.pagamento]&gt;=L$1) *
  (desp[data.pagamento]&lt;EOMONTH(L$1,0)+1)
)</f>
        <v>0</v>
      </c>
      <c r="M53" s="251" cm="1">
        <f t="array" ref="M53">-SUMPRODUCT(
  desp[valor] *
  (desp[nucleo]=$B53) *
  (desp[centro.negocio]=$B$51) *
  (desp[data.pagamento]&gt;=M$1) *
  (desp[data.pagamento]&lt;EOMONTH(M$1,0)+1)
)</f>
        <v>0</v>
      </c>
      <c r="N53" s="251" cm="1">
        <f t="array" ref="N53">-SUMPRODUCT(
  desp[valor] *
  (desp[nucleo]=$B53) *
  (desp[centro.negocio]=$B$51) *
  (desp[data.pagamento]&gt;=N$1) *
  (desp[data.pagamento]&lt;EOMONTH(N$1,0)+1)
)</f>
        <v>0</v>
      </c>
      <c r="O53" s="251" cm="1">
        <f t="array" ref="O53">-SUMPRODUCT(
  desp[valor] *
  (desp[nucleo]=$B53) *
  (desp[centro.negocio]=$B$51) *
  (desp[data.pagamento]&gt;=O$1) *
  (desp[data.pagamento]&lt;EOMONTH(O$1,0)+1)
)</f>
        <v>0</v>
      </c>
      <c r="P53" s="251" cm="1">
        <f t="array" ref="P53">-SUMPRODUCT(
  desp[valor] *
  (desp[nucleo]=$B53) *
  (desp[centro.negocio]=$B$51) *
  (desp[data.pagamento]&gt;=P$1) *
  (desp[data.pagamento]&lt;EOMONTH(P$1,0)+1)
)</f>
        <v>0</v>
      </c>
      <c r="Q53" s="251" cm="1">
        <f t="array" ref="Q53">-SUMPRODUCT(
  desp[valor] *
  (desp[nucleo]=$B53) *
  (desp[centro.negocio]=$B$51) *
  (desp[data.pagamento]&gt;=Q$1) *
  (desp[data.pagamento]&lt;EOMONTH(Q$1,0)+1)
)</f>
        <v>0</v>
      </c>
      <c r="S53" s="243">
        <f t="shared" si="16"/>
        <v>0</v>
      </c>
    </row>
    <row r="54" spans="1:19" outlineLevel="2" x14ac:dyDescent="0.25">
      <c r="A54" s="250" t="s">
        <v>610</v>
      </c>
      <c r="B54" s="250" t="s">
        <v>596</v>
      </c>
      <c r="C54" s="197" t="s">
        <v>556</v>
      </c>
      <c r="D54" s="251" cm="1">
        <f t="array" ref="D54">-SUMPRODUCT(
  desp[valor] *
  (desp[nucleo]=$B54) *
  (desp[centro.negocio]=$B$51) *
  (desp[data.pagamento]&gt;=D$1) *
  (desp[data.pagamento]&lt;EOMONTH(D$1,0)+1)
)</f>
        <v>0</v>
      </c>
      <c r="E54" s="251" cm="1">
        <f t="array" ref="E54">-SUMPRODUCT(
  desp[valor] *
  (desp[nucleo]=$B54) *
  (desp[centro.negocio]=$B$51) *
  (desp[data.pagamento]&gt;=E$1) *
  (desp[data.pagamento]&lt;EOMONTH(E$1,0)+1)
)</f>
        <v>0</v>
      </c>
      <c r="F54" s="251" cm="1">
        <f t="array" ref="F54">-SUMPRODUCT(
  desp[valor] *
  (desp[nucleo]=$B54) *
  (desp[centro.negocio]=$B$51) *
  (desp[data.pagamento]&gt;=F$1) *
  (desp[data.pagamento]&lt;EOMONTH(F$1,0)+1)
)</f>
        <v>0</v>
      </c>
      <c r="G54" s="251" cm="1">
        <f t="array" ref="G54">-SUMPRODUCT(
  desp[valor] *
  (desp[nucleo]=$B54) *
  (desp[centro.negocio]=$B$51) *
  (desp[data.pagamento]&gt;=G$1) *
  (desp[data.pagamento]&lt;EOMONTH(G$1,0)+1)
)</f>
        <v>0</v>
      </c>
      <c r="H54" s="251" cm="1">
        <f t="array" ref="H54">-SUMPRODUCT(
  desp[valor] *
  (desp[nucleo]=$B54) *
  (desp[centro.negocio]=$B$51) *
  (desp[data.pagamento]&gt;=H$1) *
  (desp[data.pagamento]&lt;EOMONTH(H$1,0)+1)
)</f>
        <v>0</v>
      </c>
      <c r="I54" s="251" cm="1">
        <f t="array" ref="I54">-SUMPRODUCT(
  desp[valor] *
  (desp[nucleo]=$B54) *
  (desp[centro.negocio]=$B$51) *
  (desp[data.pagamento]&gt;=I$1) *
  (desp[data.pagamento]&lt;EOMONTH(I$1,0)+1)
)</f>
        <v>0</v>
      </c>
      <c r="J54" s="251" cm="1">
        <f t="array" ref="J54">-SUMPRODUCT(
  desp[valor] *
  (desp[nucleo]=$B54) *
  (desp[centro.negocio]=$B$51) *
  (desp[data.pagamento]&gt;=J$1) *
  (desp[data.pagamento]&lt;EOMONTH(J$1,0)+1)
)</f>
        <v>0</v>
      </c>
      <c r="K54" s="251" cm="1">
        <f t="array" ref="K54">-SUMPRODUCT(
  desp[valor] *
  (desp[nucleo]=$B54) *
  (desp[centro.negocio]=$B$51) *
  (desp[data.pagamento]&gt;=K$1) *
  (desp[data.pagamento]&lt;EOMONTH(K$1,0)+1)
)</f>
        <v>0</v>
      </c>
      <c r="L54" s="251" cm="1">
        <f t="array" ref="L54">-SUMPRODUCT(
  desp[valor] *
  (desp[nucleo]=$B54) *
  (desp[centro.negocio]=$B$51) *
  (desp[data.pagamento]&gt;=L$1) *
  (desp[data.pagamento]&lt;EOMONTH(L$1,0)+1)
)</f>
        <v>0</v>
      </c>
      <c r="M54" s="251" cm="1">
        <f t="array" ref="M54">-SUMPRODUCT(
  desp[valor] *
  (desp[nucleo]=$B54) *
  (desp[centro.negocio]=$B$51) *
  (desp[data.pagamento]&gt;=M$1) *
  (desp[data.pagamento]&lt;EOMONTH(M$1,0)+1)
)</f>
        <v>0</v>
      </c>
      <c r="N54" s="251" cm="1">
        <f t="array" ref="N54">-SUMPRODUCT(
  desp[valor] *
  (desp[nucleo]=$B54) *
  (desp[centro.negocio]=$B$51) *
  (desp[data.pagamento]&gt;=N$1) *
  (desp[data.pagamento]&lt;EOMONTH(N$1,0)+1)
)</f>
        <v>0</v>
      </c>
      <c r="O54" s="251" cm="1">
        <f t="array" ref="O54">-SUMPRODUCT(
  desp[valor] *
  (desp[nucleo]=$B54) *
  (desp[centro.negocio]=$B$51) *
  (desp[data.pagamento]&gt;=O$1) *
  (desp[data.pagamento]&lt;EOMONTH(O$1,0)+1)
)</f>
        <v>0</v>
      </c>
      <c r="P54" s="251" cm="1">
        <f t="array" ref="P54">-SUMPRODUCT(
  desp[valor] *
  (desp[nucleo]=$B54) *
  (desp[centro.negocio]=$B$51) *
  (desp[data.pagamento]&gt;=P$1) *
  (desp[data.pagamento]&lt;EOMONTH(P$1,0)+1)
)</f>
        <v>0</v>
      </c>
      <c r="Q54" s="251" cm="1">
        <f t="array" ref="Q54">-SUMPRODUCT(
  desp[valor] *
  (desp[nucleo]=$B54) *
  (desp[centro.negocio]=$B$51) *
  (desp[data.pagamento]&gt;=Q$1) *
  (desp[data.pagamento]&lt;EOMONTH(Q$1,0)+1)
)</f>
        <v>0</v>
      </c>
      <c r="S54" s="243">
        <f t="shared" si="16"/>
        <v>0</v>
      </c>
    </row>
    <row r="55" spans="1:19" outlineLevel="2" x14ac:dyDescent="0.25">
      <c r="A55" s="250" t="s">
        <v>611</v>
      </c>
      <c r="B55" s="250" t="s">
        <v>590</v>
      </c>
      <c r="C55" s="197" t="s">
        <v>556</v>
      </c>
      <c r="D55" s="251" cm="1">
        <f t="array" ref="D55">-SUMPRODUCT(
  desp[valor] *
  (desp[nucleo]=$B55) *
  (desp[centro.negocio]=$B$51) *
  (desp[data.pagamento]&gt;=D$1) *
  (desp[data.pagamento]&lt;EOMONTH(D$1,0)+1)
)</f>
        <v>0</v>
      </c>
      <c r="E55" s="251" cm="1">
        <f t="array" ref="E55">-SUMPRODUCT(
  desp[valor] *
  (desp[nucleo]=$B55) *
  (desp[centro.negocio]=$B$51) *
  (desp[data.pagamento]&gt;=E$1) *
  (desp[data.pagamento]&lt;EOMONTH(E$1,0)+1)
)</f>
        <v>0</v>
      </c>
      <c r="F55" s="251" cm="1">
        <f t="array" ref="F55">-SUMPRODUCT(
  desp[valor] *
  (desp[nucleo]=$B55) *
  (desp[centro.negocio]=$B$51) *
  (desp[data.pagamento]&gt;=F$1) *
  (desp[data.pagamento]&lt;EOMONTH(F$1,0)+1)
)</f>
        <v>0</v>
      </c>
      <c r="G55" s="251" cm="1">
        <f t="array" ref="G55">-SUMPRODUCT(
  desp[valor] *
  (desp[nucleo]=$B55) *
  (desp[centro.negocio]=$B$51) *
  (desp[data.pagamento]&gt;=G$1) *
  (desp[data.pagamento]&lt;EOMONTH(G$1,0)+1)
)</f>
        <v>0</v>
      </c>
      <c r="H55" s="251" cm="1">
        <f t="array" ref="H55">-SUMPRODUCT(
  desp[valor] *
  (desp[nucleo]=$B55) *
  (desp[centro.negocio]=$B$51) *
  (desp[data.pagamento]&gt;=H$1) *
  (desp[data.pagamento]&lt;EOMONTH(H$1,0)+1)
)</f>
        <v>0</v>
      </c>
      <c r="I55" s="251" cm="1">
        <f t="array" ref="I55">-SUMPRODUCT(
  desp[valor] *
  (desp[nucleo]=$B55) *
  (desp[centro.negocio]=$B$51) *
  (desp[data.pagamento]&gt;=I$1) *
  (desp[data.pagamento]&lt;EOMONTH(I$1,0)+1)
)</f>
        <v>0</v>
      </c>
      <c r="J55" s="251" cm="1">
        <f t="array" ref="J55">-SUMPRODUCT(
  desp[valor] *
  (desp[nucleo]=$B55) *
  (desp[centro.negocio]=$B$51) *
  (desp[data.pagamento]&gt;=J$1) *
  (desp[data.pagamento]&lt;EOMONTH(J$1,0)+1)
)</f>
        <v>0</v>
      </c>
      <c r="K55" s="251" cm="1">
        <f t="array" ref="K55">-SUMPRODUCT(
  desp[valor] *
  (desp[nucleo]=$B55) *
  (desp[centro.negocio]=$B$51) *
  (desp[data.pagamento]&gt;=K$1) *
  (desp[data.pagamento]&lt;EOMONTH(K$1,0)+1)
)</f>
        <v>0</v>
      </c>
      <c r="L55" s="251" cm="1">
        <f t="array" ref="L55">-SUMPRODUCT(
  desp[valor] *
  (desp[nucleo]=$B55) *
  (desp[centro.negocio]=$B$51) *
  (desp[data.pagamento]&gt;=L$1) *
  (desp[data.pagamento]&lt;EOMONTH(L$1,0)+1)
)</f>
        <v>0</v>
      </c>
      <c r="M55" s="251" cm="1">
        <f t="array" ref="M55">-SUMPRODUCT(
  desp[valor] *
  (desp[nucleo]=$B55) *
  (desp[centro.negocio]=$B$51) *
  (desp[data.pagamento]&gt;=M$1) *
  (desp[data.pagamento]&lt;EOMONTH(M$1,0)+1)
)</f>
        <v>0</v>
      </c>
      <c r="N55" s="251" cm="1">
        <f t="array" ref="N55">-SUMPRODUCT(
  desp[valor] *
  (desp[nucleo]=$B55) *
  (desp[centro.negocio]=$B$51) *
  (desp[data.pagamento]&gt;=N$1) *
  (desp[data.pagamento]&lt;EOMONTH(N$1,0)+1)
)</f>
        <v>0</v>
      </c>
      <c r="O55" s="251" cm="1">
        <f t="array" ref="O55">-SUMPRODUCT(
  desp[valor] *
  (desp[nucleo]=$B55) *
  (desp[centro.negocio]=$B$51) *
  (desp[data.pagamento]&gt;=O$1) *
  (desp[data.pagamento]&lt;EOMONTH(O$1,0)+1)
)</f>
        <v>0</v>
      </c>
      <c r="P55" s="251" cm="1">
        <f t="array" ref="P55">-SUMPRODUCT(
  desp[valor] *
  (desp[nucleo]=$B55) *
  (desp[centro.negocio]=$B$51) *
  (desp[data.pagamento]&gt;=P$1) *
  (desp[data.pagamento]&lt;EOMONTH(P$1,0)+1)
)</f>
        <v>0</v>
      </c>
      <c r="Q55" s="251" cm="1">
        <f t="array" ref="Q55">-SUMPRODUCT(
  desp[valor] *
  (desp[nucleo]=$B55) *
  (desp[centro.negocio]=$B$51) *
  (desp[data.pagamento]&gt;=Q$1) *
  (desp[data.pagamento]&lt;EOMONTH(Q$1,0)+1)
)</f>
        <v>0</v>
      </c>
      <c r="S55" s="243">
        <f t="shared" si="16"/>
        <v>0</v>
      </c>
    </row>
    <row r="56" spans="1:19" outlineLevel="2" x14ac:dyDescent="0.25">
      <c r="A56" s="250" t="s">
        <v>612</v>
      </c>
      <c r="B56" s="250" t="s">
        <v>613</v>
      </c>
      <c r="C56" s="197" t="s">
        <v>556</v>
      </c>
      <c r="D56" s="251" cm="1">
        <f t="array" ref="D56">-SUMPRODUCT(
  desp[valor] *
  (desp[nucleo]=$B56) *
  (desp[centro.negocio]=$B$51) *
  (desp[data.pagamento]&gt;=D$1) *
  (desp[data.pagamento]&lt;EOMONTH(D$1,0)+1)
)</f>
        <v>0</v>
      </c>
      <c r="E56" s="251" cm="1">
        <f t="array" ref="E56">-SUMPRODUCT(
  desp[valor] *
  (desp[nucleo]=$B56) *
  (desp[centro.negocio]=$B$51) *
  (desp[data.pagamento]&gt;=E$1) *
  (desp[data.pagamento]&lt;EOMONTH(E$1,0)+1)
)</f>
        <v>0</v>
      </c>
      <c r="F56" s="251" cm="1">
        <f t="array" ref="F56">-SUMPRODUCT(
  desp[valor] *
  (desp[nucleo]=$B56) *
  (desp[centro.negocio]=$B$51) *
  (desp[data.pagamento]&gt;=F$1) *
  (desp[data.pagamento]&lt;EOMONTH(F$1,0)+1)
)</f>
        <v>0</v>
      </c>
      <c r="G56" s="251" cm="1">
        <f t="array" ref="G56">-SUMPRODUCT(
  desp[valor] *
  (desp[nucleo]=$B56) *
  (desp[centro.negocio]=$B$51) *
  (desp[data.pagamento]&gt;=G$1) *
  (desp[data.pagamento]&lt;EOMONTH(G$1,0)+1)
)</f>
        <v>0</v>
      </c>
      <c r="H56" s="251" cm="1">
        <f t="array" ref="H56">-SUMPRODUCT(
  desp[valor] *
  (desp[nucleo]=$B56) *
  (desp[centro.negocio]=$B$51) *
  (desp[data.pagamento]&gt;=H$1) *
  (desp[data.pagamento]&lt;EOMONTH(H$1,0)+1)
)</f>
        <v>0</v>
      </c>
      <c r="I56" s="251" cm="1">
        <f t="array" ref="I56">-SUMPRODUCT(
  desp[valor] *
  (desp[nucleo]=$B56) *
  (desp[centro.negocio]=$B$51) *
  (desp[data.pagamento]&gt;=I$1) *
  (desp[data.pagamento]&lt;EOMONTH(I$1,0)+1)
)</f>
        <v>0</v>
      </c>
      <c r="J56" s="251" cm="1">
        <f t="array" ref="J56">-SUMPRODUCT(
  desp[valor] *
  (desp[nucleo]=$B56) *
  (desp[centro.negocio]=$B$51) *
  (desp[data.pagamento]&gt;=J$1) *
  (desp[data.pagamento]&lt;EOMONTH(J$1,0)+1)
)</f>
        <v>0</v>
      </c>
      <c r="K56" s="251" cm="1">
        <f t="array" ref="K56">-SUMPRODUCT(
  desp[valor] *
  (desp[nucleo]=$B56) *
  (desp[centro.negocio]=$B$51) *
  (desp[data.pagamento]&gt;=K$1) *
  (desp[data.pagamento]&lt;EOMONTH(K$1,0)+1)
)</f>
        <v>0</v>
      </c>
      <c r="L56" s="251" cm="1">
        <f t="array" ref="L56">-SUMPRODUCT(
  desp[valor] *
  (desp[nucleo]=$B56) *
  (desp[centro.negocio]=$B$51) *
  (desp[data.pagamento]&gt;=L$1) *
  (desp[data.pagamento]&lt;EOMONTH(L$1,0)+1)
)</f>
        <v>0</v>
      </c>
      <c r="M56" s="251" cm="1">
        <f t="array" ref="M56">-SUMPRODUCT(
  desp[valor] *
  (desp[nucleo]=$B56) *
  (desp[centro.negocio]=$B$51) *
  (desp[data.pagamento]&gt;=M$1) *
  (desp[data.pagamento]&lt;EOMONTH(M$1,0)+1)
)</f>
        <v>0</v>
      </c>
      <c r="N56" s="251" cm="1">
        <f t="array" ref="N56">-SUMPRODUCT(
  desp[valor] *
  (desp[nucleo]=$B56) *
  (desp[centro.negocio]=$B$51) *
  (desp[data.pagamento]&gt;=N$1) *
  (desp[data.pagamento]&lt;EOMONTH(N$1,0)+1)
)</f>
        <v>0</v>
      </c>
      <c r="O56" s="251" cm="1">
        <f t="array" ref="O56">-SUMPRODUCT(
  desp[valor] *
  (desp[nucleo]=$B56) *
  (desp[centro.negocio]=$B$51) *
  (desp[data.pagamento]&gt;=O$1) *
  (desp[data.pagamento]&lt;EOMONTH(O$1,0)+1)
)</f>
        <v>0</v>
      </c>
      <c r="P56" s="251" cm="1">
        <f t="array" ref="P56">-SUMPRODUCT(
  desp[valor] *
  (desp[nucleo]=$B56) *
  (desp[centro.negocio]=$B$51) *
  (desp[data.pagamento]&gt;=P$1) *
  (desp[data.pagamento]&lt;EOMONTH(P$1,0)+1)
)</f>
        <v>0</v>
      </c>
      <c r="Q56" s="251" cm="1">
        <f t="array" ref="Q56">-SUMPRODUCT(
  desp[valor] *
  (desp[nucleo]=$B56) *
  (desp[centro.negocio]=$B$51) *
  (desp[data.pagamento]&gt;=Q$1) *
  (desp[data.pagamento]&lt;EOMONTH(Q$1,0)+1)
)</f>
        <v>0</v>
      </c>
      <c r="S56" s="243">
        <f>SUM(D56:Q56)</f>
        <v>0</v>
      </c>
    </row>
    <row r="57" spans="1:19" outlineLevel="2" x14ac:dyDescent="0.25">
      <c r="A57" s="250" t="s">
        <v>614</v>
      </c>
      <c r="B57" s="250" t="s">
        <v>588</v>
      </c>
      <c r="C57" s="197" t="s">
        <v>556</v>
      </c>
      <c r="D57" s="251" cm="1">
        <f t="array" ref="D57">-SUMPRODUCT(
  desp[valor] *
  (desp[nucleo]=$B57) *
  (desp[centro.negocio]=$B$51) *
  (desp[data.pagamento]&gt;=D$1) *
  (desp[data.pagamento]&lt;EOMONTH(D$1,0)+1)
)</f>
        <v>0</v>
      </c>
      <c r="E57" s="251" cm="1">
        <f t="array" ref="E57">-SUMPRODUCT(
  desp[valor] *
  (desp[nucleo]=$B57) *
  (desp[centro.negocio]=$B$51) *
  (desp[data.pagamento]&gt;=E$1) *
  (desp[data.pagamento]&lt;EOMONTH(E$1,0)+1)
)</f>
        <v>0</v>
      </c>
      <c r="F57" s="251" cm="1">
        <f t="array" ref="F57">-SUMPRODUCT(
  desp[valor] *
  (desp[nucleo]=$B57) *
  (desp[centro.negocio]=$B$51) *
  (desp[data.pagamento]&gt;=F$1) *
  (desp[data.pagamento]&lt;EOMONTH(F$1,0)+1)
)</f>
        <v>0</v>
      </c>
      <c r="G57" s="251" cm="1">
        <f t="array" ref="G57">-SUMPRODUCT(
  desp[valor] *
  (desp[nucleo]=$B57) *
  (desp[centro.negocio]=$B$51) *
  (desp[data.pagamento]&gt;=G$1) *
  (desp[data.pagamento]&lt;EOMONTH(G$1,0)+1)
)</f>
        <v>0</v>
      </c>
      <c r="H57" s="251" cm="1">
        <f t="array" ref="H57">-SUMPRODUCT(
  desp[valor] *
  (desp[nucleo]=$B57) *
  (desp[centro.negocio]=$B$51) *
  (desp[data.pagamento]&gt;=H$1) *
  (desp[data.pagamento]&lt;EOMONTH(H$1,0)+1)
)</f>
        <v>0</v>
      </c>
      <c r="I57" s="251" cm="1">
        <f t="array" ref="I57">-SUMPRODUCT(
  desp[valor] *
  (desp[nucleo]=$B57) *
  (desp[centro.negocio]=$B$51) *
  (desp[data.pagamento]&gt;=I$1) *
  (desp[data.pagamento]&lt;EOMONTH(I$1,0)+1)
)</f>
        <v>0</v>
      </c>
      <c r="J57" s="251" cm="1">
        <f t="array" ref="J57">-SUMPRODUCT(
  desp[valor] *
  (desp[nucleo]=$B57) *
  (desp[centro.negocio]=$B$51) *
  (desp[data.pagamento]&gt;=J$1) *
  (desp[data.pagamento]&lt;EOMONTH(J$1,0)+1)
)</f>
        <v>0</v>
      </c>
      <c r="K57" s="251" cm="1">
        <f t="array" ref="K57">-SUMPRODUCT(
  desp[valor] *
  (desp[nucleo]=$B57) *
  (desp[centro.negocio]=$B$51) *
  (desp[data.pagamento]&gt;=K$1) *
  (desp[data.pagamento]&lt;EOMONTH(K$1,0)+1)
)</f>
        <v>0</v>
      </c>
      <c r="L57" s="251" cm="1">
        <f t="array" ref="L57">-SUMPRODUCT(
  desp[valor] *
  (desp[nucleo]=$B57) *
  (desp[centro.negocio]=$B$51) *
  (desp[data.pagamento]&gt;=L$1) *
  (desp[data.pagamento]&lt;EOMONTH(L$1,0)+1)
)</f>
        <v>0</v>
      </c>
      <c r="M57" s="251" cm="1">
        <f t="array" ref="M57">-SUMPRODUCT(
  desp[valor] *
  (desp[nucleo]=$B57) *
  (desp[centro.negocio]=$B$51) *
  (desp[data.pagamento]&gt;=M$1) *
  (desp[data.pagamento]&lt;EOMONTH(M$1,0)+1)
)</f>
        <v>0</v>
      </c>
      <c r="N57" s="251" cm="1">
        <f t="array" ref="N57">-SUMPRODUCT(
  desp[valor] *
  (desp[nucleo]=$B57) *
  (desp[centro.negocio]=$B$51) *
  (desp[data.pagamento]&gt;=N$1) *
  (desp[data.pagamento]&lt;EOMONTH(N$1,0)+1)
)</f>
        <v>0</v>
      </c>
      <c r="O57" s="251" cm="1">
        <f t="array" ref="O57">-SUMPRODUCT(
  desp[valor] *
  (desp[nucleo]=$B57) *
  (desp[centro.negocio]=$B$51) *
  (desp[data.pagamento]&gt;=O$1) *
  (desp[data.pagamento]&lt;EOMONTH(O$1,0)+1)
)</f>
        <v>0</v>
      </c>
      <c r="P57" s="251" cm="1">
        <f t="array" ref="P57">-SUMPRODUCT(
  desp[valor] *
  (desp[nucleo]=$B57) *
  (desp[centro.negocio]=$B$51) *
  (desp[data.pagamento]&gt;=P$1) *
  (desp[data.pagamento]&lt;EOMONTH(P$1,0)+1)
)</f>
        <v>0</v>
      </c>
      <c r="Q57" s="251" cm="1">
        <f t="array" ref="Q57">-SUMPRODUCT(
  desp[valor] *
  (desp[nucleo]=$B57) *
  (desp[centro.negocio]=$B$51) *
  (desp[data.pagamento]&gt;=Q$1) *
  (desp[data.pagamento]&lt;EOMONTH(Q$1,0)+1)
)</f>
        <v>0</v>
      </c>
      <c r="S57" s="243">
        <f t="shared" ref="S57" si="18">SUM(D57:Q57)</f>
        <v>0</v>
      </c>
    </row>
    <row r="58" spans="1:19" outlineLevel="2" x14ac:dyDescent="0.25">
      <c r="A58" s="250" t="s">
        <v>615</v>
      </c>
      <c r="B58" s="250" t="s">
        <v>582</v>
      </c>
      <c r="C58" s="197" t="s">
        <v>556</v>
      </c>
      <c r="D58" s="251" cm="1">
        <f t="array" ref="D58">-SUMPRODUCT(
  desp[valor] *
  (desp[nucleo]=$B58) *
  (desp[centro.negocio]=$B$51) *
  (desp[data.pagamento]&gt;=D$1) *
  (desp[data.pagamento]&lt;EOMONTH(D$1,0)+1)
)</f>
        <v>0</v>
      </c>
      <c r="E58" s="251" cm="1">
        <f t="array" ref="E58">-SUMPRODUCT(
  desp[valor] *
  (desp[nucleo]=$B58) *
  (desp[centro.negocio]=$B$51) *
  (desp[data.pagamento]&gt;=E$1) *
  (desp[data.pagamento]&lt;EOMONTH(E$1,0)+1)
)</f>
        <v>0</v>
      </c>
      <c r="F58" s="251" cm="1">
        <f t="array" ref="F58">-SUMPRODUCT(
  desp[valor] *
  (desp[nucleo]=$B58) *
  (desp[centro.negocio]=$B$51) *
  (desp[data.pagamento]&gt;=F$1) *
  (desp[data.pagamento]&lt;EOMONTH(F$1,0)+1)
)</f>
        <v>0</v>
      </c>
      <c r="G58" s="251" cm="1">
        <f t="array" ref="G58">-SUMPRODUCT(
  desp[valor] *
  (desp[nucleo]=$B58) *
  (desp[centro.negocio]=$B$51) *
  (desp[data.pagamento]&gt;=G$1) *
  (desp[data.pagamento]&lt;EOMONTH(G$1,0)+1)
)</f>
        <v>0</v>
      </c>
      <c r="H58" s="251" cm="1">
        <f t="array" ref="H58">-SUMPRODUCT(
  desp[valor] *
  (desp[nucleo]=$B58) *
  (desp[centro.negocio]=$B$51) *
  (desp[data.pagamento]&gt;=H$1) *
  (desp[data.pagamento]&lt;EOMONTH(H$1,0)+1)
)</f>
        <v>0</v>
      </c>
      <c r="I58" s="251" cm="1">
        <f t="array" ref="I58">-SUMPRODUCT(
  desp[valor] *
  (desp[nucleo]=$B58) *
  (desp[centro.negocio]=$B$51) *
  (desp[data.pagamento]&gt;=I$1) *
  (desp[data.pagamento]&lt;EOMONTH(I$1,0)+1)
)</f>
        <v>0</v>
      </c>
      <c r="J58" s="251" cm="1">
        <f t="array" ref="J58">-SUMPRODUCT(
  desp[valor] *
  (desp[nucleo]=$B58) *
  (desp[centro.negocio]=$B$51) *
  (desp[data.pagamento]&gt;=J$1) *
  (desp[data.pagamento]&lt;EOMONTH(J$1,0)+1)
)</f>
        <v>0</v>
      </c>
      <c r="K58" s="251" cm="1">
        <f t="array" ref="K58">-SUMPRODUCT(
  desp[valor] *
  (desp[nucleo]=$B58) *
  (desp[centro.negocio]=$B$51) *
  (desp[data.pagamento]&gt;=K$1) *
  (desp[data.pagamento]&lt;EOMONTH(K$1,0)+1)
)</f>
        <v>0</v>
      </c>
      <c r="L58" s="251" cm="1">
        <f t="array" ref="L58">-SUMPRODUCT(
  desp[valor] *
  (desp[nucleo]=$B58) *
  (desp[centro.negocio]=$B$51) *
  (desp[data.pagamento]&gt;=L$1) *
  (desp[data.pagamento]&lt;EOMONTH(L$1,0)+1)
)</f>
        <v>0</v>
      </c>
      <c r="M58" s="251" cm="1">
        <f t="array" ref="M58">-SUMPRODUCT(
  desp[valor] *
  (desp[nucleo]=$B58) *
  (desp[centro.negocio]=$B$51) *
  (desp[data.pagamento]&gt;=M$1) *
  (desp[data.pagamento]&lt;EOMONTH(M$1,0)+1)
)</f>
        <v>0</v>
      </c>
      <c r="N58" s="251" cm="1">
        <f t="array" ref="N58">-SUMPRODUCT(
  desp[valor] *
  (desp[nucleo]=$B58) *
  (desp[centro.negocio]=$B$51) *
  (desp[data.pagamento]&gt;=N$1) *
  (desp[data.pagamento]&lt;EOMONTH(N$1,0)+1)
)</f>
        <v>0</v>
      </c>
      <c r="O58" s="251" cm="1">
        <f t="array" ref="O58">-SUMPRODUCT(
  desp[valor] *
  (desp[nucleo]=$B58) *
  (desp[centro.negocio]=$B$51) *
  (desp[data.pagamento]&gt;=O$1) *
  (desp[data.pagamento]&lt;EOMONTH(O$1,0)+1)
)</f>
        <v>0</v>
      </c>
      <c r="P58" s="251" cm="1">
        <f t="array" ref="P58">-SUMPRODUCT(
  desp[valor] *
  (desp[nucleo]=$B58) *
  (desp[centro.negocio]=$B$51) *
  (desp[data.pagamento]&gt;=P$1) *
  (desp[data.pagamento]&lt;EOMONTH(P$1,0)+1)
)</f>
        <v>0</v>
      </c>
      <c r="Q58" s="251" cm="1">
        <f t="array" ref="Q58">-SUMPRODUCT(
  desp[valor] *
  (desp[nucleo]=$B58) *
  (desp[centro.negocio]=$B$51) *
  (desp[data.pagamento]&gt;=Q$1) *
  (desp[data.pagamento]&lt;EOMONTH(Q$1,0)+1)
)</f>
        <v>0</v>
      </c>
      <c r="S58" s="243">
        <f>SUM(D58:Q58)</f>
        <v>0</v>
      </c>
    </row>
    <row r="59" spans="1:19" outlineLevel="2" x14ac:dyDescent="0.25">
      <c r="A59" s="250" t="s">
        <v>616</v>
      </c>
      <c r="B59" s="250" t="s">
        <v>594</v>
      </c>
      <c r="C59" s="197" t="s">
        <v>556</v>
      </c>
      <c r="D59" s="251" cm="1">
        <f t="array" ref="D59">-SUMPRODUCT(
  desp[valor] *
  (desp[nucleo]=$B59) *
  (desp[centro.negocio]=$B$51) *
  (desp[data.pagamento]&gt;=D$1) *
  (desp[data.pagamento]&lt;EOMONTH(D$1,0)+1)
)</f>
        <v>0</v>
      </c>
      <c r="E59" s="251" cm="1">
        <f t="array" ref="E59">-SUMPRODUCT(
  desp[valor] *
  (desp[nucleo]=$B59) *
  (desp[centro.negocio]=$B$51) *
  (desp[data.pagamento]&gt;=E$1) *
  (desp[data.pagamento]&lt;EOMONTH(E$1,0)+1)
)</f>
        <v>0</v>
      </c>
      <c r="F59" s="251" cm="1">
        <f t="array" ref="F59">-SUMPRODUCT(
  desp[valor] *
  (desp[nucleo]=$B59) *
  (desp[centro.negocio]=$B$51) *
  (desp[data.pagamento]&gt;=F$1) *
  (desp[data.pagamento]&lt;EOMONTH(F$1,0)+1)
)</f>
        <v>0</v>
      </c>
      <c r="G59" s="251" cm="1">
        <f t="array" ref="G59">-SUMPRODUCT(
  desp[valor] *
  (desp[nucleo]=$B59) *
  (desp[centro.negocio]=$B$51) *
  (desp[data.pagamento]&gt;=G$1) *
  (desp[data.pagamento]&lt;EOMONTH(G$1,0)+1)
)</f>
        <v>0</v>
      </c>
      <c r="H59" s="251" cm="1">
        <f t="array" ref="H59">-SUMPRODUCT(
  desp[valor] *
  (desp[nucleo]=$B59) *
  (desp[centro.negocio]=$B$51) *
  (desp[data.pagamento]&gt;=H$1) *
  (desp[data.pagamento]&lt;EOMONTH(H$1,0)+1)
)</f>
        <v>0</v>
      </c>
      <c r="I59" s="251" cm="1">
        <f t="array" ref="I59">-SUMPRODUCT(
  desp[valor] *
  (desp[nucleo]=$B59) *
  (desp[centro.negocio]=$B$51) *
  (desp[data.pagamento]&gt;=I$1) *
  (desp[data.pagamento]&lt;EOMONTH(I$1,0)+1)
)</f>
        <v>0</v>
      </c>
      <c r="J59" s="251" cm="1">
        <f t="array" ref="J59">-SUMPRODUCT(
  desp[valor] *
  (desp[nucleo]=$B59) *
  (desp[centro.negocio]=$B$51) *
  (desp[data.pagamento]&gt;=J$1) *
  (desp[data.pagamento]&lt;EOMONTH(J$1,0)+1)
)</f>
        <v>0</v>
      </c>
      <c r="K59" s="251" cm="1">
        <f t="array" ref="K59">-SUMPRODUCT(
  desp[valor] *
  (desp[nucleo]=$B59) *
  (desp[centro.negocio]=$B$51) *
  (desp[data.pagamento]&gt;=K$1) *
  (desp[data.pagamento]&lt;EOMONTH(K$1,0)+1)
)</f>
        <v>0</v>
      </c>
      <c r="L59" s="251" cm="1">
        <f t="array" ref="L59">-SUMPRODUCT(
  desp[valor] *
  (desp[nucleo]=$B59) *
  (desp[centro.negocio]=$B$51) *
  (desp[data.pagamento]&gt;=L$1) *
  (desp[data.pagamento]&lt;EOMONTH(L$1,0)+1)
)</f>
        <v>0</v>
      </c>
      <c r="M59" s="251" cm="1">
        <f t="array" ref="M59">-SUMPRODUCT(
  desp[valor] *
  (desp[nucleo]=$B59) *
  (desp[centro.negocio]=$B$51) *
  (desp[data.pagamento]&gt;=M$1) *
  (desp[data.pagamento]&lt;EOMONTH(M$1,0)+1)
)</f>
        <v>0</v>
      </c>
      <c r="N59" s="251" cm="1">
        <f t="array" ref="N59">-SUMPRODUCT(
  desp[valor] *
  (desp[nucleo]=$B59) *
  (desp[centro.negocio]=$B$51) *
  (desp[data.pagamento]&gt;=N$1) *
  (desp[data.pagamento]&lt;EOMONTH(N$1,0)+1)
)</f>
        <v>0</v>
      </c>
      <c r="O59" s="251" cm="1">
        <f t="array" ref="O59">-SUMPRODUCT(
  desp[valor] *
  (desp[nucleo]=$B59) *
  (desp[centro.negocio]=$B$51) *
  (desp[data.pagamento]&gt;=O$1) *
  (desp[data.pagamento]&lt;EOMONTH(O$1,0)+1)
)</f>
        <v>0</v>
      </c>
      <c r="P59" s="251" cm="1">
        <f t="array" ref="P59">-SUMPRODUCT(
  desp[valor] *
  (desp[nucleo]=$B59) *
  (desp[centro.negocio]=$B$51) *
  (desp[data.pagamento]&gt;=P$1) *
  (desp[data.pagamento]&lt;EOMONTH(P$1,0)+1)
)</f>
        <v>0</v>
      </c>
      <c r="Q59" s="251" cm="1">
        <f t="array" ref="Q59">-SUMPRODUCT(
  desp[valor] *
  (desp[nucleo]=$B59) *
  (desp[centro.negocio]=$B$51) *
  (desp[data.pagamento]&gt;=Q$1) *
  (desp[data.pagamento]&lt;EOMONTH(Q$1,0)+1)
)</f>
        <v>0</v>
      </c>
      <c r="S59" s="243">
        <f>SUM(D59:Q59)</f>
        <v>0</v>
      </c>
    </row>
    <row r="60" spans="1:19" outlineLevel="2" x14ac:dyDescent="0.25">
      <c r="A60" s="250" t="s">
        <v>617</v>
      </c>
      <c r="B60" s="250" t="s">
        <v>584</v>
      </c>
      <c r="C60" s="197" t="s">
        <v>556</v>
      </c>
      <c r="D60" s="251" cm="1">
        <f t="array" ref="D60">-SUMPRODUCT(
  desp[valor] *
  (desp[nucleo]=$B60) *
  (desp[centro.negocio]=$B$51) *
  (desp[data.pagamento]&gt;=D$1) *
  (desp[data.pagamento]&lt;EOMONTH(D$1,0)+1)
)</f>
        <v>0</v>
      </c>
      <c r="E60" s="251" cm="1">
        <f t="array" ref="E60">-SUMPRODUCT(
  desp[valor] *
  (desp[nucleo]=$B60) *
  (desp[centro.negocio]=$B$51) *
  (desp[data.pagamento]&gt;=E$1) *
  (desp[data.pagamento]&lt;EOMONTH(E$1,0)+1)
)</f>
        <v>0</v>
      </c>
      <c r="F60" s="251" cm="1">
        <f t="array" ref="F60">-SUMPRODUCT(
  desp[valor] *
  (desp[nucleo]=$B60) *
  (desp[centro.negocio]=$B$51) *
  (desp[data.pagamento]&gt;=F$1) *
  (desp[data.pagamento]&lt;EOMONTH(F$1,0)+1)
)</f>
        <v>0</v>
      </c>
      <c r="G60" s="251" cm="1">
        <f t="array" ref="G60">-SUMPRODUCT(
  desp[valor] *
  (desp[nucleo]=$B60) *
  (desp[centro.negocio]=$B$51) *
  (desp[data.pagamento]&gt;=G$1) *
  (desp[data.pagamento]&lt;EOMONTH(G$1,0)+1)
)</f>
        <v>0</v>
      </c>
      <c r="H60" s="251" cm="1">
        <f t="array" ref="H60">-SUMPRODUCT(
  desp[valor] *
  (desp[nucleo]=$B60) *
  (desp[centro.negocio]=$B$51) *
  (desp[data.pagamento]&gt;=H$1) *
  (desp[data.pagamento]&lt;EOMONTH(H$1,0)+1)
)</f>
        <v>0</v>
      </c>
      <c r="I60" s="251" cm="1">
        <f t="array" ref="I60">-SUMPRODUCT(
  desp[valor] *
  (desp[nucleo]=$B60) *
  (desp[centro.negocio]=$B$51) *
  (desp[data.pagamento]&gt;=I$1) *
  (desp[data.pagamento]&lt;EOMONTH(I$1,0)+1)
)</f>
        <v>0</v>
      </c>
      <c r="J60" s="251" cm="1">
        <f t="array" ref="J60">-SUMPRODUCT(
  desp[valor] *
  (desp[nucleo]=$B60) *
  (desp[centro.negocio]=$B$51) *
  (desp[data.pagamento]&gt;=J$1) *
  (desp[data.pagamento]&lt;EOMONTH(J$1,0)+1)
)</f>
        <v>0</v>
      </c>
      <c r="K60" s="251" cm="1">
        <f t="array" ref="K60">-SUMPRODUCT(
  desp[valor] *
  (desp[nucleo]=$B60) *
  (desp[centro.negocio]=$B$51) *
  (desp[data.pagamento]&gt;=K$1) *
  (desp[data.pagamento]&lt;EOMONTH(K$1,0)+1)
)</f>
        <v>0</v>
      </c>
      <c r="L60" s="251" cm="1">
        <f t="array" ref="L60">-SUMPRODUCT(
  desp[valor] *
  (desp[nucleo]=$B60) *
  (desp[centro.negocio]=$B$51) *
  (desp[data.pagamento]&gt;=L$1) *
  (desp[data.pagamento]&lt;EOMONTH(L$1,0)+1)
)</f>
        <v>0</v>
      </c>
      <c r="M60" s="251" cm="1">
        <f t="array" ref="M60">-SUMPRODUCT(
  desp[valor] *
  (desp[nucleo]=$B60) *
  (desp[centro.negocio]=$B$51) *
  (desp[data.pagamento]&gt;=M$1) *
  (desp[data.pagamento]&lt;EOMONTH(M$1,0)+1)
)</f>
        <v>0</v>
      </c>
      <c r="N60" s="251" cm="1">
        <f t="array" ref="N60">-SUMPRODUCT(
  desp[valor] *
  (desp[nucleo]=$B60) *
  (desp[centro.negocio]=$B$51) *
  (desp[data.pagamento]&gt;=N$1) *
  (desp[data.pagamento]&lt;EOMONTH(N$1,0)+1)
)</f>
        <v>0</v>
      </c>
      <c r="O60" s="251" cm="1">
        <f t="array" ref="O60">-SUMPRODUCT(
  desp[valor] *
  (desp[nucleo]=$B60) *
  (desp[centro.negocio]=$B$51) *
  (desp[data.pagamento]&gt;=O$1) *
  (desp[data.pagamento]&lt;EOMONTH(O$1,0)+1)
)</f>
        <v>0</v>
      </c>
      <c r="P60" s="251" cm="1">
        <f t="array" ref="P60">-SUMPRODUCT(
  desp[valor] *
  (desp[nucleo]=$B60) *
  (desp[centro.negocio]=$B$51) *
  (desp[data.pagamento]&gt;=P$1) *
  (desp[data.pagamento]&lt;EOMONTH(P$1,0)+1)
)</f>
        <v>0</v>
      </c>
      <c r="Q60" s="251" cm="1">
        <f t="array" ref="Q60">-SUMPRODUCT(
  desp[valor] *
  (desp[nucleo]=$B60) *
  (desp[centro.negocio]=$B$51) *
  (desp[data.pagamento]&gt;=Q$1) *
  (desp[data.pagamento]&lt;EOMONTH(Q$1,0)+1)
)</f>
        <v>0</v>
      </c>
      <c r="S60" s="243">
        <f t="shared" ref="S60:S89" si="19">SUM(D60:Q60)</f>
        <v>0</v>
      </c>
    </row>
    <row r="61" spans="1:19" outlineLevel="2" x14ac:dyDescent="0.25">
      <c r="A61" s="250" t="s">
        <v>618</v>
      </c>
      <c r="B61" s="250" t="s">
        <v>619</v>
      </c>
      <c r="C61" s="197" t="s">
        <v>556</v>
      </c>
      <c r="D61" s="251" cm="1">
        <f t="array" ref="D61">-SUMPRODUCT(
  desp[valor] *
  (desp[nucleo]=$B61) *
  (desp[centro.negocio]=$B$51) *
  (desp[data.pagamento]&gt;=D$1) *
  (desp[data.pagamento]&lt;EOMONTH(D$1,0)+1)
)</f>
        <v>0</v>
      </c>
      <c r="E61" s="251" cm="1">
        <f t="array" ref="E61">-SUMPRODUCT(
  desp[valor] *
  (desp[nucleo]=$B61) *
  (desp[centro.negocio]=$B$51) *
  (desp[data.pagamento]&gt;=E$1) *
  (desp[data.pagamento]&lt;EOMONTH(E$1,0)+1)
)</f>
        <v>0</v>
      </c>
      <c r="F61" s="251" cm="1">
        <f t="array" ref="F61">-SUMPRODUCT(
  desp[valor] *
  (desp[nucleo]=$B61) *
  (desp[centro.negocio]=$B$51) *
  (desp[data.pagamento]&gt;=F$1) *
  (desp[data.pagamento]&lt;EOMONTH(F$1,0)+1)
)</f>
        <v>0</v>
      </c>
      <c r="G61" s="251" cm="1">
        <f t="array" ref="G61">-SUMPRODUCT(
  desp[valor] *
  (desp[nucleo]=$B61) *
  (desp[centro.negocio]=$B$51) *
  (desp[data.pagamento]&gt;=G$1) *
  (desp[data.pagamento]&lt;EOMONTH(G$1,0)+1)
)</f>
        <v>0</v>
      </c>
      <c r="H61" s="251" cm="1">
        <f t="array" ref="H61">-SUMPRODUCT(
  desp[valor] *
  (desp[nucleo]=$B61) *
  (desp[centro.negocio]=$B$51) *
  (desp[data.pagamento]&gt;=H$1) *
  (desp[data.pagamento]&lt;EOMONTH(H$1,0)+1)
)</f>
        <v>0</v>
      </c>
      <c r="I61" s="251" cm="1">
        <f t="array" ref="I61">-SUMPRODUCT(
  desp[valor] *
  (desp[nucleo]=$B61) *
  (desp[centro.negocio]=$B$51) *
  (desp[data.pagamento]&gt;=I$1) *
  (desp[data.pagamento]&lt;EOMONTH(I$1,0)+1)
)</f>
        <v>0</v>
      </c>
      <c r="J61" s="251" cm="1">
        <f t="array" ref="J61">-SUMPRODUCT(
  desp[valor] *
  (desp[nucleo]=$B61) *
  (desp[centro.negocio]=$B$51) *
  (desp[data.pagamento]&gt;=J$1) *
  (desp[data.pagamento]&lt;EOMONTH(J$1,0)+1)
)</f>
        <v>0</v>
      </c>
      <c r="K61" s="251" cm="1">
        <f t="array" ref="K61">-SUMPRODUCT(
  desp[valor] *
  (desp[nucleo]=$B61) *
  (desp[centro.negocio]=$B$51) *
  (desp[data.pagamento]&gt;=K$1) *
  (desp[data.pagamento]&lt;EOMONTH(K$1,0)+1)
)</f>
        <v>0</v>
      </c>
      <c r="L61" s="251" cm="1">
        <f t="array" ref="L61">-SUMPRODUCT(
  desp[valor] *
  (desp[nucleo]=$B61) *
  (desp[centro.negocio]=$B$51) *
  (desp[data.pagamento]&gt;=L$1) *
  (desp[data.pagamento]&lt;EOMONTH(L$1,0)+1)
)</f>
        <v>0</v>
      </c>
      <c r="M61" s="251" cm="1">
        <f t="array" ref="M61">-SUMPRODUCT(
  desp[valor] *
  (desp[nucleo]=$B61) *
  (desp[centro.negocio]=$B$51) *
  (desp[data.pagamento]&gt;=M$1) *
  (desp[data.pagamento]&lt;EOMONTH(M$1,0)+1)
)</f>
        <v>0</v>
      </c>
      <c r="N61" s="251" cm="1">
        <f t="array" ref="N61">-SUMPRODUCT(
  desp[valor] *
  (desp[nucleo]=$B61) *
  (desp[centro.negocio]=$B$51) *
  (desp[data.pagamento]&gt;=N$1) *
  (desp[data.pagamento]&lt;EOMONTH(N$1,0)+1)
)</f>
        <v>0</v>
      </c>
      <c r="O61" s="251" cm="1">
        <f t="array" ref="O61">-SUMPRODUCT(
  desp[valor] *
  (desp[nucleo]=$B61) *
  (desp[centro.negocio]=$B$51) *
  (desp[data.pagamento]&gt;=O$1) *
  (desp[data.pagamento]&lt;EOMONTH(O$1,0)+1)
)</f>
        <v>0</v>
      </c>
      <c r="P61" s="251" cm="1">
        <f t="array" ref="P61">-SUMPRODUCT(
  desp[valor] *
  (desp[nucleo]=$B61) *
  (desp[centro.negocio]=$B$51) *
  (desp[data.pagamento]&gt;=P$1) *
  (desp[data.pagamento]&lt;EOMONTH(P$1,0)+1)
)</f>
        <v>0</v>
      </c>
      <c r="Q61" s="251" cm="1">
        <f t="array" ref="Q61">-SUMPRODUCT(
  desp[valor] *
  (desp[nucleo]=$B61) *
  (desp[centro.negocio]=$B$51) *
  (desp[data.pagamento]&gt;=Q$1) *
  (desp[data.pagamento]&lt;EOMONTH(Q$1,0)+1)
)</f>
        <v>0</v>
      </c>
      <c r="S61" s="243">
        <f t="shared" si="19"/>
        <v>0</v>
      </c>
    </row>
    <row r="62" spans="1:19" outlineLevel="2" x14ac:dyDescent="0.25">
      <c r="A62" s="250" t="s">
        <v>620</v>
      </c>
      <c r="B62" s="250" t="s">
        <v>621</v>
      </c>
      <c r="C62" s="197" t="s">
        <v>556</v>
      </c>
      <c r="D62" s="251" cm="1">
        <f t="array" ref="D62">-SUMPRODUCT(
  desp[valor] *
  (desp[nucleo]=$B62) *
  (desp[centro.negocio]=$B$51) *
  (desp[data.pagamento]&gt;=D$1) *
  (desp[data.pagamento]&lt;EOMONTH(D$1,0)+1)
)</f>
        <v>0</v>
      </c>
      <c r="E62" s="251" cm="1">
        <f t="array" ref="E62">-SUMPRODUCT(
  desp[valor] *
  (desp[nucleo]=$B62) *
  (desp[centro.negocio]=$B$51) *
  (desp[data.pagamento]&gt;=E$1) *
  (desp[data.pagamento]&lt;EOMONTH(E$1,0)+1)
)</f>
        <v>0</v>
      </c>
      <c r="F62" s="251" cm="1">
        <f t="array" ref="F62">-SUMPRODUCT(
  desp[valor] *
  (desp[nucleo]=$B62) *
  (desp[centro.negocio]=$B$51) *
  (desp[data.pagamento]&gt;=F$1) *
  (desp[data.pagamento]&lt;EOMONTH(F$1,0)+1)
)</f>
        <v>0</v>
      </c>
      <c r="G62" s="251" cm="1">
        <f t="array" ref="G62">-SUMPRODUCT(
  desp[valor] *
  (desp[nucleo]=$B62) *
  (desp[centro.negocio]=$B$51) *
  (desp[data.pagamento]&gt;=G$1) *
  (desp[data.pagamento]&lt;EOMONTH(G$1,0)+1)
)</f>
        <v>0</v>
      </c>
      <c r="H62" s="251" cm="1">
        <f t="array" ref="H62">-SUMPRODUCT(
  desp[valor] *
  (desp[nucleo]=$B62) *
  (desp[centro.negocio]=$B$51) *
  (desp[data.pagamento]&gt;=H$1) *
  (desp[data.pagamento]&lt;EOMONTH(H$1,0)+1)
)</f>
        <v>0</v>
      </c>
      <c r="I62" s="251" cm="1">
        <f t="array" ref="I62">-SUMPRODUCT(
  desp[valor] *
  (desp[nucleo]=$B62) *
  (desp[centro.negocio]=$B$51) *
  (desp[data.pagamento]&gt;=I$1) *
  (desp[data.pagamento]&lt;EOMONTH(I$1,0)+1)
)</f>
        <v>0</v>
      </c>
      <c r="J62" s="251" cm="1">
        <f t="array" ref="J62">-SUMPRODUCT(
  desp[valor] *
  (desp[nucleo]=$B62) *
  (desp[centro.negocio]=$B$51) *
  (desp[data.pagamento]&gt;=J$1) *
  (desp[data.pagamento]&lt;EOMONTH(J$1,0)+1)
)</f>
        <v>0</v>
      </c>
      <c r="K62" s="251" cm="1">
        <f t="array" ref="K62">-SUMPRODUCT(
  desp[valor] *
  (desp[nucleo]=$B62) *
  (desp[centro.negocio]=$B$51) *
  (desp[data.pagamento]&gt;=K$1) *
  (desp[data.pagamento]&lt;EOMONTH(K$1,0)+1)
)</f>
        <v>0</v>
      </c>
      <c r="L62" s="251" cm="1">
        <f t="array" ref="L62">-SUMPRODUCT(
  desp[valor] *
  (desp[nucleo]=$B62) *
  (desp[centro.negocio]=$B$51) *
  (desp[data.pagamento]&gt;=L$1) *
  (desp[data.pagamento]&lt;EOMONTH(L$1,0)+1)
)</f>
        <v>0</v>
      </c>
      <c r="M62" s="251" cm="1">
        <f t="array" ref="M62">-SUMPRODUCT(
  desp[valor] *
  (desp[nucleo]=$B62) *
  (desp[centro.negocio]=$B$51) *
  (desp[data.pagamento]&gt;=M$1) *
  (desp[data.pagamento]&lt;EOMONTH(M$1,0)+1)
)</f>
        <v>0</v>
      </c>
      <c r="N62" s="251" cm="1">
        <f t="array" ref="N62">-SUMPRODUCT(
  desp[valor] *
  (desp[nucleo]=$B62) *
  (desp[centro.negocio]=$B$51) *
  (desp[data.pagamento]&gt;=N$1) *
  (desp[data.pagamento]&lt;EOMONTH(N$1,0)+1)
)</f>
        <v>0</v>
      </c>
      <c r="O62" s="251" cm="1">
        <f t="array" ref="O62">-SUMPRODUCT(
  desp[valor] *
  (desp[nucleo]=$B62) *
  (desp[centro.negocio]=$B$51) *
  (desp[data.pagamento]&gt;=O$1) *
  (desp[data.pagamento]&lt;EOMONTH(O$1,0)+1)
)</f>
        <v>0</v>
      </c>
      <c r="P62" s="251" cm="1">
        <f t="array" ref="P62">-SUMPRODUCT(
  desp[valor] *
  (desp[nucleo]=$B62) *
  (desp[centro.negocio]=$B$51) *
  (desp[data.pagamento]&gt;=P$1) *
  (desp[data.pagamento]&lt;EOMONTH(P$1,0)+1)
)</f>
        <v>0</v>
      </c>
      <c r="Q62" s="251" cm="1">
        <f t="array" ref="Q62">-SUMPRODUCT(
  desp[valor] *
  (desp[nucleo]=$B62) *
  (desp[centro.negocio]=$B$51) *
  (desp[data.pagamento]&gt;=Q$1) *
  (desp[data.pagamento]&lt;EOMONTH(Q$1,0)+1)
)</f>
        <v>0</v>
      </c>
      <c r="S62" s="243">
        <f t="shared" si="19"/>
        <v>0</v>
      </c>
    </row>
    <row r="63" spans="1:19" outlineLevel="2" x14ac:dyDescent="0.25">
      <c r="A63" s="250" t="s">
        <v>622</v>
      </c>
      <c r="B63" s="250" t="s">
        <v>592</v>
      </c>
      <c r="C63" s="197" t="s">
        <v>556</v>
      </c>
      <c r="D63" s="251" cm="1">
        <f t="array" ref="D63">-SUMPRODUCT(
  desp[valor] *
  (desp[nucleo]=$B63) *
  (desp[centro.negocio]=$B$51) *
  (desp[data.pagamento]&gt;=D$1) *
  (desp[data.pagamento]&lt;EOMONTH(D$1,0)+1)
)</f>
        <v>0</v>
      </c>
      <c r="E63" s="251" cm="1">
        <f t="array" ref="E63">-SUMPRODUCT(
  desp[valor] *
  (desp[nucleo]=$B63) *
  (desp[centro.negocio]=$B$51) *
  (desp[data.pagamento]&gt;=E$1) *
  (desp[data.pagamento]&lt;EOMONTH(E$1,0)+1)
)</f>
        <v>0</v>
      </c>
      <c r="F63" s="251" cm="1">
        <f t="array" ref="F63">-SUMPRODUCT(
  desp[valor] *
  (desp[nucleo]=$B63) *
  (desp[centro.negocio]=$B$51) *
  (desp[data.pagamento]&gt;=F$1) *
  (desp[data.pagamento]&lt;EOMONTH(F$1,0)+1)
)</f>
        <v>0</v>
      </c>
      <c r="G63" s="251" cm="1">
        <f t="array" ref="G63">-SUMPRODUCT(
  desp[valor] *
  (desp[nucleo]=$B63) *
  (desp[centro.negocio]=$B$51) *
  (desp[data.pagamento]&gt;=G$1) *
  (desp[data.pagamento]&lt;EOMONTH(G$1,0)+1)
)</f>
        <v>0</v>
      </c>
      <c r="H63" s="251" cm="1">
        <f t="array" ref="H63">-SUMPRODUCT(
  desp[valor] *
  (desp[nucleo]=$B63) *
  (desp[centro.negocio]=$B$51) *
  (desp[data.pagamento]&gt;=H$1) *
  (desp[data.pagamento]&lt;EOMONTH(H$1,0)+1)
)</f>
        <v>0</v>
      </c>
      <c r="I63" s="251" cm="1">
        <f t="array" ref="I63">-SUMPRODUCT(
  desp[valor] *
  (desp[nucleo]=$B63) *
  (desp[centro.negocio]=$B$51) *
  (desp[data.pagamento]&gt;=I$1) *
  (desp[data.pagamento]&lt;EOMONTH(I$1,0)+1)
)</f>
        <v>0</v>
      </c>
      <c r="J63" s="251" cm="1">
        <f t="array" ref="J63">-SUMPRODUCT(
  desp[valor] *
  (desp[nucleo]=$B63) *
  (desp[centro.negocio]=$B$51) *
  (desp[data.pagamento]&gt;=J$1) *
  (desp[data.pagamento]&lt;EOMONTH(J$1,0)+1)
)</f>
        <v>0</v>
      </c>
      <c r="K63" s="251" cm="1">
        <f t="array" ref="K63">-SUMPRODUCT(
  desp[valor] *
  (desp[nucleo]=$B63) *
  (desp[centro.negocio]=$B$51) *
  (desp[data.pagamento]&gt;=K$1) *
  (desp[data.pagamento]&lt;EOMONTH(K$1,0)+1)
)</f>
        <v>0</v>
      </c>
      <c r="L63" s="251" cm="1">
        <f t="array" ref="L63">-SUMPRODUCT(
  desp[valor] *
  (desp[nucleo]=$B63) *
  (desp[centro.negocio]=$B$51) *
  (desp[data.pagamento]&gt;=L$1) *
  (desp[data.pagamento]&lt;EOMONTH(L$1,0)+1)
)</f>
        <v>0</v>
      </c>
      <c r="M63" s="251" cm="1">
        <f t="array" ref="M63">-SUMPRODUCT(
  desp[valor] *
  (desp[nucleo]=$B63) *
  (desp[centro.negocio]=$B$51) *
  (desp[data.pagamento]&gt;=M$1) *
  (desp[data.pagamento]&lt;EOMONTH(M$1,0)+1)
)</f>
        <v>0</v>
      </c>
      <c r="N63" s="251" cm="1">
        <f t="array" ref="N63">-SUMPRODUCT(
  desp[valor] *
  (desp[nucleo]=$B63) *
  (desp[centro.negocio]=$B$51) *
  (desp[data.pagamento]&gt;=N$1) *
  (desp[data.pagamento]&lt;EOMONTH(N$1,0)+1)
)</f>
        <v>0</v>
      </c>
      <c r="O63" s="251" cm="1">
        <f t="array" ref="O63">-SUMPRODUCT(
  desp[valor] *
  (desp[nucleo]=$B63) *
  (desp[centro.negocio]=$B$51) *
  (desp[data.pagamento]&gt;=O$1) *
  (desp[data.pagamento]&lt;EOMONTH(O$1,0)+1)
)</f>
        <v>0</v>
      </c>
      <c r="P63" s="251" cm="1">
        <f t="array" ref="P63">-SUMPRODUCT(
  desp[valor] *
  (desp[nucleo]=$B63) *
  (desp[centro.negocio]=$B$51) *
  (desp[data.pagamento]&gt;=P$1) *
  (desp[data.pagamento]&lt;EOMONTH(P$1,0)+1)
)</f>
        <v>0</v>
      </c>
      <c r="Q63" s="251" cm="1">
        <f t="array" ref="Q63">-SUMPRODUCT(
  desp[valor] *
  (desp[nucleo]=$B63) *
  (desp[centro.negocio]=$B$51) *
  (desp[data.pagamento]&gt;=Q$1) *
  (desp[data.pagamento]&lt;EOMONTH(Q$1,0)+1)
)</f>
        <v>0</v>
      </c>
      <c r="S63" s="243">
        <f t="shared" si="19"/>
        <v>0</v>
      </c>
    </row>
    <row r="64" spans="1:19" outlineLevel="1" x14ac:dyDescent="0.25">
      <c r="A64" s="247" t="s">
        <v>623</v>
      </c>
      <c r="B64" s="247" t="s">
        <v>377</v>
      </c>
      <c r="C64" s="248" t="s">
        <v>556</v>
      </c>
      <c r="D64" s="249">
        <f>SUM(D$65)</f>
        <v>0</v>
      </c>
      <c r="E64" s="249">
        <f t="shared" ref="E64:Q64" si="20">SUM(E$65)</f>
        <v>0</v>
      </c>
      <c r="F64" s="249">
        <f t="shared" si="20"/>
        <v>0</v>
      </c>
      <c r="G64" s="249">
        <f t="shared" si="20"/>
        <v>0</v>
      </c>
      <c r="H64" s="249">
        <f t="shared" si="20"/>
        <v>0</v>
      </c>
      <c r="I64" s="249">
        <f t="shared" si="20"/>
        <v>0</v>
      </c>
      <c r="J64" s="249">
        <f t="shared" si="20"/>
        <v>0</v>
      </c>
      <c r="K64" s="249">
        <f t="shared" si="20"/>
        <v>0</v>
      </c>
      <c r="L64" s="249">
        <f t="shared" si="20"/>
        <v>0</v>
      </c>
      <c r="M64" s="249">
        <f t="shared" si="20"/>
        <v>0</v>
      </c>
      <c r="N64" s="249">
        <f t="shared" si="20"/>
        <v>0</v>
      </c>
      <c r="O64" s="249">
        <f t="shared" si="20"/>
        <v>0</v>
      </c>
      <c r="P64" s="249">
        <f t="shared" si="20"/>
        <v>0</v>
      </c>
      <c r="Q64" s="249">
        <f t="shared" si="20"/>
        <v>0</v>
      </c>
      <c r="S64" s="243">
        <f t="shared" si="19"/>
        <v>0</v>
      </c>
    </row>
    <row r="65" spans="1:19" outlineLevel="2" x14ac:dyDescent="0.25">
      <c r="A65" s="250" t="s">
        <v>624</v>
      </c>
      <c r="B65" s="250" t="s">
        <v>536</v>
      </c>
      <c r="C65" s="197" t="s">
        <v>556</v>
      </c>
      <c r="D65" s="251" cm="1">
        <f t="array" ref="D65">-SUMPRODUCT(
  desp[valor] *
  (desp[nucleo]=$B65) *
  (desp[centro.negocio]=$B$64) *
  (desp[data.pagamento]&gt;=D$1) *
  (desp[data.pagamento]&lt;EOMONTH(D$1,0)+1)
)</f>
        <v>0</v>
      </c>
      <c r="E65" s="251" cm="1">
        <f t="array" ref="E65">-SUMPRODUCT(
  desp[valor] *
  (desp[nucleo]=$B65) *
  (desp[centro.negocio]=$B$64) *
  (desp[data.pagamento]&gt;=E$1) *
  (desp[data.pagamento]&lt;EOMONTH(E$1,0)+1)
)</f>
        <v>0</v>
      </c>
      <c r="F65" s="251" cm="1">
        <f t="array" ref="F65">-SUMPRODUCT(
  desp[valor] *
  (desp[nucleo]=$B65) *
  (desp[centro.negocio]=$B$64) *
  (desp[data.pagamento]&gt;=F$1) *
  (desp[data.pagamento]&lt;EOMONTH(F$1,0)+1)
)</f>
        <v>0</v>
      </c>
      <c r="G65" s="251" cm="1">
        <f t="array" ref="G65">-SUMPRODUCT(
  desp[valor] *
  (desp[nucleo]=$B65) *
  (desp[centro.negocio]=$B$64) *
  (desp[data.pagamento]&gt;=G$1) *
  (desp[data.pagamento]&lt;EOMONTH(G$1,0)+1)
)</f>
        <v>0</v>
      </c>
      <c r="H65" s="251" cm="1">
        <f t="array" ref="H65">-SUMPRODUCT(
  desp[valor] *
  (desp[nucleo]=$B65) *
  (desp[centro.negocio]=$B$64) *
  (desp[data.pagamento]&gt;=H$1) *
  (desp[data.pagamento]&lt;EOMONTH(H$1,0)+1)
)</f>
        <v>0</v>
      </c>
      <c r="I65" s="251" cm="1">
        <f t="array" ref="I65">-SUMPRODUCT(
  desp[valor] *
  (desp[nucleo]=$B65) *
  (desp[centro.negocio]=$B$64) *
  (desp[data.pagamento]&gt;=I$1) *
  (desp[data.pagamento]&lt;EOMONTH(I$1,0)+1)
)</f>
        <v>0</v>
      </c>
      <c r="J65" s="251" cm="1">
        <f t="array" ref="J65">-SUMPRODUCT(
  desp[valor] *
  (desp[nucleo]=$B65) *
  (desp[centro.negocio]=$B$64) *
  (desp[data.pagamento]&gt;=J$1) *
  (desp[data.pagamento]&lt;EOMONTH(J$1,0)+1)
)</f>
        <v>0</v>
      </c>
      <c r="K65" s="251" cm="1">
        <f t="array" ref="K65">-SUMPRODUCT(
  desp[valor] *
  (desp[nucleo]=$B65) *
  (desp[centro.negocio]=$B$64) *
  (desp[data.pagamento]&gt;=K$1) *
  (desp[data.pagamento]&lt;EOMONTH(K$1,0)+1)
)</f>
        <v>0</v>
      </c>
      <c r="L65" s="251" cm="1">
        <f t="array" ref="L65">-SUMPRODUCT(
  desp[valor] *
  (desp[nucleo]=$B65) *
  (desp[centro.negocio]=$B$64) *
  (desp[data.pagamento]&gt;=L$1) *
  (desp[data.pagamento]&lt;EOMONTH(L$1,0)+1)
)</f>
        <v>0</v>
      </c>
      <c r="M65" s="251" cm="1">
        <f t="array" ref="M65">-SUMPRODUCT(
  desp[valor] *
  (desp[nucleo]=$B65) *
  (desp[centro.negocio]=$B$64) *
  (desp[data.pagamento]&gt;=M$1) *
  (desp[data.pagamento]&lt;EOMONTH(M$1,0)+1)
)</f>
        <v>0</v>
      </c>
      <c r="N65" s="251" cm="1">
        <f t="array" ref="N65">-SUMPRODUCT(
  desp[valor] *
  (desp[nucleo]=$B65) *
  (desp[centro.negocio]=$B$64) *
  (desp[data.pagamento]&gt;=N$1) *
  (desp[data.pagamento]&lt;EOMONTH(N$1,0)+1)
)</f>
        <v>0</v>
      </c>
      <c r="O65" s="251" cm="1">
        <f t="array" ref="O65">-SUMPRODUCT(
  desp[valor] *
  (desp[nucleo]=$B65) *
  (desp[centro.negocio]=$B$64) *
  (desp[data.pagamento]&gt;=O$1) *
  (desp[data.pagamento]&lt;EOMONTH(O$1,0)+1)
)</f>
        <v>0</v>
      </c>
      <c r="P65" s="251" cm="1">
        <f t="array" ref="P65">-SUMPRODUCT(
  desp[valor] *
  (desp[nucleo]=$B65) *
  (desp[centro.negocio]=$B$64) *
  (desp[data.pagamento]&gt;=P$1) *
  (desp[data.pagamento]&lt;EOMONTH(P$1,0)+1)
)</f>
        <v>0</v>
      </c>
      <c r="Q65" s="251" cm="1">
        <f t="array" ref="Q65">-SUMPRODUCT(
  desp[valor] *
  (desp[nucleo]=$B65) *
  (desp[centro.negocio]=$B$64) *
  (desp[data.pagamento]&gt;=Q$1) *
  (desp[data.pagamento]&lt;EOMONTH(Q$1,0)+1)
)</f>
        <v>0</v>
      </c>
      <c r="S65" s="243">
        <f t="shared" si="19"/>
        <v>0</v>
      </c>
    </row>
    <row r="66" spans="1:19" outlineLevel="1" x14ac:dyDescent="0.25">
      <c r="A66" s="247" t="s">
        <v>625</v>
      </c>
      <c r="B66" s="247" t="s">
        <v>414</v>
      </c>
      <c r="C66" s="248" t="s">
        <v>556</v>
      </c>
      <c r="D66" s="249">
        <f>SUM(D$67:D$69)</f>
        <v>0</v>
      </c>
      <c r="E66" s="249">
        <f t="shared" ref="E66:Q66" si="21">SUM(E$67:E$69)</f>
        <v>0</v>
      </c>
      <c r="F66" s="249">
        <f t="shared" si="21"/>
        <v>0</v>
      </c>
      <c r="G66" s="249">
        <f t="shared" si="21"/>
        <v>0</v>
      </c>
      <c r="H66" s="249">
        <f t="shared" si="21"/>
        <v>0</v>
      </c>
      <c r="I66" s="249">
        <f t="shared" si="21"/>
        <v>0</v>
      </c>
      <c r="J66" s="249">
        <f t="shared" si="21"/>
        <v>0</v>
      </c>
      <c r="K66" s="249">
        <f t="shared" si="21"/>
        <v>0</v>
      </c>
      <c r="L66" s="249">
        <f t="shared" si="21"/>
        <v>0</v>
      </c>
      <c r="M66" s="249">
        <f t="shared" si="21"/>
        <v>0</v>
      </c>
      <c r="N66" s="249">
        <f t="shared" si="21"/>
        <v>0</v>
      </c>
      <c r="O66" s="249">
        <f t="shared" si="21"/>
        <v>0</v>
      </c>
      <c r="P66" s="249">
        <f t="shared" si="21"/>
        <v>0</v>
      </c>
      <c r="Q66" s="249">
        <f t="shared" si="21"/>
        <v>0</v>
      </c>
      <c r="S66" s="243">
        <f t="shared" si="19"/>
        <v>0</v>
      </c>
    </row>
    <row r="67" spans="1:19" outlineLevel="2" x14ac:dyDescent="0.25">
      <c r="A67" s="250" t="s">
        <v>626</v>
      </c>
      <c r="B67" s="250" t="s">
        <v>536</v>
      </c>
      <c r="C67" s="197" t="s">
        <v>556</v>
      </c>
      <c r="D67" s="251" cm="1">
        <f t="array" ref="D67">-SUMPRODUCT(
  desp[valor] *
  (desp[nucleo]=$B67) *
  (desp[centro.negocio]=$B$66) *
  (desp[data.pagamento]&gt;=D$1) *
  (desp[data.pagamento]&lt;EOMONTH(D$1,0)+1)
)</f>
        <v>0</v>
      </c>
      <c r="E67" s="251" cm="1">
        <f t="array" ref="E67">-SUMPRODUCT(
  desp[valor] *
  (desp[nucleo]=$B67) *
  (desp[centro.negocio]=$B$66) *
  (desp[data.pagamento]&gt;=E$1) *
  (desp[data.pagamento]&lt;EOMONTH(E$1,0)+1)
)</f>
        <v>0</v>
      </c>
      <c r="F67" s="251" cm="1">
        <f t="array" ref="F67">-SUMPRODUCT(
  desp[valor] *
  (desp[nucleo]=$B67) *
  (desp[centro.negocio]=$B$66) *
  (desp[data.pagamento]&gt;=F$1) *
  (desp[data.pagamento]&lt;EOMONTH(F$1,0)+1)
)</f>
        <v>0</v>
      </c>
      <c r="G67" s="251" cm="1">
        <f t="array" ref="G67">-SUMPRODUCT(
  desp[valor] *
  (desp[nucleo]=$B67) *
  (desp[centro.negocio]=$B$66) *
  (desp[data.pagamento]&gt;=G$1) *
  (desp[data.pagamento]&lt;EOMONTH(G$1,0)+1)
)</f>
        <v>0</v>
      </c>
      <c r="H67" s="251" cm="1">
        <f t="array" ref="H67">-SUMPRODUCT(
  desp[valor] *
  (desp[nucleo]=$B67) *
  (desp[centro.negocio]=$B$66) *
  (desp[data.pagamento]&gt;=H$1) *
  (desp[data.pagamento]&lt;EOMONTH(H$1,0)+1)
)</f>
        <v>0</v>
      </c>
      <c r="I67" s="251" cm="1">
        <f t="array" ref="I67">-SUMPRODUCT(
  desp[valor] *
  (desp[nucleo]=$B67) *
  (desp[centro.negocio]=$B$66) *
  (desp[data.pagamento]&gt;=I$1) *
  (desp[data.pagamento]&lt;EOMONTH(I$1,0)+1)
)</f>
        <v>0</v>
      </c>
      <c r="J67" s="251" cm="1">
        <f t="array" ref="J67">-SUMPRODUCT(
  desp[valor] *
  (desp[nucleo]=$B67) *
  (desp[centro.negocio]=$B$66) *
  (desp[data.pagamento]&gt;=J$1) *
  (desp[data.pagamento]&lt;EOMONTH(J$1,0)+1)
)</f>
        <v>0</v>
      </c>
      <c r="K67" s="251" cm="1">
        <f t="array" ref="K67">-SUMPRODUCT(
  desp[valor] *
  (desp[nucleo]=$B67) *
  (desp[centro.negocio]=$B$66) *
  (desp[data.pagamento]&gt;=K$1) *
  (desp[data.pagamento]&lt;EOMONTH(K$1,0)+1)
)</f>
        <v>0</v>
      </c>
      <c r="L67" s="251" cm="1">
        <f t="array" ref="L67">-SUMPRODUCT(
  desp[valor] *
  (desp[nucleo]=$B67) *
  (desp[centro.negocio]=$B$66) *
  (desp[data.pagamento]&gt;=L$1) *
  (desp[data.pagamento]&lt;EOMONTH(L$1,0)+1)
)</f>
        <v>0</v>
      </c>
      <c r="M67" s="251" cm="1">
        <f t="array" ref="M67">-SUMPRODUCT(
  desp[valor] *
  (desp[nucleo]=$B67) *
  (desp[centro.negocio]=$B$66) *
  (desp[data.pagamento]&gt;=M$1) *
  (desp[data.pagamento]&lt;EOMONTH(M$1,0)+1)
)</f>
        <v>0</v>
      </c>
      <c r="N67" s="251" cm="1">
        <f t="array" ref="N67">-SUMPRODUCT(
  desp[valor] *
  (desp[nucleo]=$B67) *
  (desp[centro.negocio]=$B$66) *
  (desp[data.pagamento]&gt;=N$1) *
  (desp[data.pagamento]&lt;EOMONTH(N$1,0)+1)
)</f>
        <v>0</v>
      </c>
      <c r="O67" s="251" cm="1">
        <f t="array" ref="O67">-SUMPRODUCT(
  desp[valor] *
  (desp[nucleo]=$B67) *
  (desp[centro.negocio]=$B$66) *
  (desp[data.pagamento]&gt;=O$1) *
  (desp[data.pagamento]&lt;EOMONTH(O$1,0)+1)
)</f>
        <v>0</v>
      </c>
      <c r="P67" s="251" cm="1">
        <f t="array" ref="P67">-SUMPRODUCT(
  desp[valor] *
  (desp[nucleo]=$B67) *
  (desp[centro.negocio]=$B$66) *
  (desp[data.pagamento]&gt;=P$1) *
  (desp[data.pagamento]&lt;EOMONTH(P$1,0)+1)
)</f>
        <v>0</v>
      </c>
      <c r="Q67" s="251" cm="1">
        <f t="array" ref="Q67">-SUMPRODUCT(
  desp[valor] *
  (desp[nucleo]=$B67) *
  (desp[centro.negocio]=$B$66) *
  (desp[data.pagamento]&gt;=Q$1) *
  (desp[data.pagamento]&lt;EOMONTH(Q$1,0)+1)
)</f>
        <v>0</v>
      </c>
      <c r="S67" s="243">
        <f t="shared" si="19"/>
        <v>0</v>
      </c>
    </row>
    <row r="68" spans="1:19" outlineLevel="2" x14ac:dyDescent="0.25">
      <c r="A68" s="250" t="s">
        <v>627</v>
      </c>
      <c r="B68" s="250" t="s">
        <v>628</v>
      </c>
      <c r="C68" s="197" t="s">
        <v>556</v>
      </c>
      <c r="D68" s="251" cm="1">
        <f t="array" ref="D68">-SUMPRODUCT(
  desp[valor] *
  (desp[nucleo]=$B68) *
  (desp[centro.negocio]=$B$66) *
  (desp[data.pagamento]&gt;=D$1) *
  (desp[data.pagamento]&lt;EOMONTH(D$1,0)+1)
)</f>
        <v>0</v>
      </c>
      <c r="E68" s="251" cm="1">
        <f t="array" ref="E68">-SUMPRODUCT(
  desp[valor] *
  (desp[nucleo]=$B68) *
  (desp[centro.negocio]=$B$66) *
  (desp[data.pagamento]&gt;=E$1) *
  (desp[data.pagamento]&lt;EOMONTH(E$1,0)+1)
)</f>
        <v>0</v>
      </c>
      <c r="F68" s="251" cm="1">
        <f t="array" ref="F68">-SUMPRODUCT(
  desp[valor] *
  (desp[nucleo]=$B68) *
  (desp[centro.negocio]=$B$66) *
  (desp[data.pagamento]&gt;=F$1) *
  (desp[data.pagamento]&lt;EOMONTH(F$1,0)+1)
)</f>
        <v>0</v>
      </c>
      <c r="G68" s="251" cm="1">
        <f t="array" ref="G68">-SUMPRODUCT(
  desp[valor] *
  (desp[nucleo]=$B68) *
  (desp[centro.negocio]=$B$66) *
  (desp[data.pagamento]&gt;=G$1) *
  (desp[data.pagamento]&lt;EOMONTH(G$1,0)+1)
)</f>
        <v>0</v>
      </c>
      <c r="H68" s="251" cm="1">
        <f t="array" ref="H68">-SUMPRODUCT(
  desp[valor] *
  (desp[nucleo]=$B68) *
  (desp[centro.negocio]=$B$66) *
  (desp[data.pagamento]&gt;=H$1) *
  (desp[data.pagamento]&lt;EOMONTH(H$1,0)+1)
)</f>
        <v>0</v>
      </c>
      <c r="I68" s="251" cm="1">
        <f t="array" ref="I68">-SUMPRODUCT(
  desp[valor] *
  (desp[nucleo]=$B68) *
  (desp[centro.negocio]=$B$66) *
  (desp[data.pagamento]&gt;=I$1) *
  (desp[data.pagamento]&lt;EOMONTH(I$1,0)+1)
)</f>
        <v>0</v>
      </c>
      <c r="J68" s="251" cm="1">
        <f t="array" ref="J68">-SUMPRODUCT(
  desp[valor] *
  (desp[nucleo]=$B68) *
  (desp[centro.negocio]=$B$66) *
  (desp[data.pagamento]&gt;=J$1) *
  (desp[data.pagamento]&lt;EOMONTH(J$1,0)+1)
)</f>
        <v>0</v>
      </c>
      <c r="K68" s="251" cm="1">
        <f t="array" ref="K68">-SUMPRODUCT(
  desp[valor] *
  (desp[nucleo]=$B68) *
  (desp[centro.negocio]=$B$66) *
  (desp[data.pagamento]&gt;=K$1) *
  (desp[data.pagamento]&lt;EOMONTH(K$1,0)+1)
)</f>
        <v>0</v>
      </c>
      <c r="L68" s="251" cm="1">
        <f t="array" ref="L68">-SUMPRODUCT(
  desp[valor] *
  (desp[nucleo]=$B68) *
  (desp[centro.negocio]=$B$66) *
  (desp[data.pagamento]&gt;=L$1) *
  (desp[data.pagamento]&lt;EOMONTH(L$1,0)+1)
)</f>
        <v>0</v>
      </c>
      <c r="M68" s="251" cm="1">
        <f t="array" ref="M68">-SUMPRODUCT(
  desp[valor] *
  (desp[nucleo]=$B68) *
  (desp[centro.negocio]=$B$66) *
  (desp[data.pagamento]&gt;=M$1) *
  (desp[data.pagamento]&lt;EOMONTH(M$1,0)+1)
)</f>
        <v>0</v>
      </c>
      <c r="N68" s="251" cm="1">
        <f t="array" ref="N68">-SUMPRODUCT(
  desp[valor] *
  (desp[nucleo]=$B68) *
  (desp[centro.negocio]=$B$66) *
  (desp[data.pagamento]&gt;=N$1) *
  (desp[data.pagamento]&lt;EOMONTH(N$1,0)+1)
)</f>
        <v>0</v>
      </c>
      <c r="O68" s="251" cm="1">
        <f t="array" ref="O68">-SUMPRODUCT(
  desp[valor] *
  (desp[nucleo]=$B68) *
  (desp[centro.negocio]=$B$66) *
  (desp[data.pagamento]&gt;=O$1) *
  (desp[data.pagamento]&lt;EOMONTH(O$1,0)+1)
)</f>
        <v>0</v>
      </c>
      <c r="P68" s="251" cm="1">
        <f t="array" ref="P68">-SUMPRODUCT(
  desp[valor] *
  (desp[nucleo]=$B68) *
  (desp[centro.negocio]=$B$66) *
  (desp[data.pagamento]&gt;=P$1) *
  (desp[data.pagamento]&lt;EOMONTH(P$1,0)+1)
)</f>
        <v>0</v>
      </c>
      <c r="Q68" s="251" cm="1">
        <f t="array" ref="Q68">-SUMPRODUCT(
  desp[valor] *
  (desp[nucleo]=$B68) *
  (desp[centro.negocio]=$B$66) *
  (desp[data.pagamento]&gt;=Q$1) *
  (desp[data.pagamento]&lt;EOMONTH(Q$1,0)+1)
)</f>
        <v>0</v>
      </c>
      <c r="S68" s="243">
        <f t="shared" si="19"/>
        <v>0</v>
      </c>
    </row>
    <row r="69" spans="1:19" outlineLevel="2" x14ac:dyDescent="0.25">
      <c r="A69" s="250" t="s">
        <v>629</v>
      </c>
      <c r="B69" s="250" t="s">
        <v>630</v>
      </c>
      <c r="C69" s="197" t="s">
        <v>556</v>
      </c>
      <c r="D69" s="251" cm="1">
        <f t="array" ref="D69">-SUMPRODUCT(
  desp[valor] *
  (desp[nucleo]=$B69) *
  (desp[centro.negocio]=$B$66) *
  (desp[data.pagamento]&gt;=D$1) *
  (desp[data.pagamento]&lt;EOMONTH(D$1,0)+1)
)</f>
        <v>0</v>
      </c>
      <c r="E69" s="251" cm="1">
        <f t="array" ref="E69">-SUMPRODUCT(
  desp[valor] *
  (desp[nucleo]=$B69) *
  (desp[centro.negocio]=$B$66) *
  (desp[data.pagamento]&gt;=E$1) *
  (desp[data.pagamento]&lt;EOMONTH(E$1,0)+1)
)</f>
        <v>0</v>
      </c>
      <c r="F69" s="251" cm="1">
        <f t="array" ref="F69">-SUMPRODUCT(
  desp[valor] *
  (desp[nucleo]=$B69) *
  (desp[centro.negocio]=$B$66) *
  (desp[data.pagamento]&gt;=F$1) *
  (desp[data.pagamento]&lt;EOMONTH(F$1,0)+1)
)</f>
        <v>0</v>
      </c>
      <c r="G69" s="251" cm="1">
        <f t="array" ref="G69">-SUMPRODUCT(
  desp[valor] *
  (desp[nucleo]=$B69) *
  (desp[centro.negocio]=$B$66) *
  (desp[data.pagamento]&gt;=G$1) *
  (desp[data.pagamento]&lt;EOMONTH(G$1,0)+1)
)</f>
        <v>0</v>
      </c>
      <c r="H69" s="251" cm="1">
        <f t="array" ref="H69">-SUMPRODUCT(
  desp[valor] *
  (desp[nucleo]=$B69) *
  (desp[centro.negocio]=$B$66) *
  (desp[data.pagamento]&gt;=H$1) *
  (desp[data.pagamento]&lt;EOMONTH(H$1,0)+1)
)</f>
        <v>0</v>
      </c>
      <c r="I69" s="251" cm="1">
        <f t="array" ref="I69">-SUMPRODUCT(
  desp[valor] *
  (desp[nucleo]=$B69) *
  (desp[centro.negocio]=$B$66) *
  (desp[data.pagamento]&gt;=I$1) *
  (desp[data.pagamento]&lt;EOMONTH(I$1,0)+1)
)</f>
        <v>0</v>
      </c>
      <c r="J69" s="251" cm="1">
        <f t="array" ref="J69">-SUMPRODUCT(
  desp[valor] *
  (desp[nucleo]=$B69) *
  (desp[centro.negocio]=$B$66) *
  (desp[data.pagamento]&gt;=J$1) *
  (desp[data.pagamento]&lt;EOMONTH(J$1,0)+1)
)</f>
        <v>0</v>
      </c>
      <c r="K69" s="251" cm="1">
        <f t="array" ref="K69">-SUMPRODUCT(
  desp[valor] *
  (desp[nucleo]=$B69) *
  (desp[centro.negocio]=$B$66) *
  (desp[data.pagamento]&gt;=K$1) *
  (desp[data.pagamento]&lt;EOMONTH(K$1,0)+1)
)</f>
        <v>0</v>
      </c>
      <c r="L69" s="251" cm="1">
        <f t="array" ref="L69">-SUMPRODUCT(
  desp[valor] *
  (desp[nucleo]=$B69) *
  (desp[centro.negocio]=$B$66) *
  (desp[data.pagamento]&gt;=L$1) *
  (desp[data.pagamento]&lt;EOMONTH(L$1,0)+1)
)</f>
        <v>0</v>
      </c>
      <c r="M69" s="251" cm="1">
        <f t="array" ref="M69">-SUMPRODUCT(
  desp[valor] *
  (desp[nucleo]=$B69) *
  (desp[centro.negocio]=$B$66) *
  (desp[data.pagamento]&gt;=M$1) *
  (desp[data.pagamento]&lt;EOMONTH(M$1,0)+1)
)</f>
        <v>0</v>
      </c>
      <c r="N69" s="251" cm="1">
        <f t="array" ref="N69">-SUMPRODUCT(
  desp[valor] *
  (desp[nucleo]=$B69) *
  (desp[centro.negocio]=$B$66) *
  (desp[data.pagamento]&gt;=N$1) *
  (desp[data.pagamento]&lt;EOMONTH(N$1,0)+1)
)</f>
        <v>0</v>
      </c>
      <c r="O69" s="251" cm="1">
        <f t="array" ref="O69">-SUMPRODUCT(
  desp[valor] *
  (desp[nucleo]=$B69) *
  (desp[centro.negocio]=$B$66) *
  (desp[data.pagamento]&gt;=O$1) *
  (desp[data.pagamento]&lt;EOMONTH(O$1,0)+1)
)</f>
        <v>0</v>
      </c>
      <c r="P69" s="251" cm="1">
        <f t="array" ref="P69">-SUMPRODUCT(
  desp[valor] *
  (desp[nucleo]=$B69) *
  (desp[centro.negocio]=$B$66) *
  (desp[data.pagamento]&gt;=P$1) *
  (desp[data.pagamento]&lt;EOMONTH(P$1,0)+1)
)</f>
        <v>0</v>
      </c>
      <c r="Q69" s="251" cm="1">
        <f t="array" ref="Q69">-SUMPRODUCT(
  desp[valor] *
  (desp[nucleo]=$B69) *
  (desp[centro.negocio]=$B$66) *
  (desp[data.pagamento]&gt;=Q$1) *
  (desp[data.pagamento]&lt;EOMONTH(Q$1,0)+1)
)</f>
        <v>0</v>
      </c>
      <c r="S69" s="243">
        <f t="shared" si="19"/>
        <v>0</v>
      </c>
    </row>
    <row r="70" spans="1:19" outlineLevel="1" x14ac:dyDescent="0.25">
      <c r="A70" s="247" t="s">
        <v>631</v>
      </c>
      <c r="B70" s="247" t="s">
        <v>409</v>
      </c>
      <c r="C70" s="248" t="s">
        <v>556</v>
      </c>
      <c r="D70" s="249">
        <f t="shared" ref="D70:Q70" si="22">SUM(D$71)</f>
        <v>0</v>
      </c>
      <c r="E70" s="249">
        <f t="shared" si="22"/>
        <v>0</v>
      </c>
      <c r="F70" s="249">
        <f t="shared" si="22"/>
        <v>0</v>
      </c>
      <c r="G70" s="249">
        <f t="shared" si="22"/>
        <v>0</v>
      </c>
      <c r="H70" s="249">
        <f t="shared" si="22"/>
        <v>0</v>
      </c>
      <c r="I70" s="249">
        <f t="shared" si="22"/>
        <v>0</v>
      </c>
      <c r="J70" s="249">
        <f t="shared" si="22"/>
        <v>0</v>
      </c>
      <c r="K70" s="249">
        <f t="shared" si="22"/>
        <v>0</v>
      </c>
      <c r="L70" s="249">
        <f t="shared" si="22"/>
        <v>0</v>
      </c>
      <c r="M70" s="249">
        <f t="shared" si="22"/>
        <v>0</v>
      </c>
      <c r="N70" s="249">
        <f t="shared" si="22"/>
        <v>0</v>
      </c>
      <c r="O70" s="249">
        <f t="shared" si="22"/>
        <v>0</v>
      </c>
      <c r="P70" s="249">
        <f t="shared" si="22"/>
        <v>0</v>
      </c>
      <c r="Q70" s="249">
        <f t="shared" si="22"/>
        <v>0</v>
      </c>
      <c r="S70" s="243">
        <f t="shared" si="19"/>
        <v>0</v>
      </c>
    </row>
    <row r="71" spans="1:19" outlineLevel="2" x14ac:dyDescent="0.25">
      <c r="A71" s="250" t="s">
        <v>632</v>
      </c>
      <c r="B71" s="250" t="s">
        <v>582</v>
      </c>
      <c r="C71" s="197" t="s">
        <v>556</v>
      </c>
      <c r="D71" s="251" cm="1">
        <f t="array" ref="D71">-SUMPRODUCT(
  desp[valor] *
  (desp[nucleo]=$B71) *
  (desp[centro.negocio]=$B$70) *
  (desp[data.pagamento]&gt;=D$1) *
  (desp[data.pagamento]&lt;EOMONTH(D$1,0)+1)
)</f>
        <v>0</v>
      </c>
      <c r="E71" s="251" cm="1">
        <f t="array" ref="E71">-SUMPRODUCT(
  desp[valor] *
  (desp[nucleo]=$B71) *
  (desp[centro.negocio]=$B$70) *
  (desp[data.pagamento]&gt;=E$1) *
  (desp[data.pagamento]&lt;EOMONTH(E$1,0)+1)
)</f>
        <v>0</v>
      </c>
      <c r="F71" s="251" cm="1">
        <f t="array" ref="F71">-SUMPRODUCT(
  desp[valor] *
  (desp[nucleo]=$B71) *
  (desp[centro.negocio]=$B$70) *
  (desp[data.pagamento]&gt;=F$1) *
  (desp[data.pagamento]&lt;EOMONTH(F$1,0)+1)
)</f>
        <v>0</v>
      </c>
      <c r="G71" s="251" cm="1">
        <f t="array" ref="G71">-SUMPRODUCT(
  desp[valor] *
  (desp[nucleo]=$B71) *
  (desp[centro.negocio]=$B$70) *
  (desp[data.pagamento]&gt;=G$1) *
  (desp[data.pagamento]&lt;EOMONTH(G$1,0)+1)
)</f>
        <v>0</v>
      </c>
      <c r="H71" s="251" cm="1">
        <f t="array" ref="H71">-SUMPRODUCT(
  desp[valor] *
  (desp[nucleo]=$B71) *
  (desp[centro.negocio]=$B$70) *
  (desp[data.pagamento]&gt;=H$1) *
  (desp[data.pagamento]&lt;EOMONTH(H$1,0)+1)
)</f>
        <v>0</v>
      </c>
      <c r="I71" s="251" cm="1">
        <f t="array" ref="I71">-SUMPRODUCT(
  desp[valor] *
  (desp[nucleo]=$B71) *
  (desp[centro.negocio]=$B$70) *
  (desp[data.pagamento]&gt;=I$1) *
  (desp[data.pagamento]&lt;EOMONTH(I$1,0)+1)
)</f>
        <v>0</v>
      </c>
      <c r="J71" s="251" cm="1">
        <f t="array" ref="J71">-SUMPRODUCT(
  desp[valor] *
  (desp[nucleo]=$B71) *
  (desp[centro.negocio]=$B$70) *
  (desp[data.pagamento]&gt;=J$1) *
  (desp[data.pagamento]&lt;EOMONTH(J$1,0)+1)
)</f>
        <v>0</v>
      </c>
      <c r="K71" s="251" cm="1">
        <f t="array" ref="K71">-SUMPRODUCT(
  desp[valor] *
  (desp[nucleo]=$B71) *
  (desp[centro.negocio]=$B$70) *
  (desp[data.pagamento]&gt;=K$1) *
  (desp[data.pagamento]&lt;EOMONTH(K$1,0)+1)
)</f>
        <v>0</v>
      </c>
      <c r="L71" s="251" cm="1">
        <f t="array" ref="L71">-SUMPRODUCT(
  desp[valor] *
  (desp[nucleo]=$B71) *
  (desp[centro.negocio]=$B$70) *
  (desp[data.pagamento]&gt;=L$1) *
  (desp[data.pagamento]&lt;EOMONTH(L$1,0)+1)
)</f>
        <v>0</v>
      </c>
      <c r="M71" s="251" cm="1">
        <f t="array" ref="M71">-SUMPRODUCT(
  desp[valor] *
  (desp[nucleo]=$B71) *
  (desp[centro.negocio]=$B$70) *
  (desp[data.pagamento]&gt;=M$1) *
  (desp[data.pagamento]&lt;EOMONTH(M$1,0)+1)
)</f>
        <v>0</v>
      </c>
      <c r="N71" s="251" cm="1">
        <f t="array" ref="N71">-SUMPRODUCT(
  desp[valor] *
  (desp[nucleo]=$B71) *
  (desp[centro.negocio]=$B$70) *
  (desp[data.pagamento]&gt;=N$1) *
  (desp[data.pagamento]&lt;EOMONTH(N$1,0)+1)
)</f>
        <v>0</v>
      </c>
      <c r="O71" s="251" cm="1">
        <f t="array" ref="O71">-SUMPRODUCT(
  desp[valor] *
  (desp[nucleo]=$B71) *
  (desp[centro.negocio]=$B$70) *
  (desp[data.pagamento]&gt;=O$1) *
  (desp[data.pagamento]&lt;EOMONTH(O$1,0)+1)
)</f>
        <v>0</v>
      </c>
      <c r="P71" s="251" cm="1">
        <f t="array" ref="P71">-SUMPRODUCT(
  desp[valor] *
  (desp[nucleo]=$B71) *
  (desp[centro.negocio]=$B$70) *
  (desp[data.pagamento]&gt;=P$1) *
  (desp[data.pagamento]&lt;EOMONTH(P$1,0)+1)
)</f>
        <v>0</v>
      </c>
      <c r="Q71" s="251" cm="1">
        <f t="array" ref="Q71">-SUMPRODUCT(
  desp[valor] *
  (desp[nucleo]=$B71) *
  (desp[centro.negocio]=$B$70) *
  (desp[data.pagamento]&gt;=Q$1) *
  (desp[data.pagamento]&lt;EOMONTH(Q$1,0)+1)
)</f>
        <v>0</v>
      </c>
      <c r="S71" s="243">
        <f t="shared" si="19"/>
        <v>0</v>
      </c>
    </row>
    <row r="72" spans="1:19" outlineLevel="1" x14ac:dyDescent="0.25">
      <c r="A72" s="247" t="s">
        <v>633</v>
      </c>
      <c r="B72" s="247" t="s">
        <v>410</v>
      </c>
      <c r="C72" s="248" t="s">
        <v>556</v>
      </c>
      <c r="D72" s="249">
        <f t="shared" ref="D72:Q72" si="23">SUM(D$73)</f>
        <v>0</v>
      </c>
      <c r="E72" s="249">
        <f t="shared" si="23"/>
        <v>0</v>
      </c>
      <c r="F72" s="249">
        <f t="shared" si="23"/>
        <v>0</v>
      </c>
      <c r="G72" s="249">
        <f t="shared" si="23"/>
        <v>0</v>
      </c>
      <c r="H72" s="249">
        <f t="shared" si="23"/>
        <v>0</v>
      </c>
      <c r="I72" s="249">
        <f t="shared" si="23"/>
        <v>0</v>
      </c>
      <c r="J72" s="249">
        <f t="shared" si="23"/>
        <v>0</v>
      </c>
      <c r="K72" s="249">
        <f t="shared" si="23"/>
        <v>0</v>
      </c>
      <c r="L72" s="249">
        <f t="shared" si="23"/>
        <v>0</v>
      </c>
      <c r="M72" s="249">
        <f t="shared" si="23"/>
        <v>0</v>
      </c>
      <c r="N72" s="249">
        <f t="shared" si="23"/>
        <v>0</v>
      </c>
      <c r="O72" s="249">
        <f t="shared" si="23"/>
        <v>0</v>
      </c>
      <c r="P72" s="249">
        <f t="shared" si="23"/>
        <v>0</v>
      </c>
      <c r="Q72" s="249">
        <f t="shared" si="23"/>
        <v>0</v>
      </c>
      <c r="S72" s="243">
        <f t="shared" si="19"/>
        <v>0</v>
      </c>
    </row>
    <row r="73" spans="1:19" outlineLevel="2" x14ac:dyDescent="0.25">
      <c r="A73" s="250" t="s">
        <v>634</v>
      </c>
      <c r="B73" s="250" t="s">
        <v>584</v>
      </c>
      <c r="C73" s="197" t="s">
        <v>556</v>
      </c>
      <c r="D73" s="251" cm="1">
        <f t="array" ref="D73">-SUMPRODUCT(
  desp[valor] *
  (desp[nucleo]=$B73) *
  (desp[centro.negocio]=$B$72) *
  (desp[data.pagamento]&gt;=D$1) *
  (desp[data.pagamento]&lt;EOMONTH(D$1,0)+1)
)</f>
        <v>0</v>
      </c>
      <c r="E73" s="251" cm="1">
        <f t="array" ref="E73">-SUMPRODUCT(
  desp[valor] *
  (desp[nucleo]=$B73) *
  (desp[centro.negocio]=$B$72) *
  (desp[data.pagamento]&gt;=E$1) *
  (desp[data.pagamento]&lt;EOMONTH(E$1,0)+1)
)</f>
        <v>0</v>
      </c>
      <c r="F73" s="251" cm="1">
        <f t="array" ref="F73">-SUMPRODUCT(
  desp[valor] *
  (desp[nucleo]=$B73) *
  (desp[centro.negocio]=$B$72) *
  (desp[data.pagamento]&gt;=F$1) *
  (desp[data.pagamento]&lt;EOMONTH(F$1,0)+1)
)</f>
        <v>0</v>
      </c>
      <c r="G73" s="251" cm="1">
        <f t="array" ref="G73">-SUMPRODUCT(
  desp[valor] *
  (desp[nucleo]=$B73) *
  (desp[centro.negocio]=$B$72) *
  (desp[data.pagamento]&gt;=G$1) *
  (desp[data.pagamento]&lt;EOMONTH(G$1,0)+1)
)</f>
        <v>0</v>
      </c>
      <c r="H73" s="251" cm="1">
        <f t="array" ref="H73">-SUMPRODUCT(
  desp[valor] *
  (desp[nucleo]=$B73) *
  (desp[centro.negocio]=$B$72) *
  (desp[data.pagamento]&gt;=H$1) *
  (desp[data.pagamento]&lt;EOMONTH(H$1,0)+1)
)</f>
        <v>0</v>
      </c>
      <c r="I73" s="251" cm="1">
        <f t="array" ref="I73">-SUMPRODUCT(
  desp[valor] *
  (desp[nucleo]=$B73) *
  (desp[centro.negocio]=$B$72) *
  (desp[data.pagamento]&gt;=I$1) *
  (desp[data.pagamento]&lt;EOMONTH(I$1,0)+1)
)</f>
        <v>0</v>
      </c>
      <c r="J73" s="251" cm="1">
        <f t="array" ref="J73">-SUMPRODUCT(
  desp[valor] *
  (desp[nucleo]=$B73) *
  (desp[centro.negocio]=$B$72) *
  (desp[data.pagamento]&gt;=J$1) *
  (desp[data.pagamento]&lt;EOMONTH(J$1,0)+1)
)</f>
        <v>0</v>
      </c>
      <c r="K73" s="251" cm="1">
        <f t="array" ref="K73">-SUMPRODUCT(
  desp[valor] *
  (desp[nucleo]=$B73) *
  (desp[centro.negocio]=$B$72) *
  (desp[data.pagamento]&gt;=K$1) *
  (desp[data.pagamento]&lt;EOMONTH(K$1,0)+1)
)</f>
        <v>0</v>
      </c>
      <c r="L73" s="251" cm="1">
        <f t="array" ref="L73">-SUMPRODUCT(
  desp[valor] *
  (desp[nucleo]=$B73) *
  (desp[centro.negocio]=$B$72) *
  (desp[data.pagamento]&gt;=L$1) *
  (desp[data.pagamento]&lt;EOMONTH(L$1,0)+1)
)</f>
        <v>0</v>
      </c>
      <c r="M73" s="251" cm="1">
        <f t="array" ref="M73">-SUMPRODUCT(
  desp[valor] *
  (desp[nucleo]=$B73) *
  (desp[centro.negocio]=$B$72) *
  (desp[data.pagamento]&gt;=M$1) *
  (desp[data.pagamento]&lt;EOMONTH(M$1,0)+1)
)</f>
        <v>0</v>
      </c>
      <c r="N73" s="251" cm="1">
        <f t="array" ref="N73">-SUMPRODUCT(
  desp[valor] *
  (desp[nucleo]=$B73) *
  (desp[centro.negocio]=$B$72) *
  (desp[data.pagamento]&gt;=N$1) *
  (desp[data.pagamento]&lt;EOMONTH(N$1,0)+1)
)</f>
        <v>0</v>
      </c>
      <c r="O73" s="251" cm="1">
        <f t="array" ref="O73">-SUMPRODUCT(
  desp[valor] *
  (desp[nucleo]=$B73) *
  (desp[centro.negocio]=$B$72) *
  (desp[data.pagamento]&gt;=O$1) *
  (desp[data.pagamento]&lt;EOMONTH(O$1,0)+1)
)</f>
        <v>0</v>
      </c>
      <c r="P73" s="251" cm="1">
        <f t="array" ref="P73">-SUMPRODUCT(
  desp[valor] *
  (desp[nucleo]=$B73) *
  (desp[centro.negocio]=$B$72) *
  (desp[data.pagamento]&gt;=P$1) *
  (desp[data.pagamento]&lt;EOMONTH(P$1,0)+1)
)</f>
        <v>0</v>
      </c>
      <c r="Q73" s="251" cm="1">
        <f t="array" ref="Q73">-SUMPRODUCT(
  desp[valor] *
  (desp[nucleo]=$B73) *
  (desp[centro.negocio]=$B$72) *
  (desp[data.pagamento]&gt;=Q$1) *
  (desp[data.pagamento]&lt;EOMONTH(Q$1,0)+1)
)</f>
        <v>0</v>
      </c>
      <c r="S73" s="243">
        <f t="shared" si="19"/>
        <v>0</v>
      </c>
    </row>
    <row r="74" spans="1:19" outlineLevel="1" x14ac:dyDescent="0.25">
      <c r="A74" s="247" t="s">
        <v>635</v>
      </c>
      <c r="B74" s="247" t="s">
        <v>408</v>
      </c>
      <c r="C74" s="248" t="s">
        <v>556</v>
      </c>
      <c r="D74" s="249">
        <f>SUM(D$75)</f>
        <v>0</v>
      </c>
      <c r="E74" s="249">
        <f t="shared" ref="E74:Q74" si="24">SUM(E$75)</f>
        <v>0</v>
      </c>
      <c r="F74" s="249">
        <f t="shared" si="24"/>
        <v>0</v>
      </c>
      <c r="G74" s="249">
        <f t="shared" si="24"/>
        <v>0</v>
      </c>
      <c r="H74" s="249">
        <f t="shared" si="24"/>
        <v>0</v>
      </c>
      <c r="I74" s="249">
        <f t="shared" si="24"/>
        <v>0</v>
      </c>
      <c r="J74" s="249">
        <f t="shared" si="24"/>
        <v>0</v>
      </c>
      <c r="K74" s="249">
        <f t="shared" si="24"/>
        <v>0</v>
      </c>
      <c r="L74" s="249">
        <f t="shared" si="24"/>
        <v>0</v>
      </c>
      <c r="M74" s="249">
        <f t="shared" si="24"/>
        <v>0</v>
      </c>
      <c r="N74" s="249">
        <f t="shared" si="24"/>
        <v>0</v>
      </c>
      <c r="O74" s="249">
        <f t="shared" si="24"/>
        <v>0</v>
      </c>
      <c r="P74" s="249">
        <f t="shared" si="24"/>
        <v>0</v>
      </c>
      <c r="Q74" s="249">
        <f t="shared" si="24"/>
        <v>0</v>
      </c>
      <c r="S74" s="243">
        <f t="shared" si="19"/>
        <v>0</v>
      </c>
    </row>
    <row r="75" spans="1:19" outlineLevel="2" x14ac:dyDescent="0.25">
      <c r="A75" s="250" t="s">
        <v>636</v>
      </c>
      <c r="B75" s="250" t="s">
        <v>580</v>
      </c>
      <c r="C75" s="197" t="s">
        <v>556</v>
      </c>
      <c r="D75" s="251" cm="1">
        <f t="array" ref="D75">-SUMPRODUCT(
  desp[valor] *
  (desp[nucleo]=$B75) *
  (desp[centro.negocio]=$B$74) *
  (desp[data.pagamento]&gt;=D$1) *
  (desp[data.pagamento]&lt;EOMONTH(D$1,0)+1)
)</f>
        <v>0</v>
      </c>
      <c r="E75" s="251" cm="1">
        <f t="array" ref="E75">-SUMPRODUCT(
  desp[valor] *
  (desp[nucleo]=$B75) *
  (desp[centro.negocio]=$B$74) *
  (desp[data.pagamento]&gt;=E$1) *
  (desp[data.pagamento]&lt;EOMONTH(E$1,0)+1)
)</f>
        <v>0</v>
      </c>
      <c r="F75" s="251" cm="1">
        <f t="array" ref="F75">-SUMPRODUCT(
  desp[valor] *
  (desp[nucleo]=$B75) *
  (desp[centro.negocio]=$B$74) *
  (desp[data.pagamento]&gt;=F$1) *
  (desp[data.pagamento]&lt;EOMONTH(F$1,0)+1)
)</f>
        <v>0</v>
      </c>
      <c r="G75" s="251" cm="1">
        <f t="array" ref="G75">-SUMPRODUCT(
  desp[valor] *
  (desp[nucleo]=$B75) *
  (desp[centro.negocio]=$B$74) *
  (desp[data.pagamento]&gt;=G$1) *
  (desp[data.pagamento]&lt;EOMONTH(G$1,0)+1)
)</f>
        <v>0</v>
      </c>
      <c r="H75" s="251" cm="1">
        <f t="array" ref="H75">-SUMPRODUCT(
  desp[valor] *
  (desp[nucleo]=$B75) *
  (desp[centro.negocio]=$B$74) *
  (desp[data.pagamento]&gt;=H$1) *
  (desp[data.pagamento]&lt;EOMONTH(H$1,0)+1)
)</f>
        <v>0</v>
      </c>
      <c r="I75" s="251" cm="1">
        <f t="array" ref="I75">-SUMPRODUCT(
  desp[valor] *
  (desp[nucleo]=$B75) *
  (desp[centro.negocio]=$B$74) *
  (desp[data.pagamento]&gt;=I$1) *
  (desp[data.pagamento]&lt;EOMONTH(I$1,0)+1)
)</f>
        <v>0</v>
      </c>
      <c r="J75" s="251" cm="1">
        <f t="array" ref="J75">-SUMPRODUCT(
  desp[valor] *
  (desp[nucleo]=$B75) *
  (desp[centro.negocio]=$B$74) *
  (desp[data.pagamento]&gt;=J$1) *
  (desp[data.pagamento]&lt;EOMONTH(J$1,0)+1)
)</f>
        <v>0</v>
      </c>
      <c r="K75" s="251" cm="1">
        <f t="array" ref="K75">-SUMPRODUCT(
  desp[valor] *
  (desp[nucleo]=$B75) *
  (desp[centro.negocio]=$B$74) *
  (desp[data.pagamento]&gt;=K$1) *
  (desp[data.pagamento]&lt;EOMONTH(K$1,0)+1)
)</f>
        <v>0</v>
      </c>
      <c r="L75" s="251" cm="1">
        <f t="array" ref="L75">-SUMPRODUCT(
  desp[valor] *
  (desp[nucleo]=$B75) *
  (desp[centro.negocio]=$B$74) *
  (desp[data.pagamento]&gt;=L$1) *
  (desp[data.pagamento]&lt;EOMONTH(L$1,0)+1)
)</f>
        <v>0</v>
      </c>
      <c r="M75" s="251" cm="1">
        <f t="array" ref="M75">-SUMPRODUCT(
  desp[valor] *
  (desp[nucleo]=$B75) *
  (desp[centro.negocio]=$B$74) *
  (desp[data.pagamento]&gt;=M$1) *
  (desp[data.pagamento]&lt;EOMONTH(M$1,0)+1)
)</f>
        <v>0</v>
      </c>
      <c r="N75" s="251" cm="1">
        <f t="array" ref="N75">-SUMPRODUCT(
  desp[valor] *
  (desp[nucleo]=$B75) *
  (desp[centro.negocio]=$B$74) *
  (desp[data.pagamento]&gt;=N$1) *
  (desp[data.pagamento]&lt;EOMONTH(N$1,0)+1)
)</f>
        <v>0</v>
      </c>
      <c r="O75" s="251" cm="1">
        <f t="array" ref="O75">-SUMPRODUCT(
  desp[valor] *
  (desp[nucleo]=$B75) *
  (desp[centro.negocio]=$B$74) *
  (desp[data.pagamento]&gt;=O$1) *
  (desp[data.pagamento]&lt;EOMONTH(O$1,0)+1)
)</f>
        <v>0</v>
      </c>
      <c r="P75" s="251" cm="1">
        <f t="array" ref="P75">-SUMPRODUCT(
  desp[valor] *
  (desp[nucleo]=$B75) *
  (desp[centro.negocio]=$B$74) *
  (desp[data.pagamento]&gt;=P$1) *
  (desp[data.pagamento]&lt;EOMONTH(P$1,0)+1)
)</f>
        <v>0</v>
      </c>
      <c r="Q75" s="251" cm="1">
        <f t="array" ref="Q75">-SUMPRODUCT(
  desp[valor] *
  (desp[nucleo]=$B75) *
  (desp[centro.negocio]=$B$74) *
  (desp[data.pagamento]&gt;=Q$1) *
  (desp[data.pagamento]&lt;EOMONTH(Q$1,0)+1)
)</f>
        <v>0</v>
      </c>
      <c r="S75" s="243">
        <f t="shared" si="19"/>
        <v>0</v>
      </c>
    </row>
    <row r="76" spans="1:19" outlineLevel="1" x14ac:dyDescent="0.25">
      <c r="A76" s="247" t="s">
        <v>637</v>
      </c>
      <c r="B76" s="247" t="s">
        <v>415</v>
      </c>
      <c r="C76" s="248" t="s">
        <v>556</v>
      </c>
      <c r="D76" s="249">
        <f>SUM(D$77:D$80)</f>
        <v>0</v>
      </c>
      <c r="E76" s="249">
        <f t="shared" ref="E76:Q76" si="25">SUM(E$77:E$80)</f>
        <v>0</v>
      </c>
      <c r="F76" s="249">
        <f t="shared" si="25"/>
        <v>0</v>
      </c>
      <c r="G76" s="249">
        <f t="shared" si="25"/>
        <v>0</v>
      </c>
      <c r="H76" s="249">
        <f t="shared" si="25"/>
        <v>0</v>
      </c>
      <c r="I76" s="249">
        <f t="shared" si="25"/>
        <v>0</v>
      </c>
      <c r="J76" s="249">
        <f t="shared" si="25"/>
        <v>0</v>
      </c>
      <c r="K76" s="249">
        <f t="shared" si="25"/>
        <v>0</v>
      </c>
      <c r="L76" s="249">
        <f t="shared" si="25"/>
        <v>0</v>
      </c>
      <c r="M76" s="249">
        <f t="shared" si="25"/>
        <v>0</v>
      </c>
      <c r="N76" s="249">
        <f t="shared" si="25"/>
        <v>0</v>
      </c>
      <c r="O76" s="249">
        <f t="shared" si="25"/>
        <v>0</v>
      </c>
      <c r="P76" s="249">
        <f t="shared" si="25"/>
        <v>0</v>
      </c>
      <c r="Q76" s="249">
        <f t="shared" si="25"/>
        <v>0</v>
      </c>
      <c r="S76" s="243">
        <f t="shared" si="19"/>
        <v>0</v>
      </c>
    </row>
    <row r="77" spans="1:19" outlineLevel="2" x14ac:dyDescent="0.25">
      <c r="A77" s="250" t="s">
        <v>638</v>
      </c>
      <c r="B77" s="250" t="s">
        <v>586</v>
      </c>
      <c r="C77" s="197" t="s">
        <v>556</v>
      </c>
      <c r="D77" s="251" cm="1">
        <f t="array" ref="D77">-SUMPRODUCT(
  desp[valor] *
  (desp[nucleo]=$B77) *
  (desp[centro.negocio]=$B$76) *
  (desp[data.pagamento]&gt;=D$1) *
  (desp[data.pagamento]&lt;EOMONTH(D$1,0)+1)
)</f>
        <v>0</v>
      </c>
      <c r="E77" s="251" cm="1">
        <f t="array" ref="E77">-SUMPRODUCT(
  desp[valor] *
  (desp[nucleo]=$B77) *
  (desp[centro.negocio]=$B$76) *
  (desp[data.pagamento]&gt;=E$1) *
  (desp[data.pagamento]&lt;EOMONTH(E$1,0)+1)
)</f>
        <v>0</v>
      </c>
      <c r="F77" s="251" cm="1">
        <f t="array" ref="F77">-SUMPRODUCT(
  desp[valor] *
  (desp[nucleo]=$B77) *
  (desp[centro.negocio]=$B$76) *
  (desp[data.pagamento]&gt;=F$1) *
  (desp[data.pagamento]&lt;EOMONTH(F$1,0)+1)
)</f>
        <v>0</v>
      </c>
      <c r="G77" s="251" cm="1">
        <f t="array" ref="G77">-SUMPRODUCT(
  desp[valor] *
  (desp[nucleo]=$B77) *
  (desp[centro.negocio]=$B$76) *
  (desp[data.pagamento]&gt;=G$1) *
  (desp[data.pagamento]&lt;EOMONTH(G$1,0)+1)
)</f>
        <v>0</v>
      </c>
      <c r="H77" s="251" cm="1">
        <f t="array" ref="H77">-SUMPRODUCT(
  desp[valor] *
  (desp[nucleo]=$B77) *
  (desp[centro.negocio]=$B$76) *
  (desp[data.pagamento]&gt;=H$1) *
  (desp[data.pagamento]&lt;EOMONTH(H$1,0)+1)
)</f>
        <v>0</v>
      </c>
      <c r="I77" s="251" cm="1">
        <f t="array" ref="I77">-SUMPRODUCT(
  desp[valor] *
  (desp[nucleo]=$B77) *
  (desp[centro.negocio]=$B$76) *
  (desp[data.pagamento]&gt;=I$1) *
  (desp[data.pagamento]&lt;EOMONTH(I$1,0)+1)
)</f>
        <v>0</v>
      </c>
      <c r="J77" s="251" cm="1">
        <f t="array" ref="J77">-SUMPRODUCT(
  desp[valor] *
  (desp[nucleo]=$B77) *
  (desp[centro.negocio]=$B$76) *
  (desp[data.pagamento]&gt;=J$1) *
  (desp[data.pagamento]&lt;EOMONTH(J$1,0)+1)
)</f>
        <v>0</v>
      </c>
      <c r="K77" s="251" cm="1">
        <f t="array" ref="K77">-SUMPRODUCT(
  desp[valor] *
  (desp[nucleo]=$B77) *
  (desp[centro.negocio]=$B$76) *
  (desp[data.pagamento]&gt;=K$1) *
  (desp[data.pagamento]&lt;EOMONTH(K$1,0)+1)
)</f>
        <v>0</v>
      </c>
      <c r="L77" s="251" cm="1">
        <f t="array" ref="L77">-SUMPRODUCT(
  desp[valor] *
  (desp[nucleo]=$B77) *
  (desp[centro.negocio]=$B$76) *
  (desp[data.pagamento]&gt;=L$1) *
  (desp[data.pagamento]&lt;EOMONTH(L$1,0)+1)
)</f>
        <v>0</v>
      </c>
      <c r="M77" s="251" cm="1">
        <f t="array" ref="M77">-SUMPRODUCT(
  desp[valor] *
  (desp[nucleo]=$B77) *
  (desp[centro.negocio]=$B$76) *
  (desp[data.pagamento]&gt;=M$1) *
  (desp[data.pagamento]&lt;EOMONTH(M$1,0)+1)
)</f>
        <v>0</v>
      </c>
      <c r="N77" s="251" cm="1">
        <f t="array" ref="N77">-SUMPRODUCT(
  desp[valor] *
  (desp[nucleo]=$B77) *
  (desp[centro.negocio]=$B$76) *
  (desp[data.pagamento]&gt;=N$1) *
  (desp[data.pagamento]&lt;EOMONTH(N$1,0)+1)
)</f>
        <v>0</v>
      </c>
      <c r="O77" s="251" cm="1">
        <f t="array" ref="O77">-SUMPRODUCT(
  desp[valor] *
  (desp[nucleo]=$B77) *
  (desp[centro.negocio]=$B$76) *
  (desp[data.pagamento]&gt;=O$1) *
  (desp[data.pagamento]&lt;EOMONTH(O$1,0)+1)
)</f>
        <v>0</v>
      </c>
      <c r="P77" s="251" cm="1">
        <f t="array" ref="P77">-SUMPRODUCT(
  desp[valor] *
  (desp[nucleo]=$B77) *
  (desp[centro.negocio]=$B$76) *
  (desp[data.pagamento]&gt;=P$1) *
  (desp[data.pagamento]&lt;EOMONTH(P$1,0)+1)
)</f>
        <v>0</v>
      </c>
      <c r="Q77" s="251" cm="1">
        <f t="array" ref="Q77">-SUMPRODUCT(
  desp[valor] *
  (desp[nucleo]=$B77) *
  (desp[centro.negocio]=$B$76) *
  (desp[data.pagamento]&gt;=Q$1) *
  (desp[data.pagamento]&lt;EOMONTH(Q$1,0)+1)
)</f>
        <v>0</v>
      </c>
      <c r="S77" s="243">
        <f t="shared" si="19"/>
        <v>0</v>
      </c>
    </row>
    <row r="78" spans="1:19" outlineLevel="2" x14ac:dyDescent="0.25">
      <c r="A78" s="250" t="s">
        <v>639</v>
      </c>
      <c r="B78" s="250" t="s">
        <v>582</v>
      </c>
      <c r="C78" s="197" t="s">
        <v>556</v>
      </c>
      <c r="D78" s="251" cm="1">
        <f t="array" ref="D78">-SUMPRODUCT(
  desp[valor] *
  (desp[nucleo]=$B78) *
  (desp[centro.negocio]=$B$76) *
  (desp[data.pagamento]&gt;=D$1) *
  (desp[data.pagamento]&lt;EOMONTH(D$1,0)+1)
)</f>
        <v>0</v>
      </c>
      <c r="E78" s="251" cm="1">
        <f t="array" ref="E78">-SUMPRODUCT(
  desp[valor] *
  (desp[nucleo]=$B78) *
  (desp[centro.negocio]=$B$76) *
  (desp[data.pagamento]&gt;=E$1) *
  (desp[data.pagamento]&lt;EOMONTH(E$1,0)+1)
)</f>
        <v>0</v>
      </c>
      <c r="F78" s="251" cm="1">
        <f t="array" ref="F78">-SUMPRODUCT(
  desp[valor] *
  (desp[nucleo]=$B78) *
  (desp[centro.negocio]=$B$76) *
  (desp[data.pagamento]&gt;=F$1) *
  (desp[data.pagamento]&lt;EOMONTH(F$1,0)+1)
)</f>
        <v>0</v>
      </c>
      <c r="G78" s="251" cm="1">
        <f t="array" ref="G78">-SUMPRODUCT(
  desp[valor] *
  (desp[nucleo]=$B78) *
  (desp[centro.negocio]=$B$76) *
  (desp[data.pagamento]&gt;=G$1) *
  (desp[data.pagamento]&lt;EOMONTH(G$1,0)+1)
)</f>
        <v>0</v>
      </c>
      <c r="H78" s="251" cm="1">
        <f t="array" ref="H78">-SUMPRODUCT(
  desp[valor] *
  (desp[nucleo]=$B78) *
  (desp[centro.negocio]=$B$76) *
  (desp[data.pagamento]&gt;=H$1) *
  (desp[data.pagamento]&lt;EOMONTH(H$1,0)+1)
)</f>
        <v>0</v>
      </c>
      <c r="I78" s="251" cm="1">
        <f t="array" ref="I78">-SUMPRODUCT(
  desp[valor] *
  (desp[nucleo]=$B78) *
  (desp[centro.negocio]=$B$76) *
  (desp[data.pagamento]&gt;=I$1) *
  (desp[data.pagamento]&lt;EOMONTH(I$1,0)+1)
)</f>
        <v>0</v>
      </c>
      <c r="J78" s="251" cm="1">
        <f t="array" ref="J78">-SUMPRODUCT(
  desp[valor] *
  (desp[nucleo]=$B78) *
  (desp[centro.negocio]=$B$76) *
  (desp[data.pagamento]&gt;=J$1) *
  (desp[data.pagamento]&lt;EOMONTH(J$1,0)+1)
)</f>
        <v>0</v>
      </c>
      <c r="K78" s="251" cm="1">
        <f t="array" ref="K78">-SUMPRODUCT(
  desp[valor] *
  (desp[nucleo]=$B78) *
  (desp[centro.negocio]=$B$76) *
  (desp[data.pagamento]&gt;=K$1) *
  (desp[data.pagamento]&lt;EOMONTH(K$1,0)+1)
)</f>
        <v>0</v>
      </c>
      <c r="L78" s="251" cm="1">
        <f t="array" ref="L78">-SUMPRODUCT(
  desp[valor] *
  (desp[nucleo]=$B78) *
  (desp[centro.negocio]=$B$76) *
  (desp[data.pagamento]&gt;=L$1) *
  (desp[data.pagamento]&lt;EOMONTH(L$1,0)+1)
)</f>
        <v>0</v>
      </c>
      <c r="M78" s="251" cm="1">
        <f t="array" ref="M78">-SUMPRODUCT(
  desp[valor] *
  (desp[nucleo]=$B78) *
  (desp[centro.negocio]=$B$76) *
  (desp[data.pagamento]&gt;=M$1) *
  (desp[data.pagamento]&lt;EOMONTH(M$1,0)+1)
)</f>
        <v>0</v>
      </c>
      <c r="N78" s="251" cm="1">
        <f t="array" ref="N78">-SUMPRODUCT(
  desp[valor] *
  (desp[nucleo]=$B78) *
  (desp[centro.negocio]=$B$76) *
  (desp[data.pagamento]&gt;=N$1) *
  (desp[data.pagamento]&lt;EOMONTH(N$1,0)+1)
)</f>
        <v>0</v>
      </c>
      <c r="O78" s="251" cm="1">
        <f t="array" ref="O78">-SUMPRODUCT(
  desp[valor] *
  (desp[nucleo]=$B78) *
  (desp[centro.negocio]=$B$76) *
  (desp[data.pagamento]&gt;=O$1) *
  (desp[data.pagamento]&lt;EOMONTH(O$1,0)+1)
)</f>
        <v>0</v>
      </c>
      <c r="P78" s="251" cm="1">
        <f t="array" ref="P78">-SUMPRODUCT(
  desp[valor] *
  (desp[nucleo]=$B78) *
  (desp[centro.negocio]=$B$76) *
  (desp[data.pagamento]&gt;=P$1) *
  (desp[data.pagamento]&lt;EOMONTH(P$1,0)+1)
)</f>
        <v>0</v>
      </c>
      <c r="Q78" s="251" cm="1">
        <f t="array" ref="Q78">-SUMPRODUCT(
  desp[valor] *
  (desp[nucleo]=$B78) *
  (desp[centro.negocio]=$B$76) *
  (desp[data.pagamento]&gt;=Q$1) *
  (desp[data.pagamento]&lt;EOMONTH(Q$1,0)+1)
)</f>
        <v>0</v>
      </c>
      <c r="S78" s="243">
        <f t="shared" si="19"/>
        <v>0</v>
      </c>
    </row>
    <row r="79" spans="1:19" outlineLevel="2" x14ac:dyDescent="0.25">
      <c r="A79" s="250" t="s">
        <v>640</v>
      </c>
      <c r="B79" s="250" t="s">
        <v>588</v>
      </c>
      <c r="C79" s="197" t="s">
        <v>556</v>
      </c>
      <c r="D79" s="251" cm="1">
        <f t="array" ref="D79">-SUMPRODUCT(
  desp[valor] *
  (desp[nucleo]=$B79) *
  (desp[centro.negocio]=$B$76) *
  (desp[data.pagamento]&gt;=D$1) *
  (desp[data.pagamento]&lt;EOMONTH(D$1,0)+1)
)</f>
        <v>0</v>
      </c>
      <c r="E79" s="251" cm="1">
        <f t="array" ref="E79">-SUMPRODUCT(
  desp[valor] *
  (desp[nucleo]=$B79) *
  (desp[centro.negocio]=$B$76) *
  (desp[data.pagamento]&gt;=E$1) *
  (desp[data.pagamento]&lt;EOMONTH(E$1,0)+1)
)</f>
        <v>0</v>
      </c>
      <c r="F79" s="251" cm="1">
        <f t="array" ref="F79">-SUMPRODUCT(
  desp[valor] *
  (desp[nucleo]=$B79) *
  (desp[centro.negocio]=$B$76) *
  (desp[data.pagamento]&gt;=F$1) *
  (desp[data.pagamento]&lt;EOMONTH(F$1,0)+1)
)</f>
        <v>0</v>
      </c>
      <c r="G79" s="251" cm="1">
        <f t="array" ref="G79">-SUMPRODUCT(
  desp[valor] *
  (desp[nucleo]=$B79) *
  (desp[centro.negocio]=$B$76) *
  (desp[data.pagamento]&gt;=G$1) *
  (desp[data.pagamento]&lt;EOMONTH(G$1,0)+1)
)</f>
        <v>0</v>
      </c>
      <c r="H79" s="251" cm="1">
        <f t="array" ref="H79">-SUMPRODUCT(
  desp[valor] *
  (desp[nucleo]=$B79) *
  (desp[centro.negocio]=$B$76) *
  (desp[data.pagamento]&gt;=H$1) *
  (desp[data.pagamento]&lt;EOMONTH(H$1,0)+1)
)</f>
        <v>0</v>
      </c>
      <c r="I79" s="251" cm="1">
        <f t="array" ref="I79">-SUMPRODUCT(
  desp[valor] *
  (desp[nucleo]=$B79) *
  (desp[centro.negocio]=$B$76) *
  (desp[data.pagamento]&gt;=I$1) *
  (desp[data.pagamento]&lt;EOMONTH(I$1,0)+1)
)</f>
        <v>0</v>
      </c>
      <c r="J79" s="251" cm="1">
        <f t="array" ref="J79">-SUMPRODUCT(
  desp[valor] *
  (desp[nucleo]=$B79) *
  (desp[centro.negocio]=$B$76) *
  (desp[data.pagamento]&gt;=J$1) *
  (desp[data.pagamento]&lt;EOMONTH(J$1,0)+1)
)</f>
        <v>0</v>
      </c>
      <c r="K79" s="251" cm="1">
        <f t="array" ref="K79">-SUMPRODUCT(
  desp[valor] *
  (desp[nucleo]=$B79) *
  (desp[centro.negocio]=$B$76) *
  (desp[data.pagamento]&gt;=K$1) *
  (desp[data.pagamento]&lt;EOMONTH(K$1,0)+1)
)</f>
        <v>0</v>
      </c>
      <c r="L79" s="251" cm="1">
        <f t="array" ref="L79">-SUMPRODUCT(
  desp[valor] *
  (desp[nucleo]=$B79) *
  (desp[centro.negocio]=$B$76) *
  (desp[data.pagamento]&gt;=L$1) *
  (desp[data.pagamento]&lt;EOMONTH(L$1,0)+1)
)</f>
        <v>0</v>
      </c>
      <c r="M79" s="251" cm="1">
        <f t="array" ref="M79">-SUMPRODUCT(
  desp[valor] *
  (desp[nucleo]=$B79) *
  (desp[centro.negocio]=$B$76) *
  (desp[data.pagamento]&gt;=M$1) *
  (desp[data.pagamento]&lt;EOMONTH(M$1,0)+1)
)</f>
        <v>0</v>
      </c>
      <c r="N79" s="251" cm="1">
        <f t="array" ref="N79">-SUMPRODUCT(
  desp[valor] *
  (desp[nucleo]=$B79) *
  (desp[centro.negocio]=$B$76) *
  (desp[data.pagamento]&gt;=N$1) *
  (desp[data.pagamento]&lt;EOMONTH(N$1,0)+1)
)</f>
        <v>0</v>
      </c>
      <c r="O79" s="251" cm="1">
        <f t="array" ref="O79">-SUMPRODUCT(
  desp[valor] *
  (desp[nucleo]=$B79) *
  (desp[centro.negocio]=$B$76) *
  (desp[data.pagamento]&gt;=O$1) *
  (desp[data.pagamento]&lt;EOMONTH(O$1,0)+1)
)</f>
        <v>0</v>
      </c>
      <c r="P79" s="251" cm="1">
        <f t="array" ref="P79">-SUMPRODUCT(
  desp[valor] *
  (desp[nucleo]=$B79) *
  (desp[centro.negocio]=$B$76) *
  (desp[data.pagamento]&gt;=P$1) *
  (desp[data.pagamento]&lt;EOMONTH(P$1,0)+1)
)</f>
        <v>0</v>
      </c>
      <c r="Q79" s="251" cm="1">
        <f t="array" ref="Q79">-SUMPRODUCT(
  desp[valor] *
  (desp[nucleo]=$B79) *
  (desp[centro.negocio]=$B$76) *
  (desp[data.pagamento]&gt;=Q$1) *
  (desp[data.pagamento]&lt;EOMONTH(Q$1,0)+1)
)</f>
        <v>0</v>
      </c>
      <c r="S79" s="243">
        <f t="shared" si="19"/>
        <v>0</v>
      </c>
    </row>
    <row r="80" spans="1:19" outlineLevel="2" x14ac:dyDescent="0.25">
      <c r="A80" s="250" t="s">
        <v>641</v>
      </c>
      <c r="B80" s="250" t="s">
        <v>590</v>
      </c>
      <c r="C80" s="197" t="s">
        <v>556</v>
      </c>
      <c r="D80" s="251" cm="1">
        <f t="array" ref="D80">-SUMPRODUCT(
  desp[valor] *
  (desp[nucleo]=$B80) *
  (desp[centro.negocio]=$B$76) *
  (desp[data.pagamento]&gt;=D$1) *
  (desp[data.pagamento]&lt;EOMONTH(D$1,0)+1)
)</f>
        <v>0</v>
      </c>
      <c r="E80" s="251" cm="1">
        <f t="array" ref="E80">-SUMPRODUCT(
  desp[valor] *
  (desp[nucleo]=$B80) *
  (desp[centro.negocio]=$B$76) *
  (desp[data.pagamento]&gt;=E$1) *
  (desp[data.pagamento]&lt;EOMONTH(E$1,0)+1)
)</f>
        <v>0</v>
      </c>
      <c r="F80" s="251" cm="1">
        <f t="array" ref="F80">-SUMPRODUCT(
  desp[valor] *
  (desp[nucleo]=$B80) *
  (desp[centro.negocio]=$B$76) *
  (desp[data.pagamento]&gt;=F$1) *
  (desp[data.pagamento]&lt;EOMONTH(F$1,0)+1)
)</f>
        <v>0</v>
      </c>
      <c r="G80" s="251" cm="1">
        <f t="array" ref="G80">-SUMPRODUCT(
  desp[valor] *
  (desp[nucleo]=$B80) *
  (desp[centro.negocio]=$B$76) *
  (desp[data.pagamento]&gt;=G$1) *
  (desp[data.pagamento]&lt;EOMONTH(G$1,0)+1)
)</f>
        <v>0</v>
      </c>
      <c r="H80" s="251" cm="1">
        <f t="array" ref="H80">-SUMPRODUCT(
  desp[valor] *
  (desp[nucleo]=$B80) *
  (desp[centro.negocio]=$B$76) *
  (desp[data.pagamento]&gt;=H$1) *
  (desp[data.pagamento]&lt;EOMONTH(H$1,0)+1)
)</f>
        <v>0</v>
      </c>
      <c r="I80" s="251" cm="1">
        <f t="array" ref="I80">-SUMPRODUCT(
  desp[valor] *
  (desp[nucleo]=$B80) *
  (desp[centro.negocio]=$B$76) *
  (desp[data.pagamento]&gt;=I$1) *
  (desp[data.pagamento]&lt;EOMONTH(I$1,0)+1)
)</f>
        <v>0</v>
      </c>
      <c r="J80" s="251" cm="1">
        <f t="array" ref="J80">-SUMPRODUCT(
  desp[valor] *
  (desp[nucleo]=$B80) *
  (desp[centro.negocio]=$B$76) *
  (desp[data.pagamento]&gt;=J$1) *
  (desp[data.pagamento]&lt;EOMONTH(J$1,0)+1)
)</f>
        <v>0</v>
      </c>
      <c r="K80" s="251" cm="1">
        <f t="array" ref="K80">-SUMPRODUCT(
  desp[valor] *
  (desp[nucleo]=$B80) *
  (desp[centro.negocio]=$B$76) *
  (desp[data.pagamento]&gt;=K$1) *
  (desp[data.pagamento]&lt;EOMONTH(K$1,0)+1)
)</f>
        <v>0</v>
      </c>
      <c r="L80" s="251" cm="1">
        <f t="array" ref="L80">-SUMPRODUCT(
  desp[valor] *
  (desp[nucleo]=$B80) *
  (desp[centro.negocio]=$B$76) *
  (desp[data.pagamento]&gt;=L$1) *
  (desp[data.pagamento]&lt;EOMONTH(L$1,0)+1)
)</f>
        <v>0</v>
      </c>
      <c r="M80" s="251" cm="1">
        <f t="array" ref="M80">-SUMPRODUCT(
  desp[valor] *
  (desp[nucleo]=$B80) *
  (desp[centro.negocio]=$B$76) *
  (desp[data.pagamento]&gt;=M$1) *
  (desp[data.pagamento]&lt;EOMONTH(M$1,0)+1)
)</f>
        <v>0</v>
      </c>
      <c r="N80" s="251" cm="1">
        <f t="array" ref="N80">-SUMPRODUCT(
  desp[valor] *
  (desp[nucleo]=$B80) *
  (desp[centro.negocio]=$B$76) *
  (desp[data.pagamento]&gt;=N$1) *
  (desp[data.pagamento]&lt;EOMONTH(N$1,0)+1)
)</f>
        <v>0</v>
      </c>
      <c r="O80" s="251" cm="1">
        <f t="array" ref="O80">-SUMPRODUCT(
  desp[valor] *
  (desp[nucleo]=$B80) *
  (desp[centro.negocio]=$B$76) *
  (desp[data.pagamento]&gt;=O$1) *
  (desp[data.pagamento]&lt;EOMONTH(O$1,0)+1)
)</f>
        <v>0</v>
      </c>
      <c r="P80" s="251" cm="1">
        <f t="array" ref="P80">-SUMPRODUCT(
  desp[valor] *
  (desp[nucleo]=$B80) *
  (desp[centro.negocio]=$B$76) *
  (desp[data.pagamento]&gt;=P$1) *
  (desp[data.pagamento]&lt;EOMONTH(P$1,0)+1)
)</f>
        <v>0</v>
      </c>
      <c r="Q80" s="251" cm="1">
        <f t="array" ref="Q80">-SUMPRODUCT(
  desp[valor] *
  (desp[nucleo]=$B80) *
  (desp[centro.negocio]=$B$76) *
  (desp[data.pagamento]&gt;=Q$1) *
  (desp[data.pagamento]&lt;EOMONTH(Q$1,0)+1)
)</f>
        <v>0</v>
      </c>
      <c r="S80" s="243">
        <f t="shared" si="19"/>
        <v>0</v>
      </c>
    </row>
    <row r="81" spans="1:19" outlineLevel="1" x14ac:dyDescent="0.25">
      <c r="A81" s="247" t="s">
        <v>642</v>
      </c>
      <c r="B81" s="247" t="s">
        <v>427</v>
      </c>
      <c r="C81" s="248" t="s">
        <v>556</v>
      </c>
      <c r="D81" s="249">
        <f>SUM(D$82:D$93)</f>
        <v>0</v>
      </c>
      <c r="E81" s="249">
        <f t="shared" ref="E81:Q81" si="26">SUM(E$82:E$93)</f>
        <v>0</v>
      </c>
      <c r="F81" s="249">
        <f t="shared" si="26"/>
        <v>0</v>
      </c>
      <c r="G81" s="249">
        <f t="shared" si="26"/>
        <v>0</v>
      </c>
      <c r="H81" s="249">
        <f t="shared" si="26"/>
        <v>0</v>
      </c>
      <c r="I81" s="249">
        <f t="shared" si="26"/>
        <v>0</v>
      </c>
      <c r="J81" s="249">
        <f t="shared" si="26"/>
        <v>0</v>
      </c>
      <c r="K81" s="249">
        <f t="shared" si="26"/>
        <v>0</v>
      </c>
      <c r="L81" s="249">
        <f t="shared" si="26"/>
        <v>0</v>
      </c>
      <c r="M81" s="249">
        <f t="shared" si="26"/>
        <v>0</v>
      </c>
      <c r="N81" s="249">
        <f t="shared" si="26"/>
        <v>0</v>
      </c>
      <c r="O81" s="249">
        <f t="shared" si="26"/>
        <v>0</v>
      </c>
      <c r="P81" s="249">
        <f t="shared" si="26"/>
        <v>0</v>
      </c>
      <c r="Q81" s="249">
        <f t="shared" si="26"/>
        <v>0</v>
      </c>
      <c r="S81" s="243">
        <f t="shared" si="19"/>
        <v>0</v>
      </c>
    </row>
    <row r="82" spans="1:19" outlineLevel="2" x14ac:dyDescent="0.25">
      <c r="A82" s="250" t="s">
        <v>643</v>
      </c>
      <c r="B82" s="250" t="s">
        <v>596</v>
      </c>
      <c r="C82" s="197" t="s">
        <v>556</v>
      </c>
      <c r="D82" s="251" cm="1">
        <f t="array" ref="D82">-SUMPRODUCT(
  desp[valor] *
  (desp[nucleo]=$B82) *
  (desp[centro.negocio]=$B$81) *
  (desp[data.pagamento]&gt;=D$1) *
  (desp[data.pagamento]&lt;EOMONTH(D$1,0)+1)
)</f>
        <v>0</v>
      </c>
      <c r="E82" s="251" cm="1">
        <f t="array" ref="E82">-SUMPRODUCT(
  desp[valor] *
  (desp[nucleo]=$B82) *
  (desp[centro.negocio]=$B$81) *
  (desp[data.pagamento]&gt;=E$1) *
  (desp[data.pagamento]&lt;EOMONTH(E$1,0)+1)
)</f>
        <v>0</v>
      </c>
      <c r="F82" s="251" cm="1">
        <f t="array" ref="F82">-SUMPRODUCT(
  desp[valor] *
  (desp[nucleo]=$B82) *
  (desp[centro.negocio]=$B$81) *
  (desp[data.pagamento]&gt;=F$1) *
  (desp[data.pagamento]&lt;EOMONTH(F$1,0)+1)
)</f>
        <v>0</v>
      </c>
      <c r="G82" s="251" cm="1">
        <f t="array" ref="G82">-SUMPRODUCT(
  desp[valor] *
  (desp[nucleo]=$B82) *
  (desp[centro.negocio]=$B$81) *
  (desp[data.pagamento]&gt;=G$1) *
  (desp[data.pagamento]&lt;EOMONTH(G$1,0)+1)
)</f>
        <v>0</v>
      </c>
      <c r="H82" s="251" cm="1">
        <f t="array" ref="H82">-SUMPRODUCT(
  desp[valor] *
  (desp[nucleo]=$B82) *
  (desp[centro.negocio]=$B$81) *
  (desp[data.pagamento]&gt;=H$1) *
  (desp[data.pagamento]&lt;EOMONTH(H$1,0)+1)
)</f>
        <v>0</v>
      </c>
      <c r="I82" s="251" cm="1">
        <f t="array" ref="I82">-SUMPRODUCT(
  desp[valor] *
  (desp[nucleo]=$B82) *
  (desp[centro.negocio]=$B$81) *
  (desp[data.pagamento]&gt;=I$1) *
  (desp[data.pagamento]&lt;EOMONTH(I$1,0)+1)
)</f>
        <v>0</v>
      </c>
      <c r="J82" s="251" cm="1">
        <f t="array" ref="J82">-SUMPRODUCT(
  desp[valor] *
  (desp[nucleo]=$B82) *
  (desp[centro.negocio]=$B$81) *
  (desp[data.pagamento]&gt;=J$1) *
  (desp[data.pagamento]&lt;EOMONTH(J$1,0)+1)
)</f>
        <v>0</v>
      </c>
      <c r="K82" s="251" cm="1">
        <f t="array" ref="K82">-SUMPRODUCT(
  desp[valor] *
  (desp[nucleo]=$B82) *
  (desp[centro.negocio]=$B$81) *
  (desp[data.pagamento]&gt;=K$1) *
  (desp[data.pagamento]&lt;EOMONTH(K$1,0)+1)
)</f>
        <v>0</v>
      </c>
      <c r="L82" s="251" cm="1">
        <f t="array" ref="L82">-SUMPRODUCT(
  desp[valor] *
  (desp[nucleo]=$B82) *
  (desp[centro.negocio]=$B$81) *
  (desp[data.pagamento]&gt;=L$1) *
  (desp[data.pagamento]&lt;EOMONTH(L$1,0)+1)
)</f>
        <v>0</v>
      </c>
      <c r="M82" s="251" cm="1">
        <f t="array" ref="M82">-SUMPRODUCT(
  desp[valor] *
  (desp[nucleo]=$B82) *
  (desp[centro.negocio]=$B$81) *
  (desp[data.pagamento]&gt;=M$1) *
  (desp[data.pagamento]&lt;EOMONTH(M$1,0)+1)
)</f>
        <v>0</v>
      </c>
      <c r="N82" s="251" cm="1">
        <f t="array" ref="N82">-SUMPRODUCT(
  desp[valor] *
  (desp[nucleo]=$B82) *
  (desp[centro.negocio]=$B$81) *
  (desp[data.pagamento]&gt;=N$1) *
  (desp[data.pagamento]&lt;EOMONTH(N$1,0)+1)
)</f>
        <v>0</v>
      </c>
      <c r="O82" s="251" cm="1">
        <f t="array" ref="O82">-SUMPRODUCT(
  desp[valor] *
  (desp[nucleo]=$B82) *
  (desp[centro.negocio]=$B$81) *
  (desp[data.pagamento]&gt;=O$1) *
  (desp[data.pagamento]&lt;EOMONTH(O$1,0)+1)
)</f>
        <v>0</v>
      </c>
      <c r="P82" s="251" cm="1">
        <f t="array" ref="P82">-SUMPRODUCT(
  desp[valor] *
  (desp[nucleo]=$B82) *
  (desp[centro.negocio]=$B$81) *
  (desp[data.pagamento]&gt;=P$1) *
  (desp[data.pagamento]&lt;EOMONTH(P$1,0)+1)
)</f>
        <v>0</v>
      </c>
      <c r="Q82" s="251" cm="1">
        <f t="array" ref="Q82">-SUMPRODUCT(
  desp[valor] *
  (desp[nucleo]=$B82) *
  (desp[centro.negocio]=$B$81) *
  (desp[data.pagamento]&gt;=Q$1) *
  (desp[data.pagamento]&lt;EOMONTH(Q$1,0)+1)
)</f>
        <v>0</v>
      </c>
      <c r="S82" s="243">
        <f t="shared" si="19"/>
        <v>0</v>
      </c>
    </row>
    <row r="83" spans="1:19" outlineLevel="2" x14ac:dyDescent="0.25">
      <c r="A83" s="250" t="s">
        <v>644</v>
      </c>
      <c r="B83" s="250" t="s">
        <v>590</v>
      </c>
      <c r="C83" s="197" t="s">
        <v>556</v>
      </c>
      <c r="D83" s="251" cm="1">
        <f t="array" ref="D83">-SUMPRODUCT(
  desp[valor] *
  (desp[nucleo]=$B83) *
  (desp[centro.negocio]=$B$81) *
  (desp[data.pagamento]&gt;=D$1) *
  (desp[data.pagamento]&lt;EOMONTH(D$1,0)+1)
)</f>
        <v>0</v>
      </c>
      <c r="E83" s="251" cm="1">
        <f t="array" ref="E83">-SUMPRODUCT(
  desp[valor] *
  (desp[nucleo]=$B83) *
  (desp[centro.negocio]=$B$81) *
  (desp[data.pagamento]&gt;=E$1) *
  (desp[data.pagamento]&lt;EOMONTH(E$1,0)+1)
)</f>
        <v>0</v>
      </c>
      <c r="F83" s="251" cm="1">
        <f t="array" ref="F83">-SUMPRODUCT(
  desp[valor] *
  (desp[nucleo]=$B83) *
  (desp[centro.negocio]=$B$81) *
  (desp[data.pagamento]&gt;=F$1) *
  (desp[data.pagamento]&lt;EOMONTH(F$1,0)+1)
)</f>
        <v>0</v>
      </c>
      <c r="G83" s="251" cm="1">
        <f t="array" ref="G83">-SUMPRODUCT(
  desp[valor] *
  (desp[nucleo]=$B83) *
  (desp[centro.negocio]=$B$81) *
  (desp[data.pagamento]&gt;=G$1) *
  (desp[data.pagamento]&lt;EOMONTH(G$1,0)+1)
)</f>
        <v>0</v>
      </c>
      <c r="H83" s="251" cm="1">
        <f t="array" ref="H83">-SUMPRODUCT(
  desp[valor] *
  (desp[nucleo]=$B83) *
  (desp[centro.negocio]=$B$81) *
  (desp[data.pagamento]&gt;=H$1) *
  (desp[data.pagamento]&lt;EOMONTH(H$1,0)+1)
)</f>
        <v>0</v>
      </c>
      <c r="I83" s="251" cm="1">
        <f t="array" ref="I83">-SUMPRODUCT(
  desp[valor] *
  (desp[nucleo]=$B83) *
  (desp[centro.negocio]=$B$81) *
  (desp[data.pagamento]&gt;=I$1) *
  (desp[data.pagamento]&lt;EOMONTH(I$1,0)+1)
)</f>
        <v>0</v>
      </c>
      <c r="J83" s="251" cm="1">
        <f t="array" ref="J83">-SUMPRODUCT(
  desp[valor] *
  (desp[nucleo]=$B83) *
  (desp[centro.negocio]=$B$81) *
  (desp[data.pagamento]&gt;=J$1) *
  (desp[data.pagamento]&lt;EOMONTH(J$1,0)+1)
)</f>
        <v>0</v>
      </c>
      <c r="K83" s="251" cm="1">
        <f t="array" ref="K83">-SUMPRODUCT(
  desp[valor] *
  (desp[nucleo]=$B83) *
  (desp[centro.negocio]=$B$81) *
  (desp[data.pagamento]&gt;=K$1) *
  (desp[data.pagamento]&lt;EOMONTH(K$1,0)+1)
)</f>
        <v>0</v>
      </c>
      <c r="L83" s="251" cm="1">
        <f t="array" ref="L83">-SUMPRODUCT(
  desp[valor] *
  (desp[nucleo]=$B83) *
  (desp[centro.negocio]=$B$81) *
  (desp[data.pagamento]&gt;=L$1) *
  (desp[data.pagamento]&lt;EOMONTH(L$1,0)+1)
)</f>
        <v>0</v>
      </c>
      <c r="M83" s="251" cm="1">
        <f t="array" ref="M83">-SUMPRODUCT(
  desp[valor] *
  (desp[nucleo]=$B83) *
  (desp[centro.negocio]=$B$81) *
  (desp[data.pagamento]&gt;=M$1) *
  (desp[data.pagamento]&lt;EOMONTH(M$1,0)+1)
)</f>
        <v>0</v>
      </c>
      <c r="N83" s="251" cm="1">
        <f t="array" ref="N83">-SUMPRODUCT(
  desp[valor] *
  (desp[nucleo]=$B83) *
  (desp[centro.negocio]=$B$81) *
  (desp[data.pagamento]&gt;=N$1) *
  (desp[data.pagamento]&lt;EOMONTH(N$1,0)+1)
)</f>
        <v>0</v>
      </c>
      <c r="O83" s="251" cm="1">
        <f t="array" ref="O83">-SUMPRODUCT(
  desp[valor] *
  (desp[nucleo]=$B83) *
  (desp[centro.negocio]=$B$81) *
  (desp[data.pagamento]&gt;=O$1) *
  (desp[data.pagamento]&lt;EOMONTH(O$1,0)+1)
)</f>
        <v>0</v>
      </c>
      <c r="P83" s="251" cm="1">
        <f t="array" ref="P83">-SUMPRODUCT(
  desp[valor] *
  (desp[nucleo]=$B83) *
  (desp[centro.negocio]=$B$81) *
  (desp[data.pagamento]&gt;=P$1) *
  (desp[data.pagamento]&lt;EOMONTH(P$1,0)+1)
)</f>
        <v>0</v>
      </c>
      <c r="Q83" s="251" cm="1">
        <f t="array" ref="Q83">-SUMPRODUCT(
  desp[valor] *
  (desp[nucleo]=$B83) *
  (desp[centro.negocio]=$B$81) *
  (desp[data.pagamento]&gt;=Q$1) *
  (desp[data.pagamento]&lt;EOMONTH(Q$1,0)+1)
)</f>
        <v>0</v>
      </c>
      <c r="S83" s="243">
        <f t="shared" si="19"/>
        <v>0</v>
      </c>
    </row>
    <row r="84" spans="1:19" outlineLevel="2" x14ac:dyDescent="0.25">
      <c r="A84" s="250" t="s">
        <v>645</v>
      </c>
      <c r="B84" s="250" t="s">
        <v>594</v>
      </c>
      <c r="C84" s="197" t="s">
        <v>556</v>
      </c>
      <c r="D84" s="251" cm="1">
        <f t="array" ref="D84">-SUMPRODUCT(
  desp[valor] *
  (desp[nucleo]=$B84) *
  (desp[centro.negocio]=$B$81) *
  (desp[data.pagamento]&gt;=D$1) *
  (desp[data.pagamento]&lt;EOMONTH(D$1,0)+1)
)</f>
        <v>0</v>
      </c>
      <c r="E84" s="251" cm="1">
        <f t="array" ref="E84">-SUMPRODUCT(
  desp[valor] *
  (desp[nucleo]=$B84) *
  (desp[centro.negocio]=$B$81) *
  (desp[data.pagamento]&gt;=E$1) *
  (desp[data.pagamento]&lt;EOMONTH(E$1,0)+1)
)</f>
        <v>0</v>
      </c>
      <c r="F84" s="251" cm="1">
        <f t="array" ref="F84">-SUMPRODUCT(
  desp[valor] *
  (desp[nucleo]=$B84) *
  (desp[centro.negocio]=$B$81) *
  (desp[data.pagamento]&gt;=F$1) *
  (desp[data.pagamento]&lt;EOMONTH(F$1,0)+1)
)</f>
        <v>0</v>
      </c>
      <c r="G84" s="251" cm="1">
        <f t="array" ref="G84">-SUMPRODUCT(
  desp[valor] *
  (desp[nucleo]=$B84) *
  (desp[centro.negocio]=$B$81) *
  (desp[data.pagamento]&gt;=G$1) *
  (desp[data.pagamento]&lt;EOMONTH(G$1,0)+1)
)</f>
        <v>0</v>
      </c>
      <c r="H84" s="251" cm="1">
        <f t="array" ref="H84">-SUMPRODUCT(
  desp[valor] *
  (desp[nucleo]=$B84) *
  (desp[centro.negocio]=$B$81) *
  (desp[data.pagamento]&gt;=H$1) *
  (desp[data.pagamento]&lt;EOMONTH(H$1,0)+1)
)</f>
        <v>0</v>
      </c>
      <c r="I84" s="251" cm="1">
        <f t="array" ref="I84">-SUMPRODUCT(
  desp[valor] *
  (desp[nucleo]=$B84) *
  (desp[centro.negocio]=$B$81) *
  (desp[data.pagamento]&gt;=I$1) *
  (desp[data.pagamento]&lt;EOMONTH(I$1,0)+1)
)</f>
        <v>0</v>
      </c>
      <c r="J84" s="251" cm="1">
        <f t="array" ref="J84">-SUMPRODUCT(
  desp[valor] *
  (desp[nucleo]=$B84) *
  (desp[centro.negocio]=$B$81) *
  (desp[data.pagamento]&gt;=J$1) *
  (desp[data.pagamento]&lt;EOMONTH(J$1,0)+1)
)</f>
        <v>0</v>
      </c>
      <c r="K84" s="251" cm="1">
        <f t="array" ref="K84">-SUMPRODUCT(
  desp[valor] *
  (desp[nucleo]=$B84) *
  (desp[centro.negocio]=$B$81) *
  (desp[data.pagamento]&gt;=K$1) *
  (desp[data.pagamento]&lt;EOMONTH(K$1,0)+1)
)</f>
        <v>0</v>
      </c>
      <c r="L84" s="251" cm="1">
        <f t="array" ref="L84">-SUMPRODUCT(
  desp[valor] *
  (desp[nucleo]=$B84) *
  (desp[centro.negocio]=$B$81) *
  (desp[data.pagamento]&gt;=L$1) *
  (desp[data.pagamento]&lt;EOMONTH(L$1,0)+1)
)</f>
        <v>0</v>
      </c>
      <c r="M84" s="251" cm="1">
        <f t="array" ref="M84">-SUMPRODUCT(
  desp[valor] *
  (desp[nucleo]=$B84) *
  (desp[centro.negocio]=$B$81) *
  (desp[data.pagamento]&gt;=M$1) *
  (desp[data.pagamento]&lt;EOMONTH(M$1,0)+1)
)</f>
        <v>0</v>
      </c>
      <c r="N84" s="251" cm="1">
        <f t="array" ref="N84">-SUMPRODUCT(
  desp[valor] *
  (desp[nucleo]=$B84) *
  (desp[centro.negocio]=$B$81) *
  (desp[data.pagamento]&gt;=N$1) *
  (desp[data.pagamento]&lt;EOMONTH(N$1,0)+1)
)</f>
        <v>0</v>
      </c>
      <c r="O84" s="251" cm="1">
        <f t="array" ref="O84">-SUMPRODUCT(
  desp[valor] *
  (desp[nucleo]=$B84) *
  (desp[centro.negocio]=$B$81) *
  (desp[data.pagamento]&gt;=O$1) *
  (desp[data.pagamento]&lt;EOMONTH(O$1,0)+1)
)</f>
        <v>0</v>
      </c>
      <c r="P84" s="251" cm="1">
        <f t="array" ref="P84">-SUMPRODUCT(
  desp[valor] *
  (desp[nucleo]=$B84) *
  (desp[centro.negocio]=$B$81) *
  (desp[data.pagamento]&gt;=P$1) *
  (desp[data.pagamento]&lt;EOMONTH(P$1,0)+1)
)</f>
        <v>0</v>
      </c>
      <c r="Q84" s="251" cm="1">
        <f t="array" ref="Q84">-SUMPRODUCT(
  desp[valor] *
  (desp[nucleo]=$B84) *
  (desp[centro.negocio]=$B$81) *
  (desp[data.pagamento]&gt;=Q$1) *
  (desp[data.pagamento]&lt;EOMONTH(Q$1,0)+1)
)</f>
        <v>0</v>
      </c>
      <c r="S84" s="243">
        <f t="shared" si="19"/>
        <v>0</v>
      </c>
    </row>
    <row r="85" spans="1:19" outlineLevel="2" x14ac:dyDescent="0.25">
      <c r="A85" s="250" t="s">
        <v>646</v>
      </c>
      <c r="B85" s="250" t="s">
        <v>586</v>
      </c>
      <c r="C85" s="197" t="s">
        <v>556</v>
      </c>
      <c r="D85" s="251" cm="1">
        <f t="array" ref="D85">-SUMPRODUCT(
  desp[valor] *
  (desp[nucleo]=$B85) *
  (desp[centro.negocio]=$B$81) *
  (desp[data.pagamento]&gt;=D$1) *
  (desp[data.pagamento]&lt;EOMONTH(D$1,0)+1)
)</f>
        <v>0</v>
      </c>
      <c r="E85" s="251" cm="1">
        <f t="array" ref="E85">-SUMPRODUCT(
  desp[valor] *
  (desp[nucleo]=$B85) *
  (desp[centro.negocio]=$B$81) *
  (desp[data.pagamento]&gt;=E$1) *
  (desp[data.pagamento]&lt;EOMONTH(E$1,0)+1)
)</f>
        <v>0</v>
      </c>
      <c r="F85" s="251" cm="1">
        <f t="array" ref="F85">-SUMPRODUCT(
  desp[valor] *
  (desp[nucleo]=$B85) *
  (desp[centro.negocio]=$B$81) *
  (desp[data.pagamento]&gt;=F$1) *
  (desp[data.pagamento]&lt;EOMONTH(F$1,0)+1)
)</f>
        <v>0</v>
      </c>
      <c r="G85" s="251" cm="1">
        <f t="array" ref="G85">-SUMPRODUCT(
  desp[valor] *
  (desp[nucleo]=$B85) *
  (desp[centro.negocio]=$B$81) *
  (desp[data.pagamento]&gt;=G$1) *
  (desp[data.pagamento]&lt;EOMONTH(G$1,0)+1)
)</f>
        <v>0</v>
      </c>
      <c r="H85" s="251" cm="1">
        <f t="array" ref="H85">-SUMPRODUCT(
  desp[valor] *
  (desp[nucleo]=$B85) *
  (desp[centro.negocio]=$B$81) *
  (desp[data.pagamento]&gt;=H$1) *
  (desp[data.pagamento]&lt;EOMONTH(H$1,0)+1)
)</f>
        <v>0</v>
      </c>
      <c r="I85" s="251" cm="1">
        <f t="array" ref="I85">-SUMPRODUCT(
  desp[valor] *
  (desp[nucleo]=$B85) *
  (desp[centro.negocio]=$B$81) *
  (desp[data.pagamento]&gt;=I$1) *
  (desp[data.pagamento]&lt;EOMONTH(I$1,0)+1)
)</f>
        <v>0</v>
      </c>
      <c r="J85" s="251" cm="1">
        <f t="array" ref="J85">-SUMPRODUCT(
  desp[valor] *
  (desp[nucleo]=$B85) *
  (desp[centro.negocio]=$B$81) *
  (desp[data.pagamento]&gt;=J$1) *
  (desp[data.pagamento]&lt;EOMONTH(J$1,0)+1)
)</f>
        <v>0</v>
      </c>
      <c r="K85" s="251" cm="1">
        <f t="array" ref="K85">-SUMPRODUCT(
  desp[valor] *
  (desp[nucleo]=$B85) *
  (desp[centro.negocio]=$B$81) *
  (desp[data.pagamento]&gt;=K$1) *
  (desp[data.pagamento]&lt;EOMONTH(K$1,0)+1)
)</f>
        <v>0</v>
      </c>
      <c r="L85" s="251" cm="1">
        <f t="array" ref="L85">-SUMPRODUCT(
  desp[valor] *
  (desp[nucleo]=$B85) *
  (desp[centro.negocio]=$B$81) *
  (desp[data.pagamento]&gt;=L$1) *
  (desp[data.pagamento]&lt;EOMONTH(L$1,0)+1)
)</f>
        <v>0</v>
      </c>
      <c r="M85" s="251" cm="1">
        <f t="array" ref="M85">-SUMPRODUCT(
  desp[valor] *
  (desp[nucleo]=$B85) *
  (desp[centro.negocio]=$B$81) *
  (desp[data.pagamento]&gt;=M$1) *
  (desp[data.pagamento]&lt;EOMONTH(M$1,0)+1)
)</f>
        <v>0</v>
      </c>
      <c r="N85" s="251" cm="1">
        <f t="array" ref="N85">-SUMPRODUCT(
  desp[valor] *
  (desp[nucleo]=$B85) *
  (desp[centro.negocio]=$B$81) *
  (desp[data.pagamento]&gt;=N$1) *
  (desp[data.pagamento]&lt;EOMONTH(N$1,0)+1)
)</f>
        <v>0</v>
      </c>
      <c r="O85" s="251" cm="1">
        <f t="array" ref="O85">-SUMPRODUCT(
  desp[valor] *
  (desp[nucleo]=$B85) *
  (desp[centro.negocio]=$B$81) *
  (desp[data.pagamento]&gt;=O$1) *
  (desp[data.pagamento]&lt;EOMONTH(O$1,0)+1)
)</f>
        <v>0</v>
      </c>
      <c r="P85" s="251" cm="1">
        <f t="array" ref="P85">-SUMPRODUCT(
  desp[valor] *
  (desp[nucleo]=$B85) *
  (desp[centro.negocio]=$B$81) *
  (desp[data.pagamento]&gt;=P$1) *
  (desp[data.pagamento]&lt;EOMONTH(P$1,0)+1)
)</f>
        <v>0</v>
      </c>
      <c r="Q85" s="251" cm="1">
        <f t="array" ref="Q85">-SUMPRODUCT(
  desp[valor] *
  (desp[nucleo]=$B85) *
  (desp[centro.negocio]=$B$81) *
  (desp[data.pagamento]&gt;=Q$1) *
  (desp[data.pagamento]&lt;EOMONTH(Q$1,0)+1)
)</f>
        <v>0</v>
      </c>
      <c r="S85" s="243">
        <f t="shared" si="19"/>
        <v>0</v>
      </c>
    </row>
    <row r="86" spans="1:19" outlineLevel="2" x14ac:dyDescent="0.25">
      <c r="A86" s="250" t="s">
        <v>647</v>
      </c>
      <c r="B86" s="250" t="s">
        <v>592</v>
      </c>
      <c r="C86" s="197" t="s">
        <v>556</v>
      </c>
      <c r="D86" s="251" cm="1">
        <f t="array" ref="D86">-SUMPRODUCT(
  desp[valor] *
  (desp[nucleo]=$B86) *
  (desp[centro.negocio]=$B$81) *
  (desp[data.pagamento]&gt;=D$1) *
  (desp[data.pagamento]&lt;EOMONTH(D$1,0)+1)
)</f>
        <v>0</v>
      </c>
      <c r="E86" s="251" cm="1">
        <f t="array" ref="E86">-SUMPRODUCT(
  desp[valor] *
  (desp[nucleo]=$B86) *
  (desp[centro.negocio]=$B$81) *
  (desp[data.pagamento]&gt;=E$1) *
  (desp[data.pagamento]&lt;EOMONTH(E$1,0)+1)
)</f>
        <v>0</v>
      </c>
      <c r="F86" s="251" cm="1">
        <f t="array" ref="F86">-SUMPRODUCT(
  desp[valor] *
  (desp[nucleo]=$B86) *
  (desp[centro.negocio]=$B$81) *
  (desp[data.pagamento]&gt;=F$1) *
  (desp[data.pagamento]&lt;EOMONTH(F$1,0)+1)
)</f>
        <v>0</v>
      </c>
      <c r="G86" s="251" cm="1">
        <f t="array" ref="G86">-SUMPRODUCT(
  desp[valor] *
  (desp[nucleo]=$B86) *
  (desp[centro.negocio]=$B$81) *
  (desp[data.pagamento]&gt;=G$1) *
  (desp[data.pagamento]&lt;EOMONTH(G$1,0)+1)
)</f>
        <v>0</v>
      </c>
      <c r="H86" s="251" cm="1">
        <f t="array" ref="H86">-SUMPRODUCT(
  desp[valor] *
  (desp[nucleo]=$B86) *
  (desp[centro.negocio]=$B$81) *
  (desp[data.pagamento]&gt;=H$1) *
  (desp[data.pagamento]&lt;EOMONTH(H$1,0)+1)
)</f>
        <v>0</v>
      </c>
      <c r="I86" s="251" cm="1">
        <f t="array" ref="I86">-SUMPRODUCT(
  desp[valor] *
  (desp[nucleo]=$B86) *
  (desp[centro.negocio]=$B$81) *
  (desp[data.pagamento]&gt;=I$1) *
  (desp[data.pagamento]&lt;EOMONTH(I$1,0)+1)
)</f>
        <v>0</v>
      </c>
      <c r="J86" s="251" cm="1">
        <f t="array" ref="J86">-SUMPRODUCT(
  desp[valor] *
  (desp[nucleo]=$B86) *
  (desp[centro.negocio]=$B$81) *
  (desp[data.pagamento]&gt;=J$1) *
  (desp[data.pagamento]&lt;EOMONTH(J$1,0)+1)
)</f>
        <v>0</v>
      </c>
      <c r="K86" s="251" cm="1">
        <f t="array" ref="K86">-SUMPRODUCT(
  desp[valor] *
  (desp[nucleo]=$B86) *
  (desp[centro.negocio]=$B$81) *
  (desp[data.pagamento]&gt;=K$1) *
  (desp[data.pagamento]&lt;EOMONTH(K$1,0)+1)
)</f>
        <v>0</v>
      </c>
      <c r="L86" s="251" cm="1">
        <f t="array" ref="L86">-SUMPRODUCT(
  desp[valor] *
  (desp[nucleo]=$B86) *
  (desp[centro.negocio]=$B$81) *
  (desp[data.pagamento]&gt;=L$1) *
  (desp[data.pagamento]&lt;EOMONTH(L$1,0)+1)
)</f>
        <v>0</v>
      </c>
      <c r="M86" s="251" cm="1">
        <f t="array" ref="M86">-SUMPRODUCT(
  desp[valor] *
  (desp[nucleo]=$B86) *
  (desp[centro.negocio]=$B$81) *
  (desp[data.pagamento]&gt;=M$1) *
  (desp[data.pagamento]&lt;EOMONTH(M$1,0)+1)
)</f>
        <v>0</v>
      </c>
      <c r="N86" s="251" cm="1">
        <f t="array" ref="N86">-SUMPRODUCT(
  desp[valor] *
  (desp[nucleo]=$B86) *
  (desp[centro.negocio]=$B$81) *
  (desp[data.pagamento]&gt;=N$1) *
  (desp[data.pagamento]&lt;EOMONTH(N$1,0)+1)
)</f>
        <v>0</v>
      </c>
      <c r="O86" s="251" cm="1">
        <f t="array" ref="O86">-SUMPRODUCT(
  desp[valor] *
  (desp[nucleo]=$B86) *
  (desp[centro.negocio]=$B$81) *
  (desp[data.pagamento]&gt;=O$1) *
  (desp[data.pagamento]&lt;EOMONTH(O$1,0)+1)
)</f>
        <v>0</v>
      </c>
      <c r="P86" s="251" cm="1">
        <f t="array" ref="P86">-SUMPRODUCT(
  desp[valor] *
  (desp[nucleo]=$B86) *
  (desp[centro.negocio]=$B$81) *
  (desp[data.pagamento]&gt;=P$1) *
  (desp[data.pagamento]&lt;EOMONTH(P$1,0)+1)
)</f>
        <v>0</v>
      </c>
      <c r="Q86" s="251" cm="1">
        <f t="array" ref="Q86">-SUMPRODUCT(
  desp[valor] *
  (desp[nucleo]=$B86) *
  (desp[centro.negocio]=$B$81) *
  (desp[data.pagamento]&gt;=Q$1) *
  (desp[data.pagamento]&lt;EOMONTH(Q$1,0)+1)
)</f>
        <v>0</v>
      </c>
      <c r="S86" s="243">
        <f t="shared" si="19"/>
        <v>0</v>
      </c>
    </row>
    <row r="87" spans="1:19" outlineLevel="2" x14ac:dyDescent="0.25">
      <c r="A87" s="250" t="s">
        <v>648</v>
      </c>
      <c r="B87" s="250" t="s">
        <v>536</v>
      </c>
      <c r="C87" s="197" t="s">
        <v>556</v>
      </c>
      <c r="D87" s="251" cm="1">
        <f t="array" ref="D87">-SUMPRODUCT(
  desp[valor] *
  (desp[nucleo]=$B87) *
  (desp[centro.negocio]=$B$81) *
  (desp[data.pagamento]&gt;=D$1) *
  (desp[data.pagamento]&lt;EOMONTH(D$1,0)+1)
)</f>
        <v>0</v>
      </c>
      <c r="E87" s="251" cm="1">
        <f t="array" ref="E87">-SUMPRODUCT(
  desp[valor] *
  (desp[nucleo]=$B87) *
  (desp[centro.negocio]=$B$81) *
  (desp[data.pagamento]&gt;=E$1) *
  (desp[data.pagamento]&lt;EOMONTH(E$1,0)+1)
)</f>
        <v>0</v>
      </c>
      <c r="F87" s="251" cm="1">
        <f t="array" ref="F87">-SUMPRODUCT(
  desp[valor] *
  (desp[nucleo]=$B87) *
  (desp[centro.negocio]=$B$81) *
  (desp[data.pagamento]&gt;=F$1) *
  (desp[data.pagamento]&lt;EOMONTH(F$1,0)+1)
)</f>
        <v>0</v>
      </c>
      <c r="G87" s="251" cm="1">
        <f t="array" ref="G87">-SUMPRODUCT(
  desp[valor] *
  (desp[nucleo]=$B87) *
  (desp[centro.negocio]=$B$81) *
  (desp[data.pagamento]&gt;=G$1) *
  (desp[data.pagamento]&lt;EOMONTH(G$1,0)+1)
)</f>
        <v>0</v>
      </c>
      <c r="H87" s="251" cm="1">
        <f t="array" ref="H87">-SUMPRODUCT(
  desp[valor] *
  (desp[nucleo]=$B87) *
  (desp[centro.negocio]=$B$81) *
  (desp[data.pagamento]&gt;=H$1) *
  (desp[data.pagamento]&lt;EOMONTH(H$1,0)+1)
)</f>
        <v>0</v>
      </c>
      <c r="I87" s="251" cm="1">
        <f t="array" ref="I87">-SUMPRODUCT(
  desp[valor] *
  (desp[nucleo]=$B87) *
  (desp[centro.negocio]=$B$81) *
  (desp[data.pagamento]&gt;=I$1) *
  (desp[data.pagamento]&lt;EOMONTH(I$1,0)+1)
)</f>
        <v>0</v>
      </c>
      <c r="J87" s="251" cm="1">
        <f t="array" ref="J87">-SUMPRODUCT(
  desp[valor] *
  (desp[nucleo]=$B87) *
  (desp[centro.negocio]=$B$81) *
  (desp[data.pagamento]&gt;=J$1) *
  (desp[data.pagamento]&lt;EOMONTH(J$1,0)+1)
)</f>
        <v>0</v>
      </c>
      <c r="K87" s="251" cm="1">
        <f t="array" ref="K87">-SUMPRODUCT(
  desp[valor] *
  (desp[nucleo]=$B87) *
  (desp[centro.negocio]=$B$81) *
  (desp[data.pagamento]&gt;=K$1) *
  (desp[data.pagamento]&lt;EOMONTH(K$1,0)+1)
)</f>
        <v>0</v>
      </c>
      <c r="L87" s="251" cm="1">
        <f t="array" ref="L87">-SUMPRODUCT(
  desp[valor] *
  (desp[nucleo]=$B87) *
  (desp[centro.negocio]=$B$81) *
  (desp[data.pagamento]&gt;=L$1) *
  (desp[data.pagamento]&lt;EOMONTH(L$1,0)+1)
)</f>
        <v>0</v>
      </c>
      <c r="M87" s="251" cm="1">
        <f t="array" ref="M87">-SUMPRODUCT(
  desp[valor] *
  (desp[nucleo]=$B87) *
  (desp[centro.negocio]=$B$81) *
  (desp[data.pagamento]&gt;=M$1) *
  (desp[data.pagamento]&lt;EOMONTH(M$1,0)+1)
)</f>
        <v>0</v>
      </c>
      <c r="N87" s="251" cm="1">
        <f t="array" ref="N87">-SUMPRODUCT(
  desp[valor] *
  (desp[nucleo]=$B87) *
  (desp[centro.negocio]=$B$81) *
  (desp[data.pagamento]&gt;=N$1) *
  (desp[data.pagamento]&lt;EOMONTH(N$1,0)+1)
)</f>
        <v>0</v>
      </c>
      <c r="O87" s="251" cm="1">
        <f t="array" ref="O87">-SUMPRODUCT(
  desp[valor] *
  (desp[nucleo]=$B87) *
  (desp[centro.negocio]=$B$81) *
  (desp[data.pagamento]&gt;=O$1) *
  (desp[data.pagamento]&lt;EOMONTH(O$1,0)+1)
)</f>
        <v>0</v>
      </c>
      <c r="P87" s="251" cm="1">
        <f t="array" ref="P87">-SUMPRODUCT(
  desp[valor] *
  (desp[nucleo]=$B87) *
  (desp[centro.negocio]=$B$81) *
  (desp[data.pagamento]&gt;=P$1) *
  (desp[data.pagamento]&lt;EOMONTH(P$1,0)+1)
)</f>
        <v>0</v>
      </c>
      <c r="Q87" s="251" cm="1">
        <f t="array" ref="Q87">-SUMPRODUCT(
  desp[valor] *
  (desp[nucleo]=$B87) *
  (desp[centro.negocio]=$B$81) *
  (desp[data.pagamento]&gt;=Q$1) *
  (desp[data.pagamento]&lt;EOMONTH(Q$1,0)+1)
)</f>
        <v>0</v>
      </c>
      <c r="S87" s="243">
        <f t="shared" si="19"/>
        <v>0</v>
      </c>
    </row>
    <row r="88" spans="1:19" outlineLevel="2" x14ac:dyDescent="0.25">
      <c r="A88" s="250" t="s">
        <v>649</v>
      </c>
      <c r="B88" s="250" t="s">
        <v>584</v>
      </c>
      <c r="C88" s="197" t="s">
        <v>556</v>
      </c>
      <c r="D88" s="251" cm="1">
        <f t="array" ref="D88">-SUMPRODUCT(
  desp[valor] *
  (desp[nucleo]=$B88) *
  (desp[centro.negocio]=$B$81) *
  (desp[data.pagamento]&gt;=D$1) *
  (desp[data.pagamento]&lt;EOMONTH(D$1,0)+1)
)</f>
        <v>0</v>
      </c>
      <c r="E88" s="251" cm="1">
        <f t="array" ref="E88">-SUMPRODUCT(
  desp[valor] *
  (desp[nucleo]=$B88) *
  (desp[centro.negocio]=$B$81) *
  (desp[data.pagamento]&gt;=E$1) *
  (desp[data.pagamento]&lt;EOMONTH(E$1,0)+1)
)</f>
        <v>0</v>
      </c>
      <c r="F88" s="251" cm="1">
        <f t="array" ref="F88">-SUMPRODUCT(
  desp[valor] *
  (desp[nucleo]=$B88) *
  (desp[centro.negocio]=$B$81) *
  (desp[data.pagamento]&gt;=F$1) *
  (desp[data.pagamento]&lt;EOMONTH(F$1,0)+1)
)</f>
        <v>0</v>
      </c>
      <c r="G88" s="251" cm="1">
        <f t="array" ref="G88">-SUMPRODUCT(
  desp[valor] *
  (desp[nucleo]=$B88) *
  (desp[centro.negocio]=$B$81) *
  (desp[data.pagamento]&gt;=G$1) *
  (desp[data.pagamento]&lt;EOMONTH(G$1,0)+1)
)</f>
        <v>0</v>
      </c>
      <c r="H88" s="251" cm="1">
        <f t="array" ref="H88">-SUMPRODUCT(
  desp[valor] *
  (desp[nucleo]=$B88) *
  (desp[centro.negocio]=$B$81) *
  (desp[data.pagamento]&gt;=H$1) *
  (desp[data.pagamento]&lt;EOMONTH(H$1,0)+1)
)</f>
        <v>0</v>
      </c>
      <c r="I88" s="251" cm="1">
        <f t="array" ref="I88">-SUMPRODUCT(
  desp[valor] *
  (desp[nucleo]=$B88) *
  (desp[centro.negocio]=$B$81) *
  (desp[data.pagamento]&gt;=I$1) *
  (desp[data.pagamento]&lt;EOMONTH(I$1,0)+1)
)</f>
        <v>0</v>
      </c>
      <c r="J88" s="251" cm="1">
        <f t="array" ref="J88">-SUMPRODUCT(
  desp[valor] *
  (desp[nucleo]=$B88) *
  (desp[centro.negocio]=$B$81) *
  (desp[data.pagamento]&gt;=J$1) *
  (desp[data.pagamento]&lt;EOMONTH(J$1,0)+1)
)</f>
        <v>0</v>
      </c>
      <c r="K88" s="251" cm="1">
        <f t="array" ref="K88">-SUMPRODUCT(
  desp[valor] *
  (desp[nucleo]=$B88) *
  (desp[centro.negocio]=$B$81) *
  (desp[data.pagamento]&gt;=K$1) *
  (desp[data.pagamento]&lt;EOMONTH(K$1,0)+1)
)</f>
        <v>0</v>
      </c>
      <c r="L88" s="251" cm="1">
        <f t="array" ref="L88">-SUMPRODUCT(
  desp[valor] *
  (desp[nucleo]=$B88) *
  (desp[centro.negocio]=$B$81) *
  (desp[data.pagamento]&gt;=L$1) *
  (desp[data.pagamento]&lt;EOMONTH(L$1,0)+1)
)</f>
        <v>0</v>
      </c>
      <c r="M88" s="251" cm="1">
        <f t="array" ref="M88">-SUMPRODUCT(
  desp[valor] *
  (desp[nucleo]=$B88) *
  (desp[centro.negocio]=$B$81) *
  (desp[data.pagamento]&gt;=M$1) *
  (desp[data.pagamento]&lt;EOMONTH(M$1,0)+1)
)</f>
        <v>0</v>
      </c>
      <c r="N88" s="251" cm="1">
        <f t="array" ref="N88">-SUMPRODUCT(
  desp[valor] *
  (desp[nucleo]=$B88) *
  (desp[centro.negocio]=$B$81) *
  (desp[data.pagamento]&gt;=N$1) *
  (desp[data.pagamento]&lt;EOMONTH(N$1,0)+1)
)</f>
        <v>0</v>
      </c>
      <c r="O88" s="251" cm="1">
        <f t="array" ref="O88">-SUMPRODUCT(
  desp[valor] *
  (desp[nucleo]=$B88) *
  (desp[centro.negocio]=$B$81) *
  (desp[data.pagamento]&gt;=O$1) *
  (desp[data.pagamento]&lt;EOMONTH(O$1,0)+1)
)</f>
        <v>0</v>
      </c>
      <c r="P88" s="251" cm="1">
        <f t="array" ref="P88">-SUMPRODUCT(
  desp[valor] *
  (desp[nucleo]=$B88) *
  (desp[centro.negocio]=$B$81) *
  (desp[data.pagamento]&gt;=P$1) *
  (desp[data.pagamento]&lt;EOMONTH(P$1,0)+1)
)</f>
        <v>0</v>
      </c>
      <c r="Q88" s="251" cm="1">
        <f t="array" ref="Q88">-SUMPRODUCT(
  desp[valor] *
  (desp[nucleo]=$B88) *
  (desp[centro.negocio]=$B$81) *
  (desp[data.pagamento]&gt;=Q$1) *
  (desp[data.pagamento]&lt;EOMONTH(Q$1,0)+1)
)</f>
        <v>0</v>
      </c>
      <c r="S88" s="243">
        <f t="shared" si="19"/>
        <v>0</v>
      </c>
    </row>
    <row r="89" spans="1:19" outlineLevel="2" x14ac:dyDescent="0.25">
      <c r="A89" s="250" t="s">
        <v>650</v>
      </c>
      <c r="B89" s="250" t="s">
        <v>580</v>
      </c>
      <c r="C89" s="197" t="s">
        <v>556</v>
      </c>
      <c r="D89" s="251" cm="1">
        <f t="array" ref="D89">-SUMPRODUCT(
  desp[valor] *
  (desp[nucleo]=$B89) *
  (desp[centro.negocio]=$B$81) *
  (desp[data.pagamento]&gt;=D$1) *
  (desp[data.pagamento]&lt;EOMONTH(D$1,0)+1)
)</f>
        <v>0</v>
      </c>
      <c r="E89" s="251" cm="1">
        <f t="array" ref="E89">-SUMPRODUCT(
  desp[valor] *
  (desp[nucleo]=$B89) *
  (desp[centro.negocio]=$B$81) *
  (desp[data.pagamento]&gt;=E$1) *
  (desp[data.pagamento]&lt;EOMONTH(E$1,0)+1)
)</f>
        <v>0</v>
      </c>
      <c r="F89" s="251" cm="1">
        <f t="array" ref="F89">-SUMPRODUCT(
  desp[valor] *
  (desp[nucleo]=$B89) *
  (desp[centro.negocio]=$B$81) *
  (desp[data.pagamento]&gt;=F$1) *
  (desp[data.pagamento]&lt;EOMONTH(F$1,0)+1)
)</f>
        <v>0</v>
      </c>
      <c r="G89" s="251" cm="1">
        <f t="array" ref="G89">-SUMPRODUCT(
  desp[valor] *
  (desp[nucleo]=$B89) *
  (desp[centro.negocio]=$B$81) *
  (desp[data.pagamento]&gt;=G$1) *
  (desp[data.pagamento]&lt;EOMONTH(G$1,0)+1)
)</f>
        <v>0</v>
      </c>
      <c r="H89" s="251" cm="1">
        <f t="array" ref="H89">-SUMPRODUCT(
  desp[valor] *
  (desp[nucleo]=$B89) *
  (desp[centro.negocio]=$B$81) *
  (desp[data.pagamento]&gt;=H$1) *
  (desp[data.pagamento]&lt;EOMONTH(H$1,0)+1)
)</f>
        <v>0</v>
      </c>
      <c r="I89" s="251" cm="1">
        <f t="array" ref="I89">-SUMPRODUCT(
  desp[valor] *
  (desp[nucleo]=$B89) *
  (desp[centro.negocio]=$B$81) *
  (desp[data.pagamento]&gt;=I$1) *
  (desp[data.pagamento]&lt;EOMONTH(I$1,0)+1)
)</f>
        <v>0</v>
      </c>
      <c r="J89" s="251" cm="1">
        <f t="array" ref="J89">-SUMPRODUCT(
  desp[valor] *
  (desp[nucleo]=$B89) *
  (desp[centro.negocio]=$B$81) *
  (desp[data.pagamento]&gt;=J$1) *
  (desp[data.pagamento]&lt;EOMONTH(J$1,0)+1)
)</f>
        <v>0</v>
      </c>
      <c r="K89" s="251" cm="1">
        <f t="array" ref="K89">-SUMPRODUCT(
  desp[valor] *
  (desp[nucleo]=$B89) *
  (desp[centro.negocio]=$B$81) *
  (desp[data.pagamento]&gt;=K$1) *
  (desp[data.pagamento]&lt;EOMONTH(K$1,0)+1)
)</f>
        <v>0</v>
      </c>
      <c r="L89" s="251" cm="1">
        <f t="array" ref="L89">-SUMPRODUCT(
  desp[valor] *
  (desp[nucleo]=$B89) *
  (desp[centro.negocio]=$B$81) *
  (desp[data.pagamento]&gt;=L$1) *
  (desp[data.pagamento]&lt;EOMONTH(L$1,0)+1)
)</f>
        <v>0</v>
      </c>
      <c r="M89" s="251" cm="1">
        <f t="array" ref="M89">-SUMPRODUCT(
  desp[valor] *
  (desp[nucleo]=$B89) *
  (desp[centro.negocio]=$B$81) *
  (desp[data.pagamento]&gt;=M$1) *
  (desp[data.pagamento]&lt;EOMONTH(M$1,0)+1)
)</f>
        <v>0</v>
      </c>
      <c r="N89" s="251" cm="1">
        <f t="array" ref="N89">-SUMPRODUCT(
  desp[valor] *
  (desp[nucleo]=$B89) *
  (desp[centro.negocio]=$B$81) *
  (desp[data.pagamento]&gt;=N$1) *
  (desp[data.pagamento]&lt;EOMONTH(N$1,0)+1)
)</f>
        <v>0</v>
      </c>
      <c r="O89" s="251" cm="1">
        <f t="array" ref="O89">-SUMPRODUCT(
  desp[valor] *
  (desp[nucleo]=$B89) *
  (desp[centro.negocio]=$B$81) *
  (desp[data.pagamento]&gt;=O$1) *
  (desp[data.pagamento]&lt;EOMONTH(O$1,0)+1)
)</f>
        <v>0</v>
      </c>
      <c r="P89" s="251" cm="1">
        <f t="array" ref="P89">-SUMPRODUCT(
  desp[valor] *
  (desp[nucleo]=$B89) *
  (desp[centro.negocio]=$B$81) *
  (desp[data.pagamento]&gt;=P$1) *
  (desp[data.pagamento]&lt;EOMONTH(P$1,0)+1)
)</f>
        <v>0</v>
      </c>
      <c r="Q89" s="251" cm="1">
        <f t="array" ref="Q89">-SUMPRODUCT(
  desp[valor] *
  (desp[nucleo]=$B89) *
  (desp[centro.negocio]=$B$81) *
  (desp[data.pagamento]&gt;=Q$1) *
  (desp[data.pagamento]&lt;EOMONTH(Q$1,0)+1)
)</f>
        <v>0</v>
      </c>
      <c r="S89" s="243">
        <f t="shared" si="19"/>
        <v>0</v>
      </c>
    </row>
    <row r="90" spans="1:19" outlineLevel="2" x14ac:dyDescent="0.25">
      <c r="A90" s="250" t="s">
        <v>651</v>
      </c>
      <c r="B90" s="250" t="s">
        <v>588</v>
      </c>
      <c r="C90" s="197" t="s">
        <v>556</v>
      </c>
      <c r="D90" s="251" cm="1">
        <f t="array" ref="D90">-SUMPRODUCT(
  desp[valor] *
  (desp[nucleo]=$B90) *
  (desp[centro.negocio]=$B$81) *
  (desp[data.pagamento]&gt;=D$1) *
  (desp[data.pagamento]&lt;EOMONTH(D$1,0)+1)
)</f>
        <v>0</v>
      </c>
      <c r="E90" s="251" cm="1">
        <f t="array" ref="E90">-SUMPRODUCT(
  desp[valor] *
  (desp[nucleo]=$B90) *
  (desp[centro.negocio]=$B$81) *
  (desp[data.pagamento]&gt;=E$1) *
  (desp[data.pagamento]&lt;EOMONTH(E$1,0)+1)
)</f>
        <v>0</v>
      </c>
      <c r="F90" s="251" cm="1">
        <f t="array" ref="F90">-SUMPRODUCT(
  desp[valor] *
  (desp[nucleo]=$B90) *
  (desp[centro.negocio]=$B$81) *
  (desp[data.pagamento]&gt;=F$1) *
  (desp[data.pagamento]&lt;EOMONTH(F$1,0)+1)
)</f>
        <v>0</v>
      </c>
      <c r="G90" s="251" cm="1">
        <f t="array" ref="G90">-SUMPRODUCT(
  desp[valor] *
  (desp[nucleo]=$B90) *
  (desp[centro.negocio]=$B$81) *
  (desp[data.pagamento]&gt;=G$1) *
  (desp[data.pagamento]&lt;EOMONTH(G$1,0)+1)
)</f>
        <v>0</v>
      </c>
      <c r="H90" s="251" cm="1">
        <f t="array" ref="H90">-SUMPRODUCT(
  desp[valor] *
  (desp[nucleo]=$B90) *
  (desp[centro.negocio]=$B$81) *
  (desp[data.pagamento]&gt;=H$1) *
  (desp[data.pagamento]&lt;EOMONTH(H$1,0)+1)
)</f>
        <v>0</v>
      </c>
      <c r="I90" s="251" cm="1">
        <f t="array" ref="I90">-SUMPRODUCT(
  desp[valor] *
  (desp[nucleo]=$B90) *
  (desp[centro.negocio]=$B$81) *
  (desp[data.pagamento]&gt;=I$1) *
  (desp[data.pagamento]&lt;EOMONTH(I$1,0)+1)
)</f>
        <v>0</v>
      </c>
      <c r="J90" s="251" cm="1">
        <f t="array" ref="J90">-SUMPRODUCT(
  desp[valor] *
  (desp[nucleo]=$B90) *
  (desp[centro.negocio]=$B$81) *
  (desp[data.pagamento]&gt;=J$1) *
  (desp[data.pagamento]&lt;EOMONTH(J$1,0)+1)
)</f>
        <v>0</v>
      </c>
      <c r="K90" s="251" cm="1">
        <f t="array" ref="K90">-SUMPRODUCT(
  desp[valor] *
  (desp[nucleo]=$B90) *
  (desp[centro.negocio]=$B$81) *
  (desp[data.pagamento]&gt;=K$1) *
  (desp[data.pagamento]&lt;EOMONTH(K$1,0)+1)
)</f>
        <v>0</v>
      </c>
      <c r="L90" s="251" cm="1">
        <f t="array" ref="L90">-SUMPRODUCT(
  desp[valor] *
  (desp[nucleo]=$B90) *
  (desp[centro.negocio]=$B$81) *
  (desp[data.pagamento]&gt;=L$1) *
  (desp[data.pagamento]&lt;EOMONTH(L$1,0)+1)
)</f>
        <v>0</v>
      </c>
      <c r="M90" s="251" cm="1">
        <f t="array" ref="M90">-SUMPRODUCT(
  desp[valor] *
  (desp[nucleo]=$B90) *
  (desp[centro.negocio]=$B$81) *
  (desp[data.pagamento]&gt;=M$1) *
  (desp[data.pagamento]&lt;EOMONTH(M$1,0)+1)
)</f>
        <v>0</v>
      </c>
      <c r="N90" s="251" cm="1">
        <f t="array" ref="N90">-SUMPRODUCT(
  desp[valor] *
  (desp[nucleo]=$B90) *
  (desp[centro.negocio]=$B$81) *
  (desp[data.pagamento]&gt;=N$1) *
  (desp[data.pagamento]&lt;EOMONTH(N$1,0)+1)
)</f>
        <v>0</v>
      </c>
      <c r="O90" s="251" cm="1">
        <f t="array" ref="O90">-SUMPRODUCT(
  desp[valor] *
  (desp[nucleo]=$B90) *
  (desp[centro.negocio]=$B$81) *
  (desp[data.pagamento]&gt;=O$1) *
  (desp[data.pagamento]&lt;EOMONTH(O$1,0)+1)
)</f>
        <v>0</v>
      </c>
      <c r="P90" s="251" cm="1">
        <f t="array" ref="P90">-SUMPRODUCT(
  desp[valor] *
  (desp[nucleo]=$B90) *
  (desp[centro.negocio]=$B$81) *
  (desp[data.pagamento]&gt;=P$1) *
  (desp[data.pagamento]&lt;EOMONTH(P$1,0)+1)
)</f>
        <v>0</v>
      </c>
      <c r="Q90" s="251" cm="1">
        <f t="array" ref="Q90">-SUMPRODUCT(
  desp[valor] *
  (desp[nucleo]=$B90) *
  (desp[centro.negocio]=$B$81) *
  (desp[data.pagamento]&gt;=Q$1) *
  (desp[data.pagamento]&lt;EOMONTH(Q$1,0)+1)
)</f>
        <v>0</v>
      </c>
      <c r="S90" s="243">
        <f>SUM(D90:Q90)</f>
        <v>0</v>
      </c>
    </row>
    <row r="91" spans="1:19" outlineLevel="2" x14ac:dyDescent="0.25">
      <c r="A91" s="250" t="s">
        <v>652</v>
      </c>
      <c r="B91" s="250" t="s">
        <v>582</v>
      </c>
      <c r="C91" s="197" t="s">
        <v>556</v>
      </c>
      <c r="D91" s="251" cm="1">
        <f t="array" ref="D91">-SUMPRODUCT(
  desp[valor] *
  (desp[nucleo]=$B91) *
  (desp[centro.negocio]=$B$81) *
  (desp[data.pagamento]&gt;=D$1) *
  (desp[data.pagamento]&lt;EOMONTH(D$1,0)+1)
)</f>
        <v>0</v>
      </c>
      <c r="E91" s="251" cm="1">
        <f t="array" ref="E91">-SUMPRODUCT(
  desp[valor] *
  (desp[nucleo]=$B91) *
  (desp[centro.negocio]=$B$81) *
  (desp[data.pagamento]&gt;=E$1) *
  (desp[data.pagamento]&lt;EOMONTH(E$1,0)+1)
)</f>
        <v>0</v>
      </c>
      <c r="F91" s="251" cm="1">
        <f t="array" ref="F91">-SUMPRODUCT(
  desp[valor] *
  (desp[nucleo]=$B91) *
  (desp[centro.negocio]=$B$81) *
  (desp[data.pagamento]&gt;=F$1) *
  (desp[data.pagamento]&lt;EOMONTH(F$1,0)+1)
)</f>
        <v>0</v>
      </c>
      <c r="G91" s="251" cm="1">
        <f t="array" ref="G91">-SUMPRODUCT(
  desp[valor] *
  (desp[nucleo]=$B91) *
  (desp[centro.negocio]=$B$81) *
  (desp[data.pagamento]&gt;=G$1) *
  (desp[data.pagamento]&lt;EOMONTH(G$1,0)+1)
)</f>
        <v>0</v>
      </c>
      <c r="H91" s="251" cm="1">
        <f t="array" ref="H91">-SUMPRODUCT(
  desp[valor] *
  (desp[nucleo]=$B91) *
  (desp[centro.negocio]=$B$81) *
  (desp[data.pagamento]&gt;=H$1) *
  (desp[data.pagamento]&lt;EOMONTH(H$1,0)+1)
)</f>
        <v>0</v>
      </c>
      <c r="I91" s="251" cm="1">
        <f t="array" ref="I91">-SUMPRODUCT(
  desp[valor] *
  (desp[nucleo]=$B91) *
  (desp[centro.negocio]=$B$81) *
  (desp[data.pagamento]&gt;=I$1) *
  (desp[data.pagamento]&lt;EOMONTH(I$1,0)+1)
)</f>
        <v>0</v>
      </c>
      <c r="J91" s="251" cm="1">
        <f t="array" ref="J91">-SUMPRODUCT(
  desp[valor] *
  (desp[nucleo]=$B91) *
  (desp[centro.negocio]=$B$81) *
  (desp[data.pagamento]&gt;=J$1) *
  (desp[data.pagamento]&lt;EOMONTH(J$1,0)+1)
)</f>
        <v>0</v>
      </c>
      <c r="K91" s="251" cm="1">
        <f t="array" ref="K91">-SUMPRODUCT(
  desp[valor] *
  (desp[nucleo]=$B91) *
  (desp[centro.negocio]=$B$81) *
  (desp[data.pagamento]&gt;=K$1) *
  (desp[data.pagamento]&lt;EOMONTH(K$1,0)+1)
)</f>
        <v>0</v>
      </c>
      <c r="L91" s="251" cm="1">
        <f t="array" ref="L91">-SUMPRODUCT(
  desp[valor] *
  (desp[nucleo]=$B91) *
  (desp[centro.negocio]=$B$81) *
  (desp[data.pagamento]&gt;=L$1) *
  (desp[data.pagamento]&lt;EOMONTH(L$1,0)+1)
)</f>
        <v>0</v>
      </c>
      <c r="M91" s="251" cm="1">
        <f t="array" ref="M91">-SUMPRODUCT(
  desp[valor] *
  (desp[nucleo]=$B91) *
  (desp[centro.negocio]=$B$81) *
  (desp[data.pagamento]&gt;=M$1) *
  (desp[data.pagamento]&lt;EOMONTH(M$1,0)+1)
)</f>
        <v>0</v>
      </c>
      <c r="N91" s="251" cm="1">
        <f t="array" ref="N91">-SUMPRODUCT(
  desp[valor] *
  (desp[nucleo]=$B91) *
  (desp[centro.negocio]=$B$81) *
  (desp[data.pagamento]&gt;=N$1) *
  (desp[data.pagamento]&lt;EOMONTH(N$1,0)+1)
)</f>
        <v>0</v>
      </c>
      <c r="O91" s="251" cm="1">
        <f t="array" ref="O91">-SUMPRODUCT(
  desp[valor] *
  (desp[nucleo]=$B91) *
  (desp[centro.negocio]=$B$81) *
  (desp[data.pagamento]&gt;=O$1) *
  (desp[data.pagamento]&lt;EOMONTH(O$1,0)+1)
)</f>
        <v>0</v>
      </c>
      <c r="P91" s="251" cm="1">
        <f t="array" ref="P91">-SUMPRODUCT(
  desp[valor] *
  (desp[nucleo]=$B91) *
  (desp[centro.negocio]=$B$81) *
  (desp[data.pagamento]&gt;=P$1) *
  (desp[data.pagamento]&lt;EOMONTH(P$1,0)+1)
)</f>
        <v>0</v>
      </c>
      <c r="Q91" s="251" cm="1">
        <f t="array" ref="Q91">-SUMPRODUCT(
  desp[valor] *
  (desp[nucleo]=$B91) *
  (desp[centro.negocio]=$B$81) *
  (desp[data.pagamento]&gt;=Q$1) *
  (desp[data.pagamento]&lt;EOMONTH(Q$1,0)+1)
)</f>
        <v>0</v>
      </c>
      <c r="S91" s="243">
        <f>SUM(D91:Q91)</f>
        <v>0</v>
      </c>
    </row>
    <row r="92" spans="1:19" outlineLevel="2" x14ac:dyDescent="0.25">
      <c r="A92" s="256" t="s">
        <v>653</v>
      </c>
      <c r="B92" s="250" t="s">
        <v>654</v>
      </c>
      <c r="C92" s="197" t="s">
        <v>556</v>
      </c>
      <c r="D92" s="251" cm="1">
        <f t="array" ref="D92">-SUMPRODUCT(
  desp[valor] *
  (desp[nucleo]=$B92) *
  (desp[centro.negocio]=$B$81) *
  (desp[data.pagamento]&gt;=D$1) *
  (desp[data.pagamento]&lt;EOMONTH(D$1,0)+1)
)</f>
        <v>0</v>
      </c>
      <c r="E92" s="251" cm="1">
        <f t="array" ref="E92">-SUMPRODUCT(
  desp[valor] *
  (desp[nucleo]=$B92) *
  (desp[centro.negocio]=$B$81) *
  (desp[data.pagamento]&gt;=E$1) *
  (desp[data.pagamento]&lt;EOMONTH(E$1,0)+1)
)</f>
        <v>0</v>
      </c>
      <c r="F92" s="251" cm="1">
        <f t="array" ref="F92">-SUMPRODUCT(
  desp[valor] *
  (desp[nucleo]=$B92) *
  (desp[centro.negocio]=$B$81) *
  (desp[data.pagamento]&gt;=F$1) *
  (desp[data.pagamento]&lt;EOMONTH(F$1,0)+1)
)</f>
        <v>0</v>
      </c>
      <c r="G92" s="251" cm="1">
        <f t="array" ref="G92">-SUMPRODUCT(
  desp[valor] *
  (desp[nucleo]=$B92) *
  (desp[centro.negocio]=$B$81) *
  (desp[data.pagamento]&gt;=G$1) *
  (desp[data.pagamento]&lt;EOMONTH(G$1,0)+1)
)</f>
        <v>0</v>
      </c>
      <c r="H92" s="251" cm="1">
        <f t="array" ref="H92">-SUMPRODUCT(
  desp[valor] *
  (desp[nucleo]=$B92) *
  (desp[centro.negocio]=$B$81) *
  (desp[data.pagamento]&gt;=H$1) *
  (desp[data.pagamento]&lt;EOMONTH(H$1,0)+1)
)</f>
        <v>0</v>
      </c>
      <c r="I92" s="251" cm="1">
        <f t="array" ref="I92">-SUMPRODUCT(
  desp[valor] *
  (desp[nucleo]=$B92) *
  (desp[centro.negocio]=$B$81) *
  (desp[data.pagamento]&gt;=I$1) *
  (desp[data.pagamento]&lt;EOMONTH(I$1,0)+1)
)</f>
        <v>0</v>
      </c>
      <c r="J92" s="251" cm="1">
        <f t="array" ref="J92">-SUMPRODUCT(
  desp[valor] *
  (desp[nucleo]=$B92) *
  (desp[centro.negocio]=$B$81) *
  (desp[data.pagamento]&gt;=J$1) *
  (desp[data.pagamento]&lt;EOMONTH(J$1,0)+1)
)</f>
        <v>0</v>
      </c>
      <c r="K92" s="251" cm="1">
        <f t="array" ref="K92">-SUMPRODUCT(
  desp[valor] *
  (desp[nucleo]=$B92) *
  (desp[centro.negocio]=$B$81) *
  (desp[data.pagamento]&gt;=K$1) *
  (desp[data.pagamento]&lt;EOMONTH(K$1,0)+1)
)</f>
        <v>0</v>
      </c>
      <c r="L92" s="251" cm="1">
        <f t="array" ref="L92">-SUMPRODUCT(
  desp[valor] *
  (desp[nucleo]=$B92) *
  (desp[centro.negocio]=$B$81) *
  (desp[data.pagamento]&gt;=L$1) *
  (desp[data.pagamento]&lt;EOMONTH(L$1,0)+1)
)</f>
        <v>0</v>
      </c>
      <c r="M92" s="251" cm="1">
        <f t="array" ref="M92">-SUMPRODUCT(
  desp[valor] *
  (desp[nucleo]=$B92) *
  (desp[centro.negocio]=$B$81) *
  (desp[data.pagamento]&gt;=M$1) *
  (desp[data.pagamento]&lt;EOMONTH(M$1,0)+1)
)</f>
        <v>0</v>
      </c>
      <c r="N92" s="251" cm="1">
        <f t="array" ref="N92">-SUMPRODUCT(
  desp[valor] *
  (desp[nucleo]=$B92) *
  (desp[centro.negocio]=$B$81) *
  (desp[data.pagamento]&gt;=N$1) *
  (desp[data.pagamento]&lt;EOMONTH(N$1,0)+1)
)</f>
        <v>0</v>
      </c>
      <c r="O92" s="251" cm="1">
        <f t="array" ref="O92">-SUMPRODUCT(
  desp[valor] *
  (desp[nucleo]=$B92) *
  (desp[centro.negocio]=$B$81) *
  (desp[data.pagamento]&gt;=O$1) *
  (desp[data.pagamento]&lt;EOMONTH(O$1,0)+1)
)</f>
        <v>0</v>
      </c>
      <c r="P92" s="251" cm="1">
        <f t="array" ref="P92">-SUMPRODUCT(
  desp[valor] *
  (desp[nucleo]=$B92) *
  (desp[centro.negocio]=$B$81) *
  (desp[data.pagamento]&gt;=P$1) *
  (desp[data.pagamento]&lt;EOMONTH(P$1,0)+1)
)</f>
        <v>0</v>
      </c>
      <c r="Q92" s="251" cm="1">
        <f t="array" ref="Q92">-SUMPRODUCT(
  desp[valor] *
  (desp[nucleo]=$B92) *
  (desp[centro.negocio]=$B$81) *
  (desp[data.pagamento]&gt;=Q$1) *
  (desp[data.pagamento]&lt;EOMONTH(Q$1,0)+1)
)</f>
        <v>0</v>
      </c>
      <c r="S92" s="243">
        <f>SUM(D92:Q92)</f>
        <v>0</v>
      </c>
    </row>
    <row r="93" spans="1:19" outlineLevel="2" x14ac:dyDescent="0.25">
      <c r="A93" s="250" t="s">
        <v>655</v>
      </c>
      <c r="B93" s="250" t="s">
        <v>598</v>
      </c>
      <c r="C93" s="197" t="s">
        <v>556</v>
      </c>
      <c r="D93" s="251" cm="1">
        <f t="array" ref="D93">-SUMPRODUCT(
  desp[valor] *
  (desp[nucleo]=$B93) *
  (desp[centro.negocio]=$B$81) *
  (desp[data.pagamento]&gt;=D$1) *
  (desp[data.pagamento]&lt;EOMONTH(D$1,0)+1)
)</f>
        <v>0</v>
      </c>
      <c r="E93" s="251" cm="1">
        <f t="array" ref="E93">-SUMPRODUCT(
  desp[valor] *
  (desp[nucleo]=$B93) *
  (desp[centro.negocio]=$B$81) *
  (desp[data.pagamento]&gt;=E$1) *
  (desp[data.pagamento]&lt;EOMONTH(E$1,0)+1)
)</f>
        <v>0</v>
      </c>
      <c r="F93" s="251" cm="1">
        <f t="array" ref="F93">-SUMPRODUCT(
  desp[valor] *
  (desp[nucleo]=$B93) *
  (desp[centro.negocio]=$B$81) *
  (desp[data.pagamento]&gt;=F$1) *
  (desp[data.pagamento]&lt;EOMONTH(F$1,0)+1)
)</f>
        <v>0</v>
      </c>
      <c r="G93" s="251" cm="1">
        <f t="array" ref="G93">-SUMPRODUCT(
  desp[valor] *
  (desp[nucleo]=$B93) *
  (desp[centro.negocio]=$B$81) *
  (desp[data.pagamento]&gt;=G$1) *
  (desp[data.pagamento]&lt;EOMONTH(G$1,0)+1)
)</f>
        <v>0</v>
      </c>
      <c r="H93" s="251" cm="1">
        <f t="array" ref="H93">-SUMPRODUCT(
  desp[valor] *
  (desp[nucleo]=$B93) *
  (desp[centro.negocio]=$B$81) *
  (desp[data.pagamento]&gt;=H$1) *
  (desp[data.pagamento]&lt;EOMONTH(H$1,0)+1)
)</f>
        <v>0</v>
      </c>
      <c r="I93" s="251" cm="1">
        <f t="array" ref="I93">-SUMPRODUCT(
  desp[valor] *
  (desp[nucleo]=$B93) *
  (desp[centro.negocio]=$B$81) *
  (desp[data.pagamento]&gt;=I$1) *
  (desp[data.pagamento]&lt;EOMONTH(I$1,0)+1)
)</f>
        <v>0</v>
      </c>
      <c r="J93" s="251" cm="1">
        <f t="array" ref="J93">-SUMPRODUCT(
  desp[valor] *
  (desp[nucleo]=$B93) *
  (desp[centro.negocio]=$B$81) *
  (desp[data.pagamento]&gt;=J$1) *
  (desp[data.pagamento]&lt;EOMONTH(J$1,0)+1)
)</f>
        <v>0</v>
      </c>
      <c r="K93" s="251" cm="1">
        <f t="array" ref="K93">-SUMPRODUCT(
  desp[valor] *
  (desp[nucleo]=$B93) *
  (desp[centro.negocio]=$B$81) *
  (desp[data.pagamento]&gt;=K$1) *
  (desp[data.pagamento]&lt;EOMONTH(K$1,0)+1)
)</f>
        <v>0</v>
      </c>
      <c r="L93" s="251" cm="1">
        <f t="array" ref="L93">-SUMPRODUCT(
  desp[valor] *
  (desp[nucleo]=$B93) *
  (desp[centro.negocio]=$B$81) *
  (desp[data.pagamento]&gt;=L$1) *
  (desp[data.pagamento]&lt;EOMONTH(L$1,0)+1)
)</f>
        <v>0</v>
      </c>
      <c r="M93" s="251" cm="1">
        <f t="array" ref="M93">-SUMPRODUCT(
  desp[valor] *
  (desp[nucleo]=$B93) *
  (desp[centro.negocio]=$B$81) *
  (desp[data.pagamento]&gt;=M$1) *
  (desp[data.pagamento]&lt;EOMONTH(M$1,0)+1)
)</f>
        <v>0</v>
      </c>
      <c r="N93" s="251" cm="1">
        <f t="array" ref="N93">-SUMPRODUCT(
  desp[valor] *
  (desp[nucleo]=$B93) *
  (desp[centro.negocio]=$B$81) *
  (desp[data.pagamento]&gt;=N$1) *
  (desp[data.pagamento]&lt;EOMONTH(N$1,0)+1)
)</f>
        <v>0</v>
      </c>
      <c r="O93" s="251" cm="1">
        <f t="array" ref="O93">-SUMPRODUCT(
  desp[valor] *
  (desp[nucleo]=$B93) *
  (desp[centro.negocio]=$B$81) *
  (desp[data.pagamento]&gt;=O$1) *
  (desp[data.pagamento]&lt;EOMONTH(O$1,0)+1)
)</f>
        <v>0</v>
      </c>
      <c r="P93" s="251" cm="1">
        <f t="array" ref="P93">-SUMPRODUCT(
  desp[valor] *
  (desp[nucleo]=$B93) *
  (desp[centro.negocio]=$B$81) *
  (desp[data.pagamento]&gt;=P$1) *
  (desp[data.pagamento]&lt;EOMONTH(P$1,0)+1)
)</f>
        <v>0</v>
      </c>
      <c r="Q93" s="251" cm="1">
        <f t="array" ref="Q93">-SUMPRODUCT(
  desp[valor] *
  (desp[nucleo]=$B93) *
  (desp[centro.negocio]=$B$81) *
  (desp[data.pagamento]&gt;=Q$1) *
  (desp[data.pagamento]&lt;EOMONTH(Q$1,0)+1)
)</f>
        <v>0</v>
      </c>
      <c r="S93" s="243">
        <f t="shared" ref="S93" si="27">SUM(D93:Q93)</f>
        <v>0</v>
      </c>
    </row>
    <row r="94" spans="1:19" outlineLevel="1" x14ac:dyDescent="0.25">
      <c r="A94" s="247" t="s">
        <v>656</v>
      </c>
      <c r="B94" s="247" t="s">
        <v>380</v>
      </c>
      <c r="C94" s="248" t="s">
        <v>556</v>
      </c>
      <c r="D94" s="249">
        <f>SUM(D$95:D$119)</f>
        <v>0</v>
      </c>
      <c r="E94" s="249">
        <f t="shared" ref="E94:Q94" si="28">SUM(E$95:E$119)</f>
        <v>0</v>
      </c>
      <c r="F94" s="249">
        <f t="shared" si="28"/>
        <v>0</v>
      </c>
      <c r="G94" s="249">
        <f t="shared" si="28"/>
        <v>0</v>
      </c>
      <c r="H94" s="249">
        <f t="shared" si="28"/>
        <v>0</v>
      </c>
      <c r="I94" s="249">
        <f t="shared" si="28"/>
        <v>0</v>
      </c>
      <c r="J94" s="249">
        <f t="shared" si="28"/>
        <v>0</v>
      </c>
      <c r="K94" s="249">
        <f t="shared" si="28"/>
        <v>0</v>
      </c>
      <c r="L94" s="249">
        <f t="shared" si="28"/>
        <v>0</v>
      </c>
      <c r="M94" s="249">
        <f t="shared" si="28"/>
        <v>0</v>
      </c>
      <c r="N94" s="249">
        <f t="shared" si="28"/>
        <v>0</v>
      </c>
      <c r="O94" s="249">
        <f t="shared" si="28"/>
        <v>0</v>
      </c>
      <c r="P94" s="249">
        <f t="shared" si="28"/>
        <v>0</v>
      </c>
      <c r="Q94" s="249">
        <f t="shared" si="28"/>
        <v>0</v>
      </c>
      <c r="S94" s="243">
        <f>SUM(D94:Q94)</f>
        <v>0</v>
      </c>
    </row>
    <row r="95" spans="1:19" outlineLevel="2" x14ac:dyDescent="0.25">
      <c r="A95" s="250" t="s">
        <v>657</v>
      </c>
      <c r="B95" s="250" t="s">
        <v>580</v>
      </c>
      <c r="C95" s="197" t="s">
        <v>556</v>
      </c>
      <c r="D95" s="251" cm="1">
        <f t="array" ref="D95">-SUMPRODUCT(
  desp[valor] *
  (desp[nucleo]=$B95) *
  (desp[centro.negocio]=$B$94) *
  (desp[data.pagamento]&gt;=D$1) *
  (desp[data.pagamento]&lt;EOMONTH(D$1,0)+1)
)</f>
        <v>0</v>
      </c>
      <c r="E95" s="251" cm="1">
        <f t="array" ref="E95">-SUMPRODUCT(
  desp[valor] *
  (desp[nucleo]=$B95) *
  (desp[centro.negocio]=$B$94) *
  (desp[data.pagamento]&gt;=E$1) *
  (desp[data.pagamento]&lt;EOMONTH(E$1,0)+1)
)</f>
        <v>0</v>
      </c>
      <c r="F95" s="251" cm="1">
        <f t="array" ref="F95">-SUMPRODUCT(
  desp[valor] *
  (desp[nucleo]=$B95) *
  (desp[centro.negocio]=$B$94) *
  (desp[data.pagamento]&gt;=F$1) *
  (desp[data.pagamento]&lt;EOMONTH(F$1,0)+1)
)</f>
        <v>0</v>
      </c>
      <c r="G95" s="251" cm="1">
        <f t="array" ref="G95">-SUMPRODUCT(
  desp[valor] *
  (desp[nucleo]=$B95) *
  (desp[centro.negocio]=$B$94) *
  (desp[data.pagamento]&gt;=G$1) *
  (desp[data.pagamento]&lt;EOMONTH(G$1,0)+1)
)</f>
        <v>0</v>
      </c>
      <c r="H95" s="251" cm="1">
        <f t="array" ref="H95">-SUMPRODUCT(
  desp[valor] *
  (desp[nucleo]=$B95) *
  (desp[centro.negocio]=$B$94) *
  (desp[data.pagamento]&gt;=H$1) *
  (desp[data.pagamento]&lt;EOMONTH(H$1,0)+1)
)</f>
        <v>0</v>
      </c>
      <c r="I95" s="251" cm="1">
        <f t="array" ref="I95">-SUMPRODUCT(
  desp[valor] *
  (desp[nucleo]=$B95) *
  (desp[centro.negocio]=$B$94) *
  (desp[data.pagamento]&gt;=I$1) *
  (desp[data.pagamento]&lt;EOMONTH(I$1,0)+1)
)</f>
        <v>0</v>
      </c>
      <c r="J95" s="251" cm="1">
        <f t="array" ref="J95">-SUMPRODUCT(
  desp[valor] *
  (desp[nucleo]=$B95) *
  (desp[centro.negocio]=$B$94) *
  (desp[data.pagamento]&gt;=J$1) *
  (desp[data.pagamento]&lt;EOMONTH(J$1,0)+1)
)</f>
        <v>0</v>
      </c>
      <c r="K95" s="251" cm="1">
        <f t="array" ref="K95">-SUMPRODUCT(
  desp[valor] *
  (desp[nucleo]=$B95) *
  (desp[centro.negocio]=$B$94) *
  (desp[data.pagamento]&gt;=K$1) *
  (desp[data.pagamento]&lt;EOMONTH(K$1,0)+1)
)</f>
        <v>0</v>
      </c>
      <c r="L95" s="251" cm="1">
        <f t="array" ref="L95">-SUMPRODUCT(
  desp[valor] *
  (desp[nucleo]=$B95) *
  (desp[centro.negocio]=$B$94) *
  (desp[data.pagamento]&gt;=L$1) *
  (desp[data.pagamento]&lt;EOMONTH(L$1,0)+1)
)</f>
        <v>0</v>
      </c>
      <c r="M95" s="251" cm="1">
        <f t="array" ref="M95">-SUMPRODUCT(
  desp[valor] *
  (desp[nucleo]=$B95) *
  (desp[centro.negocio]=$B$94) *
  (desp[data.pagamento]&gt;=M$1) *
  (desp[data.pagamento]&lt;EOMONTH(M$1,0)+1)
)</f>
        <v>0</v>
      </c>
      <c r="N95" s="251" cm="1">
        <f t="array" ref="N95">-SUMPRODUCT(
  desp[valor] *
  (desp[nucleo]=$B95) *
  (desp[centro.negocio]=$B$94) *
  (desp[data.pagamento]&gt;=N$1) *
  (desp[data.pagamento]&lt;EOMONTH(N$1,0)+1)
)</f>
        <v>0</v>
      </c>
      <c r="O95" s="251" cm="1">
        <f t="array" ref="O95">-SUMPRODUCT(
  desp[valor] *
  (desp[nucleo]=$B95) *
  (desp[centro.negocio]=$B$94) *
  (desp[data.pagamento]&gt;=O$1) *
  (desp[data.pagamento]&lt;EOMONTH(O$1,0)+1)
)</f>
        <v>0</v>
      </c>
      <c r="P95" s="251" cm="1">
        <f t="array" ref="P95">-SUMPRODUCT(
  desp[valor] *
  (desp[nucleo]=$B95) *
  (desp[centro.negocio]=$B$94) *
  (desp[data.pagamento]&gt;=P$1) *
  (desp[data.pagamento]&lt;EOMONTH(P$1,0)+1)
)</f>
        <v>0</v>
      </c>
      <c r="Q95" s="251" cm="1">
        <f t="array" ref="Q95">-SUMPRODUCT(
  desp[valor] *
  (desp[nucleo]=$B95) *
  (desp[centro.negocio]=$B$94) *
  (desp[data.pagamento]&gt;=Q$1) *
  (desp[data.pagamento]&lt;EOMONTH(Q$1,0)+1)
)</f>
        <v>0</v>
      </c>
      <c r="S95" s="243">
        <f>SUM(D95:Q95)</f>
        <v>0</v>
      </c>
    </row>
    <row r="96" spans="1:19" outlineLevel="2" x14ac:dyDescent="0.25">
      <c r="A96" s="250" t="s">
        <v>658</v>
      </c>
      <c r="B96" s="250" t="s">
        <v>596</v>
      </c>
      <c r="C96" s="197" t="s">
        <v>556</v>
      </c>
      <c r="D96" s="251" cm="1">
        <f t="array" ref="D96">-SUMPRODUCT(
  desp[valor] *
  (desp[nucleo]=$B96) *
  (desp[centro.negocio]=$B$94) *
  (desp[data.pagamento]&gt;=D$1) *
  (desp[data.pagamento]&lt;EOMONTH(D$1,0)+1)
)</f>
        <v>0</v>
      </c>
      <c r="E96" s="251" cm="1">
        <f t="array" ref="E96">-SUMPRODUCT(
  desp[valor] *
  (desp[nucleo]=$B96) *
  (desp[centro.negocio]=$B$94) *
  (desp[data.pagamento]&gt;=E$1) *
  (desp[data.pagamento]&lt;EOMONTH(E$1,0)+1)
)</f>
        <v>0</v>
      </c>
      <c r="F96" s="251" cm="1">
        <f t="array" ref="F96">-SUMPRODUCT(
  desp[valor] *
  (desp[nucleo]=$B96) *
  (desp[centro.negocio]=$B$94) *
  (desp[data.pagamento]&gt;=F$1) *
  (desp[data.pagamento]&lt;EOMONTH(F$1,0)+1)
)</f>
        <v>0</v>
      </c>
      <c r="G96" s="251" cm="1">
        <f t="array" ref="G96">-SUMPRODUCT(
  desp[valor] *
  (desp[nucleo]=$B96) *
  (desp[centro.negocio]=$B$94) *
  (desp[data.pagamento]&gt;=G$1) *
  (desp[data.pagamento]&lt;EOMONTH(G$1,0)+1)
)</f>
        <v>0</v>
      </c>
      <c r="H96" s="251" cm="1">
        <f t="array" ref="H96">-SUMPRODUCT(
  desp[valor] *
  (desp[nucleo]=$B96) *
  (desp[centro.negocio]=$B$94) *
  (desp[data.pagamento]&gt;=H$1) *
  (desp[data.pagamento]&lt;EOMONTH(H$1,0)+1)
)</f>
        <v>0</v>
      </c>
      <c r="I96" s="251" cm="1">
        <f t="array" ref="I96">-SUMPRODUCT(
  desp[valor] *
  (desp[nucleo]=$B96) *
  (desp[centro.negocio]=$B$94) *
  (desp[data.pagamento]&gt;=I$1) *
  (desp[data.pagamento]&lt;EOMONTH(I$1,0)+1)
)</f>
        <v>0</v>
      </c>
      <c r="J96" s="251" cm="1">
        <f t="array" ref="J96">-SUMPRODUCT(
  desp[valor] *
  (desp[nucleo]=$B96) *
  (desp[centro.negocio]=$B$94) *
  (desp[data.pagamento]&gt;=J$1) *
  (desp[data.pagamento]&lt;EOMONTH(J$1,0)+1)
)</f>
        <v>0</v>
      </c>
      <c r="K96" s="251" cm="1">
        <f t="array" ref="K96">-SUMPRODUCT(
  desp[valor] *
  (desp[nucleo]=$B96) *
  (desp[centro.negocio]=$B$94) *
  (desp[data.pagamento]&gt;=K$1) *
  (desp[data.pagamento]&lt;EOMONTH(K$1,0)+1)
)</f>
        <v>0</v>
      </c>
      <c r="L96" s="251" cm="1">
        <f t="array" ref="L96">-SUMPRODUCT(
  desp[valor] *
  (desp[nucleo]=$B96) *
  (desp[centro.negocio]=$B$94) *
  (desp[data.pagamento]&gt;=L$1) *
  (desp[data.pagamento]&lt;EOMONTH(L$1,0)+1)
)</f>
        <v>0</v>
      </c>
      <c r="M96" s="251" cm="1">
        <f t="array" ref="M96">-SUMPRODUCT(
  desp[valor] *
  (desp[nucleo]=$B96) *
  (desp[centro.negocio]=$B$94) *
  (desp[data.pagamento]&gt;=M$1) *
  (desp[data.pagamento]&lt;EOMONTH(M$1,0)+1)
)</f>
        <v>0</v>
      </c>
      <c r="N96" s="251" cm="1">
        <f t="array" ref="N96">-SUMPRODUCT(
  desp[valor] *
  (desp[nucleo]=$B96) *
  (desp[centro.negocio]=$B$94) *
  (desp[data.pagamento]&gt;=N$1) *
  (desp[data.pagamento]&lt;EOMONTH(N$1,0)+1)
)</f>
        <v>0</v>
      </c>
      <c r="O96" s="251" cm="1">
        <f t="array" ref="O96">-SUMPRODUCT(
  desp[valor] *
  (desp[nucleo]=$B96) *
  (desp[centro.negocio]=$B$94) *
  (desp[data.pagamento]&gt;=O$1) *
  (desp[data.pagamento]&lt;EOMONTH(O$1,0)+1)
)</f>
        <v>0</v>
      </c>
      <c r="P96" s="251" cm="1">
        <f t="array" ref="P96">-SUMPRODUCT(
  desp[valor] *
  (desp[nucleo]=$B96) *
  (desp[centro.negocio]=$B$94) *
  (desp[data.pagamento]&gt;=P$1) *
  (desp[data.pagamento]&lt;EOMONTH(P$1,0)+1)
)</f>
        <v>0</v>
      </c>
      <c r="Q96" s="251" cm="1">
        <f t="array" ref="Q96">-SUMPRODUCT(
  desp[valor] *
  (desp[nucleo]=$B96) *
  (desp[centro.negocio]=$B$94) *
  (desp[data.pagamento]&gt;=Q$1) *
  (desp[data.pagamento]&lt;EOMONTH(Q$1,0)+1)
)</f>
        <v>0</v>
      </c>
      <c r="S96" s="243">
        <f>SUM(D96:Q96)</f>
        <v>0</v>
      </c>
    </row>
    <row r="97" spans="1:19" outlineLevel="2" x14ac:dyDescent="0.25">
      <c r="A97" s="250" t="s">
        <v>659</v>
      </c>
      <c r="B97" s="250" t="s">
        <v>588</v>
      </c>
      <c r="C97" s="197" t="s">
        <v>556</v>
      </c>
      <c r="D97" s="251" cm="1">
        <f t="array" ref="D97">-SUMPRODUCT(
  desp[valor] *
  (desp[nucleo]=$B97) *
  (desp[centro.negocio]=$B$94) *
  (desp[data.pagamento]&gt;=D$1) *
  (desp[data.pagamento]&lt;EOMONTH(D$1,0)+1)
)</f>
        <v>0</v>
      </c>
      <c r="E97" s="251" cm="1">
        <f t="array" ref="E97">-SUMPRODUCT(
  desp[valor] *
  (desp[nucleo]=$B97) *
  (desp[centro.negocio]=$B$94) *
  (desp[data.pagamento]&gt;=E$1) *
  (desp[data.pagamento]&lt;EOMONTH(E$1,0)+1)
)</f>
        <v>0</v>
      </c>
      <c r="F97" s="251" cm="1">
        <f t="array" ref="F97">-SUMPRODUCT(
  desp[valor] *
  (desp[nucleo]=$B97) *
  (desp[centro.negocio]=$B$94) *
  (desp[data.pagamento]&gt;=F$1) *
  (desp[data.pagamento]&lt;EOMONTH(F$1,0)+1)
)</f>
        <v>0</v>
      </c>
      <c r="G97" s="251" cm="1">
        <f t="array" ref="G97">-SUMPRODUCT(
  desp[valor] *
  (desp[nucleo]=$B97) *
  (desp[centro.negocio]=$B$94) *
  (desp[data.pagamento]&gt;=G$1) *
  (desp[data.pagamento]&lt;EOMONTH(G$1,0)+1)
)</f>
        <v>0</v>
      </c>
      <c r="H97" s="251" cm="1">
        <f t="array" ref="H97">-SUMPRODUCT(
  desp[valor] *
  (desp[nucleo]=$B97) *
  (desp[centro.negocio]=$B$94) *
  (desp[data.pagamento]&gt;=H$1) *
  (desp[data.pagamento]&lt;EOMONTH(H$1,0)+1)
)</f>
        <v>0</v>
      </c>
      <c r="I97" s="251" cm="1">
        <f t="array" ref="I97">-SUMPRODUCT(
  desp[valor] *
  (desp[nucleo]=$B97) *
  (desp[centro.negocio]=$B$94) *
  (desp[data.pagamento]&gt;=I$1) *
  (desp[data.pagamento]&lt;EOMONTH(I$1,0)+1)
)</f>
        <v>0</v>
      </c>
      <c r="J97" s="251" cm="1">
        <f t="array" ref="J97">-SUMPRODUCT(
  desp[valor] *
  (desp[nucleo]=$B97) *
  (desp[centro.negocio]=$B$94) *
  (desp[data.pagamento]&gt;=J$1) *
  (desp[data.pagamento]&lt;EOMONTH(J$1,0)+1)
)</f>
        <v>0</v>
      </c>
      <c r="K97" s="251" cm="1">
        <f t="array" ref="K97">-SUMPRODUCT(
  desp[valor] *
  (desp[nucleo]=$B97) *
  (desp[centro.negocio]=$B$94) *
  (desp[data.pagamento]&gt;=K$1) *
  (desp[data.pagamento]&lt;EOMONTH(K$1,0)+1)
)</f>
        <v>0</v>
      </c>
      <c r="L97" s="251" cm="1">
        <f t="array" ref="L97">-SUMPRODUCT(
  desp[valor] *
  (desp[nucleo]=$B97) *
  (desp[centro.negocio]=$B$94) *
  (desp[data.pagamento]&gt;=L$1) *
  (desp[data.pagamento]&lt;EOMONTH(L$1,0)+1)
)</f>
        <v>0</v>
      </c>
      <c r="M97" s="251" cm="1">
        <f t="array" ref="M97">-SUMPRODUCT(
  desp[valor] *
  (desp[nucleo]=$B97) *
  (desp[centro.negocio]=$B$94) *
  (desp[data.pagamento]&gt;=M$1) *
  (desp[data.pagamento]&lt;EOMONTH(M$1,0)+1)
)</f>
        <v>0</v>
      </c>
      <c r="N97" s="251" cm="1">
        <f t="array" ref="N97">-SUMPRODUCT(
  desp[valor] *
  (desp[nucleo]=$B97) *
  (desp[centro.negocio]=$B$94) *
  (desp[data.pagamento]&gt;=N$1) *
  (desp[data.pagamento]&lt;EOMONTH(N$1,0)+1)
)</f>
        <v>0</v>
      </c>
      <c r="O97" s="251" cm="1">
        <f t="array" ref="O97">-SUMPRODUCT(
  desp[valor] *
  (desp[nucleo]=$B97) *
  (desp[centro.negocio]=$B$94) *
  (desp[data.pagamento]&gt;=O$1) *
  (desp[data.pagamento]&lt;EOMONTH(O$1,0)+1)
)</f>
        <v>0</v>
      </c>
      <c r="P97" s="251" cm="1">
        <f t="array" ref="P97">-SUMPRODUCT(
  desp[valor] *
  (desp[nucleo]=$B97) *
  (desp[centro.negocio]=$B$94) *
  (desp[data.pagamento]&gt;=P$1) *
  (desp[data.pagamento]&lt;EOMONTH(P$1,0)+1)
)</f>
        <v>0</v>
      </c>
      <c r="Q97" s="251" cm="1">
        <f t="array" ref="Q97">-SUMPRODUCT(
  desp[valor] *
  (desp[nucleo]=$B97) *
  (desp[centro.negocio]=$B$94) *
  (desp[data.pagamento]&gt;=Q$1) *
  (desp[data.pagamento]&lt;EOMONTH(Q$1,0)+1)
)</f>
        <v>0</v>
      </c>
      <c r="S97" s="243">
        <f t="shared" ref="S97" si="29">SUM(D97:Q97)</f>
        <v>0</v>
      </c>
    </row>
    <row r="98" spans="1:19" outlineLevel="2" x14ac:dyDescent="0.25">
      <c r="A98" s="250" t="s">
        <v>660</v>
      </c>
      <c r="B98" s="250" t="s">
        <v>598</v>
      </c>
      <c r="C98" s="197" t="s">
        <v>556</v>
      </c>
      <c r="D98" s="251" cm="1">
        <f t="array" ref="D98">-SUMPRODUCT(
  desp[valor] *
  (desp[nucleo]=$B98) *
  (desp[centro.negocio]=$B$94) *
  (desp[data.pagamento]&gt;=D$1) *
  (desp[data.pagamento]&lt;EOMONTH(D$1,0)+1)
)</f>
        <v>0</v>
      </c>
      <c r="E98" s="251" cm="1">
        <f t="array" ref="E98">-SUMPRODUCT(
  desp[valor] *
  (desp[nucleo]=$B98) *
  (desp[centro.negocio]=$B$94) *
  (desp[data.pagamento]&gt;=E$1) *
  (desp[data.pagamento]&lt;EOMONTH(E$1,0)+1)
)</f>
        <v>0</v>
      </c>
      <c r="F98" s="251" cm="1">
        <f t="array" ref="F98">-SUMPRODUCT(
  desp[valor] *
  (desp[nucleo]=$B98) *
  (desp[centro.negocio]=$B$94) *
  (desp[data.pagamento]&gt;=F$1) *
  (desp[data.pagamento]&lt;EOMONTH(F$1,0)+1)
)</f>
        <v>0</v>
      </c>
      <c r="G98" s="251" cm="1">
        <f t="array" ref="G98">-SUMPRODUCT(
  desp[valor] *
  (desp[nucleo]=$B98) *
  (desp[centro.negocio]=$B$94) *
  (desp[data.pagamento]&gt;=G$1) *
  (desp[data.pagamento]&lt;EOMONTH(G$1,0)+1)
)</f>
        <v>0</v>
      </c>
      <c r="H98" s="251" cm="1">
        <f t="array" ref="H98">-SUMPRODUCT(
  desp[valor] *
  (desp[nucleo]=$B98) *
  (desp[centro.negocio]=$B$94) *
  (desp[data.pagamento]&gt;=H$1) *
  (desp[data.pagamento]&lt;EOMONTH(H$1,0)+1)
)</f>
        <v>0</v>
      </c>
      <c r="I98" s="251" cm="1">
        <f t="array" ref="I98">-SUMPRODUCT(
  desp[valor] *
  (desp[nucleo]=$B98) *
  (desp[centro.negocio]=$B$94) *
  (desp[data.pagamento]&gt;=I$1) *
  (desp[data.pagamento]&lt;EOMONTH(I$1,0)+1)
)</f>
        <v>0</v>
      </c>
      <c r="J98" s="251" cm="1">
        <f t="array" ref="J98">-SUMPRODUCT(
  desp[valor] *
  (desp[nucleo]=$B98) *
  (desp[centro.negocio]=$B$94) *
  (desp[data.pagamento]&gt;=J$1) *
  (desp[data.pagamento]&lt;EOMONTH(J$1,0)+1)
)</f>
        <v>0</v>
      </c>
      <c r="K98" s="251" cm="1">
        <f t="array" ref="K98">-SUMPRODUCT(
  desp[valor] *
  (desp[nucleo]=$B98) *
  (desp[centro.negocio]=$B$94) *
  (desp[data.pagamento]&gt;=K$1) *
  (desp[data.pagamento]&lt;EOMONTH(K$1,0)+1)
)</f>
        <v>0</v>
      </c>
      <c r="L98" s="251" cm="1">
        <f t="array" ref="L98">-SUMPRODUCT(
  desp[valor] *
  (desp[nucleo]=$B98) *
  (desp[centro.negocio]=$B$94) *
  (desp[data.pagamento]&gt;=L$1) *
  (desp[data.pagamento]&lt;EOMONTH(L$1,0)+1)
)</f>
        <v>0</v>
      </c>
      <c r="M98" s="251" cm="1">
        <f t="array" ref="M98">-SUMPRODUCT(
  desp[valor] *
  (desp[nucleo]=$B98) *
  (desp[centro.negocio]=$B$94) *
  (desp[data.pagamento]&gt;=M$1) *
  (desp[data.pagamento]&lt;EOMONTH(M$1,0)+1)
)</f>
        <v>0</v>
      </c>
      <c r="N98" s="251" cm="1">
        <f t="array" ref="N98">-SUMPRODUCT(
  desp[valor] *
  (desp[nucleo]=$B98) *
  (desp[centro.negocio]=$B$94) *
  (desp[data.pagamento]&gt;=N$1) *
  (desp[data.pagamento]&lt;EOMONTH(N$1,0)+1)
)</f>
        <v>0</v>
      </c>
      <c r="O98" s="251" cm="1">
        <f t="array" ref="O98">-SUMPRODUCT(
  desp[valor] *
  (desp[nucleo]=$B98) *
  (desp[centro.negocio]=$B$94) *
  (desp[data.pagamento]&gt;=O$1) *
  (desp[data.pagamento]&lt;EOMONTH(O$1,0)+1)
)</f>
        <v>0</v>
      </c>
      <c r="P98" s="251" cm="1">
        <f t="array" ref="P98">-SUMPRODUCT(
  desp[valor] *
  (desp[nucleo]=$B98) *
  (desp[centro.negocio]=$B$94) *
  (desp[data.pagamento]&gt;=P$1) *
  (desp[data.pagamento]&lt;EOMONTH(P$1,0)+1)
)</f>
        <v>0</v>
      </c>
      <c r="Q98" s="251" cm="1">
        <f t="array" ref="Q98">-SUMPRODUCT(
  desp[valor] *
  (desp[nucleo]=$B98) *
  (desp[centro.negocio]=$B$94) *
  (desp[data.pagamento]&gt;=Q$1) *
  (desp[data.pagamento]&lt;EOMONTH(Q$1,0)+1)
)</f>
        <v>0</v>
      </c>
      <c r="S98" s="243">
        <f>SUM(D98:Q98)</f>
        <v>0</v>
      </c>
    </row>
    <row r="99" spans="1:19" outlineLevel="2" x14ac:dyDescent="0.25">
      <c r="A99" s="250" t="s">
        <v>661</v>
      </c>
      <c r="B99" s="250" t="s">
        <v>590</v>
      </c>
      <c r="C99" s="197" t="s">
        <v>556</v>
      </c>
      <c r="D99" s="251" cm="1">
        <f t="array" ref="D99">-SUMPRODUCT(
  desp[valor] *
  (desp[nucleo]=$B99) *
  (desp[centro.negocio]=$B$94) *
  (desp[data.pagamento]&gt;=D$1) *
  (desp[data.pagamento]&lt;EOMONTH(D$1,0)+1)
)</f>
        <v>0</v>
      </c>
      <c r="E99" s="251" cm="1">
        <f t="array" ref="E99">-SUMPRODUCT(
  desp[valor] *
  (desp[nucleo]=$B99) *
  (desp[centro.negocio]=$B$94) *
  (desp[data.pagamento]&gt;=E$1) *
  (desp[data.pagamento]&lt;EOMONTH(E$1,0)+1)
)</f>
        <v>0</v>
      </c>
      <c r="F99" s="251" cm="1">
        <f t="array" ref="F99">-SUMPRODUCT(
  desp[valor] *
  (desp[nucleo]=$B99) *
  (desp[centro.negocio]=$B$94) *
  (desp[data.pagamento]&gt;=F$1) *
  (desp[data.pagamento]&lt;EOMONTH(F$1,0)+1)
)</f>
        <v>0</v>
      </c>
      <c r="G99" s="251" cm="1">
        <f t="array" ref="G99">-SUMPRODUCT(
  desp[valor] *
  (desp[nucleo]=$B99) *
  (desp[centro.negocio]=$B$94) *
  (desp[data.pagamento]&gt;=G$1) *
  (desp[data.pagamento]&lt;EOMONTH(G$1,0)+1)
)</f>
        <v>0</v>
      </c>
      <c r="H99" s="251" cm="1">
        <f t="array" ref="H99">-SUMPRODUCT(
  desp[valor] *
  (desp[nucleo]=$B99) *
  (desp[centro.negocio]=$B$94) *
  (desp[data.pagamento]&gt;=H$1) *
  (desp[data.pagamento]&lt;EOMONTH(H$1,0)+1)
)</f>
        <v>0</v>
      </c>
      <c r="I99" s="251" cm="1">
        <f t="array" ref="I99">-SUMPRODUCT(
  desp[valor] *
  (desp[nucleo]=$B99) *
  (desp[centro.negocio]=$B$94) *
  (desp[data.pagamento]&gt;=I$1) *
  (desp[data.pagamento]&lt;EOMONTH(I$1,0)+1)
)</f>
        <v>0</v>
      </c>
      <c r="J99" s="251" cm="1">
        <f t="array" ref="J99">-SUMPRODUCT(
  desp[valor] *
  (desp[nucleo]=$B99) *
  (desp[centro.negocio]=$B$94) *
  (desp[data.pagamento]&gt;=J$1) *
  (desp[data.pagamento]&lt;EOMONTH(J$1,0)+1)
)</f>
        <v>0</v>
      </c>
      <c r="K99" s="251" cm="1">
        <f t="array" ref="K99">-SUMPRODUCT(
  desp[valor] *
  (desp[nucleo]=$B99) *
  (desp[centro.negocio]=$B$94) *
  (desp[data.pagamento]&gt;=K$1) *
  (desp[data.pagamento]&lt;EOMONTH(K$1,0)+1)
)</f>
        <v>0</v>
      </c>
      <c r="L99" s="251" cm="1">
        <f t="array" ref="L99">-SUMPRODUCT(
  desp[valor] *
  (desp[nucleo]=$B99) *
  (desp[centro.negocio]=$B$94) *
  (desp[data.pagamento]&gt;=L$1) *
  (desp[data.pagamento]&lt;EOMONTH(L$1,0)+1)
)</f>
        <v>0</v>
      </c>
      <c r="M99" s="251" cm="1">
        <f t="array" ref="M99">-SUMPRODUCT(
  desp[valor] *
  (desp[nucleo]=$B99) *
  (desp[centro.negocio]=$B$94) *
  (desp[data.pagamento]&gt;=M$1) *
  (desp[data.pagamento]&lt;EOMONTH(M$1,0)+1)
)</f>
        <v>0</v>
      </c>
      <c r="N99" s="251" cm="1">
        <f t="array" ref="N99">-SUMPRODUCT(
  desp[valor] *
  (desp[nucleo]=$B99) *
  (desp[centro.negocio]=$B$94) *
  (desp[data.pagamento]&gt;=N$1) *
  (desp[data.pagamento]&lt;EOMONTH(N$1,0)+1)
)</f>
        <v>0</v>
      </c>
      <c r="O99" s="251" cm="1">
        <f t="array" ref="O99">-SUMPRODUCT(
  desp[valor] *
  (desp[nucleo]=$B99) *
  (desp[centro.negocio]=$B$94) *
  (desp[data.pagamento]&gt;=O$1) *
  (desp[data.pagamento]&lt;EOMONTH(O$1,0)+1)
)</f>
        <v>0</v>
      </c>
      <c r="P99" s="251" cm="1">
        <f t="array" ref="P99">-SUMPRODUCT(
  desp[valor] *
  (desp[nucleo]=$B99) *
  (desp[centro.negocio]=$B$94) *
  (desp[data.pagamento]&gt;=P$1) *
  (desp[data.pagamento]&lt;EOMONTH(P$1,0)+1)
)</f>
        <v>0</v>
      </c>
      <c r="Q99" s="251" cm="1">
        <f t="array" ref="Q99">-SUMPRODUCT(
  desp[valor] *
  (desp[nucleo]=$B99) *
  (desp[centro.negocio]=$B$94) *
  (desp[data.pagamento]&gt;=Q$1) *
  (desp[data.pagamento]&lt;EOMONTH(Q$1,0)+1)
)</f>
        <v>0</v>
      </c>
      <c r="S99" s="243">
        <f>SUM(D99:Q99)</f>
        <v>0</v>
      </c>
    </row>
    <row r="100" spans="1:19" outlineLevel="2" x14ac:dyDescent="0.25">
      <c r="A100" s="250" t="s">
        <v>662</v>
      </c>
      <c r="B100" s="250" t="s">
        <v>594</v>
      </c>
      <c r="C100" s="197" t="s">
        <v>556</v>
      </c>
      <c r="D100" s="251" cm="1">
        <f t="array" ref="D100">-SUMPRODUCT(
  desp[valor] *
  (desp[nucleo]=$B100) *
  (desp[centro.negocio]=$B$94) *
  (desp[data.pagamento]&gt;=D$1) *
  (desp[data.pagamento]&lt;EOMONTH(D$1,0)+1)
)</f>
        <v>0</v>
      </c>
      <c r="E100" s="251" cm="1">
        <f t="array" ref="E100">-SUMPRODUCT(
  desp[valor] *
  (desp[nucleo]=$B100) *
  (desp[centro.negocio]=$B$94) *
  (desp[data.pagamento]&gt;=E$1) *
  (desp[data.pagamento]&lt;EOMONTH(E$1,0)+1)
)</f>
        <v>0</v>
      </c>
      <c r="F100" s="251" cm="1">
        <f t="array" ref="F100">-SUMPRODUCT(
  desp[valor] *
  (desp[nucleo]=$B100) *
  (desp[centro.negocio]=$B$94) *
  (desp[data.pagamento]&gt;=F$1) *
  (desp[data.pagamento]&lt;EOMONTH(F$1,0)+1)
)</f>
        <v>0</v>
      </c>
      <c r="G100" s="251" cm="1">
        <f t="array" ref="G100">-SUMPRODUCT(
  desp[valor] *
  (desp[nucleo]=$B100) *
  (desp[centro.negocio]=$B$94) *
  (desp[data.pagamento]&gt;=G$1) *
  (desp[data.pagamento]&lt;EOMONTH(G$1,0)+1)
)</f>
        <v>0</v>
      </c>
      <c r="H100" s="251" cm="1">
        <f t="array" ref="H100">-SUMPRODUCT(
  desp[valor] *
  (desp[nucleo]=$B100) *
  (desp[centro.negocio]=$B$94) *
  (desp[data.pagamento]&gt;=H$1) *
  (desp[data.pagamento]&lt;EOMONTH(H$1,0)+1)
)</f>
        <v>0</v>
      </c>
      <c r="I100" s="251" cm="1">
        <f t="array" ref="I100">-SUMPRODUCT(
  desp[valor] *
  (desp[nucleo]=$B100) *
  (desp[centro.negocio]=$B$94) *
  (desp[data.pagamento]&gt;=I$1) *
  (desp[data.pagamento]&lt;EOMONTH(I$1,0)+1)
)</f>
        <v>0</v>
      </c>
      <c r="J100" s="251" cm="1">
        <f t="array" ref="J100">-SUMPRODUCT(
  desp[valor] *
  (desp[nucleo]=$B100) *
  (desp[centro.negocio]=$B$94) *
  (desp[data.pagamento]&gt;=J$1) *
  (desp[data.pagamento]&lt;EOMONTH(J$1,0)+1)
)</f>
        <v>0</v>
      </c>
      <c r="K100" s="251" cm="1">
        <f t="array" ref="K100">-SUMPRODUCT(
  desp[valor] *
  (desp[nucleo]=$B100) *
  (desp[centro.negocio]=$B$94) *
  (desp[data.pagamento]&gt;=K$1) *
  (desp[data.pagamento]&lt;EOMONTH(K$1,0)+1)
)</f>
        <v>0</v>
      </c>
      <c r="L100" s="251" cm="1">
        <f t="array" ref="L100">-SUMPRODUCT(
  desp[valor] *
  (desp[nucleo]=$B100) *
  (desp[centro.negocio]=$B$94) *
  (desp[data.pagamento]&gt;=L$1) *
  (desp[data.pagamento]&lt;EOMONTH(L$1,0)+1)
)</f>
        <v>0</v>
      </c>
      <c r="M100" s="251" cm="1">
        <f t="array" ref="M100">-SUMPRODUCT(
  desp[valor] *
  (desp[nucleo]=$B100) *
  (desp[centro.negocio]=$B$94) *
  (desp[data.pagamento]&gt;=M$1) *
  (desp[data.pagamento]&lt;EOMONTH(M$1,0)+1)
)</f>
        <v>0</v>
      </c>
      <c r="N100" s="251" cm="1">
        <f t="array" ref="N100">-SUMPRODUCT(
  desp[valor] *
  (desp[nucleo]=$B100) *
  (desp[centro.negocio]=$B$94) *
  (desp[data.pagamento]&gt;=N$1) *
  (desp[data.pagamento]&lt;EOMONTH(N$1,0)+1)
)</f>
        <v>0</v>
      </c>
      <c r="O100" s="251" cm="1">
        <f t="array" ref="O100">-SUMPRODUCT(
  desp[valor] *
  (desp[nucleo]=$B100) *
  (desp[centro.negocio]=$B$94) *
  (desp[data.pagamento]&gt;=O$1) *
  (desp[data.pagamento]&lt;EOMONTH(O$1,0)+1)
)</f>
        <v>0</v>
      </c>
      <c r="P100" s="251" cm="1">
        <f t="array" ref="P100">-SUMPRODUCT(
  desp[valor] *
  (desp[nucleo]=$B100) *
  (desp[centro.negocio]=$B$94) *
  (desp[data.pagamento]&gt;=P$1) *
  (desp[data.pagamento]&lt;EOMONTH(P$1,0)+1)
)</f>
        <v>0</v>
      </c>
      <c r="Q100" s="251" cm="1">
        <f t="array" ref="Q100">-SUMPRODUCT(
  desp[valor] *
  (desp[nucleo]=$B100) *
  (desp[centro.negocio]=$B$94) *
  (desp[data.pagamento]&gt;=Q$1) *
  (desp[data.pagamento]&lt;EOMONTH(Q$1,0)+1)
)</f>
        <v>0</v>
      </c>
      <c r="S100" s="243">
        <f>SUM(D100:Q100)</f>
        <v>0</v>
      </c>
    </row>
    <row r="101" spans="1:19" outlineLevel="2" x14ac:dyDescent="0.25">
      <c r="A101" s="250" t="s">
        <v>663</v>
      </c>
      <c r="B101" s="250" t="s">
        <v>584</v>
      </c>
      <c r="C101" s="197" t="s">
        <v>556</v>
      </c>
      <c r="D101" s="251" cm="1">
        <f t="array" ref="D101">-SUMPRODUCT(
  desp[valor] *
  (desp[nucleo]=$B101) *
  (desp[centro.negocio]=$B$94) *
  (desp[data.pagamento]&gt;=D$1) *
  (desp[data.pagamento]&lt;EOMONTH(D$1,0)+1)
)</f>
        <v>0</v>
      </c>
      <c r="E101" s="251" cm="1">
        <f t="array" ref="E101">-SUMPRODUCT(
  desp[valor] *
  (desp[nucleo]=$B101) *
  (desp[centro.negocio]=$B$94) *
  (desp[data.pagamento]&gt;=E$1) *
  (desp[data.pagamento]&lt;EOMONTH(E$1,0)+1)
)</f>
        <v>0</v>
      </c>
      <c r="F101" s="251" cm="1">
        <f t="array" ref="F101">-SUMPRODUCT(
  desp[valor] *
  (desp[nucleo]=$B101) *
  (desp[centro.negocio]=$B$94) *
  (desp[data.pagamento]&gt;=F$1) *
  (desp[data.pagamento]&lt;EOMONTH(F$1,0)+1)
)</f>
        <v>0</v>
      </c>
      <c r="G101" s="251" cm="1">
        <f t="array" ref="G101">-SUMPRODUCT(
  desp[valor] *
  (desp[nucleo]=$B101) *
  (desp[centro.negocio]=$B$94) *
  (desp[data.pagamento]&gt;=G$1) *
  (desp[data.pagamento]&lt;EOMONTH(G$1,0)+1)
)</f>
        <v>0</v>
      </c>
      <c r="H101" s="251" cm="1">
        <f t="array" ref="H101">-SUMPRODUCT(
  desp[valor] *
  (desp[nucleo]=$B101) *
  (desp[centro.negocio]=$B$94) *
  (desp[data.pagamento]&gt;=H$1) *
  (desp[data.pagamento]&lt;EOMONTH(H$1,0)+1)
)</f>
        <v>0</v>
      </c>
      <c r="I101" s="251" cm="1">
        <f t="array" ref="I101">-SUMPRODUCT(
  desp[valor] *
  (desp[nucleo]=$B101) *
  (desp[centro.negocio]=$B$94) *
  (desp[data.pagamento]&gt;=I$1) *
  (desp[data.pagamento]&lt;EOMONTH(I$1,0)+1)
)</f>
        <v>0</v>
      </c>
      <c r="J101" s="251" cm="1">
        <f t="array" ref="J101">-SUMPRODUCT(
  desp[valor] *
  (desp[nucleo]=$B101) *
  (desp[centro.negocio]=$B$94) *
  (desp[data.pagamento]&gt;=J$1) *
  (desp[data.pagamento]&lt;EOMONTH(J$1,0)+1)
)</f>
        <v>0</v>
      </c>
      <c r="K101" s="251" cm="1">
        <f t="array" ref="K101">-SUMPRODUCT(
  desp[valor] *
  (desp[nucleo]=$B101) *
  (desp[centro.negocio]=$B$94) *
  (desp[data.pagamento]&gt;=K$1) *
  (desp[data.pagamento]&lt;EOMONTH(K$1,0)+1)
)</f>
        <v>0</v>
      </c>
      <c r="L101" s="251" cm="1">
        <f t="array" ref="L101">-SUMPRODUCT(
  desp[valor] *
  (desp[nucleo]=$B101) *
  (desp[centro.negocio]=$B$94) *
  (desp[data.pagamento]&gt;=L$1) *
  (desp[data.pagamento]&lt;EOMONTH(L$1,0)+1)
)</f>
        <v>0</v>
      </c>
      <c r="M101" s="251" cm="1">
        <f t="array" ref="M101">-SUMPRODUCT(
  desp[valor] *
  (desp[nucleo]=$B101) *
  (desp[centro.negocio]=$B$94) *
  (desp[data.pagamento]&gt;=M$1) *
  (desp[data.pagamento]&lt;EOMONTH(M$1,0)+1)
)</f>
        <v>0</v>
      </c>
      <c r="N101" s="251" cm="1">
        <f t="array" ref="N101">-SUMPRODUCT(
  desp[valor] *
  (desp[nucleo]=$B101) *
  (desp[centro.negocio]=$B$94) *
  (desp[data.pagamento]&gt;=N$1) *
  (desp[data.pagamento]&lt;EOMONTH(N$1,0)+1)
)</f>
        <v>0</v>
      </c>
      <c r="O101" s="251" cm="1">
        <f t="array" ref="O101">-SUMPRODUCT(
  desp[valor] *
  (desp[nucleo]=$B101) *
  (desp[centro.negocio]=$B$94) *
  (desp[data.pagamento]&gt;=O$1) *
  (desp[data.pagamento]&lt;EOMONTH(O$1,0)+1)
)</f>
        <v>0</v>
      </c>
      <c r="P101" s="251" cm="1">
        <f t="array" ref="P101">-SUMPRODUCT(
  desp[valor] *
  (desp[nucleo]=$B101) *
  (desp[centro.negocio]=$B$94) *
  (desp[data.pagamento]&gt;=P$1) *
  (desp[data.pagamento]&lt;EOMONTH(P$1,0)+1)
)</f>
        <v>0</v>
      </c>
      <c r="Q101" s="251" cm="1">
        <f t="array" ref="Q101">-SUMPRODUCT(
  desp[valor] *
  (desp[nucleo]=$B101) *
  (desp[centro.negocio]=$B$94) *
  (desp[data.pagamento]&gt;=Q$1) *
  (desp[data.pagamento]&lt;EOMONTH(Q$1,0)+1)
)</f>
        <v>0</v>
      </c>
      <c r="S101" s="243">
        <f>SUM(D101:Q101)</f>
        <v>0</v>
      </c>
    </row>
    <row r="102" spans="1:19" outlineLevel="2" x14ac:dyDescent="0.25">
      <c r="A102" s="250" t="s">
        <v>664</v>
      </c>
      <c r="B102" s="250" t="s">
        <v>665</v>
      </c>
      <c r="C102" s="197" t="s">
        <v>556</v>
      </c>
      <c r="D102" s="251" cm="1">
        <f t="array" ref="D102">-SUMPRODUCT(
  desp[valor] *
  (desp[nucleo]=$B102) *
  (desp[centro.negocio]=$B$94) *
  (desp[data.pagamento]&gt;=D$1) *
  (desp[data.pagamento]&lt;EOMONTH(D$1,0)+1)
)</f>
        <v>0</v>
      </c>
      <c r="E102" s="251" cm="1">
        <f t="array" ref="E102">-SUMPRODUCT(
  desp[valor] *
  (desp[nucleo]=$B102) *
  (desp[centro.negocio]=$B$94) *
  (desp[data.pagamento]&gt;=E$1) *
  (desp[data.pagamento]&lt;EOMONTH(E$1,0)+1)
)</f>
        <v>0</v>
      </c>
      <c r="F102" s="251" cm="1">
        <f t="array" ref="F102">-SUMPRODUCT(
  desp[valor] *
  (desp[nucleo]=$B102) *
  (desp[centro.negocio]=$B$94) *
  (desp[data.pagamento]&gt;=F$1) *
  (desp[data.pagamento]&lt;EOMONTH(F$1,0)+1)
)</f>
        <v>0</v>
      </c>
      <c r="G102" s="251" cm="1">
        <f t="array" ref="G102">-SUMPRODUCT(
  desp[valor] *
  (desp[nucleo]=$B102) *
  (desp[centro.negocio]=$B$94) *
  (desp[data.pagamento]&gt;=G$1) *
  (desp[data.pagamento]&lt;EOMONTH(G$1,0)+1)
)</f>
        <v>0</v>
      </c>
      <c r="H102" s="251" cm="1">
        <f t="array" ref="H102">-SUMPRODUCT(
  desp[valor] *
  (desp[nucleo]=$B102) *
  (desp[centro.negocio]=$B$94) *
  (desp[data.pagamento]&gt;=H$1) *
  (desp[data.pagamento]&lt;EOMONTH(H$1,0)+1)
)</f>
        <v>0</v>
      </c>
      <c r="I102" s="251" cm="1">
        <f t="array" ref="I102">-SUMPRODUCT(
  desp[valor] *
  (desp[nucleo]=$B102) *
  (desp[centro.negocio]=$B$94) *
  (desp[data.pagamento]&gt;=I$1) *
  (desp[data.pagamento]&lt;EOMONTH(I$1,0)+1)
)</f>
        <v>0</v>
      </c>
      <c r="J102" s="251" cm="1">
        <f t="array" ref="J102">-SUMPRODUCT(
  desp[valor] *
  (desp[nucleo]=$B102) *
  (desp[centro.negocio]=$B$94) *
  (desp[data.pagamento]&gt;=J$1) *
  (desp[data.pagamento]&lt;EOMONTH(J$1,0)+1)
)</f>
        <v>0</v>
      </c>
      <c r="K102" s="251" cm="1">
        <f t="array" ref="K102">-SUMPRODUCT(
  desp[valor] *
  (desp[nucleo]=$B102) *
  (desp[centro.negocio]=$B$94) *
  (desp[data.pagamento]&gt;=K$1) *
  (desp[data.pagamento]&lt;EOMONTH(K$1,0)+1)
)</f>
        <v>0</v>
      </c>
      <c r="L102" s="251" cm="1">
        <f t="array" ref="L102">-SUMPRODUCT(
  desp[valor] *
  (desp[nucleo]=$B102) *
  (desp[centro.negocio]=$B$94) *
  (desp[data.pagamento]&gt;=L$1) *
  (desp[data.pagamento]&lt;EOMONTH(L$1,0)+1)
)</f>
        <v>0</v>
      </c>
      <c r="M102" s="251" cm="1">
        <f t="array" ref="M102">-SUMPRODUCT(
  desp[valor] *
  (desp[nucleo]=$B102) *
  (desp[centro.negocio]=$B$94) *
  (desp[data.pagamento]&gt;=M$1) *
  (desp[data.pagamento]&lt;EOMONTH(M$1,0)+1)
)</f>
        <v>0</v>
      </c>
      <c r="N102" s="251" cm="1">
        <f t="array" ref="N102">-SUMPRODUCT(
  desp[valor] *
  (desp[nucleo]=$B102) *
  (desp[centro.negocio]=$B$94) *
  (desp[data.pagamento]&gt;=N$1) *
  (desp[data.pagamento]&lt;EOMONTH(N$1,0)+1)
)</f>
        <v>0</v>
      </c>
      <c r="O102" s="251" cm="1">
        <f t="array" ref="O102">-SUMPRODUCT(
  desp[valor] *
  (desp[nucleo]=$B102) *
  (desp[centro.negocio]=$B$94) *
  (desp[data.pagamento]&gt;=O$1) *
  (desp[data.pagamento]&lt;EOMONTH(O$1,0)+1)
)</f>
        <v>0</v>
      </c>
      <c r="P102" s="251" cm="1">
        <f t="array" ref="P102">-SUMPRODUCT(
  desp[valor] *
  (desp[nucleo]=$B102) *
  (desp[centro.negocio]=$B$94) *
  (desp[data.pagamento]&gt;=P$1) *
  (desp[data.pagamento]&lt;EOMONTH(P$1,0)+1)
)</f>
        <v>0</v>
      </c>
      <c r="Q102" s="251" cm="1">
        <f t="array" ref="Q102">-SUMPRODUCT(
  desp[valor] *
  (desp[nucleo]=$B102) *
  (desp[centro.negocio]=$B$94) *
  (desp[data.pagamento]&gt;=Q$1) *
  (desp[data.pagamento]&lt;EOMONTH(Q$1,0)+1)
)</f>
        <v>0</v>
      </c>
      <c r="S102" s="243">
        <f t="shared" ref="S102" si="30">SUM(D102:Q102)</f>
        <v>0</v>
      </c>
    </row>
    <row r="103" spans="1:19" outlineLevel="2" x14ac:dyDescent="0.25">
      <c r="A103" s="250" t="s">
        <v>666</v>
      </c>
      <c r="B103" s="250" t="s">
        <v>619</v>
      </c>
      <c r="C103" s="197" t="s">
        <v>556</v>
      </c>
      <c r="D103" s="251" cm="1">
        <f t="array" ref="D103">-SUMPRODUCT(
  desp[valor] *
  (desp[nucleo]=$B103) *
  (desp[centro.negocio]=$B$94) *
  (desp[data.pagamento]&gt;=D$1) *
  (desp[data.pagamento]&lt;EOMONTH(D$1,0)+1)
)</f>
        <v>0</v>
      </c>
      <c r="E103" s="251" cm="1">
        <f t="array" ref="E103">-SUMPRODUCT(
  desp[valor] *
  (desp[nucleo]=$B103) *
  (desp[centro.negocio]=$B$94) *
  (desp[data.pagamento]&gt;=E$1) *
  (desp[data.pagamento]&lt;EOMONTH(E$1,0)+1)
)</f>
        <v>0</v>
      </c>
      <c r="F103" s="251" cm="1">
        <f t="array" ref="F103">-SUMPRODUCT(
  desp[valor] *
  (desp[nucleo]=$B103) *
  (desp[centro.negocio]=$B$94) *
  (desp[data.pagamento]&gt;=F$1) *
  (desp[data.pagamento]&lt;EOMONTH(F$1,0)+1)
)</f>
        <v>0</v>
      </c>
      <c r="G103" s="251" cm="1">
        <f t="array" ref="G103">-SUMPRODUCT(
  desp[valor] *
  (desp[nucleo]=$B103) *
  (desp[centro.negocio]=$B$94) *
  (desp[data.pagamento]&gt;=G$1) *
  (desp[data.pagamento]&lt;EOMONTH(G$1,0)+1)
)</f>
        <v>0</v>
      </c>
      <c r="H103" s="251" cm="1">
        <f t="array" ref="H103">-SUMPRODUCT(
  desp[valor] *
  (desp[nucleo]=$B103) *
  (desp[centro.negocio]=$B$94) *
  (desp[data.pagamento]&gt;=H$1) *
  (desp[data.pagamento]&lt;EOMONTH(H$1,0)+1)
)</f>
        <v>0</v>
      </c>
      <c r="I103" s="251" cm="1">
        <f t="array" ref="I103">-SUMPRODUCT(
  desp[valor] *
  (desp[nucleo]=$B103) *
  (desp[centro.negocio]=$B$94) *
  (desp[data.pagamento]&gt;=I$1) *
  (desp[data.pagamento]&lt;EOMONTH(I$1,0)+1)
)</f>
        <v>0</v>
      </c>
      <c r="J103" s="251" cm="1">
        <f t="array" ref="J103">-SUMPRODUCT(
  desp[valor] *
  (desp[nucleo]=$B103) *
  (desp[centro.negocio]=$B$94) *
  (desp[data.pagamento]&gt;=J$1) *
  (desp[data.pagamento]&lt;EOMONTH(J$1,0)+1)
)</f>
        <v>0</v>
      </c>
      <c r="K103" s="251" cm="1">
        <f t="array" ref="K103">-SUMPRODUCT(
  desp[valor] *
  (desp[nucleo]=$B103) *
  (desp[centro.negocio]=$B$94) *
  (desp[data.pagamento]&gt;=K$1) *
  (desp[data.pagamento]&lt;EOMONTH(K$1,0)+1)
)</f>
        <v>0</v>
      </c>
      <c r="L103" s="251" cm="1">
        <f t="array" ref="L103">-SUMPRODUCT(
  desp[valor] *
  (desp[nucleo]=$B103) *
  (desp[centro.negocio]=$B$94) *
  (desp[data.pagamento]&gt;=L$1) *
  (desp[data.pagamento]&lt;EOMONTH(L$1,0)+1)
)</f>
        <v>0</v>
      </c>
      <c r="M103" s="251" cm="1">
        <f t="array" ref="M103">-SUMPRODUCT(
  desp[valor] *
  (desp[nucleo]=$B103) *
  (desp[centro.negocio]=$B$94) *
  (desp[data.pagamento]&gt;=M$1) *
  (desp[data.pagamento]&lt;EOMONTH(M$1,0)+1)
)</f>
        <v>0</v>
      </c>
      <c r="N103" s="251" cm="1">
        <f t="array" ref="N103">-SUMPRODUCT(
  desp[valor] *
  (desp[nucleo]=$B103) *
  (desp[centro.negocio]=$B$94) *
  (desp[data.pagamento]&gt;=N$1) *
  (desp[data.pagamento]&lt;EOMONTH(N$1,0)+1)
)</f>
        <v>0</v>
      </c>
      <c r="O103" s="251" cm="1">
        <f t="array" ref="O103">-SUMPRODUCT(
  desp[valor] *
  (desp[nucleo]=$B103) *
  (desp[centro.negocio]=$B$94) *
  (desp[data.pagamento]&gt;=O$1) *
  (desp[data.pagamento]&lt;EOMONTH(O$1,0)+1)
)</f>
        <v>0</v>
      </c>
      <c r="P103" s="251" cm="1">
        <f t="array" ref="P103">-SUMPRODUCT(
  desp[valor] *
  (desp[nucleo]=$B103) *
  (desp[centro.negocio]=$B$94) *
  (desp[data.pagamento]&gt;=P$1) *
  (desp[data.pagamento]&lt;EOMONTH(P$1,0)+1)
)</f>
        <v>0</v>
      </c>
      <c r="Q103" s="251" cm="1">
        <f t="array" ref="Q103">-SUMPRODUCT(
  desp[valor] *
  (desp[nucleo]=$B103) *
  (desp[centro.negocio]=$B$94) *
  (desp[data.pagamento]&gt;=Q$1) *
  (desp[data.pagamento]&lt;EOMONTH(Q$1,0)+1)
)</f>
        <v>0</v>
      </c>
      <c r="S103" s="243">
        <f>SUM(D103:Q103)</f>
        <v>0</v>
      </c>
    </row>
    <row r="104" spans="1:19" outlineLevel="2" x14ac:dyDescent="0.25">
      <c r="A104" s="250" t="s">
        <v>667</v>
      </c>
      <c r="B104" s="250" t="s">
        <v>630</v>
      </c>
      <c r="C104" s="197" t="s">
        <v>556</v>
      </c>
      <c r="D104" s="251" cm="1">
        <f t="array" ref="D104">-SUMPRODUCT(
  desp[valor] *
  (desp[nucleo]=$B104) *
  (desp[centro.negocio]=$B$94) *
  (desp[data.pagamento]&gt;=D$1) *
  (desp[data.pagamento]&lt;EOMONTH(D$1,0)+1)
)</f>
        <v>0</v>
      </c>
      <c r="E104" s="251" cm="1">
        <f t="array" ref="E104">-SUMPRODUCT(
  desp[valor] *
  (desp[nucleo]=$B104) *
  (desp[centro.negocio]=$B$94) *
  (desp[data.pagamento]&gt;=E$1) *
  (desp[data.pagamento]&lt;EOMONTH(E$1,0)+1)
)</f>
        <v>0</v>
      </c>
      <c r="F104" s="251" cm="1">
        <f t="array" ref="F104">-SUMPRODUCT(
  desp[valor] *
  (desp[nucleo]=$B104) *
  (desp[centro.negocio]=$B$94) *
  (desp[data.pagamento]&gt;=F$1) *
  (desp[data.pagamento]&lt;EOMONTH(F$1,0)+1)
)</f>
        <v>0</v>
      </c>
      <c r="G104" s="251" cm="1">
        <f t="array" ref="G104">-SUMPRODUCT(
  desp[valor] *
  (desp[nucleo]=$B104) *
  (desp[centro.negocio]=$B$94) *
  (desp[data.pagamento]&gt;=G$1) *
  (desp[data.pagamento]&lt;EOMONTH(G$1,0)+1)
)</f>
        <v>0</v>
      </c>
      <c r="H104" s="251" cm="1">
        <f t="array" ref="H104">-SUMPRODUCT(
  desp[valor] *
  (desp[nucleo]=$B104) *
  (desp[centro.negocio]=$B$94) *
  (desp[data.pagamento]&gt;=H$1) *
  (desp[data.pagamento]&lt;EOMONTH(H$1,0)+1)
)</f>
        <v>0</v>
      </c>
      <c r="I104" s="251" cm="1">
        <f t="array" ref="I104">-SUMPRODUCT(
  desp[valor] *
  (desp[nucleo]=$B104) *
  (desp[centro.negocio]=$B$94) *
  (desp[data.pagamento]&gt;=I$1) *
  (desp[data.pagamento]&lt;EOMONTH(I$1,0)+1)
)</f>
        <v>0</v>
      </c>
      <c r="J104" s="251" cm="1">
        <f t="array" ref="J104">-SUMPRODUCT(
  desp[valor] *
  (desp[nucleo]=$B104) *
  (desp[centro.negocio]=$B$94) *
  (desp[data.pagamento]&gt;=J$1) *
  (desp[data.pagamento]&lt;EOMONTH(J$1,0)+1)
)</f>
        <v>0</v>
      </c>
      <c r="K104" s="251" cm="1">
        <f t="array" ref="K104">-SUMPRODUCT(
  desp[valor] *
  (desp[nucleo]=$B104) *
  (desp[centro.negocio]=$B$94) *
  (desp[data.pagamento]&gt;=K$1) *
  (desp[data.pagamento]&lt;EOMONTH(K$1,0)+1)
)</f>
        <v>0</v>
      </c>
      <c r="L104" s="251" cm="1">
        <f t="array" ref="L104">-SUMPRODUCT(
  desp[valor] *
  (desp[nucleo]=$B104) *
  (desp[centro.negocio]=$B$94) *
  (desp[data.pagamento]&gt;=L$1) *
  (desp[data.pagamento]&lt;EOMONTH(L$1,0)+1)
)</f>
        <v>0</v>
      </c>
      <c r="M104" s="251" cm="1">
        <f t="array" ref="M104">-SUMPRODUCT(
  desp[valor] *
  (desp[nucleo]=$B104) *
  (desp[centro.negocio]=$B$94) *
  (desp[data.pagamento]&gt;=M$1) *
  (desp[data.pagamento]&lt;EOMONTH(M$1,0)+1)
)</f>
        <v>0</v>
      </c>
      <c r="N104" s="251" cm="1">
        <f t="array" ref="N104">-SUMPRODUCT(
  desp[valor] *
  (desp[nucleo]=$B104) *
  (desp[centro.negocio]=$B$94) *
  (desp[data.pagamento]&gt;=N$1) *
  (desp[data.pagamento]&lt;EOMONTH(N$1,0)+1)
)</f>
        <v>0</v>
      </c>
      <c r="O104" s="251" cm="1">
        <f t="array" ref="O104">-SUMPRODUCT(
  desp[valor] *
  (desp[nucleo]=$B104) *
  (desp[centro.negocio]=$B$94) *
  (desp[data.pagamento]&gt;=O$1) *
  (desp[data.pagamento]&lt;EOMONTH(O$1,0)+1)
)</f>
        <v>0</v>
      </c>
      <c r="P104" s="251" cm="1">
        <f t="array" ref="P104">-SUMPRODUCT(
  desp[valor] *
  (desp[nucleo]=$B104) *
  (desp[centro.negocio]=$B$94) *
  (desp[data.pagamento]&gt;=P$1) *
  (desp[data.pagamento]&lt;EOMONTH(P$1,0)+1)
)</f>
        <v>0</v>
      </c>
      <c r="Q104" s="251" cm="1">
        <f t="array" ref="Q104">-SUMPRODUCT(
  desp[valor] *
  (desp[nucleo]=$B104) *
  (desp[centro.negocio]=$B$94) *
  (desp[data.pagamento]&gt;=Q$1) *
  (desp[data.pagamento]&lt;EOMONTH(Q$1,0)+1)
)</f>
        <v>0</v>
      </c>
      <c r="S104" s="243">
        <f t="shared" ref="S104" si="31">SUM(D104:Q104)</f>
        <v>0</v>
      </c>
    </row>
    <row r="105" spans="1:19" outlineLevel="2" x14ac:dyDescent="0.25">
      <c r="A105" s="250" t="s">
        <v>668</v>
      </c>
      <c r="B105" s="250" t="s">
        <v>586</v>
      </c>
      <c r="C105" s="197" t="s">
        <v>556</v>
      </c>
      <c r="D105" s="251" cm="1">
        <f t="array" ref="D105">-SUMPRODUCT(
  desp[valor] *
  (desp[nucleo]=$B105) *
  (desp[centro.negocio]=$B$94) *
  (desp[data.pagamento]&gt;=D$1) *
  (desp[data.pagamento]&lt;EOMONTH(D$1,0)+1)
)</f>
        <v>0</v>
      </c>
      <c r="E105" s="251" cm="1">
        <f t="array" ref="E105">-SUMPRODUCT(
  desp[valor] *
  (desp[nucleo]=$B105) *
  (desp[centro.negocio]=$B$94) *
  (desp[data.pagamento]&gt;=E$1) *
  (desp[data.pagamento]&lt;EOMONTH(E$1,0)+1)
)</f>
        <v>0</v>
      </c>
      <c r="F105" s="251" cm="1">
        <f t="array" ref="F105">-SUMPRODUCT(
  desp[valor] *
  (desp[nucleo]=$B105) *
  (desp[centro.negocio]=$B$94) *
  (desp[data.pagamento]&gt;=F$1) *
  (desp[data.pagamento]&lt;EOMONTH(F$1,0)+1)
)</f>
        <v>0</v>
      </c>
      <c r="G105" s="251" cm="1">
        <f t="array" ref="G105">-SUMPRODUCT(
  desp[valor] *
  (desp[nucleo]=$B105) *
  (desp[centro.negocio]=$B$94) *
  (desp[data.pagamento]&gt;=G$1) *
  (desp[data.pagamento]&lt;EOMONTH(G$1,0)+1)
)</f>
        <v>0</v>
      </c>
      <c r="H105" s="251" cm="1">
        <f t="array" ref="H105">-SUMPRODUCT(
  desp[valor] *
  (desp[nucleo]=$B105) *
  (desp[centro.negocio]=$B$94) *
  (desp[data.pagamento]&gt;=H$1) *
  (desp[data.pagamento]&lt;EOMONTH(H$1,0)+1)
)</f>
        <v>0</v>
      </c>
      <c r="I105" s="251" cm="1">
        <f t="array" ref="I105">-SUMPRODUCT(
  desp[valor] *
  (desp[nucleo]=$B105) *
  (desp[centro.negocio]=$B$94) *
  (desp[data.pagamento]&gt;=I$1) *
  (desp[data.pagamento]&lt;EOMONTH(I$1,0)+1)
)</f>
        <v>0</v>
      </c>
      <c r="J105" s="251" cm="1">
        <f t="array" ref="J105">-SUMPRODUCT(
  desp[valor] *
  (desp[nucleo]=$B105) *
  (desp[centro.negocio]=$B$94) *
  (desp[data.pagamento]&gt;=J$1) *
  (desp[data.pagamento]&lt;EOMONTH(J$1,0)+1)
)</f>
        <v>0</v>
      </c>
      <c r="K105" s="251" cm="1">
        <f t="array" ref="K105">-SUMPRODUCT(
  desp[valor] *
  (desp[nucleo]=$B105) *
  (desp[centro.negocio]=$B$94) *
  (desp[data.pagamento]&gt;=K$1) *
  (desp[data.pagamento]&lt;EOMONTH(K$1,0)+1)
)</f>
        <v>0</v>
      </c>
      <c r="L105" s="251" cm="1">
        <f t="array" ref="L105">-SUMPRODUCT(
  desp[valor] *
  (desp[nucleo]=$B105) *
  (desp[centro.negocio]=$B$94) *
  (desp[data.pagamento]&gt;=L$1) *
  (desp[data.pagamento]&lt;EOMONTH(L$1,0)+1)
)</f>
        <v>0</v>
      </c>
      <c r="M105" s="251" cm="1">
        <f t="array" ref="M105">-SUMPRODUCT(
  desp[valor] *
  (desp[nucleo]=$B105) *
  (desp[centro.negocio]=$B$94) *
  (desp[data.pagamento]&gt;=M$1) *
  (desp[data.pagamento]&lt;EOMONTH(M$1,0)+1)
)</f>
        <v>0</v>
      </c>
      <c r="N105" s="251" cm="1">
        <f t="array" ref="N105">-SUMPRODUCT(
  desp[valor] *
  (desp[nucleo]=$B105) *
  (desp[centro.negocio]=$B$94) *
  (desp[data.pagamento]&gt;=N$1) *
  (desp[data.pagamento]&lt;EOMONTH(N$1,0)+1)
)</f>
        <v>0</v>
      </c>
      <c r="O105" s="251" cm="1">
        <f t="array" ref="O105">-SUMPRODUCT(
  desp[valor] *
  (desp[nucleo]=$B105) *
  (desp[centro.negocio]=$B$94) *
  (desp[data.pagamento]&gt;=O$1) *
  (desp[data.pagamento]&lt;EOMONTH(O$1,0)+1)
)</f>
        <v>0</v>
      </c>
      <c r="P105" s="251" cm="1">
        <f t="array" ref="P105">-SUMPRODUCT(
  desp[valor] *
  (desp[nucleo]=$B105) *
  (desp[centro.negocio]=$B$94) *
  (desp[data.pagamento]&gt;=P$1) *
  (desp[data.pagamento]&lt;EOMONTH(P$1,0)+1)
)</f>
        <v>0</v>
      </c>
      <c r="Q105" s="251" cm="1">
        <f t="array" ref="Q105">-SUMPRODUCT(
  desp[valor] *
  (desp[nucleo]=$B105) *
  (desp[centro.negocio]=$B$94) *
  (desp[data.pagamento]&gt;=Q$1) *
  (desp[data.pagamento]&lt;EOMONTH(Q$1,0)+1)
)</f>
        <v>0</v>
      </c>
      <c r="S105" s="243">
        <f>SUM(D105:Q105)</f>
        <v>0</v>
      </c>
    </row>
    <row r="106" spans="1:19" outlineLevel="2" x14ac:dyDescent="0.25">
      <c r="A106" s="250" t="s">
        <v>669</v>
      </c>
      <c r="B106" s="250" t="s">
        <v>582</v>
      </c>
      <c r="C106" s="197" t="s">
        <v>556</v>
      </c>
      <c r="D106" s="251" cm="1">
        <f t="array" ref="D106">-SUMPRODUCT(
  desp[valor] *
  (desp[nucleo]=$B106) *
  (desp[centro.negocio]=$B$94) *
  (desp[data.pagamento]&gt;=D$1) *
  (desp[data.pagamento]&lt;EOMONTH(D$1,0)+1)
)</f>
        <v>0</v>
      </c>
      <c r="E106" s="251" cm="1">
        <f t="array" ref="E106">-SUMPRODUCT(
  desp[valor] *
  (desp[nucleo]=$B106) *
  (desp[centro.negocio]=$B$94) *
  (desp[data.pagamento]&gt;=E$1) *
  (desp[data.pagamento]&lt;EOMONTH(E$1,0)+1)
)</f>
        <v>0</v>
      </c>
      <c r="F106" s="251" cm="1">
        <f t="array" ref="F106">-SUMPRODUCT(
  desp[valor] *
  (desp[nucleo]=$B106) *
  (desp[centro.negocio]=$B$94) *
  (desp[data.pagamento]&gt;=F$1) *
  (desp[data.pagamento]&lt;EOMONTH(F$1,0)+1)
)</f>
        <v>0</v>
      </c>
      <c r="G106" s="251" cm="1">
        <f t="array" ref="G106">-SUMPRODUCT(
  desp[valor] *
  (desp[nucleo]=$B106) *
  (desp[centro.negocio]=$B$94) *
  (desp[data.pagamento]&gt;=G$1) *
  (desp[data.pagamento]&lt;EOMONTH(G$1,0)+1)
)</f>
        <v>0</v>
      </c>
      <c r="H106" s="251" cm="1">
        <f t="array" ref="H106">-SUMPRODUCT(
  desp[valor] *
  (desp[nucleo]=$B106) *
  (desp[centro.negocio]=$B$94) *
  (desp[data.pagamento]&gt;=H$1) *
  (desp[data.pagamento]&lt;EOMONTH(H$1,0)+1)
)</f>
        <v>0</v>
      </c>
      <c r="I106" s="251" cm="1">
        <f t="array" ref="I106">-SUMPRODUCT(
  desp[valor] *
  (desp[nucleo]=$B106) *
  (desp[centro.negocio]=$B$94) *
  (desp[data.pagamento]&gt;=I$1) *
  (desp[data.pagamento]&lt;EOMONTH(I$1,0)+1)
)</f>
        <v>0</v>
      </c>
      <c r="J106" s="251" cm="1">
        <f t="array" ref="J106">-SUMPRODUCT(
  desp[valor] *
  (desp[nucleo]=$B106) *
  (desp[centro.negocio]=$B$94) *
  (desp[data.pagamento]&gt;=J$1) *
  (desp[data.pagamento]&lt;EOMONTH(J$1,0)+1)
)</f>
        <v>0</v>
      </c>
      <c r="K106" s="251" cm="1">
        <f t="array" ref="K106">-SUMPRODUCT(
  desp[valor] *
  (desp[nucleo]=$B106) *
  (desp[centro.negocio]=$B$94) *
  (desp[data.pagamento]&gt;=K$1) *
  (desp[data.pagamento]&lt;EOMONTH(K$1,0)+1)
)</f>
        <v>0</v>
      </c>
      <c r="L106" s="251" cm="1">
        <f t="array" ref="L106">-SUMPRODUCT(
  desp[valor] *
  (desp[nucleo]=$B106) *
  (desp[centro.negocio]=$B$94) *
  (desp[data.pagamento]&gt;=L$1) *
  (desp[data.pagamento]&lt;EOMONTH(L$1,0)+1)
)</f>
        <v>0</v>
      </c>
      <c r="M106" s="251" cm="1">
        <f t="array" ref="M106">-SUMPRODUCT(
  desp[valor] *
  (desp[nucleo]=$B106) *
  (desp[centro.negocio]=$B$94) *
  (desp[data.pagamento]&gt;=M$1) *
  (desp[data.pagamento]&lt;EOMONTH(M$1,0)+1)
)</f>
        <v>0</v>
      </c>
      <c r="N106" s="251" cm="1">
        <f t="array" ref="N106">-SUMPRODUCT(
  desp[valor] *
  (desp[nucleo]=$B106) *
  (desp[centro.negocio]=$B$94) *
  (desp[data.pagamento]&gt;=N$1) *
  (desp[data.pagamento]&lt;EOMONTH(N$1,0)+1)
)</f>
        <v>0</v>
      </c>
      <c r="O106" s="251" cm="1">
        <f t="array" ref="O106">-SUMPRODUCT(
  desp[valor] *
  (desp[nucleo]=$B106) *
  (desp[centro.negocio]=$B$94) *
  (desp[data.pagamento]&gt;=O$1) *
  (desp[data.pagamento]&lt;EOMONTH(O$1,0)+1)
)</f>
        <v>0</v>
      </c>
      <c r="P106" s="251" cm="1">
        <f t="array" ref="P106">-SUMPRODUCT(
  desp[valor] *
  (desp[nucleo]=$B106) *
  (desp[centro.negocio]=$B$94) *
  (desp[data.pagamento]&gt;=P$1) *
  (desp[data.pagamento]&lt;EOMONTH(P$1,0)+1)
)</f>
        <v>0</v>
      </c>
      <c r="Q106" s="251" cm="1">
        <f t="array" ref="Q106">-SUMPRODUCT(
  desp[valor] *
  (desp[nucleo]=$B106) *
  (desp[centro.negocio]=$B$94) *
  (desp[data.pagamento]&gt;=Q$1) *
  (desp[data.pagamento]&lt;EOMONTH(Q$1,0)+1)
)</f>
        <v>0</v>
      </c>
      <c r="S106" s="243">
        <f>SUM(D106:Q106)</f>
        <v>0</v>
      </c>
    </row>
    <row r="107" spans="1:19" outlineLevel="2" x14ac:dyDescent="0.25">
      <c r="A107" s="250" t="s">
        <v>670</v>
      </c>
      <c r="B107" s="250" t="s">
        <v>628</v>
      </c>
      <c r="C107" s="197" t="s">
        <v>556</v>
      </c>
      <c r="D107" s="251" cm="1">
        <f t="array" ref="D107">-SUMPRODUCT(
  desp[valor] *
  (desp[nucleo]=$B107) *
  (desp[centro.negocio]=$B$94) *
  (desp[data.pagamento]&gt;=D$1) *
  (desp[data.pagamento]&lt;EOMONTH(D$1,0)+1)
)</f>
        <v>0</v>
      </c>
      <c r="E107" s="251" cm="1">
        <f t="array" ref="E107">-SUMPRODUCT(
  desp[valor] *
  (desp[nucleo]=$B107) *
  (desp[centro.negocio]=$B$94) *
  (desp[data.pagamento]&gt;=E$1) *
  (desp[data.pagamento]&lt;EOMONTH(E$1,0)+1)
)</f>
        <v>0</v>
      </c>
      <c r="F107" s="251" cm="1">
        <f t="array" ref="F107">-SUMPRODUCT(
  desp[valor] *
  (desp[nucleo]=$B107) *
  (desp[centro.negocio]=$B$94) *
  (desp[data.pagamento]&gt;=F$1) *
  (desp[data.pagamento]&lt;EOMONTH(F$1,0)+1)
)</f>
        <v>0</v>
      </c>
      <c r="G107" s="251" cm="1">
        <f t="array" ref="G107">-SUMPRODUCT(
  desp[valor] *
  (desp[nucleo]=$B107) *
  (desp[centro.negocio]=$B$94) *
  (desp[data.pagamento]&gt;=G$1) *
  (desp[data.pagamento]&lt;EOMONTH(G$1,0)+1)
)</f>
        <v>0</v>
      </c>
      <c r="H107" s="251" cm="1">
        <f t="array" ref="H107">-SUMPRODUCT(
  desp[valor] *
  (desp[nucleo]=$B107) *
  (desp[centro.negocio]=$B$94) *
  (desp[data.pagamento]&gt;=H$1) *
  (desp[data.pagamento]&lt;EOMONTH(H$1,0)+1)
)</f>
        <v>0</v>
      </c>
      <c r="I107" s="251" cm="1">
        <f t="array" ref="I107">-SUMPRODUCT(
  desp[valor] *
  (desp[nucleo]=$B107) *
  (desp[centro.negocio]=$B$94) *
  (desp[data.pagamento]&gt;=I$1) *
  (desp[data.pagamento]&lt;EOMONTH(I$1,0)+1)
)</f>
        <v>0</v>
      </c>
      <c r="J107" s="251" cm="1">
        <f t="array" ref="J107">-SUMPRODUCT(
  desp[valor] *
  (desp[nucleo]=$B107) *
  (desp[centro.negocio]=$B$94) *
  (desp[data.pagamento]&gt;=J$1) *
  (desp[data.pagamento]&lt;EOMONTH(J$1,0)+1)
)</f>
        <v>0</v>
      </c>
      <c r="K107" s="251" cm="1">
        <f t="array" ref="K107">-SUMPRODUCT(
  desp[valor] *
  (desp[nucleo]=$B107) *
  (desp[centro.negocio]=$B$94) *
  (desp[data.pagamento]&gt;=K$1) *
  (desp[data.pagamento]&lt;EOMONTH(K$1,0)+1)
)</f>
        <v>0</v>
      </c>
      <c r="L107" s="251" cm="1">
        <f t="array" ref="L107">-SUMPRODUCT(
  desp[valor] *
  (desp[nucleo]=$B107) *
  (desp[centro.negocio]=$B$94) *
  (desp[data.pagamento]&gt;=L$1) *
  (desp[data.pagamento]&lt;EOMONTH(L$1,0)+1)
)</f>
        <v>0</v>
      </c>
      <c r="M107" s="251" cm="1">
        <f t="array" ref="M107">-SUMPRODUCT(
  desp[valor] *
  (desp[nucleo]=$B107) *
  (desp[centro.negocio]=$B$94) *
  (desp[data.pagamento]&gt;=M$1) *
  (desp[data.pagamento]&lt;EOMONTH(M$1,0)+1)
)</f>
        <v>0</v>
      </c>
      <c r="N107" s="251" cm="1">
        <f t="array" ref="N107">-SUMPRODUCT(
  desp[valor] *
  (desp[nucleo]=$B107) *
  (desp[centro.negocio]=$B$94) *
  (desp[data.pagamento]&gt;=N$1) *
  (desp[data.pagamento]&lt;EOMONTH(N$1,0)+1)
)</f>
        <v>0</v>
      </c>
      <c r="O107" s="251" cm="1">
        <f t="array" ref="O107">-SUMPRODUCT(
  desp[valor] *
  (desp[nucleo]=$B107) *
  (desp[centro.negocio]=$B$94) *
  (desp[data.pagamento]&gt;=O$1) *
  (desp[data.pagamento]&lt;EOMONTH(O$1,0)+1)
)</f>
        <v>0</v>
      </c>
      <c r="P107" s="251" cm="1">
        <f t="array" ref="P107">-SUMPRODUCT(
  desp[valor] *
  (desp[nucleo]=$B107) *
  (desp[centro.negocio]=$B$94) *
  (desp[data.pagamento]&gt;=P$1) *
  (desp[data.pagamento]&lt;EOMONTH(P$1,0)+1)
)</f>
        <v>0</v>
      </c>
      <c r="Q107" s="251" cm="1">
        <f t="array" ref="Q107">-SUMPRODUCT(
  desp[valor] *
  (desp[nucleo]=$B107) *
  (desp[centro.negocio]=$B$94) *
  (desp[data.pagamento]&gt;=Q$1) *
  (desp[data.pagamento]&lt;EOMONTH(Q$1,0)+1)
)</f>
        <v>0</v>
      </c>
      <c r="S107" s="243">
        <f>SUM(D107:Q107)</f>
        <v>0</v>
      </c>
    </row>
    <row r="108" spans="1:19" outlineLevel="2" x14ac:dyDescent="0.25">
      <c r="A108" s="250" t="s">
        <v>671</v>
      </c>
      <c r="B108" s="250" t="s">
        <v>672</v>
      </c>
      <c r="C108" s="197" t="s">
        <v>556</v>
      </c>
      <c r="D108" s="251" cm="1">
        <f t="array" ref="D108">-SUMPRODUCT(
  desp[valor] *
  (desp[nucleo]=$B108) *
  (desp[centro.negocio]=$B$94) *
  (desp[data.pagamento]&gt;=D$1) *
  (desp[data.pagamento]&lt;EOMONTH(D$1,0)+1)
)</f>
        <v>0</v>
      </c>
      <c r="E108" s="251" cm="1">
        <f t="array" ref="E108">-SUMPRODUCT(
  desp[valor] *
  (desp[nucleo]=$B108) *
  (desp[centro.negocio]=$B$94) *
  (desp[data.pagamento]&gt;=E$1) *
  (desp[data.pagamento]&lt;EOMONTH(E$1,0)+1)
)</f>
        <v>0</v>
      </c>
      <c r="F108" s="251" cm="1">
        <f t="array" ref="F108">-SUMPRODUCT(
  desp[valor] *
  (desp[nucleo]=$B108) *
  (desp[centro.negocio]=$B$94) *
  (desp[data.pagamento]&gt;=F$1) *
  (desp[data.pagamento]&lt;EOMONTH(F$1,0)+1)
)</f>
        <v>0</v>
      </c>
      <c r="G108" s="251" cm="1">
        <f t="array" ref="G108">-SUMPRODUCT(
  desp[valor] *
  (desp[nucleo]=$B108) *
  (desp[centro.negocio]=$B$94) *
  (desp[data.pagamento]&gt;=G$1) *
  (desp[data.pagamento]&lt;EOMONTH(G$1,0)+1)
)</f>
        <v>0</v>
      </c>
      <c r="H108" s="251" cm="1">
        <f t="array" ref="H108">-SUMPRODUCT(
  desp[valor] *
  (desp[nucleo]=$B108) *
  (desp[centro.negocio]=$B$94) *
  (desp[data.pagamento]&gt;=H$1) *
  (desp[data.pagamento]&lt;EOMONTH(H$1,0)+1)
)</f>
        <v>0</v>
      </c>
      <c r="I108" s="251" cm="1">
        <f t="array" ref="I108">-SUMPRODUCT(
  desp[valor] *
  (desp[nucleo]=$B108) *
  (desp[centro.negocio]=$B$94) *
  (desp[data.pagamento]&gt;=I$1) *
  (desp[data.pagamento]&lt;EOMONTH(I$1,0)+1)
)</f>
        <v>0</v>
      </c>
      <c r="J108" s="251" cm="1">
        <f t="array" ref="J108">-SUMPRODUCT(
  desp[valor] *
  (desp[nucleo]=$B108) *
  (desp[centro.negocio]=$B$94) *
  (desp[data.pagamento]&gt;=J$1) *
  (desp[data.pagamento]&lt;EOMONTH(J$1,0)+1)
)</f>
        <v>0</v>
      </c>
      <c r="K108" s="251" cm="1">
        <f t="array" ref="K108">-SUMPRODUCT(
  desp[valor] *
  (desp[nucleo]=$B108) *
  (desp[centro.negocio]=$B$94) *
  (desp[data.pagamento]&gt;=K$1) *
  (desp[data.pagamento]&lt;EOMONTH(K$1,0)+1)
)</f>
        <v>0</v>
      </c>
      <c r="L108" s="251" cm="1">
        <f t="array" ref="L108">-SUMPRODUCT(
  desp[valor] *
  (desp[nucleo]=$B108) *
  (desp[centro.negocio]=$B$94) *
  (desp[data.pagamento]&gt;=L$1) *
  (desp[data.pagamento]&lt;EOMONTH(L$1,0)+1)
)</f>
        <v>0</v>
      </c>
      <c r="M108" s="251" cm="1">
        <f t="array" ref="M108">-SUMPRODUCT(
  desp[valor] *
  (desp[nucleo]=$B108) *
  (desp[centro.negocio]=$B$94) *
  (desp[data.pagamento]&gt;=M$1) *
  (desp[data.pagamento]&lt;EOMONTH(M$1,0)+1)
)</f>
        <v>0</v>
      </c>
      <c r="N108" s="251" cm="1">
        <f t="array" ref="N108">-SUMPRODUCT(
  desp[valor] *
  (desp[nucleo]=$B108) *
  (desp[centro.negocio]=$B$94) *
  (desp[data.pagamento]&gt;=N$1) *
  (desp[data.pagamento]&lt;EOMONTH(N$1,0)+1)
)</f>
        <v>0</v>
      </c>
      <c r="O108" s="251" cm="1">
        <f t="array" ref="O108">-SUMPRODUCT(
  desp[valor] *
  (desp[nucleo]=$B108) *
  (desp[centro.negocio]=$B$94) *
  (desp[data.pagamento]&gt;=O$1) *
  (desp[data.pagamento]&lt;EOMONTH(O$1,0)+1)
)</f>
        <v>0</v>
      </c>
      <c r="P108" s="251" cm="1">
        <f t="array" ref="P108">-SUMPRODUCT(
  desp[valor] *
  (desp[nucleo]=$B108) *
  (desp[centro.negocio]=$B$94) *
  (desp[data.pagamento]&gt;=P$1) *
  (desp[data.pagamento]&lt;EOMONTH(P$1,0)+1)
)</f>
        <v>0</v>
      </c>
      <c r="Q108" s="251" cm="1">
        <f t="array" ref="Q108">-SUMPRODUCT(
  desp[valor] *
  (desp[nucleo]=$B108) *
  (desp[centro.negocio]=$B$94) *
  (desp[data.pagamento]&gt;=Q$1) *
  (desp[data.pagamento]&lt;EOMONTH(Q$1,0)+1)
)</f>
        <v>0</v>
      </c>
      <c r="S108" s="243">
        <f t="shared" ref="S108" si="32">SUM(D108:Q108)</f>
        <v>0</v>
      </c>
    </row>
    <row r="109" spans="1:19" outlineLevel="2" x14ac:dyDescent="0.25">
      <c r="A109" s="250" t="s">
        <v>673</v>
      </c>
      <c r="B109" s="250" t="s">
        <v>592</v>
      </c>
      <c r="C109" s="197" t="s">
        <v>556</v>
      </c>
      <c r="D109" s="251" cm="1">
        <f t="array" ref="D109">-SUMPRODUCT(
  desp[valor] *
  (desp[nucleo]=$B109) *
  (desp[centro.negocio]=$B$94) *
  (desp[data.pagamento]&gt;=D$1) *
  (desp[data.pagamento]&lt;EOMONTH(D$1,0)+1)
)</f>
        <v>0</v>
      </c>
      <c r="E109" s="251" cm="1">
        <f t="array" ref="E109">-SUMPRODUCT(
  desp[valor] *
  (desp[nucleo]=$B109) *
  (desp[centro.negocio]=$B$94) *
  (desp[data.pagamento]&gt;=E$1) *
  (desp[data.pagamento]&lt;EOMONTH(E$1,0)+1)
)</f>
        <v>0</v>
      </c>
      <c r="F109" s="251" cm="1">
        <f t="array" ref="F109">-SUMPRODUCT(
  desp[valor] *
  (desp[nucleo]=$B109) *
  (desp[centro.negocio]=$B$94) *
  (desp[data.pagamento]&gt;=F$1) *
  (desp[data.pagamento]&lt;EOMONTH(F$1,0)+1)
)</f>
        <v>0</v>
      </c>
      <c r="G109" s="251" cm="1">
        <f t="array" ref="G109">-SUMPRODUCT(
  desp[valor] *
  (desp[nucleo]=$B109) *
  (desp[centro.negocio]=$B$94) *
  (desp[data.pagamento]&gt;=G$1) *
  (desp[data.pagamento]&lt;EOMONTH(G$1,0)+1)
)</f>
        <v>0</v>
      </c>
      <c r="H109" s="251" cm="1">
        <f t="array" ref="H109">-SUMPRODUCT(
  desp[valor] *
  (desp[nucleo]=$B109) *
  (desp[centro.negocio]=$B$94) *
  (desp[data.pagamento]&gt;=H$1) *
  (desp[data.pagamento]&lt;EOMONTH(H$1,0)+1)
)</f>
        <v>0</v>
      </c>
      <c r="I109" s="251" cm="1">
        <f t="array" ref="I109">-SUMPRODUCT(
  desp[valor] *
  (desp[nucleo]=$B109) *
  (desp[centro.negocio]=$B$94) *
  (desp[data.pagamento]&gt;=I$1) *
  (desp[data.pagamento]&lt;EOMONTH(I$1,0)+1)
)</f>
        <v>0</v>
      </c>
      <c r="J109" s="251" cm="1">
        <f t="array" ref="J109">-SUMPRODUCT(
  desp[valor] *
  (desp[nucleo]=$B109) *
  (desp[centro.negocio]=$B$94) *
  (desp[data.pagamento]&gt;=J$1) *
  (desp[data.pagamento]&lt;EOMONTH(J$1,0)+1)
)</f>
        <v>0</v>
      </c>
      <c r="K109" s="251" cm="1">
        <f t="array" ref="K109">-SUMPRODUCT(
  desp[valor] *
  (desp[nucleo]=$B109) *
  (desp[centro.negocio]=$B$94) *
  (desp[data.pagamento]&gt;=K$1) *
  (desp[data.pagamento]&lt;EOMONTH(K$1,0)+1)
)</f>
        <v>0</v>
      </c>
      <c r="L109" s="251" cm="1">
        <f t="array" ref="L109">-SUMPRODUCT(
  desp[valor] *
  (desp[nucleo]=$B109) *
  (desp[centro.negocio]=$B$94) *
  (desp[data.pagamento]&gt;=L$1) *
  (desp[data.pagamento]&lt;EOMONTH(L$1,0)+1)
)</f>
        <v>0</v>
      </c>
      <c r="M109" s="251" cm="1">
        <f t="array" ref="M109">-SUMPRODUCT(
  desp[valor] *
  (desp[nucleo]=$B109) *
  (desp[centro.negocio]=$B$94) *
  (desp[data.pagamento]&gt;=M$1) *
  (desp[data.pagamento]&lt;EOMONTH(M$1,0)+1)
)</f>
        <v>0</v>
      </c>
      <c r="N109" s="251" cm="1">
        <f t="array" ref="N109">-SUMPRODUCT(
  desp[valor] *
  (desp[nucleo]=$B109) *
  (desp[centro.negocio]=$B$94) *
  (desp[data.pagamento]&gt;=N$1) *
  (desp[data.pagamento]&lt;EOMONTH(N$1,0)+1)
)</f>
        <v>0</v>
      </c>
      <c r="O109" s="251" cm="1">
        <f t="array" ref="O109">-SUMPRODUCT(
  desp[valor] *
  (desp[nucleo]=$B109) *
  (desp[centro.negocio]=$B$94) *
  (desp[data.pagamento]&gt;=O$1) *
  (desp[data.pagamento]&lt;EOMONTH(O$1,0)+1)
)</f>
        <v>0</v>
      </c>
      <c r="P109" s="251" cm="1">
        <f t="array" ref="P109">-SUMPRODUCT(
  desp[valor] *
  (desp[nucleo]=$B109) *
  (desp[centro.negocio]=$B$94) *
  (desp[data.pagamento]&gt;=P$1) *
  (desp[data.pagamento]&lt;EOMONTH(P$1,0)+1)
)</f>
        <v>0</v>
      </c>
      <c r="Q109" s="251" cm="1">
        <f t="array" ref="Q109">-SUMPRODUCT(
  desp[valor] *
  (desp[nucleo]=$B109) *
  (desp[centro.negocio]=$B$94) *
  (desp[data.pagamento]&gt;=Q$1) *
  (desp[data.pagamento]&lt;EOMONTH(Q$1,0)+1)
)</f>
        <v>0</v>
      </c>
      <c r="S109" s="243">
        <f>SUM(D109:Q109)</f>
        <v>0</v>
      </c>
    </row>
    <row r="110" spans="1:19" outlineLevel="2" x14ac:dyDescent="0.25">
      <c r="A110" s="250" t="s">
        <v>674</v>
      </c>
      <c r="B110" s="250" t="s">
        <v>675</v>
      </c>
      <c r="C110" s="197" t="s">
        <v>556</v>
      </c>
      <c r="D110" s="251" cm="1">
        <f t="array" ref="D110">-SUMPRODUCT(
  desp[valor] *
  (desp[nucleo]=$B110) *
  (desp[centro.negocio]=$B$94) *
  (desp[data.pagamento]&gt;=D$1) *
  (desp[data.pagamento]&lt;EOMONTH(D$1,0)+1)
)</f>
        <v>0</v>
      </c>
      <c r="E110" s="251" cm="1">
        <f t="array" ref="E110">-SUMPRODUCT(
  desp[valor] *
  (desp[nucleo]=$B110) *
  (desp[centro.negocio]=$B$94) *
  (desp[data.pagamento]&gt;=E$1) *
  (desp[data.pagamento]&lt;EOMONTH(E$1,0)+1)
)</f>
        <v>0</v>
      </c>
      <c r="F110" s="251" cm="1">
        <f t="array" ref="F110">-SUMPRODUCT(
  desp[valor] *
  (desp[nucleo]=$B110) *
  (desp[centro.negocio]=$B$94) *
  (desp[data.pagamento]&gt;=F$1) *
  (desp[data.pagamento]&lt;EOMONTH(F$1,0)+1)
)</f>
        <v>0</v>
      </c>
      <c r="G110" s="251" cm="1">
        <f t="array" ref="G110">-SUMPRODUCT(
  desp[valor] *
  (desp[nucleo]=$B110) *
  (desp[centro.negocio]=$B$94) *
  (desp[data.pagamento]&gt;=G$1) *
  (desp[data.pagamento]&lt;EOMONTH(G$1,0)+1)
)</f>
        <v>0</v>
      </c>
      <c r="H110" s="251" cm="1">
        <f t="array" ref="H110">-SUMPRODUCT(
  desp[valor] *
  (desp[nucleo]=$B110) *
  (desp[centro.negocio]=$B$94) *
  (desp[data.pagamento]&gt;=H$1) *
  (desp[data.pagamento]&lt;EOMONTH(H$1,0)+1)
)</f>
        <v>0</v>
      </c>
      <c r="I110" s="251" cm="1">
        <f t="array" ref="I110">-SUMPRODUCT(
  desp[valor] *
  (desp[nucleo]=$B110) *
  (desp[centro.negocio]=$B$94) *
  (desp[data.pagamento]&gt;=I$1) *
  (desp[data.pagamento]&lt;EOMONTH(I$1,0)+1)
)</f>
        <v>0</v>
      </c>
      <c r="J110" s="251" cm="1">
        <f t="array" ref="J110">-SUMPRODUCT(
  desp[valor] *
  (desp[nucleo]=$B110) *
  (desp[centro.negocio]=$B$94) *
  (desp[data.pagamento]&gt;=J$1) *
  (desp[data.pagamento]&lt;EOMONTH(J$1,0)+1)
)</f>
        <v>0</v>
      </c>
      <c r="K110" s="251" cm="1">
        <f t="array" ref="K110">-SUMPRODUCT(
  desp[valor] *
  (desp[nucleo]=$B110) *
  (desp[centro.negocio]=$B$94) *
  (desp[data.pagamento]&gt;=K$1) *
  (desp[data.pagamento]&lt;EOMONTH(K$1,0)+1)
)</f>
        <v>0</v>
      </c>
      <c r="L110" s="251" cm="1">
        <f t="array" ref="L110">-SUMPRODUCT(
  desp[valor] *
  (desp[nucleo]=$B110) *
  (desp[centro.negocio]=$B$94) *
  (desp[data.pagamento]&gt;=L$1) *
  (desp[data.pagamento]&lt;EOMONTH(L$1,0)+1)
)</f>
        <v>0</v>
      </c>
      <c r="M110" s="251" cm="1">
        <f t="array" ref="M110">-SUMPRODUCT(
  desp[valor] *
  (desp[nucleo]=$B110) *
  (desp[centro.negocio]=$B$94) *
  (desp[data.pagamento]&gt;=M$1) *
  (desp[data.pagamento]&lt;EOMONTH(M$1,0)+1)
)</f>
        <v>0</v>
      </c>
      <c r="N110" s="251" cm="1">
        <f t="array" ref="N110">-SUMPRODUCT(
  desp[valor] *
  (desp[nucleo]=$B110) *
  (desp[centro.negocio]=$B$94) *
  (desp[data.pagamento]&gt;=N$1) *
  (desp[data.pagamento]&lt;EOMONTH(N$1,0)+1)
)</f>
        <v>0</v>
      </c>
      <c r="O110" s="251" cm="1">
        <f t="array" ref="O110">-SUMPRODUCT(
  desp[valor] *
  (desp[nucleo]=$B110) *
  (desp[centro.negocio]=$B$94) *
  (desp[data.pagamento]&gt;=O$1) *
  (desp[data.pagamento]&lt;EOMONTH(O$1,0)+1)
)</f>
        <v>0</v>
      </c>
      <c r="P110" s="251" cm="1">
        <f t="array" ref="P110">-SUMPRODUCT(
  desp[valor] *
  (desp[nucleo]=$B110) *
  (desp[centro.negocio]=$B$94) *
  (desp[data.pagamento]&gt;=P$1) *
  (desp[data.pagamento]&lt;EOMONTH(P$1,0)+1)
)</f>
        <v>0</v>
      </c>
      <c r="Q110" s="251" cm="1">
        <f t="array" ref="Q110">-SUMPRODUCT(
  desp[valor] *
  (desp[nucleo]=$B110) *
  (desp[centro.negocio]=$B$94) *
  (desp[data.pagamento]&gt;=Q$1) *
  (desp[data.pagamento]&lt;EOMONTH(Q$1,0)+1)
)</f>
        <v>0</v>
      </c>
      <c r="S110" s="243">
        <f>SUM(D110:Q110)</f>
        <v>0</v>
      </c>
    </row>
    <row r="111" spans="1:19" outlineLevel="2" x14ac:dyDescent="0.25">
      <c r="A111" s="250" t="s">
        <v>676</v>
      </c>
      <c r="B111" s="250" t="s">
        <v>613</v>
      </c>
      <c r="C111" s="197" t="s">
        <v>556</v>
      </c>
      <c r="D111" s="251" cm="1">
        <f t="array" ref="D111">-SUMPRODUCT(
  desp[valor] *
  (desp[nucleo]=$B111) *
  (desp[centro.negocio]=$B$94) *
  (desp[data.pagamento]&gt;=D$1) *
  (desp[data.pagamento]&lt;EOMONTH(D$1,0)+1)
)</f>
        <v>0</v>
      </c>
      <c r="E111" s="251" cm="1">
        <f t="array" ref="E111">-SUMPRODUCT(
  desp[valor] *
  (desp[nucleo]=$B111) *
  (desp[centro.negocio]=$B$94) *
  (desp[data.pagamento]&gt;=E$1) *
  (desp[data.pagamento]&lt;EOMONTH(E$1,0)+1)
)</f>
        <v>0</v>
      </c>
      <c r="F111" s="251" cm="1">
        <f t="array" ref="F111">-SUMPRODUCT(
  desp[valor] *
  (desp[nucleo]=$B111) *
  (desp[centro.negocio]=$B$94) *
  (desp[data.pagamento]&gt;=F$1) *
  (desp[data.pagamento]&lt;EOMONTH(F$1,0)+1)
)</f>
        <v>0</v>
      </c>
      <c r="G111" s="251" cm="1">
        <f t="array" ref="G111">-SUMPRODUCT(
  desp[valor] *
  (desp[nucleo]=$B111) *
  (desp[centro.negocio]=$B$94) *
  (desp[data.pagamento]&gt;=G$1) *
  (desp[data.pagamento]&lt;EOMONTH(G$1,0)+1)
)</f>
        <v>0</v>
      </c>
      <c r="H111" s="251" cm="1">
        <f t="array" ref="H111">-SUMPRODUCT(
  desp[valor] *
  (desp[nucleo]=$B111) *
  (desp[centro.negocio]=$B$94) *
  (desp[data.pagamento]&gt;=H$1) *
  (desp[data.pagamento]&lt;EOMONTH(H$1,0)+1)
)</f>
        <v>0</v>
      </c>
      <c r="I111" s="251" cm="1">
        <f t="array" ref="I111">-SUMPRODUCT(
  desp[valor] *
  (desp[nucleo]=$B111) *
  (desp[centro.negocio]=$B$94) *
  (desp[data.pagamento]&gt;=I$1) *
  (desp[data.pagamento]&lt;EOMONTH(I$1,0)+1)
)</f>
        <v>0</v>
      </c>
      <c r="J111" s="251" cm="1">
        <f t="array" ref="J111">-SUMPRODUCT(
  desp[valor] *
  (desp[nucleo]=$B111) *
  (desp[centro.negocio]=$B$94) *
  (desp[data.pagamento]&gt;=J$1) *
  (desp[data.pagamento]&lt;EOMONTH(J$1,0)+1)
)</f>
        <v>0</v>
      </c>
      <c r="K111" s="251" cm="1">
        <f t="array" ref="K111">-SUMPRODUCT(
  desp[valor] *
  (desp[nucleo]=$B111) *
  (desp[centro.negocio]=$B$94) *
  (desp[data.pagamento]&gt;=K$1) *
  (desp[data.pagamento]&lt;EOMONTH(K$1,0)+1)
)</f>
        <v>0</v>
      </c>
      <c r="L111" s="251" cm="1">
        <f t="array" ref="L111">-SUMPRODUCT(
  desp[valor] *
  (desp[nucleo]=$B111) *
  (desp[centro.negocio]=$B$94) *
  (desp[data.pagamento]&gt;=L$1) *
  (desp[data.pagamento]&lt;EOMONTH(L$1,0)+1)
)</f>
        <v>0</v>
      </c>
      <c r="M111" s="251" cm="1">
        <f t="array" ref="M111">-SUMPRODUCT(
  desp[valor] *
  (desp[nucleo]=$B111) *
  (desp[centro.negocio]=$B$94) *
  (desp[data.pagamento]&gt;=M$1) *
  (desp[data.pagamento]&lt;EOMONTH(M$1,0)+1)
)</f>
        <v>0</v>
      </c>
      <c r="N111" s="251" cm="1">
        <f t="array" ref="N111">-SUMPRODUCT(
  desp[valor] *
  (desp[nucleo]=$B111) *
  (desp[centro.negocio]=$B$94) *
  (desp[data.pagamento]&gt;=N$1) *
  (desp[data.pagamento]&lt;EOMONTH(N$1,0)+1)
)</f>
        <v>0</v>
      </c>
      <c r="O111" s="251" cm="1">
        <f t="array" ref="O111">-SUMPRODUCT(
  desp[valor] *
  (desp[nucleo]=$B111) *
  (desp[centro.negocio]=$B$94) *
  (desp[data.pagamento]&gt;=O$1) *
  (desp[data.pagamento]&lt;EOMONTH(O$1,0)+1)
)</f>
        <v>0</v>
      </c>
      <c r="P111" s="251" cm="1">
        <f t="array" ref="P111">-SUMPRODUCT(
  desp[valor] *
  (desp[nucleo]=$B111) *
  (desp[centro.negocio]=$B$94) *
  (desp[data.pagamento]&gt;=P$1) *
  (desp[data.pagamento]&lt;EOMONTH(P$1,0)+1)
)</f>
        <v>0</v>
      </c>
      <c r="Q111" s="251" cm="1">
        <f t="array" ref="Q111">-SUMPRODUCT(
  desp[valor] *
  (desp[nucleo]=$B111) *
  (desp[centro.negocio]=$B$94) *
  (desp[data.pagamento]&gt;=Q$1) *
  (desp[data.pagamento]&lt;EOMONTH(Q$1,0)+1)
)</f>
        <v>0</v>
      </c>
      <c r="S111" s="243">
        <f>SUM(D111:Q111)</f>
        <v>0</v>
      </c>
    </row>
    <row r="112" spans="1:19" outlineLevel="2" x14ac:dyDescent="0.25">
      <c r="A112" s="250" t="s">
        <v>677</v>
      </c>
      <c r="B112" s="250" t="s">
        <v>678</v>
      </c>
      <c r="C112" s="197" t="s">
        <v>556</v>
      </c>
      <c r="D112" s="251" cm="1">
        <f t="array" ref="D112">-SUMPRODUCT(
  desp[valor] *
  (desp[nucleo]=$B112) *
  (desp[centro.negocio]=$B$94) *
  (desp[data.pagamento]&gt;=D$1) *
  (desp[data.pagamento]&lt;EOMONTH(D$1,0)+1)
)</f>
        <v>0</v>
      </c>
      <c r="E112" s="251" cm="1">
        <f t="array" ref="E112">-SUMPRODUCT(
  desp[valor] *
  (desp[nucleo]=$B112) *
  (desp[centro.negocio]=$B$94) *
  (desp[data.pagamento]&gt;=E$1) *
  (desp[data.pagamento]&lt;EOMONTH(E$1,0)+1)
)</f>
        <v>0</v>
      </c>
      <c r="F112" s="251" cm="1">
        <f t="array" ref="F112">-SUMPRODUCT(
  desp[valor] *
  (desp[nucleo]=$B112) *
  (desp[centro.negocio]=$B$94) *
  (desp[data.pagamento]&gt;=F$1) *
  (desp[data.pagamento]&lt;EOMONTH(F$1,0)+1)
)</f>
        <v>0</v>
      </c>
      <c r="G112" s="251" cm="1">
        <f t="array" ref="G112">-SUMPRODUCT(
  desp[valor] *
  (desp[nucleo]=$B112) *
  (desp[centro.negocio]=$B$94) *
  (desp[data.pagamento]&gt;=G$1) *
  (desp[data.pagamento]&lt;EOMONTH(G$1,0)+1)
)</f>
        <v>0</v>
      </c>
      <c r="H112" s="251" cm="1">
        <f t="array" ref="H112">-SUMPRODUCT(
  desp[valor] *
  (desp[nucleo]=$B112) *
  (desp[centro.negocio]=$B$94) *
  (desp[data.pagamento]&gt;=H$1) *
  (desp[data.pagamento]&lt;EOMONTH(H$1,0)+1)
)</f>
        <v>0</v>
      </c>
      <c r="I112" s="251" cm="1">
        <f t="array" ref="I112">-SUMPRODUCT(
  desp[valor] *
  (desp[nucleo]=$B112) *
  (desp[centro.negocio]=$B$94) *
  (desp[data.pagamento]&gt;=I$1) *
  (desp[data.pagamento]&lt;EOMONTH(I$1,0)+1)
)</f>
        <v>0</v>
      </c>
      <c r="J112" s="251" cm="1">
        <f t="array" ref="J112">-SUMPRODUCT(
  desp[valor] *
  (desp[nucleo]=$B112) *
  (desp[centro.negocio]=$B$94) *
  (desp[data.pagamento]&gt;=J$1) *
  (desp[data.pagamento]&lt;EOMONTH(J$1,0)+1)
)</f>
        <v>0</v>
      </c>
      <c r="K112" s="251" cm="1">
        <f t="array" ref="K112">-SUMPRODUCT(
  desp[valor] *
  (desp[nucleo]=$B112) *
  (desp[centro.negocio]=$B$94) *
  (desp[data.pagamento]&gt;=K$1) *
  (desp[data.pagamento]&lt;EOMONTH(K$1,0)+1)
)</f>
        <v>0</v>
      </c>
      <c r="L112" s="251" cm="1">
        <f t="array" ref="L112">-SUMPRODUCT(
  desp[valor] *
  (desp[nucleo]=$B112) *
  (desp[centro.negocio]=$B$94) *
  (desp[data.pagamento]&gt;=L$1) *
  (desp[data.pagamento]&lt;EOMONTH(L$1,0)+1)
)</f>
        <v>0</v>
      </c>
      <c r="M112" s="251" cm="1">
        <f t="array" ref="M112">-SUMPRODUCT(
  desp[valor] *
  (desp[nucleo]=$B112) *
  (desp[centro.negocio]=$B$94) *
  (desp[data.pagamento]&gt;=M$1) *
  (desp[data.pagamento]&lt;EOMONTH(M$1,0)+1)
)</f>
        <v>0</v>
      </c>
      <c r="N112" s="251" cm="1">
        <f t="array" ref="N112">-SUMPRODUCT(
  desp[valor] *
  (desp[nucleo]=$B112) *
  (desp[centro.negocio]=$B$94) *
  (desp[data.pagamento]&gt;=N$1) *
  (desp[data.pagamento]&lt;EOMONTH(N$1,0)+1)
)</f>
        <v>0</v>
      </c>
      <c r="O112" s="251" cm="1">
        <f t="array" ref="O112">-SUMPRODUCT(
  desp[valor] *
  (desp[nucleo]=$B112) *
  (desp[centro.negocio]=$B$94) *
  (desp[data.pagamento]&gt;=O$1) *
  (desp[data.pagamento]&lt;EOMONTH(O$1,0)+1)
)</f>
        <v>0</v>
      </c>
      <c r="P112" s="251" cm="1">
        <f t="array" ref="P112">-SUMPRODUCT(
  desp[valor] *
  (desp[nucleo]=$B112) *
  (desp[centro.negocio]=$B$94) *
  (desp[data.pagamento]&gt;=P$1) *
  (desp[data.pagamento]&lt;EOMONTH(P$1,0)+1)
)</f>
        <v>0</v>
      </c>
      <c r="Q112" s="251" cm="1">
        <f t="array" ref="Q112">-SUMPRODUCT(
  desp[valor] *
  (desp[nucleo]=$B112) *
  (desp[centro.negocio]=$B$94) *
  (desp[data.pagamento]&gt;=Q$1) *
  (desp[data.pagamento]&lt;EOMONTH(Q$1,0)+1)
)</f>
        <v>0</v>
      </c>
      <c r="S112" s="243">
        <f t="shared" ref="S112:S165" si="33">SUM(D112:Q112)</f>
        <v>0</v>
      </c>
    </row>
    <row r="113" spans="1:19" outlineLevel="2" x14ac:dyDescent="0.25">
      <c r="A113" s="250" t="s">
        <v>679</v>
      </c>
      <c r="B113" s="250" t="s">
        <v>680</v>
      </c>
      <c r="C113" s="197" t="s">
        <v>556</v>
      </c>
      <c r="D113" s="251" cm="1">
        <f t="array" ref="D113">-SUMPRODUCT(
  desp[valor] *
  (desp[nucleo]=$B113) *
  (desp[centro.negocio]=$B$94) *
  (desp[data.pagamento]&gt;=D$1) *
  (desp[data.pagamento]&lt;EOMONTH(D$1,0)+1)
)</f>
        <v>0</v>
      </c>
      <c r="E113" s="251" cm="1">
        <f t="array" ref="E113">-SUMPRODUCT(
  desp[valor] *
  (desp[nucleo]=$B113) *
  (desp[centro.negocio]=$B$94) *
  (desp[data.pagamento]&gt;=E$1) *
  (desp[data.pagamento]&lt;EOMONTH(E$1,0)+1)
)</f>
        <v>0</v>
      </c>
      <c r="F113" s="251" cm="1">
        <f t="array" ref="F113">-SUMPRODUCT(
  desp[valor] *
  (desp[nucleo]=$B113) *
  (desp[centro.negocio]=$B$94) *
  (desp[data.pagamento]&gt;=F$1) *
  (desp[data.pagamento]&lt;EOMONTH(F$1,0)+1)
)</f>
        <v>0</v>
      </c>
      <c r="G113" s="251" cm="1">
        <f t="array" ref="G113">-SUMPRODUCT(
  desp[valor] *
  (desp[nucleo]=$B113) *
  (desp[centro.negocio]=$B$94) *
  (desp[data.pagamento]&gt;=G$1) *
  (desp[data.pagamento]&lt;EOMONTH(G$1,0)+1)
)</f>
        <v>0</v>
      </c>
      <c r="H113" s="251" cm="1">
        <f t="array" ref="H113">-SUMPRODUCT(
  desp[valor] *
  (desp[nucleo]=$B113) *
  (desp[centro.negocio]=$B$94) *
  (desp[data.pagamento]&gt;=H$1) *
  (desp[data.pagamento]&lt;EOMONTH(H$1,0)+1)
)</f>
        <v>0</v>
      </c>
      <c r="I113" s="251" cm="1">
        <f t="array" ref="I113">-SUMPRODUCT(
  desp[valor] *
  (desp[nucleo]=$B113) *
  (desp[centro.negocio]=$B$94) *
  (desp[data.pagamento]&gt;=I$1) *
  (desp[data.pagamento]&lt;EOMONTH(I$1,0)+1)
)</f>
        <v>0</v>
      </c>
      <c r="J113" s="251" cm="1">
        <f t="array" ref="J113">-SUMPRODUCT(
  desp[valor] *
  (desp[nucleo]=$B113) *
  (desp[centro.negocio]=$B$94) *
  (desp[data.pagamento]&gt;=J$1) *
  (desp[data.pagamento]&lt;EOMONTH(J$1,0)+1)
)</f>
        <v>0</v>
      </c>
      <c r="K113" s="251" cm="1">
        <f t="array" ref="K113">-SUMPRODUCT(
  desp[valor] *
  (desp[nucleo]=$B113) *
  (desp[centro.negocio]=$B$94) *
  (desp[data.pagamento]&gt;=K$1) *
  (desp[data.pagamento]&lt;EOMONTH(K$1,0)+1)
)</f>
        <v>0</v>
      </c>
      <c r="L113" s="251" cm="1">
        <f t="array" ref="L113">-SUMPRODUCT(
  desp[valor] *
  (desp[nucleo]=$B113) *
  (desp[centro.negocio]=$B$94) *
  (desp[data.pagamento]&gt;=L$1) *
  (desp[data.pagamento]&lt;EOMONTH(L$1,0)+1)
)</f>
        <v>0</v>
      </c>
      <c r="M113" s="251" cm="1">
        <f t="array" ref="M113">-SUMPRODUCT(
  desp[valor] *
  (desp[nucleo]=$B113) *
  (desp[centro.negocio]=$B$94) *
  (desp[data.pagamento]&gt;=M$1) *
  (desp[data.pagamento]&lt;EOMONTH(M$1,0)+1)
)</f>
        <v>0</v>
      </c>
      <c r="N113" s="251" cm="1">
        <f t="array" ref="N113">-SUMPRODUCT(
  desp[valor] *
  (desp[nucleo]=$B113) *
  (desp[centro.negocio]=$B$94) *
  (desp[data.pagamento]&gt;=N$1) *
  (desp[data.pagamento]&lt;EOMONTH(N$1,0)+1)
)</f>
        <v>0</v>
      </c>
      <c r="O113" s="251" cm="1">
        <f t="array" ref="O113">-SUMPRODUCT(
  desp[valor] *
  (desp[nucleo]=$B113) *
  (desp[centro.negocio]=$B$94) *
  (desp[data.pagamento]&gt;=O$1) *
  (desp[data.pagamento]&lt;EOMONTH(O$1,0)+1)
)</f>
        <v>0</v>
      </c>
      <c r="P113" s="251" cm="1">
        <f t="array" ref="P113">-SUMPRODUCT(
  desp[valor] *
  (desp[nucleo]=$B113) *
  (desp[centro.negocio]=$B$94) *
  (desp[data.pagamento]&gt;=P$1) *
  (desp[data.pagamento]&lt;EOMONTH(P$1,0)+1)
)</f>
        <v>0</v>
      </c>
      <c r="Q113" s="251" cm="1">
        <f t="array" ref="Q113">-SUMPRODUCT(
  desp[valor] *
  (desp[nucleo]=$B113) *
  (desp[centro.negocio]=$B$94) *
  (desp[data.pagamento]&gt;=Q$1) *
  (desp[data.pagamento]&lt;EOMONTH(Q$1,0)+1)
)</f>
        <v>0</v>
      </c>
      <c r="S113" s="243">
        <f t="shared" si="33"/>
        <v>0</v>
      </c>
    </row>
    <row r="114" spans="1:19" outlineLevel="2" x14ac:dyDescent="0.25">
      <c r="A114" s="256" t="s">
        <v>681</v>
      </c>
      <c r="B114" s="250" t="s">
        <v>682</v>
      </c>
      <c r="C114" s="197" t="s">
        <v>556</v>
      </c>
      <c r="D114" s="251" cm="1">
        <f t="array" ref="D114">-SUMPRODUCT(
  desp[valor] *
  (desp[nucleo]=$B114) *
  (desp[centro.negocio]=$B$94) *
  (desp[data.pagamento]&gt;=D$1) *
  (desp[data.pagamento]&lt;EOMONTH(D$1,0)+1)
)</f>
        <v>0</v>
      </c>
      <c r="E114" s="251" cm="1">
        <f t="array" ref="E114">-SUMPRODUCT(
  desp[valor] *
  (desp[nucleo]=$B114) *
  (desp[centro.negocio]=$B$94) *
  (desp[data.pagamento]&gt;=E$1) *
  (desp[data.pagamento]&lt;EOMONTH(E$1,0)+1)
)</f>
        <v>0</v>
      </c>
      <c r="F114" s="251" cm="1">
        <f t="array" ref="F114">-SUMPRODUCT(
  desp[valor] *
  (desp[nucleo]=$B114) *
  (desp[centro.negocio]=$B$94) *
  (desp[data.pagamento]&gt;=F$1) *
  (desp[data.pagamento]&lt;EOMONTH(F$1,0)+1)
)</f>
        <v>0</v>
      </c>
      <c r="G114" s="251" cm="1">
        <f t="array" ref="G114">-SUMPRODUCT(
  desp[valor] *
  (desp[nucleo]=$B114) *
  (desp[centro.negocio]=$B$94) *
  (desp[data.pagamento]&gt;=G$1) *
  (desp[data.pagamento]&lt;EOMONTH(G$1,0)+1)
)</f>
        <v>0</v>
      </c>
      <c r="H114" s="251" cm="1">
        <f t="array" ref="H114">-SUMPRODUCT(
  desp[valor] *
  (desp[nucleo]=$B114) *
  (desp[centro.negocio]=$B$94) *
  (desp[data.pagamento]&gt;=H$1) *
  (desp[data.pagamento]&lt;EOMONTH(H$1,0)+1)
)</f>
        <v>0</v>
      </c>
      <c r="I114" s="251" cm="1">
        <f t="array" ref="I114">-SUMPRODUCT(
  desp[valor] *
  (desp[nucleo]=$B114) *
  (desp[centro.negocio]=$B$94) *
  (desp[data.pagamento]&gt;=I$1) *
  (desp[data.pagamento]&lt;EOMONTH(I$1,0)+1)
)</f>
        <v>0</v>
      </c>
      <c r="J114" s="251" cm="1">
        <f t="array" ref="J114">-SUMPRODUCT(
  desp[valor] *
  (desp[nucleo]=$B114) *
  (desp[centro.negocio]=$B$94) *
  (desp[data.pagamento]&gt;=J$1) *
  (desp[data.pagamento]&lt;EOMONTH(J$1,0)+1)
)</f>
        <v>0</v>
      </c>
      <c r="K114" s="251" cm="1">
        <f t="array" ref="K114">-SUMPRODUCT(
  desp[valor] *
  (desp[nucleo]=$B114) *
  (desp[centro.negocio]=$B$94) *
  (desp[data.pagamento]&gt;=K$1) *
  (desp[data.pagamento]&lt;EOMONTH(K$1,0)+1)
)</f>
        <v>0</v>
      </c>
      <c r="L114" s="251" cm="1">
        <f t="array" ref="L114">-SUMPRODUCT(
  desp[valor] *
  (desp[nucleo]=$B114) *
  (desp[centro.negocio]=$B$94) *
  (desp[data.pagamento]&gt;=L$1) *
  (desp[data.pagamento]&lt;EOMONTH(L$1,0)+1)
)</f>
        <v>0</v>
      </c>
      <c r="M114" s="251" cm="1">
        <f t="array" ref="M114">-SUMPRODUCT(
  desp[valor] *
  (desp[nucleo]=$B114) *
  (desp[centro.negocio]=$B$94) *
  (desp[data.pagamento]&gt;=M$1) *
  (desp[data.pagamento]&lt;EOMONTH(M$1,0)+1)
)</f>
        <v>0</v>
      </c>
      <c r="N114" s="251" cm="1">
        <f t="array" ref="N114">-SUMPRODUCT(
  desp[valor] *
  (desp[nucleo]=$B114) *
  (desp[centro.negocio]=$B$94) *
  (desp[data.pagamento]&gt;=N$1) *
  (desp[data.pagamento]&lt;EOMONTH(N$1,0)+1)
)</f>
        <v>0</v>
      </c>
      <c r="O114" s="251" cm="1">
        <f t="array" ref="O114">-SUMPRODUCT(
  desp[valor] *
  (desp[nucleo]=$B114) *
  (desp[centro.negocio]=$B$94) *
  (desp[data.pagamento]&gt;=O$1) *
  (desp[data.pagamento]&lt;EOMONTH(O$1,0)+1)
)</f>
        <v>0</v>
      </c>
      <c r="P114" s="251" cm="1">
        <f t="array" ref="P114">-SUMPRODUCT(
  desp[valor] *
  (desp[nucleo]=$B114) *
  (desp[centro.negocio]=$B$94) *
  (desp[data.pagamento]&gt;=P$1) *
  (desp[data.pagamento]&lt;EOMONTH(P$1,0)+1)
)</f>
        <v>0</v>
      </c>
      <c r="Q114" s="251" cm="1">
        <f t="array" ref="Q114">-SUMPRODUCT(
  desp[valor] *
  (desp[nucleo]=$B114) *
  (desp[centro.negocio]=$B$94) *
  (desp[data.pagamento]&gt;=Q$1) *
  (desp[data.pagamento]&lt;EOMONTH(Q$1,0)+1)
)</f>
        <v>0</v>
      </c>
      <c r="S114" s="243">
        <f t="shared" si="33"/>
        <v>0</v>
      </c>
    </row>
    <row r="115" spans="1:19" outlineLevel="2" x14ac:dyDescent="0.25">
      <c r="A115" s="250" t="s">
        <v>683</v>
      </c>
      <c r="B115" s="250" t="s">
        <v>684</v>
      </c>
      <c r="C115" s="197" t="s">
        <v>556</v>
      </c>
      <c r="D115" s="251" cm="1">
        <f t="array" ref="D115">-SUMPRODUCT(
  desp[valor] *
  (desp[nucleo]=$B115) *
  (desp[centro.negocio]=$B$94) *
  (desp[data.pagamento]&gt;=D$1) *
  (desp[data.pagamento]&lt;EOMONTH(D$1,0)+1)
)</f>
        <v>0</v>
      </c>
      <c r="E115" s="251" cm="1">
        <f t="array" ref="E115">-SUMPRODUCT(
  desp[valor] *
  (desp[nucleo]=$B115) *
  (desp[centro.negocio]=$B$94) *
  (desp[data.pagamento]&gt;=E$1) *
  (desp[data.pagamento]&lt;EOMONTH(E$1,0)+1)
)</f>
        <v>0</v>
      </c>
      <c r="F115" s="251" cm="1">
        <f t="array" ref="F115">-SUMPRODUCT(
  desp[valor] *
  (desp[nucleo]=$B115) *
  (desp[centro.negocio]=$B$94) *
  (desp[data.pagamento]&gt;=F$1) *
  (desp[data.pagamento]&lt;EOMONTH(F$1,0)+1)
)</f>
        <v>0</v>
      </c>
      <c r="G115" s="251" cm="1">
        <f t="array" ref="G115">-SUMPRODUCT(
  desp[valor] *
  (desp[nucleo]=$B115) *
  (desp[centro.negocio]=$B$94) *
  (desp[data.pagamento]&gt;=G$1) *
  (desp[data.pagamento]&lt;EOMONTH(G$1,0)+1)
)</f>
        <v>0</v>
      </c>
      <c r="H115" s="251" cm="1">
        <f t="array" ref="H115">-SUMPRODUCT(
  desp[valor] *
  (desp[nucleo]=$B115) *
  (desp[centro.negocio]=$B$94) *
  (desp[data.pagamento]&gt;=H$1) *
  (desp[data.pagamento]&lt;EOMONTH(H$1,0)+1)
)</f>
        <v>0</v>
      </c>
      <c r="I115" s="251" cm="1">
        <f t="array" ref="I115">-SUMPRODUCT(
  desp[valor] *
  (desp[nucleo]=$B115) *
  (desp[centro.negocio]=$B$94) *
  (desp[data.pagamento]&gt;=I$1) *
  (desp[data.pagamento]&lt;EOMONTH(I$1,0)+1)
)</f>
        <v>0</v>
      </c>
      <c r="J115" s="251" cm="1">
        <f t="array" ref="J115">-SUMPRODUCT(
  desp[valor] *
  (desp[nucleo]=$B115) *
  (desp[centro.negocio]=$B$94) *
  (desp[data.pagamento]&gt;=J$1) *
  (desp[data.pagamento]&lt;EOMONTH(J$1,0)+1)
)</f>
        <v>0</v>
      </c>
      <c r="K115" s="251" cm="1">
        <f t="array" ref="K115">-SUMPRODUCT(
  desp[valor] *
  (desp[nucleo]=$B115) *
  (desp[centro.negocio]=$B$94) *
  (desp[data.pagamento]&gt;=K$1) *
  (desp[data.pagamento]&lt;EOMONTH(K$1,0)+1)
)</f>
        <v>0</v>
      </c>
      <c r="L115" s="251" cm="1">
        <f t="array" ref="L115">-SUMPRODUCT(
  desp[valor] *
  (desp[nucleo]=$B115) *
  (desp[centro.negocio]=$B$94) *
  (desp[data.pagamento]&gt;=L$1) *
  (desp[data.pagamento]&lt;EOMONTH(L$1,0)+1)
)</f>
        <v>0</v>
      </c>
      <c r="M115" s="251" cm="1">
        <f t="array" ref="M115">-SUMPRODUCT(
  desp[valor] *
  (desp[nucleo]=$B115) *
  (desp[centro.negocio]=$B$94) *
  (desp[data.pagamento]&gt;=M$1) *
  (desp[data.pagamento]&lt;EOMONTH(M$1,0)+1)
)</f>
        <v>0</v>
      </c>
      <c r="N115" s="251" cm="1">
        <f t="array" ref="N115">-SUMPRODUCT(
  desp[valor] *
  (desp[nucleo]=$B115) *
  (desp[centro.negocio]=$B$94) *
  (desp[data.pagamento]&gt;=N$1) *
  (desp[data.pagamento]&lt;EOMONTH(N$1,0)+1)
)</f>
        <v>0</v>
      </c>
      <c r="O115" s="251" cm="1">
        <f t="array" ref="O115">-SUMPRODUCT(
  desp[valor] *
  (desp[nucleo]=$B115) *
  (desp[centro.negocio]=$B$94) *
  (desp[data.pagamento]&gt;=O$1) *
  (desp[data.pagamento]&lt;EOMONTH(O$1,0)+1)
)</f>
        <v>0</v>
      </c>
      <c r="P115" s="251" cm="1">
        <f t="array" ref="P115">-SUMPRODUCT(
  desp[valor] *
  (desp[nucleo]=$B115) *
  (desp[centro.negocio]=$B$94) *
  (desp[data.pagamento]&gt;=P$1) *
  (desp[data.pagamento]&lt;EOMONTH(P$1,0)+1)
)</f>
        <v>0</v>
      </c>
      <c r="Q115" s="251" cm="1">
        <f t="array" ref="Q115">-SUMPRODUCT(
  desp[valor] *
  (desp[nucleo]=$B115) *
  (desp[centro.negocio]=$B$94) *
  (desp[data.pagamento]&gt;=Q$1) *
  (desp[data.pagamento]&lt;EOMONTH(Q$1,0)+1)
)</f>
        <v>0</v>
      </c>
      <c r="S115" s="243">
        <f t="shared" si="33"/>
        <v>0</v>
      </c>
    </row>
    <row r="116" spans="1:19" outlineLevel="2" x14ac:dyDescent="0.25">
      <c r="A116" s="250" t="s">
        <v>685</v>
      </c>
      <c r="B116" s="250" t="s">
        <v>686</v>
      </c>
      <c r="C116" s="197" t="s">
        <v>556</v>
      </c>
      <c r="D116" s="251" cm="1">
        <f t="array" ref="D116">-SUMPRODUCT(
  desp[valor] *
  (desp[nucleo]=$B116) *
  (desp[centro.negocio]=$B$94) *
  (desp[data.pagamento]&gt;=D$1) *
  (desp[data.pagamento]&lt;EOMONTH(D$1,0)+1)
)</f>
        <v>0</v>
      </c>
      <c r="E116" s="251" cm="1">
        <f t="array" ref="E116">-SUMPRODUCT(
  desp[valor] *
  (desp[nucleo]=$B116) *
  (desp[centro.negocio]=$B$94) *
  (desp[data.pagamento]&gt;=E$1) *
  (desp[data.pagamento]&lt;EOMONTH(E$1,0)+1)
)</f>
        <v>0</v>
      </c>
      <c r="F116" s="251" cm="1">
        <f t="array" ref="F116">-SUMPRODUCT(
  desp[valor] *
  (desp[nucleo]=$B116) *
  (desp[centro.negocio]=$B$94) *
  (desp[data.pagamento]&gt;=F$1) *
  (desp[data.pagamento]&lt;EOMONTH(F$1,0)+1)
)</f>
        <v>0</v>
      </c>
      <c r="G116" s="251" cm="1">
        <f t="array" ref="G116">-SUMPRODUCT(
  desp[valor] *
  (desp[nucleo]=$B116) *
  (desp[centro.negocio]=$B$94) *
  (desp[data.pagamento]&gt;=G$1) *
  (desp[data.pagamento]&lt;EOMONTH(G$1,0)+1)
)</f>
        <v>0</v>
      </c>
      <c r="H116" s="251" cm="1">
        <f t="array" ref="H116">-SUMPRODUCT(
  desp[valor] *
  (desp[nucleo]=$B116) *
  (desp[centro.negocio]=$B$94) *
  (desp[data.pagamento]&gt;=H$1) *
  (desp[data.pagamento]&lt;EOMONTH(H$1,0)+1)
)</f>
        <v>0</v>
      </c>
      <c r="I116" s="251" cm="1">
        <f t="array" ref="I116">-SUMPRODUCT(
  desp[valor] *
  (desp[nucleo]=$B116) *
  (desp[centro.negocio]=$B$94) *
  (desp[data.pagamento]&gt;=I$1) *
  (desp[data.pagamento]&lt;EOMONTH(I$1,0)+1)
)</f>
        <v>0</v>
      </c>
      <c r="J116" s="251" cm="1">
        <f t="array" ref="J116">-SUMPRODUCT(
  desp[valor] *
  (desp[nucleo]=$B116) *
  (desp[centro.negocio]=$B$94) *
  (desp[data.pagamento]&gt;=J$1) *
  (desp[data.pagamento]&lt;EOMONTH(J$1,0)+1)
)</f>
        <v>0</v>
      </c>
      <c r="K116" s="251" cm="1">
        <f t="array" ref="K116">-SUMPRODUCT(
  desp[valor] *
  (desp[nucleo]=$B116) *
  (desp[centro.negocio]=$B$94) *
  (desp[data.pagamento]&gt;=K$1) *
  (desp[data.pagamento]&lt;EOMONTH(K$1,0)+1)
)</f>
        <v>0</v>
      </c>
      <c r="L116" s="251" cm="1">
        <f t="array" ref="L116">-SUMPRODUCT(
  desp[valor] *
  (desp[nucleo]=$B116) *
  (desp[centro.negocio]=$B$94) *
  (desp[data.pagamento]&gt;=L$1) *
  (desp[data.pagamento]&lt;EOMONTH(L$1,0)+1)
)</f>
        <v>0</v>
      </c>
      <c r="M116" s="251" cm="1">
        <f t="array" ref="M116">-SUMPRODUCT(
  desp[valor] *
  (desp[nucleo]=$B116) *
  (desp[centro.negocio]=$B$94) *
  (desp[data.pagamento]&gt;=M$1) *
  (desp[data.pagamento]&lt;EOMONTH(M$1,0)+1)
)</f>
        <v>0</v>
      </c>
      <c r="N116" s="251" cm="1">
        <f t="array" ref="N116">-SUMPRODUCT(
  desp[valor] *
  (desp[nucleo]=$B116) *
  (desp[centro.negocio]=$B$94) *
  (desp[data.pagamento]&gt;=N$1) *
  (desp[data.pagamento]&lt;EOMONTH(N$1,0)+1)
)</f>
        <v>0</v>
      </c>
      <c r="O116" s="251" cm="1">
        <f t="array" ref="O116">-SUMPRODUCT(
  desp[valor] *
  (desp[nucleo]=$B116) *
  (desp[centro.negocio]=$B$94) *
  (desp[data.pagamento]&gt;=O$1) *
  (desp[data.pagamento]&lt;EOMONTH(O$1,0)+1)
)</f>
        <v>0</v>
      </c>
      <c r="P116" s="251" cm="1">
        <f t="array" ref="P116">-SUMPRODUCT(
  desp[valor] *
  (desp[nucleo]=$B116) *
  (desp[centro.negocio]=$B$94) *
  (desp[data.pagamento]&gt;=P$1) *
  (desp[data.pagamento]&lt;EOMONTH(P$1,0)+1)
)</f>
        <v>0</v>
      </c>
      <c r="Q116" s="251" cm="1">
        <f t="array" ref="Q116">-SUMPRODUCT(
  desp[valor] *
  (desp[nucleo]=$B116) *
  (desp[centro.negocio]=$B$94) *
  (desp[data.pagamento]&gt;=Q$1) *
  (desp[data.pagamento]&lt;EOMONTH(Q$1,0)+1)
)</f>
        <v>0</v>
      </c>
      <c r="S116" s="243">
        <f t="shared" si="33"/>
        <v>0</v>
      </c>
    </row>
    <row r="117" spans="1:19" outlineLevel="2" x14ac:dyDescent="0.25">
      <c r="A117" s="250" t="s">
        <v>687</v>
      </c>
      <c r="B117" s="250" t="s">
        <v>688</v>
      </c>
      <c r="C117" s="197" t="s">
        <v>556</v>
      </c>
      <c r="D117" s="251" cm="1">
        <f t="array" ref="D117">-SUMPRODUCT(
  desp[valor] *
  (desp[nucleo]=$B117) *
  (desp[centro.negocio]=$B$94) *
  (desp[data.pagamento]&gt;=D$1) *
  (desp[data.pagamento]&lt;EOMONTH(D$1,0)+1)
)</f>
        <v>0</v>
      </c>
      <c r="E117" s="251" cm="1">
        <f t="array" ref="E117">-SUMPRODUCT(
  desp[valor] *
  (desp[nucleo]=$B117) *
  (desp[centro.negocio]=$B$94) *
  (desp[data.pagamento]&gt;=E$1) *
  (desp[data.pagamento]&lt;EOMONTH(E$1,0)+1)
)</f>
        <v>0</v>
      </c>
      <c r="F117" s="251" cm="1">
        <f t="array" ref="F117">-SUMPRODUCT(
  desp[valor] *
  (desp[nucleo]=$B117) *
  (desp[centro.negocio]=$B$94) *
  (desp[data.pagamento]&gt;=F$1) *
  (desp[data.pagamento]&lt;EOMONTH(F$1,0)+1)
)</f>
        <v>0</v>
      </c>
      <c r="G117" s="251" cm="1">
        <f t="array" ref="G117">-SUMPRODUCT(
  desp[valor] *
  (desp[nucleo]=$B117) *
  (desp[centro.negocio]=$B$94) *
  (desp[data.pagamento]&gt;=G$1) *
  (desp[data.pagamento]&lt;EOMONTH(G$1,0)+1)
)</f>
        <v>0</v>
      </c>
      <c r="H117" s="251" cm="1">
        <f t="array" ref="H117">-SUMPRODUCT(
  desp[valor] *
  (desp[nucleo]=$B117) *
  (desp[centro.negocio]=$B$94) *
  (desp[data.pagamento]&gt;=H$1) *
  (desp[data.pagamento]&lt;EOMONTH(H$1,0)+1)
)</f>
        <v>0</v>
      </c>
      <c r="I117" s="251" cm="1">
        <f t="array" ref="I117">-SUMPRODUCT(
  desp[valor] *
  (desp[nucleo]=$B117) *
  (desp[centro.negocio]=$B$94) *
  (desp[data.pagamento]&gt;=I$1) *
  (desp[data.pagamento]&lt;EOMONTH(I$1,0)+1)
)</f>
        <v>0</v>
      </c>
      <c r="J117" s="251" cm="1">
        <f t="array" ref="J117">-SUMPRODUCT(
  desp[valor] *
  (desp[nucleo]=$B117) *
  (desp[centro.negocio]=$B$94) *
  (desp[data.pagamento]&gt;=J$1) *
  (desp[data.pagamento]&lt;EOMONTH(J$1,0)+1)
)</f>
        <v>0</v>
      </c>
      <c r="K117" s="251" cm="1">
        <f t="array" ref="K117">-SUMPRODUCT(
  desp[valor] *
  (desp[nucleo]=$B117) *
  (desp[centro.negocio]=$B$94) *
  (desp[data.pagamento]&gt;=K$1) *
  (desp[data.pagamento]&lt;EOMONTH(K$1,0)+1)
)</f>
        <v>0</v>
      </c>
      <c r="L117" s="251" cm="1">
        <f t="array" ref="L117">-SUMPRODUCT(
  desp[valor] *
  (desp[nucleo]=$B117) *
  (desp[centro.negocio]=$B$94) *
  (desp[data.pagamento]&gt;=L$1) *
  (desp[data.pagamento]&lt;EOMONTH(L$1,0)+1)
)</f>
        <v>0</v>
      </c>
      <c r="M117" s="251" cm="1">
        <f t="array" ref="M117">-SUMPRODUCT(
  desp[valor] *
  (desp[nucleo]=$B117) *
  (desp[centro.negocio]=$B$94) *
  (desp[data.pagamento]&gt;=M$1) *
  (desp[data.pagamento]&lt;EOMONTH(M$1,0)+1)
)</f>
        <v>0</v>
      </c>
      <c r="N117" s="251" cm="1">
        <f t="array" ref="N117">-SUMPRODUCT(
  desp[valor] *
  (desp[nucleo]=$B117) *
  (desp[centro.negocio]=$B$94) *
  (desp[data.pagamento]&gt;=N$1) *
  (desp[data.pagamento]&lt;EOMONTH(N$1,0)+1)
)</f>
        <v>0</v>
      </c>
      <c r="O117" s="251" cm="1">
        <f t="array" ref="O117">-SUMPRODUCT(
  desp[valor] *
  (desp[nucleo]=$B117) *
  (desp[centro.negocio]=$B$94) *
  (desp[data.pagamento]&gt;=O$1) *
  (desp[data.pagamento]&lt;EOMONTH(O$1,0)+1)
)</f>
        <v>0</v>
      </c>
      <c r="P117" s="251" cm="1">
        <f t="array" ref="P117">-SUMPRODUCT(
  desp[valor] *
  (desp[nucleo]=$B117) *
  (desp[centro.negocio]=$B$94) *
  (desp[data.pagamento]&gt;=P$1) *
  (desp[data.pagamento]&lt;EOMONTH(P$1,0)+1)
)</f>
        <v>0</v>
      </c>
      <c r="Q117" s="251" cm="1">
        <f t="array" ref="Q117">-SUMPRODUCT(
  desp[valor] *
  (desp[nucleo]=$B117) *
  (desp[centro.negocio]=$B$94) *
  (desp[data.pagamento]&gt;=Q$1) *
  (desp[data.pagamento]&lt;EOMONTH(Q$1,0)+1)
)</f>
        <v>0</v>
      </c>
      <c r="S117" s="243">
        <f t="shared" si="33"/>
        <v>0</v>
      </c>
    </row>
    <row r="118" spans="1:19" outlineLevel="2" x14ac:dyDescent="0.25">
      <c r="A118" s="256" t="s">
        <v>681</v>
      </c>
      <c r="B118" s="250" t="s">
        <v>654</v>
      </c>
      <c r="C118" s="197" t="s">
        <v>556</v>
      </c>
      <c r="D118" s="251" cm="1">
        <f t="array" ref="D118">-SUMPRODUCT(
  desp[valor] *
  (desp[nucleo]=$B118) *
  (desp[centro.negocio]=$B$94) *
  (desp[data.pagamento]&gt;=D$1) *
  (desp[data.pagamento]&lt;EOMONTH(D$1,0)+1)
)</f>
        <v>0</v>
      </c>
      <c r="E118" s="251" cm="1">
        <f t="array" ref="E118">-SUMPRODUCT(
  desp[valor] *
  (desp[nucleo]=$B118) *
  (desp[centro.negocio]=$B$94) *
  (desp[data.pagamento]&gt;=E$1) *
  (desp[data.pagamento]&lt;EOMONTH(E$1,0)+1)
)</f>
        <v>0</v>
      </c>
      <c r="F118" s="251" cm="1">
        <f t="array" ref="F118">-SUMPRODUCT(
  desp[valor] *
  (desp[nucleo]=$B118) *
  (desp[centro.negocio]=$B$94) *
  (desp[data.pagamento]&gt;=F$1) *
  (desp[data.pagamento]&lt;EOMONTH(F$1,0)+1)
)</f>
        <v>0</v>
      </c>
      <c r="G118" s="251" cm="1">
        <f t="array" ref="G118">-SUMPRODUCT(
  desp[valor] *
  (desp[nucleo]=$B118) *
  (desp[centro.negocio]=$B$94) *
  (desp[data.pagamento]&gt;=G$1) *
  (desp[data.pagamento]&lt;EOMONTH(G$1,0)+1)
)</f>
        <v>0</v>
      </c>
      <c r="H118" s="251" cm="1">
        <f t="array" ref="H118">-SUMPRODUCT(
  desp[valor] *
  (desp[nucleo]=$B118) *
  (desp[centro.negocio]=$B$94) *
  (desp[data.pagamento]&gt;=H$1) *
  (desp[data.pagamento]&lt;EOMONTH(H$1,0)+1)
)</f>
        <v>0</v>
      </c>
      <c r="I118" s="251" cm="1">
        <f t="array" ref="I118">-SUMPRODUCT(
  desp[valor] *
  (desp[nucleo]=$B118) *
  (desp[centro.negocio]=$B$94) *
  (desp[data.pagamento]&gt;=I$1) *
  (desp[data.pagamento]&lt;EOMONTH(I$1,0)+1)
)</f>
        <v>0</v>
      </c>
      <c r="J118" s="251" cm="1">
        <f t="array" ref="J118">-SUMPRODUCT(
  desp[valor] *
  (desp[nucleo]=$B118) *
  (desp[centro.negocio]=$B$94) *
  (desp[data.pagamento]&gt;=J$1) *
  (desp[data.pagamento]&lt;EOMONTH(J$1,0)+1)
)</f>
        <v>0</v>
      </c>
      <c r="K118" s="251" cm="1">
        <f t="array" ref="K118">-SUMPRODUCT(
  desp[valor] *
  (desp[nucleo]=$B118) *
  (desp[centro.negocio]=$B$94) *
  (desp[data.pagamento]&gt;=K$1) *
  (desp[data.pagamento]&lt;EOMONTH(K$1,0)+1)
)</f>
        <v>0</v>
      </c>
      <c r="L118" s="251" cm="1">
        <f t="array" ref="L118">-SUMPRODUCT(
  desp[valor] *
  (desp[nucleo]=$B118) *
  (desp[centro.negocio]=$B$94) *
  (desp[data.pagamento]&gt;=L$1) *
  (desp[data.pagamento]&lt;EOMONTH(L$1,0)+1)
)</f>
        <v>0</v>
      </c>
      <c r="M118" s="251" cm="1">
        <f t="array" ref="M118">-SUMPRODUCT(
  desp[valor] *
  (desp[nucleo]=$B118) *
  (desp[centro.negocio]=$B$94) *
  (desp[data.pagamento]&gt;=M$1) *
  (desp[data.pagamento]&lt;EOMONTH(M$1,0)+1)
)</f>
        <v>0</v>
      </c>
      <c r="N118" s="251" cm="1">
        <f t="array" ref="N118">-SUMPRODUCT(
  desp[valor] *
  (desp[nucleo]=$B118) *
  (desp[centro.negocio]=$B$94) *
  (desp[data.pagamento]&gt;=N$1) *
  (desp[data.pagamento]&lt;EOMONTH(N$1,0)+1)
)</f>
        <v>0</v>
      </c>
      <c r="O118" s="251" cm="1">
        <f t="array" ref="O118">-SUMPRODUCT(
  desp[valor] *
  (desp[nucleo]=$B118) *
  (desp[centro.negocio]=$B$94) *
  (desp[data.pagamento]&gt;=O$1) *
  (desp[data.pagamento]&lt;EOMONTH(O$1,0)+1)
)</f>
        <v>0</v>
      </c>
      <c r="P118" s="251" cm="1">
        <f t="array" ref="P118">-SUMPRODUCT(
  desp[valor] *
  (desp[nucleo]=$B118) *
  (desp[centro.negocio]=$B$94) *
  (desp[data.pagamento]&gt;=P$1) *
  (desp[data.pagamento]&lt;EOMONTH(P$1,0)+1)
)</f>
        <v>0</v>
      </c>
      <c r="Q118" s="251" cm="1">
        <f t="array" ref="Q118">-SUMPRODUCT(
  desp[valor] *
  (desp[nucleo]=$B118) *
  (desp[centro.negocio]=$B$94) *
  (desp[data.pagamento]&gt;=Q$1) *
  (desp[data.pagamento]&lt;EOMONTH(Q$1,0)+1)
)</f>
        <v>0</v>
      </c>
      <c r="S118" s="243">
        <f t="shared" si="33"/>
        <v>0</v>
      </c>
    </row>
    <row r="119" spans="1:19" outlineLevel="2" x14ac:dyDescent="0.25">
      <c r="A119" s="256" t="s">
        <v>681</v>
      </c>
      <c r="B119" s="250" t="s">
        <v>689</v>
      </c>
      <c r="C119" s="197" t="s">
        <v>556</v>
      </c>
      <c r="D119" s="251" cm="1">
        <f t="array" ref="D119">-SUMPRODUCT(
  desp[valor] *
  (desp[nucleo]=$B119) *
  (desp[centro.negocio]=$B$94) *
  (desp[data.pagamento]&gt;=D$1) *
  (desp[data.pagamento]&lt;EOMONTH(D$1,0)+1)
)</f>
        <v>0</v>
      </c>
      <c r="E119" s="251" cm="1">
        <f t="array" ref="E119">-SUMPRODUCT(
  desp[valor] *
  (desp[nucleo]=$B119) *
  (desp[centro.negocio]=$B$94) *
  (desp[data.pagamento]&gt;=E$1) *
  (desp[data.pagamento]&lt;EOMONTH(E$1,0)+1)
)</f>
        <v>0</v>
      </c>
      <c r="F119" s="251" cm="1">
        <f t="array" ref="F119">-SUMPRODUCT(
  desp[valor] *
  (desp[nucleo]=$B119) *
  (desp[centro.negocio]=$B$94) *
  (desp[data.pagamento]&gt;=F$1) *
  (desp[data.pagamento]&lt;EOMONTH(F$1,0)+1)
)</f>
        <v>0</v>
      </c>
      <c r="G119" s="251" cm="1">
        <f t="array" ref="G119">-SUMPRODUCT(
  desp[valor] *
  (desp[nucleo]=$B119) *
  (desp[centro.negocio]=$B$94) *
  (desp[data.pagamento]&gt;=G$1) *
  (desp[data.pagamento]&lt;EOMONTH(G$1,0)+1)
)</f>
        <v>0</v>
      </c>
      <c r="H119" s="251" cm="1">
        <f t="array" ref="H119">-SUMPRODUCT(
  desp[valor] *
  (desp[nucleo]=$B119) *
  (desp[centro.negocio]=$B$94) *
  (desp[data.pagamento]&gt;=H$1) *
  (desp[data.pagamento]&lt;EOMONTH(H$1,0)+1)
)</f>
        <v>0</v>
      </c>
      <c r="I119" s="251" cm="1">
        <f t="array" ref="I119">-SUMPRODUCT(
  desp[valor] *
  (desp[nucleo]=$B119) *
  (desp[centro.negocio]=$B$94) *
  (desp[data.pagamento]&gt;=I$1) *
  (desp[data.pagamento]&lt;EOMONTH(I$1,0)+1)
)</f>
        <v>0</v>
      </c>
      <c r="J119" s="251" cm="1">
        <f t="array" ref="J119">-SUMPRODUCT(
  desp[valor] *
  (desp[nucleo]=$B119) *
  (desp[centro.negocio]=$B$94) *
  (desp[data.pagamento]&gt;=J$1) *
  (desp[data.pagamento]&lt;EOMONTH(J$1,0)+1)
)</f>
        <v>0</v>
      </c>
      <c r="K119" s="251" cm="1">
        <f t="array" ref="K119">-SUMPRODUCT(
  desp[valor] *
  (desp[nucleo]=$B119) *
  (desp[centro.negocio]=$B$94) *
  (desp[data.pagamento]&gt;=K$1) *
  (desp[data.pagamento]&lt;EOMONTH(K$1,0)+1)
)</f>
        <v>0</v>
      </c>
      <c r="L119" s="251" cm="1">
        <f t="array" ref="L119">-SUMPRODUCT(
  desp[valor] *
  (desp[nucleo]=$B119) *
  (desp[centro.negocio]=$B$94) *
  (desp[data.pagamento]&gt;=L$1) *
  (desp[data.pagamento]&lt;EOMONTH(L$1,0)+1)
)</f>
        <v>0</v>
      </c>
      <c r="M119" s="251" cm="1">
        <f t="array" ref="M119">-SUMPRODUCT(
  desp[valor] *
  (desp[nucleo]=$B119) *
  (desp[centro.negocio]=$B$94) *
  (desp[data.pagamento]&gt;=M$1) *
  (desp[data.pagamento]&lt;EOMONTH(M$1,0)+1)
)</f>
        <v>0</v>
      </c>
      <c r="N119" s="251" cm="1">
        <f t="array" ref="N119">-SUMPRODUCT(
  desp[valor] *
  (desp[nucleo]=$B119) *
  (desp[centro.negocio]=$B$94) *
  (desp[data.pagamento]&gt;=N$1) *
  (desp[data.pagamento]&lt;EOMONTH(N$1,0)+1)
)</f>
        <v>0</v>
      </c>
      <c r="O119" s="251" cm="1">
        <f t="array" ref="O119">-SUMPRODUCT(
  desp[valor] *
  (desp[nucleo]=$B119) *
  (desp[centro.negocio]=$B$94) *
  (desp[data.pagamento]&gt;=O$1) *
  (desp[data.pagamento]&lt;EOMONTH(O$1,0)+1)
)</f>
        <v>0</v>
      </c>
      <c r="P119" s="251" cm="1">
        <f t="array" ref="P119">-SUMPRODUCT(
  desp[valor] *
  (desp[nucleo]=$B119) *
  (desp[centro.negocio]=$B$94) *
  (desp[data.pagamento]&gt;=P$1) *
  (desp[data.pagamento]&lt;EOMONTH(P$1,0)+1)
)</f>
        <v>0</v>
      </c>
      <c r="Q119" s="251" cm="1">
        <f t="array" ref="Q119">-SUMPRODUCT(
  desp[valor] *
  (desp[nucleo]=$B119) *
  (desp[centro.negocio]=$B$94) *
  (desp[data.pagamento]&gt;=Q$1) *
  (desp[data.pagamento]&lt;EOMONTH(Q$1,0)+1)
)</f>
        <v>0</v>
      </c>
      <c r="S119" s="243">
        <f t="shared" si="33"/>
        <v>0</v>
      </c>
    </row>
    <row r="120" spans="1:19" outlineLevel="1" x14ac:dyDescent="0.25">
      <c r="A120" s="247" t="s">
        <v>690</v>
      </c>
      <c r="B120" s="247" t="s">
        <v>424</v>
      </c>
      <c r="C120" s="248" t="s">
        <v>556</v>
      </c>
      <c r="D120" s="249">
        <f>SUM(D$121:D$133)</f>
        <v>0</v>
      </c>
      <c r="E120" s="249">
        <f t="shared" ref="E120:Q120" si="34">SUM(E$121:E$133)</f>
        <v>0</v>
      </c>
      <c r="F120" s="249">
        <f t="shared" si="34"/>
        <v>0</v>
      </c>
      <c r="G120" s="249">
        <f t="shared" si="34"/>
        <v>0</v>
      </c>
      <c r="H120" s="249">
        <f t="shared" si="34"/>
        <v>0</v>
      </c>
      <c r="I120" s="249">
        <f t="shared" si="34"/>
        <v>0</v>
      </c>
      <c r="J120" s="249">
        <f t="shared" si="34"/>
        <v>0</v>
      </c>
      <c r="K120" s="249">
        <f t="shared" si="34"/>
        <v>0</v>
      </c>
      <c r="L120" s="249">
        <f t="shared" si="34"/>
        <v>0</v>
      </c>
      <c r="M120" s="249">
        <f t="shared" si="34"/>
        <v>0</v>
      </c>
      <c r="N120" s="249">
        <f t="shared" si="34"/>
        <v>0</v>
      </c>
      <c r="O120" s="249">
        <f t="shared" si="34"/>
        <v>0</v>
      </c>
      <c r="P120" s="249">
        <f t="shared" si="34"/>
        <v>0</v>
      </c>
      <c r="Q120" s="249">
        <f t="shared" si="34"/>
        <v>0</v>
      </c>
      <c r="S120" s="243">
        <f t="shared" si="33"/>
        <v>0</v>
      </c>
    </row>
    <row r="121" spans="1:19" outlineLevel="2" x14ac:dyDescent="0.25">
      <c r="A121" s="250" t="s">
        <v>691</v>
      </c>
      <c r="B121" s="250" t="s">
        <v>596</v>
      </c>
      <c r="C121" s="197" t="s">
        <v>556</v>
      </c>
      <c r="D121" s="251" cm="1">
        <f t="array" ref="D121">-SUMPRODUCT(
  desp[valor] *
  (desp[nucleo]=$B121) *
  (desp[centro.negocio]=$B$120) *
  (desp[data.pagamento]&gt;=D$1) *
  (desp[data.pagamento]&lt;EOMONTH(D$1,0)+1)
)</f>
        <v>0</v>
      </c>
      <c r="E121" s="251" cm="1">
        <f t="array" ref="E121">-SUMPRODUCT(
  desp[valor] *
  (desp[nucleo]=$B121) *
  (desp[centro.negocio]=$B$120) *
  (desp[data.pagamento]&gt;=E$1) *
  (desp[data.pagamento]&lt;EOMONTH(E$1,0)+1)
)</f>
        <v>0</v>
      </c>
      <c r="F121" s="251" cm="1">
        <f t="array" ref="F121">-SUMPRODUCT(
  desp[valor] *
  (desp[nucleo]=$B121) *
  (desp[centro.negocio]=$B$120) *
  (desp[data.pagamento]&gt;=F$1) *
  (desp[data.pagamento]&lt;EOMONTH(F$1,0)+1)
)</f>
        <v>0</v>
      </c>
      <c r="G121" s="251" cm="1">
        <f t="array" ref="G121">-SUMPRODUCT(
  desp[valor] *
  (desp[nucleo]=$B121) *
  (desp[centro.negocio]=$B$120) *
  (desp[data.pagamento]&gt;=G$1) *
  (desp[data.pagamento]&lt;EOMONTH(G$1,0)+1)
)</f>
        <v>0</v>
      </c>
      <c r="H121" s="251" cm="1">
        <f t="array" ref="H121">-SUMPRODUCT(
  desp[valor] *
  (desp[nucleo]=$B121) *
  (desp[centro.negocio]=$B$120) *
  (desp[data.pagamento]&gt;=H$1) *
  (desp[data.pagamento]&lt;EOMONTH(H$1,0)+1)
)</f>
        <v>0</v>
      </c>
      <c r="I121" s="251" cm="1">
        <f t="array" ref="I121">-SUMPRODUCT(
  desp[valor] *
  (desp[nucleo]=$B121) *
  (desp[centro.negocio]=$B$120) *
  (desp[data.pagamento]&gt;=I$1) *
  (desp[data.pagamento]&lt;EOMONTH(I$1,0)+1)
)</f>
        <v>0</v>
      </c>
      <c r="J121" s="251" cm="1">
        <f t="array" ref="J121">-SUMPRODUCT(
  desp[valor] *
  (desp[nucleo]=$B121) *
  (desp[centro.negocio]=$B$120) *
  (desp[data.pagamento]&gt;=J$1) *
  (desp[data.pagamento]&lt;EOMONTH(J$1,0)+1)
)</f>
        <v>0</v>
      </c>
      <c r="K121" s="251" cm="1">
        <f t="array" ref="K121">-SUMPRODUCT(
  desp[valor] *
  (desp[nucleo]=$B121) *
  (desp[centro.negocio]=$B$120) *
  (desp[data.pagamento]&gt;=K$1) *
  (desp[data.pagamento]&lt;EOMONTH(K$1,0)+1)
)</f>
        <v>0</v>
      </c>
      <c r="L121" s="251" cm="1">
        <f t="array" ref="L121">-SUMPRODUCT(
  desp[valor] *
  (desp[nucleo]=$B121) *
  (desp[centro.negocio]=$B$120) *
  (desp[data.pagamento]&gt;=L$1) *
  (desp[data.pagamento]&lt;EOMONTH(L$1,0)+1)
)</f>
        <v>0</v>
      </c>
      <c r="M121" s="251" cm="1">
        <f t="array" ref="M121">-SUMPRODUCT(
  desp[valor] *
  (desp[nucleo]=$B121) *
  (desp[centro.negocio]=$B$120) *
  (desp[data.pagamento]&gt;=M$1) *
  (desp[data.pagamento]&lt;EOMONTH(M$1,0)+1)
)</f>
        <v>0</v>
      </c>
      <c r="N121" s="251" cm="1">
        <f t="array" ref="N121">-SUMPRODUCT(
  desp[valor] *
  (desp[nucleo]=$B121) *
  (desp[centro.negocio]=$B$120) *
  (desp[data.pagamento]&gt;=N$1) *
  (desp[data.pagamento]&lt;EOMONTH(N$1,0)+1)
)</f>
        <v>0</v>
      </c>
      <c r="O121" s="251" cm="1">
        <f t="array" ref="O121">-SUMPRODUCT(
  desp[valor] *
  (desp[nucleo]=$B121) *
  (desp[centro.negocio]=$B$120) *
  (desp[data.pagamento]&gt;=O$1) *
  (desp[data.pagamento]&lt;EOMONTH(O$1,0)+1)
)</f>
        <v>0</v>
      </c>
      <c r="P121" s="251" cm="1">
        <f t="array" ref="P121">-SUMPRODUCT(
  desp[valor] *
  (desp[nucleo]=$B121) *
  (desp[centro.negocio]=$B$120) *
  (desp[data.pagamento]&gt;=P$1) *
  (desp[data.pagamento]&lt;EOMONTH(P$1,0)+1)
)</f>
        <v>0</v>
      </c>
      <c r="Q121" s="251" cm="1">
        <f t="array" ref="Q121">-SUMPRODUCT(
  desp[valor] *
  (desp[nucleo]=$B121) *
  (desp[centro.negocio]=$B$120) *
  (desp[data.pagamento]&gt;=Q$1) *
  (desp[data.pagamento]&lt;EOMONTH(Q$1,0)+1)
)</f>
        <v>0</v>
      </c>
      <c r="S121" s="243">
        <f t="shared" si="33"/>
        <v>0</v>
      </c>
    </row>
    <row r="122" spans="1:19" outlineLevel="2" x14ac:dyDescent="0.25">
      <c r="A122" s="250" t="s">
        <v>692</v>
      </c>
      <c r="B122" s="250" t="s">
        <v>588</v>
      </c>
      <c r="C122" s="197" t="s">
        <v>556</v>
      </c>
      <c r="D122" s="251" cm="1">
        <f t="array" ref="D122">-SUMPRODUCT(
  desp[valor] *
  (desp[nucleo]=$B122) *
  (desp[centro.negocio]=$B$120) *
  (desp[data.pagamento]&gt;=D$1) *
  (desp[data.pagamento]&lt;EOMONTH(D$1,0)+1)
)</f>
        <v>0</v>
      </c>
      <c r="E122" s="251" cm="1">
        <f t="array" ref="E122">-SUMPRODUCT(
  desp[valor] *
  (desp[nucleo]=$B122) *
  (desp[centro.negocio]=$B$120) *
  (desp[data.pagamento]&gt;=E$1) *
  (desp[data.pagamento]&lt;EOMONTH(E$1,0)+1)
)</f>
        <v>0</v>
      </c>
      <c r="F122" s="251" cm="1">
        <f t="array" ref="F122">-SUMPRODUCT(
  desp[valor] *
  (desp[nucleo]=$B122) *
  (desp[centro.negocio]=$B$120) *
  (desp[data.pagamento]&gt;=F$1) *
  (desp[data.pagamento]&lt;EOMONTH(F$1,0)+1)
)</f>
        <v>0</v>
      </c>
      <c r="G122" s="251" cm="1">
        <f t="array" ref="G122">-SUMPRODUCT(
  desp[valor] *
  (desp[nucleo]=$B122) *
  (desp[centro.negocio]=$B$120) *
  (desp[data.pagamento]&gt;=G$1) *
  (desp[data.pagamento]&lt;EOMONTH(G$1,0)+1)
)</f>
        <v>0</v>
      </c>
      <c r="H122" s="251" cm="1">
        <f t="array" ref="H122">-SUMPRODUCT(
  desp[valor] *
  (desp[nucleo]=$B122) *
  (desp[centro.negocio]=$B$120) *
  (desp[data.pagamento]&gt;=H$1) *
  (desp[data.pagamento]&lt;EOMONTH(H$1,0)+1)
)</f>
        <v>0</v>
      </c>
      <c r="I122" s="251" cm="1">
        <f t="array" ref="I122">-SUMPRODUCT(
  desp[valor] *
  (desp[nucleo]=$B122) *
  (desp[centro.negocio]=$B$120) *
  (desp[data.pagamento]&gt;=I$1) *
  (desp[data.pagamento]&lt;EOMONTH(I$1,0)+1)
)</f>
        <v>0</v>
      </c>
      <c r="J122" s="251" cm="1">
        <f t="array" ref="J122">-SUMPRODUCT(
  desp[valor] *
  (desp[nucleo]=$B122) *
  (desp[centro.negocio]=$B$120) *
  (desp[data.pagamento]&gt;=J$1) *
  (desp[data.pagamento]&lt;EOMONTH(J$1,0)+1)
)</f>
        <v>0</v>
      </c>
      <c r="K122" s="251" cm="1">
        <f t="array" ref="K122">-SUMPRODUCT(
  desp[valor] *
  (desp[nucleo]=$B122) *
  (desp[centro.negocio]=$B$120) *
  (desp[data.pagamento]&gt;=K$1) *
  (desp[data.pagamento]&lt;EOMONTH(K$1,0)+1)
)</f>
        <v>0</v>
      </c>
      <c r="L122" s="251" cm="1">
        <f t="array" ref="L122">-SUMPRODUCT(
  desp[valor] *
  (desp[nucleo]=$B122) *
  (desp[centro.negocio]=$B$120) *
  (desp[data.pagamento]&gt;=L$1) *
  (desp[data.pagamento]&lt;EOMONTH(L$1,0)+1)
)</f>
        <v>0</v>
      </c>
      <c r="M122" s="251" cm="1">
        <f t="array" ref="M122">-SUMPRODUCT(
  desp[valor] *
  (desp[nucleo]=$B122) *
  (desp[centro.negocio]=$B$120) *
  (desp[data.pagamento]&gt;=M$1) *
  (desp[data.pagamento]&lt;EOMONTH(M$1,0)+1)
)</f>
        <v>0</v>
      </c>
      <c r="N122" s="251" cm="1">
        <f t="array" ref="N122">-SUMPRODUCT(
  desp[valor] *
  (desp[nucleo]=$B122) *
  (desp[centro.negocio]=$B$120) *
  (desp[data.pagamento]&gt;=N$1) *
  (desp[data.pagamento]&lt;EOMONTH(N$1,0)+1)
)</f>
        <v>0</v>
      </c>
      <c r="O122" s="251" cm="1">
        <f t="array" ref="O122">-SUMPRODUCT(
  desp[valor] *
  (desp[nucleo]=$B122) *
  (desp[centro.negocio]=$B$120) *
  (desp[data.pagamento]&gt;=O$1) *
  (desp[data.pagamento]&lt;EOMONTH(O$1,0)+1)
)</f>
        <v>0</v>
      </c>
      <c r="P122" s="251" cm="1">
        <f t="array" ref="P122">-SUMPRODUCT(
  desp[valor] *
  (desp[nucleo]=$B122) *
  (desp[centro.negocio]=$B$120) *
  (desp[data.pagamento]&gt;=P$1) *
  (desp[data.pagamento]&lt;EOMONTH(P$1,0)+1)
)</f>
        <v>0</v>
      </c>
      <c r="Q122" s="251" cm="1">
        <f t="array" ref="Q122">-SUMPRODUCT(
  desp[valor] *
  (desp[nucleo]=$B122) *
  (desp[centro.negocio]=$B$120) *
  (desp[data.pagamento]&gt;=Q$1) *
  (desp[data.pagamento]&lt;EOMONTH(Q$1,0)+1)
)</f>
        <v>0</v>
      </c>
      <c r="S122" s="243">
        <f t="shared" si="33"/>
        <v>0</v>
      </c>
    </row>
    <row r="123" spans="1:19" outlineLevel="2" x14ac:dyDescent="0.25">
      <c r="A123" s="250" t="s">
        <v>693</v>
      </c>
      <c r="B123" s="250" t="s">
        <v>592</v>
      </c>
      <c r="C123" s="197" t="s">
        <v>556</v>
      </c>
      <c r="D123" s="251" cm="1">
        <f t="array" ref="D123">-SUMPRODUCT(
  desp[valor] *
  (desp[nucleo]=$B123) *
  (desp[centro.negocio]=$B$120) *
  (desp[data.pagamento]&gt;=D$1) *
  (desp[data.pagamento]&lt;EOMONTH(D$1,0)+1)
)</f>
        <v>0</v>
      </c>
      <c r="E123" s="251" cm="1">
        <f t="array" ref="E123">-SUMPRODUCT(
  desp[valor] *
  (desp[nucleo]=$B123) *
  (desp[centro.negocio]=$B$120) *
  (desp[data.pagamento]&gt;=E$1) *
  (desp[data.pagamento]&lt;EOMONTH(E$1,0)+1)
)</f>
        <v>0</v>
      </c>
      <c r="F123" s="251" cm="1">
        <f t="array" ref="F123">-SUMPRODUCT(
  desp[valor] *
  (desp[nucleo]=$B123) *
  (desp[centro.negocio]=$B$120) *
  (desp[data.pagamento]&gt;=F$1) *
  (desp[data.pagamento]&lt;EOMONTH(F$1,0)+1)
)</f>
        <v>0</v>
      </c>
      <c r="G123" s="251" cm="1">
        <f t="array" ref="G123">-SUMPRODUCT(
  desp[valor] *
  (desp[nucleo]=$B123) *
  (desp[centro.negocio]=$B$120) *
  (desp[data.pagamento]&gt;=G$1) *
  (desp[data.pagamento]&lt;EOMONTH(G$1,0)+1)
)</f>
        <v>0</v>
      </c>
      <c r="H123" s="251" cm="1">
        <f t="array" ref="H123">-SUMPRODUCT(
  desp[valor] *
  (desp[nucleo]=$B123) *
  (desp[centro.negocio]=$B$120) *
  (desp[data.pagamento]&gt;=H$1) *
  (desp[data.pagamento]&lt;EOMONTH(H$1,0)+1)
)</f>
        <v>0</v>
      </c>
      <c r="I123" s="251" cm="1">
        <f t="array" ref="I123">-SUMPRODUCT(
  desp[valor] *
  (desp[nucleo]=$B123) *
  (desp[centro.negocio]=$B$120) *
  (desp[data.pagamento]&gt;=I$1) *
  (desp[data.pagamento]&lt;EOMONTH(I$1,0)+1)
)</f>
        <v>0</v>
      </c>
      <c r="J123" s="251" cm="1">
        <f t="array" ref="J123">-SUMPRODUCT(
  desp[valor] *
  (desp[nucleo]=$B123) *
  (desp[centro.negocio]=$B$120) *
  (desp[data.pagamento]&gt;=J$1) *
  (desp[data.pagamento]&lt;EOMONTH(J$1,0)+1)
)</f>
        <v>0</v>
      </c>
      <c r="K123" s="251" cm="1">
        <f t="array" ref="K123">-SUMPRODUCT(
  desp[valor] *
  (desp[nucleo]=$B123) *
  (desp[centro.negocio]=$B$120) *
  (desp[data.pagamento]&gt;=K$1) *
  (desp[data.pagamento]&lt;EOMONTH(K$1,0)+1)
)</f>
        <v>0</v>
      </c>
      <c r="L123" s="251" cm="1">
        <f t="array" ref="L123">-SUMPRODUCT(
  desp[valor] *
  (desp[nucleo]=$B123) *
  (desp[centro.negocio]=$B$120) *
  (desp[data.pagamento]&gt;=L$1) *
  (desp[data.pagamento]&lt;EOMONTH(L$1,0)+1)
)</f>
        <v>0</v>
      </c>
      <c r="M123" s="251" cm="1">
        <f t="array" ref="M123">-SUMPRODUCT(
  desp[valor] *
  (desp[nucleo]=$B123) *
  (desp[centro.negocio]=$B$120) *
  (desp[data.pagamento]&gt;=M$1) *
  (desp[data.pagamento]&lt;EOMONTH(M$1,0)+1)
)</f>
        <v>0</v>
      </c>
      <c r="N123" s="251" cm="1">
        <f t="array" ref="N123">-SUMPRODUCT(
  desp[valor] *
  (desp[nucleo]=$B123) *
  (desp[centro.negocio]=$B$120) *
  (desp[data.pagamento]&gt;=N$1) *
  (desp[data.pagamento]&lt;EOMONTH(N$1,0)+1)
)</f>
        <v>0</v>
      </c>
      <c r="O123" s="251" cm="1">
        <f t="array" ref="O123">-SUMPRODUCT(
  desp[valor] *
  (desp[nucleo]=$B123) *
  (desp[centro.negocio]=$B$120) *
  (desp[data.pagamento]&gt;=O$1) *
  (desp[data.pagamento]&lt;EOMONTH(O$1,0)+1)
)</f>
        <v>0</v>
      </c>
      <c r="P123" s="251" cm="1">
        <f t="array" ref="P123">-SUMPRODUCT(
  desp[valor] *
  (desp[nucleo]=$B123) *
  (desp[centro.negocio]=$B$120) *
  (desp[data.pagamento]&gt;=P$1) *
  (desp[data.pagamento]&lt;EOMONTH(P$1,0)+1)
)</f>
        <v>0</v>
      </c>
      <c r="Q123" s="251" cm="1">
        <f t="array" ref="Q123">-SUMPRODUCT(
  desp[valor] *
  (desp[nucleo]=$B123) *
  (desp[centro.negocio]=$B$120) *
  (desp[data.pagamento]&gt;=Q$1) *
  (desp[data.pagamento]&lt;EOMONTH(Q$1,0)+1)
)</f>
        <v>0</v>
      </c>
      <c r="S123" s="243">
        <f t="shared" si="33"/>
        <v>0</v>
      </c>
    </row>
    <row r="124" spans="1:19" outlineLevel="2" x14ac:dyDescent="0.25">
      <c r="A124" s="250" t="s">
        <v>694</v>
      </c>
      <c r="B124" s="250" t="s">
        <v>598</v>
      </c>
      <c r="C124" s="197" t="s">
        <v>556</v>
      </c>
      <c r="D124" s="251" cm="1">
        <f t="array" ref="D124">-SUMPRODUCT(
  desp[valor] *
  (desp[nucleo]=$B124) *
  (desp[centro.negocio]=$B$120) *
  (desp[data.pagamento]&gt;=D$1) *
  (desp[data.pagamento]&lt;EOMONTH(D$1,0)+1)
)</f>
        <v>0</v>
      </c>
      <c r="E124" s="251" cm="1">
        <f t="array" ref="E124">-SUMPRODUCT(
  desp[valor] *
  (desp[nucleo]=$B124) *
  (desp[centro.negocio]=$B$120) *
  (desp[data.pagamento]&gt;=E$1) *
  (desp[data.pagamento]&lt;EOMONTH(E$1,0)+1)
)</f>
        <v>0</v>
      </c>
      <c r="F124" s="251" cm="1">
        <f t="array" ref="F124">-SUMPRODUCT(
  desp[valor] *
  (desp[nucleo]=$B124) *
  (desp[centro.negocio]=$B$120) *
  (desp[data.pagamento]&gt;=F$1) *
  (desp[data.pagamento]&lt;EOMONTH(F$1,0)+1)
)</f>
        <v>0</v>
      </c>
      <c r="G124" s="251" cm="1">
        <f t="array" ref="G124">-SUMPRODUCT(
  desp[valor] *
  (desp[nucleo]=$B124) *
  (desp[centro.negocio]=$B$120) *
  (desp[data.pagamento]&gt;=G$1) *
  (desp[data.pagamento]&lt;EOMONTH(G$1,0)+1)
)</f>
        <v>0</v>
      </c>
      <c r="H124" s="251" cm="1">
        <f t="array" ref="H124">-SUMPRODUCT(
  desp[valor] *
  (desp[nucleo]=$B124) *
  (desp[centro.negocio]=$B$120) *
  (desp[data.pagamento]&gt;=H$1) *
  (desp[data.pagamento]&lt;EOMONTH(H$1,0)+1)
)</f>
        <v>0</v>
      </c>
      <c r="I124" s="251" cm="1">
        <f t="array" ref="I124">-SUMPRODUCT(
  desp[valor] *
  (desp[nucleo]=$B124) *
  (desp[centro.negocio]=$B$120) *
  (desp[data.pagamento]&gt;=I$1) *
  (desp[data.pagamento]&lt;EOMONTH(I$1,0)+1)
)</f>
        <v>0</v>
      </c>
      <c r="J124" s="251" cm="1">
        <f t="array" ref="J124">-SUMPRODUCT(
  desp[valor] *
  (desp[nucleo]=$B124) *
  (desp[centro.negocio]=$B$120) *
  (desp[data.pagamento]&gt;=J$1) *
  (desp[data.pagamento]&lt;EOMONTH(J$1,0)+1)
)</f>
        <v>0</v>
      </c>
      <c r="K124" s="251" cm="1">
        <f t="array" ref="K124">-SUMPRODUCT(
  desp[valor] *
  (desp[nucleo]=$B124) *
  (desp[centro.negocio]=$B$120) *
  (desp[data.pagamento]&gt;=K$1) *
  (desp[data.pagamento]&lt;EOMONTH(K$1,0)+1)
)</f>
        <v>0</v>
      </c>
      <c r="L124" s="251" cm="1">
        <f t="array" ref="L124">-SUMPRODUCT(
  desp[valor] *
  (desp[nucleo]=$B124) *
  (desp[centro.negocio]=$B$120) *
  (desp[data.pagamento]&gt;=L$1) *
  (desp[data.pagamento]&lt;EOMONTH(L$1,0)+1)
)</f>
        <v>0</v>
      </c>
      <c r="M124" s="251" cm="1">
        <f t="array" ref="M124">-SUMPRODUCT(
  desp[valor] *
  (desp[nucleo]=$B124) *
  (desp[centro.negocio]=$B$120) *
  (desp[data.pagamento]&gt;=M$1) *
  (desp[data.pagamento]&lt;EOMONTH(M$1,0)+1)
)</f>
        <v>0</v>
      </c>
      <c r="N124" s="251" cm="1">
        <f t="array" ref="N124">-SUMPRODUCT(
  desp[valor] *
  (desp[nucleo]=$B124) *
  (desp[centro.negocio]=$B$120) *
  (desp[data.pagamento]&gt;=N$1) *
  (desp[data.pagamento]&lt;EOMONTH(N$1,0)+1)
)</f>
        <v>0</v>
      </c>
      <c r="O124" s="251" cm="1">
        <f t="array" ref="O124">-SUMPRODUCT(
  desp[valor] *
  (desp[nucleo]=$B124) *
  (desp[centro.negocio]=$B$120) *
  (desp[data.pagamento]&gt;=O$1) *
  (desp[data.pagamento]&lt;EOMONTH(O$1,0)+1)
)</f>
        <v>0</v>
      </c>
      <c r="P124" s="251" cm="1">
        <f t="array" ref="P124">-SUMPRODUCT(
  desp[valor] *
  (desp[nucleo]=$B124) *
  (desp[centro.negocio]=$B$120) *
  (desp[data.pagamento]&gt;=P$1) *
  (desp[data.pagamento]&lt;EOMONTH(P$1,0)+1)
)</f>
        <v>0</v>
      </c>
      <c r="Q124" s="251" cm="1">
        <f t="array" ref="Q124">-SUMPRODUCT(
  desp[valor] *
  (desp[nucleo]=$B124) *
  (desp[centro.negocio]=$B$120) *
  (desp[data.pagamento]&gt;=Q$1) *
  (desp[data.pagamento]&lt;EOMONTH(Q$1,0)+1)
)</f>
        <v>0</v>
      </c>
      <c r="S124" s="243">
        <f t="shared" si="33"/>
        <v>0</v>
      </c>
    </row>
    <row r="125" spans="1:19" outlineLevel="2" x14ac:dyDescent="0.25">
      <c r="A125" s="250" t="s">
        <v>695</v>
      </c>
      <c r="B125" s="250" t="s">
        <v>594</v>
      </c>
      <c r="C125" s="197" t="s">
        <v>556</v>
      </c>
      <c r="D125" s="251" cm="1">
        <f t="array" ref="D125">-SUMPRODUCT(
  desp[valor] *
  (desp[nucleo]=$B125) *
  (desp[centro.negocio]=$B$120) *
  (desp[data.pagamento]&gt;=D$1) *
  (desp[data.pagamento]&lt;EOMONTH(D$1,0)+1)
)</f>
        <v>0</v>
      </c>
      <c r="E125" s="251" cm="1">
        <f t="array" ref="E125">-SUMPRODUCT(
  desp[valor] *
  (desp[nucleo]=$B125) *
  (desp[centro.negocio]=$B$120) *
  (desp[data.pagamento]&gt;=E$1) *
  (desp[data.pagamento]&lt;EOMONTH(E$1,0)+1)
)</f>
        <v>0</v>
      </c>
      <c r="F125" s="251" cm="1">
        <f t="array" ref="F125">-SUMPRODUCT(
  desp[valor] *
  (desp[nucleo]=$B125) *
  (desp[centro.negocio]=$B$120) *
  (desp[data.pagamento]&gt;=F$1) *
  (desp[data.pagamento]&lt;EOMONTH(F$1,0)+1)
)</f>
        <v>0</v>
      </c>
      <c r="G125" s="251" cm="1">
        <f t="array" ref="G125">-SUMPRODUCT(
  desp[valor] *
  (desp[nucleo]=$B125) *
  (desp[centro.negocio]=$B$120) *
  (desp[data.pagamento]&gt;=G$1) *
  (desp[data.pagamento]&lt;EOMONTH(G$1,0)+1)
)</f>
        <v>0</v>
      </c>
      <c r="H125" s="251" cm="1">
        <f t="array" ref="H125">-SUMPRODUCT(
  desp[valor] *
  (desp[nucleo]=$B125) *
  (desp[centro.negocio]=$B$120) *
  (desp[data.pagamento]&gt;=H$1) *
  (desp[data.pagamento]&lt;EOMONTH(H$1,0)+1)
)</f>
        <v>0</v>
      </c>
      <c r="I125" s="251" cm="1">
        <f t="array" ref="I125">-SUMPRODUCT(
  desp[valor] *
  (desp[nucleo]=$B125) *
  (desp[centro.negocio]=$B$120) *
  (desp[data.pagamento]&gt;=I$1) *
  (desp[data.pagamento]&lt;EOMONTH(I$1,0)+1)
)</f>
        <v>0</v>
      </c>
      <c r="J125" s="251" cm="1">
        <f t="array" ref="J125">-SUMPRODUCT(
  desp[valor] *
  (desp[nucleo]=$B125) *
  (desp[centro.negocio]=$B$120) *
  (desp[data.pagamento]&gt;=J$1) *
  (desp[data.pagamento]&lt;EOMONTH(J$1,0)+1)
)</f>
        <v>0</v>
      </c>
      <c r="K125" s="251" cm="1">
        <f t="array" ref="K125">-SUMPRODUCT(
  desp[valor] *
  (desp[nucleo]=$B125) *
  (desp[centro.negocio]=$B$120) *
  (desp[data.pagamento]&gt;=K$1) *
  (desp[data.pagamento]&lt;EOMONTH(K$1,0)+1)
)</f>
        <v>0</v>
      </c>
      <c r="L125" s="251" cm="1">
        <f t="array" ref="L125">-SUMPRODUCT(
  desp[valor] *
  (desp[nucleo]=$B125) *
  (desp[centro.negocio]=$B$120) *
  (desp[data.pagamento]&gt;=L$1) *
  (desp[data.pagamento]&lt;EOMONTH(L$1,0)+1)
)</f>
        <v>0</v>
      </c>
      <c r="M125" s="251" cm="1">
        <f t="array" ref="M125">-SUMPRODUCT(
  desp[valor] *
  (desp[nucleo]=$B125) *
  (desp[centro.negocio]=$B$120) *
  (desp[data.pagamento]&gt;=M$1) *
  (desp[data.pagamento]&lt;EOMONTH(M$1,0)+1)
)</f>
        <v>0</v>
      </c>
      <c r="N125" s="251" cm="1">
        <f t="array" ref="N125">-SUMPRODUCT(
  desp[valor] *
  (desp[nucleo]=$B125) *
  (desp[centro.negocio]=$B$120) *
  (desp[data.pagamento]&gt;=N$1) *
  (desp[data.pagamento]&lt;EOMONTH(N$1,0)+1)
)</f>
        <v>0</v>
      </c>
      <c r="O125" s="251" cm="1">
        <f t="array" ref="O125">-SUMPRODUCT(
  desp[valor] *
  (desp[nucleo]=$B125) *
  (desp[centro.negocio]=$B$120) *
  (desp[data.pagamento]&gt;=O$1) *
  (desp[data.pagamento]&lt;EOMONTH(O$1,0)+1)
)</f>
        <v>0</v>
      </c>
      <c r="P125" s="251" cm="1">
        <f t="array" ref="P125">-SUMPRODUCT(
  desp[valor] *
  (desp[nucleo]=$B125) *
  (desp[centro.negocio]=$B$120) *
  (desp[data.pagamento]&gt;=P$1) *
  (desp[data.pagamento]&lt;EOMONTH(P$1,0)+1)
)</f>
        <v>0</v>
      </c>
      <c r="Q125" s="251" cm="1">
        <f t="array" ref="Q125">-SUMPRODUCT(
  desp[valor] *
  (desp[nucleo]=$B125) *
  (desp[centro.negocio]=$B$120) *
  (desp[data.pagamento]&gt;=Q$1) *
  (desp[data.pagamento]&lt;EOMONTH(Q$1,0)+1)
)</f>
        <v>0</v>
      </c>
      <c r="S125" s="243">
        <f t="shared" si="33"/>
        <v>0</v>
      </c>
    </row>
    <row r="126" spans="1:19" outlineLevel="2" x14ac:dyDescent="0.25">
      <c r="A126" s="250" t="s">
        <v>696</v>
      </c>
      <c r="B126" s="250" t="s">
        <v>590</v>
      </c>
      <c r="C126" s="197" t="s">
        <v>556</v>
      </c>
      <c r="D126" s="251" cm="1">
        <f t="array" ref="D126">-SUMPRODUCT(
  desp[valor] *
  (desp[nucleo]=$B126) *
  (desp[centro.negocio]=$B$120) *
  (desp[data.pagamento]&gt;=D$1) *
  (desp[data.pagamento]&lt;EOMONTH(D$1,0)+1)
)</f>
        <v>0</v>
      </c>
      <c r="E126" s="251" cm="1">
        <f t="array" ref="E126">-SUMPRODUCT(
  desp[valor] *
  (desp[nucleo]=$B126) *
  (desp[centro.negocio]=$B$120) *
  (desp[data.pagamento]&gt;=E$1) *
  (desp[data.pagamento]&lt;EOMONTH(E$1,0)+1)
)</f>
        <v>0</v>
      </c>
      <c r="F126" s="251" cm="1">
        <f t="array" ref="F126">-SUMPRODUCT(
  desp[valor] *
  (desp[nucleo]=$B126) *
  (desp[centro.negocio]=$B$120) *
  (desp[data.pagamento]&gt;=F$1) *
  (desp[data.pagamento]&lt;EOMONTH(F$1,0)+1)
)</f>
        <v>0</v>
      </c>
      <c r="G126" s="251" cm="1">
        <f t="array" ref="G126">-SUMPRODUCT(
  desp[valor] *
  (desp[nucleo]=$B126) *
  (desp[centro.negocio]=$B$120) *
  (desp[data.pagamento]&gt;=G$1) *
  (desp[data.pagamento]&lt;EOMONTH(G$1,0)+1)
)</f>
        <v>0</v>
      </c>
      <c r="H126" s="251" cm="1">
        <f t="array" ref="H126">-SUMPRODUCT(
  desp[valor] *
  (desp[nucleo]=$B126) *
  (desp[centro.negocio]=$B$120) *
  (desp[data.pagamento]&gt;=H$1) *
  (desp[data.pagamento]&lt;EOMONTH(H$1,0)+1)
)</f>
        <v>0</v>
      </c>
      <c r="I126" s="251" cm="1">
        <f t="array" ref="I126">-SUMPRODUCT(
  desp[valor] *
  (desp[nucleo]=$B126) *
  (desp[centro.negocio]=$B$120) *
  (desp[data.pagamento]&gt;=I$1) *
  (desp[data.pagamento]&lt;EOMONTH(I$1,0)+1)
)</f>
        <v>0</v>
      </c>
      <c r="J126" s="251" cm="1">
        <f t="array" ref="J126">-SUMPRODUCT(
  desp[valor] *
  (desp[nucleo]=$B126) *
  (desp[centro.negocio]=$B$120) *
  (desp[data.pagamento]&gt;=J$1) *
  (desp[data.pagamento]&lt;EOMONTH(J$1,0)+1)
)</f>
        <v>0</v>
      </c>
      <c r="K126" s="251" cm="1">
        <f t="array" ref="K126">-SUMPRODUCT(
  desp[valor] *
  (desp[nucleo]=$B126) *
  (desp[centro.negocio]=$B$120) *
  (desp[data.pagamento]&gt;=K$1) *
  (desp[data.pagamento]&lt;EOMONTH(K$1,0)+1)
)</f>
        <v>0</v>
      </c>
      <c r="L126" s="251" cm="1">
        <f t="array" ref="L126">-SUMPRODUCT(
  desp[valor] *
  (desp[nucleo]=$B126) *
  (desp[centro.negocio]=$B$120) *
  (desp[data.pagamento]&gt;=L$1) *
  (desp[data.pagamento]&lt;EOMONTH(L$1,0)+1)
)</f>
        <v>0</v>
      </c>
      <c r="M126" s="251" cm="1">
        <f t="array" ref="M126">-SUMPRODUCT(
  desp[valor] *
  (desp[nucleo]=$B126) *
  (desp[centro.negocio]=$B$120) *
  (desp[data.pagamento]&gt;=M$1) *
  (desp[data.pagamento]&lt;EOMONTH(M$1,0)+1)
)</f>
        <v>0</v>
      </c>
      <c r="N126" s="251" cm="1">
        <f t="array" ref="N126">-SUMPRODUCT(
  desp[valor] *
  (desp[nucleo]=$B126) *
  (desp[centro.negocio]=$B$120) *
  (desp[data.pagamento]&gt;=N$1) *
  (desp[data.pagamento]&lt;EOMONTH(N$1,0)+1)
)</f>
        <v>0</v>
      </c>
      <c r="O126" s="251" cm="1">
        <f t="array" ref="O126">-SUMPRODUCT(
  desp[valor] *
  (desp[nucleo]=$B126) *
  (desp[centro.negocio]=$B$120) *
  (desp[data.pagamento]&gt;=O$1) *
  (desp[data.pagamento]&lt;EOMONTH(O$1,0)+1)
)</f>
        <v>0</v>
      </c>
      <c r="P126" s="251" cm="1">
        <f t="array" ref="P126">-SUMPRODUCT(
  desp[valor] *
  (desp[nucleo]=$B126) *
  (desp[centro.negocio]=$B$120) *
  (desp[data.pagamento]&gt;=P$1) *
  (desp[data.pagamento]&lt;EOMONTH(P$1,0)+1)
)</f>
        <v>0</v>
      </c>
      <c r="Q126" s="251" cm="1">
        <f t="array" ref="Q126">-SUMPRODUCT(
  desp[valor] *
  (desp[nucleo]=$B126) *
  (desp[centro.negocio]=$B$120) *
  (desp[data.pagamento]&gt;=Q$1) *
  (desp[data.pagamento]&lt;EOMONTH(Q$1,0)+1)
)</f>
        <v>0</v>
      </c>
      <c r="S126" s="243">
        <f t="shared" si="33"/>
        <v>0</v>
      </c>
    </row>
    <row r="127" spans="1:19" outlineLevel="2" x14ac:dyDescent="0.25">
      <c r="A127" s="250" t="s">
        <v>697</v>
      </c>
      <c r="B127" s="250" t="s">
        <v>580</v>
      </c>
      <c r="C127" s="197" t="s">
        <v>556</v>
      </c>
      <c r="D127" s="251" cm="1">
        <f t="array" ref="D127">-SUMPRODUCT(
  desp[valor] *
  (desp[nucleo]=$B127) *
  (desp[centro.negocio]=$B$120) *
  (desp[data.pagamento]&gt;=D$1) *
  (desp[data.pagamento]&lt;EOMONTH(D$1,0)+1)
)</f>
        <v>0</v>
      </c>
      <c r="E127" s="251" cm="1">
        <f t="array" ref="E127">-SUMPRODUCT(
  desp[valor] *
  (desp[nucleo]=$B127) *
  (desp[centro.negocio]=$B$120) *
  (desp[data.pagamento]&gt;=E$1) *
  (desp[data.pagamento]&lt;EOMONTH(E$1,0)+1)
)</f>
        <v>0</v>
      </c>
      <c r="F127" s="251" cm="1">
        <f t="array" ref="F127">-SUMPRODUCT(
  desp[valor] *
  (desp[nucleo]=$B127) *
  (desp[centro.negocio]=$B$120) *
  (desp[data.pagamento]&gt;=F$1) *
  (desp[data.pagamento]&lt;EOMONTH(F$1,0)+1)
)</f>
        <v>0</v>
      </c>
      <c r="G127" s="251" cm="1">
        <f t="array" ref="G127">-SUMPRODUCT(
  desp[valor] *
  (desp[nucleo]=$B127) *
  (desp[centro.negocio]=$B$120) *
  (desp[data.pagamento]&gt;=G$1) *
  (desp[data.pagamento]&lt;EOMONTH(G$1,0)+1)
)</f>
        <v>0</v>
      </c>
      <c r="H127" s="251" cm="1">
        <f t="array" ref="H127">-SUMPRODUCT(
  desp[valor] *
  (desp[nucleo]=$B127) *
  (desp[centro.negocio]=$B$120) *
  (desp[data.pagamento]&gt;=H$1) *
  (desp[data.pagamento]&lt;EOMONTH(H$1,0)+1)
)</f>
        <v>0</v>
      </c>
      <c r="I127" s="251" cm="1">
        <f t="array" ref="I127">-SUMPRODUCT(
  desp[valor] *
  (desp[nucleo]=$B127) *
  (desp[centro.negocio]=$B$120) *
  (desp[data.pagamento]&gt;=I$1) *
  (desp[data.pagamento]&lt;EOMONTH(I$1,0)+1)
)</f>
        <v>0</v>
      </c>
      <c r="J127" s="251" cm="1">
        <f t="array" ref="J127">-SUMPRODUCT(
  desp[valor] *
  (desp[nucleo]=$B127) *
  (desp[centro.negocio]=$B$120) *
  (desp[data.pagamento]&gt;=J$1) *
  (desp[data.pagamento]&lt;EOMONTH(J$1,0)+1)
)</f>
        <v>0</v>
      </c>
      <c r="K127" s="251" cm="1">
        <f t="array" ref="K127">-SUMPRODUCT(
  desp[valor] *
  (desp[nucleo]=$B127) *
  (desp[centro.negocio]=$B$120) *
  (desp[data.pagamento]&gt;=K$1) *
  (desp[data.pagamento]&lt;EOMONTH(K$1,0)+1)
)</f>
        <v>0</v>
      </c>
      <c r="L127" s="251" cm="1">
        <f t="array" ref="L127">-SUMPRODUCT(
  desp[valor] *
  (desp[nucleo]=$B127) *
  (desp[centro.negocio]=$B$120) *
  (desp[data.pagamento]&gt;=L$1) *
  (desp[data.pagamento]&lt;EOMONTH(L$1,0)+1)
)</f>
        <v>0</v>
      </c>
      <c r="M127" s="251" cm="1">
        <f t="array" ref="M127">-SUMPRODUCT(
  desp[valor] *
  (desp[nucleo]=$B127) *
  (desp[centro.negocio]=$B$120) *
  (desp[data.pagamento]&gt;=M$1) *
  (desp[data.pagamento]&lt;EOMONTH(M$1,0)+1)
)</f>
        <v>0</v>
      </c>
      <c r="N127" s="251" cm="1">
        <f t="array" ref="N127">-SUMPRODUCT(
  desp[valor] *
  (desp[nucleo]=$B127) *
  (desp[centro.negocio]=$B$120) *
  (desp[data.pagamento]&gt;=N$1) *
  (desp[data.pagamento]&lt;EOMONTH(N$1,0)+1)
)</f>
        <v>0</v>
      </c>
      <c r="O127" s="251" cm="1">
        <f t="array" ref="O127">-SUMPRODUCT(
  desp[valor] *
  (desp[nucleo]=$B127) *
  (desp[centro.negocio]=$B$120) *
  (desp[data.pagamento]&gt;=O$1) *
  (desp[data.pagamento]&lt;EOMONTH(O$1,0)+1)
)</f>
        <v>0</v>
      </c>
      <c r="P127" s="251" cm="1">
        <f t="array" ref="P127">-SUMPRODUCT(
  desp[valor] *
  (desp[nucleo]=$B127) *
  (desp[centro.negocio]=$B$120) *
  (desp[data.pagamento]&gt;=P$1) *
  (desp[data.pagamento]&lt;EOMONTH(P$1,0)+1)
)</f>
        <v>0</v>
      </c>
      <c r="Q127" s="251" cm="1">
        <f t="array" ref="Q127">-SUMPRODUCT(
  desp[valor] *
  (desp[nucleo]=$B127) *
  (desp[centro.negocio]=$B$120) *
  (desp[data.pagamento]&gt;=Q$1) *
  (desp[data.pagamento]&lt;EOMONTH(Q$1,0)+1)
)</f>
        <v>0</v>
      </c>
      <c r="S127" s="243">
        <f t="shared" si="33"/>
        <v>0</v>
      </c>
    </row>
    <row r="128" spans="1:19" outlineLevel="2" x14ac:dyDescent="0.25">
      <c r="A128" s="250" t="s">
        <v>698</v>
      </c>
      <c r="B128" s="250" t="s">
        <v>613</v>
      </c>
      <c r="C128" s="197" t="s">
        <v>556</v>
      </c>
      <c r="D128" s="251" cm="1">
        <f t="array" ref="D128">-SUMPRODUCT(
  desp[valor] *
  (desp[nucleo]=$B128) *
  (desp[centro.negocio]=$B$120) *
  (desp[data.pagamento]&gt;=D$1) *
  (desp[data.pagamento]&lt;EOMONTH(D$1,0)+1)
)</f>
        <v>0</v>
      </c>
      <c r="E128" s="251" cm="1">
        <f t="array" ref="E128">-SUMPRODUCT(
  desp[valor] *
  (desp[nucleo]=$B128) *
  (desp[centro.negocio]=$B$120) *
  (desp[data.pagamento]&gt;=E$1) *
  (desp[data.pagamento]&lt;EOMONTH(E$1,0)+1)
)</f>
        <v>0</v>
      </c>
      <c r="F128" s="251" cm="1">
        <f t="array" ref="F128">-SUMPRODUCT(
  desp[valor] *
  (desp[nucleo]=$B128) *
  (desp[centro.negocio]=$B$120) *
  (desp[data.pagamento]&gt;=F$1) *
  (desp[data.pagamento]&lt;EOMONTH(F$1,0)+1)
)</f>
        <v>0</v>
      </c>
      <c r="G128" s="251" cm="1">
        <f t="array" ref="G128">-SUMPRODUCT(
  desp[valor] *
  (desp[nucleo]=$B128) *
  (desp[centro.negocio]=$B$120) *
  (desp[data.pagamento]&gt;=G$1) *
  (desp[data.pagamento]&lt;EOMONTH(G$1,0)+1)
)</f>
        <v>0</v>
      </c>
      <c r="H128" s="251" cm="1">
        <f t="array" ref="H128">-SUMPRODUCT(
  desp[valor] *
  (desp[nucleo]=$B128) *
  (desp[centro.negocio]=$B$120) *
  (desp[data.pagamento]&gt;=H$1) *
  (desp[data.pagamento]&lt;EOMONTH(H$1,0)+1)
)</f>
        <v>0</v>
      </c>
      <c r="I128" s="251" cm="1">
        <f t="array" ref="I128">-SUMPRODUCT(
  desp[valor] *
  (desp[nucleo]=$B128) *
  (desp[centro.negocio]=$B$120) *
  (desp[data.pagamento]&gt;=I$1) *
  (desp[data.pagamento]&lt;EOMONTH(I$1,0)+1)
)</f>
        <v>0</v>
      </c>
      <c r="J128" s="251" cm="1">
        <f t="array" ref="J128">-SUMPRODUCT(
  desp[valor] *
  (desp[nucleo]=$B128) *
  (desp[centro.negocio]=$B$120) *
  (desp[data.pagamento]&gt;=J$1) *
  (desp[data.pagamento]&lt;EOMONTH(J$1,0)+1)
)</f>
        <v>0</v>
      </c>
      <c r="K128" s="251" cm="1">
        <f t="array" ref="K128">-SUMPRODUCT(
  desp[valor] *
  (desp[nucleo]=$B128) *
  (desp[centro.negocio]=$B$120) *
  (desp[data.pagamento]&gt;=K$1) *
  (desp[data.pagamento]&lt;EOMONTH(K$1,0)+1)
)</f>
        <v>0</v>
      </c>
      <c r="L128" s="251" cm="1">
        <f t="array" ref="L128">-SUMPRODUCT(
  desp[valor] *
  (desp[nucleo]=$B128) *
  (desp[centro.negocio]=$B$120) *
  (desp[data.pagamento]&gt;=L$1) *
  (desp[data.pagamento]&lt;EOMONTH(L$1,0)+1)
)</f>
        <v>0</v>
      </c>
      <c r="M128" s="251" cm="1">
        <f t="array" ref="M128">-SUMPRODUCT(
  desp[valor] *
  (desp[nucleo]=$B128) *
  (desp[centro.negocio]=$B$120) *
  (desp[data.pagamento]&gt;=M$1) *
  (desp[data.pagamento]&lt;EOMONTH(M$1,0)+1)
)</f>
        <v>0</v>
      </c>
      <c r="N128" s="251" cm="1">
        <f t="array" ref="N128">-SUMPRODUCT(
  desp[valor] *
  (desp[nucleo]=$B128) *
  (desp[centro.negocio]=$B$120) *
  (desp[data.pagamento]&gt;=N$1) *
  (desp[data.pagamento]&lt;EOMONTH(N$1,0)+1)
)</f>
        <v>0</v>
      </c>
      <c r="O128" s="251" cm="1">
        <f t="array" ref="O128">-SUMPRODUCT(
  desp[valor] *
  (desp[nucleo]=$B128) *
  (desp[centro.negocio]=$B$120) *
  (desp[data.pagamento]&gt;=O$1) *
  (desp[data.pagamento]&lt;EOMONTH(O$1,0)+1)
)</f>
        <v>0</v>
      </c>
      <c r="P128" s="251" cm="1">
        <f t="array" ref="P128">-SUMPRODUCT(
  desp[valor] *
  (desp[nucleo]=$B128) *
  (desp[centro.negocio]=$B$120) *
  (desp[data.pagamento]&gt;=P$1) *
  (desp[data.pagamento]&lt;EOMONTH(P$1,0)+1)
)</f>
        <v>0</v>
      </c>
      <c r="Q128" s="251" cm="1">
        <f t="array" ref="Q128">-SUMPRODUCT(
  desp[valor] *
  (desp[nucleo]=$B128) *
  (desp[centro.negocio]=$B$120) *
  (desp[data.pagamento]&gt;=Q$1) *
  (desp[data.pagamento]&lt;EOMONTH(Q$1,0)+1)
)</f>
        <v>0</v>
      </c>
      <c r="S128" s="243">
        <f t="shared" si="33"/>
        <v>0</v>
      </c>
    </row>
    <row r="129" spans="1:19" outlineLevel="2" x14ac:dyDescent="0.25">
      <c r="A129" s="250" t="s">
        <v>699</v>
      </c>
      <c r="B129" s="250" t="s">
        <v>582</v>
      </c>
      <c r="C129" s="197" t="s">
        <v>556</v>
      </c>
      <c r="D129" s="251" cm="1">
        <f t="array" ref="D129">-SUMPRODUCT(
  desp[valor] *
  (desp[nucleo]=$B129) *
  (desp[centro.negocio]=$B$120) *
  (desp[data.pagamento]&gt;=D$1) *
  (desp[data.pagamento]&lt;EOMONTH(D$1,0)+1)
)</f>
        <v>0</v>
      </c>
      <c r="E129" s="251" cm="1">
        <f t="array" ref="E129">-SUMPRODUCT(
  desp[valor] *
  (desp[nucleo]=$B129) *
  (desp[centro.negocio]=$B$120) *
  (desp[data.pagamento]&gt;=E$1) *
  (desp[data.pagamento]&lt;EOMONTH(E$1,0)+1)
)</f>
        <v>0</v>
      </c>
      <c r="F129" s="251" cm="1">
        <f t="array" ref="F129">-SUMPRODUCT(
  desp[valor] *
  (desp[nucleo]=$B129) *
  (desp[centro.negocio]=$B$120) *
  (desp[data.pagamento]&gt;=F$1) *
  (desp[data.pagamento]&lt;EOMONTH(F$1,0)+1)
)</f>
        <v>0</v>
      </c>
      <c r="G129" s="251" cm="1">
        <f t="array" ref="G129">-SUMPRODUCT(
  desp[valor] *
  (desp[nucleo]=$B129) *
  (desp[centro.negocio]=$B$120) *
  (desp[data.pagamento]&gt;=G$1) *
  (desp[data.pagamento]&lt;EOMONTH(G$1,0)+1)
)</f>
        <v>0</v>
      </c>
      <c r="H129" s="251" cm="1">
        <f t="array" ref="H129">-SUMPRODUCT(
  desp[valor] *
  (desp[nucleo]=$B129) *
  (desp[centro.negocio]=$B$120) *
  (desp[data.pagamento]&gt;=H$1) *
  (desp[data.pagamento]&lt;EOMONTH(H$1,0)+1)
)</f>
        <v>0</v>
      </c>
      <c r="I129" s="251" cm="1">
        <f t="array" ref="I129">-SUMPRODUCT(
  desp[valor] *
  (desp[nucleo]=$B129) *
  (desp[centro.negocio]=$B$120) *
  (desp[data.pagamento]&gt;=I$1) *
  (desp[data.pagamento]&lt;EOMONTH(I$1,0)+1)
)</f>
        <v>0</v>
      </c>
      <c r="J129" s="251" cm="1">
        <f t="array" ref="J129">-SUMPRODUCT(
  desp[valor] *
  (desp[nucleo]=$B129) *
  (desp[centro.negocio]=$B$120) *
  (desp[data.pagamento]&gt;=J$1) *
  (desp[data.pagamento]&lt;EOMONTH(J$1,0)+1)
)</f>
        <v>0</v>
      </c>
      <c r="K129" s="251" cm="1">
        <f t="array" ref="K129">-SUMPRODUCT(
  desp[valor] *
  (desp[nucleo]=$B129) *
  (desp[centro.negocio]=$B$120) *
  (desp[data.pagamento]&gt;=K$1) *
  (desp[data.pagamento]&lt;EOMONTH(K$1,0)+1)
)</f>
        <v>0</v>
      </c>
      <c r="L129" s="251" cm="1">
        <f t="array" ref="L129">-SUMPRODUCT(
  desp[valor] *
  (desp[nucleo]=$B129) *
  (desp[centro.negocio]=$B$120) *
  (desp[data.pagamento]&gt;=L$1) *
  (desp[data.pagamento]&lt;EOMONTH(L$1,0)+1)
)</f>
        <v>0</v>
      </c>
      <c r="M129" s="251" cm="1">
        <f t="array" ref="M129">-SUMPRODUCT(
  desp[valor] *
  (desp[nucleo]=$B129) *
  (desp[centro.negocio]=$B$120) *
  (desp[data.pagamento]&gt;=M$1) *
  (desp[data.pagamento]&lt;EOMONTH(M$1,0)+1)
)</f>
        <v>0</v>
      </c>
      <c r="N129" s="251" cm="1">
        <f t="array" ref="N129">-SUMPRODUCT(
  desp[valor] *
  (desp[nucleo]=$B129) *
  (desp[centro.negocio]=$B$120) *
  (desp[data.pagamento]&gt;=N$1) *
  (desp[data.pagamento]&lt;EOMONTH(N$1,0)+1)
)</f>
        <v>0</v>
      </c>
      <c r="O129" s="251" cm="1">
        <f t="array" ref="O129">-SUMPRODUCT(
  desp[valor] *
  (desp[nucleo]=$B129) *
  (desp[centro.negocio]=$B$120) *
  (desp[data.pagamento]&gt;=O$1) *
  (desp[data.pagamento]&lt;EOMONTH(O$1,0)+1)
)</f>
        <v>0</v>
      </c>
      <c r="P129" s="251" cm="1">
        <f t="array" ref="P129">-SUMPRODUCT(
  desp[valor] *
  (desp[nucleo]=$B129) *
  (desp[centro.negocio]=$B$120) *
  (desp[data.pagamento]&gt;=P$1) *
  (desp[data.pagamento]&lt;EOMONTH(P$1,0)+1)
)</f>
        <v>0</v>
      </c>
      <c r="Q129" s="251" cm="1">
        <f t="array" ref="Q129">-SUMPRODUCT(
  desp[valor] *
  (desp[nucleo]=$B129) *
  (desp[centro.negocio]=$B$120) *
  (desp[data.pagamento]&gt;=Q$1) *
  (desp[data.pagamento]&lt;EOMONTH(Q$1,0)+1)
)</f>
        <v>0</v>
      </c>
      <c r="S129" s="243">
        <f t="shared" si="33"/>
        <v>0</v>
      </c>
    </row>
    <row r="130" spans="1:19" outlineLevel="2" x14ac:dyDescent="0.25">
      <c r="A130" s="256" t="s">
        <v>700</v>
      </c>
      <c r="B130" s="250" t="s">
        <v>688</v>
      </c>
      <c r="C130" s="197" t="s">
        <v>556</v>
      </c>
      <c r="D130" s="251" cm="1">
        <f t="array" ref="D130">-SUMPRODUCT(
  desp[valor] *
  (desp[nucleo]=$B130) *
  (desp[centro.negocio]=$B$120) *
  (desp[data.pagamento]&gt;=D$1) *
  (desp[data.pagamento]&lt;EOMONTH(D$1,0)+1)
)</f>
        <v>0</v>
      </c>
      <c r="E130" s="251" cm="1">
        <f t="array" ref="E130">-SUMPRODUCT(
  desp[valor] *
  (desp[nucleo]=$B130) *
  (desp[centro.negocio]=$B$120) *
  (desp[data.pagamento]&gt;=E$1) *
  (desp[data.pagamento]&lt;EOMONTH(E$1,0)+1)
)</f>
        <v>0</v>
      </c>
      <c r="F130" s="251" cm="1">
        <f t="array" ref="F130">-SUMPRODUCT(
  desp[valor] *
  (desp[nucleo]=$B130) *
  (desp[centro.negocio]=$B$120) *
  (desp[data.pagamento]&gt;=F$1) *
  (desp[data.pagamento]&lt;EOMONTH(F$1,0)+1)
)</f>
        <v>0</v>
      </c>
      <c r="G130" s="251" cm="1">
        <f t="array" ref="G130">-SUMPRODUCT(
  desp[valor] *
  (desp[nucleo]=$B130) *
  (desp[centro.negocio]=$B$120) *
  (desp[data.pagamento]&gt;=G$1) *
  (desp[data.pagamento]&lt;EOMONTH(G$1,0)+1)
)</f>
        <v>0</v>
      </c>
      <c r="H130" s="251" cm="1">
        <f t="array" ref="H130">-SUMPRODUCT(
  desp[valor] *
  (desp[nucleo]=$B130) *
  (desp[centro.negocio]=$B$120) *
  (desp[data.pagamento]&gt;=H$1) *
  (desp[data.pagamento]&lt;EOMONTH(H$1,0)+1)
)</f>
        <v>0</v>
      </c>
      <c r="I130" s="251" cm="1">
        <f t="array" ref="I130">-SUMPRODUCT(
  desp[valor] *
  (desp[nucleo]=$B130) *
  (desp[centro.negocio]=$B$120) *
  (desp[data.pagamento]&gt;=I$1) *
  (desp[data.pagamento]&lt;EOMONTH(I$1,0)+1)
)</f>
        <v>0</v>
      </c>
      <c r="J130" s="251" cm="1">
        <f t="array" ref="J130">-SUMPRODUCT(
  desp[valor] *
  (desp[nucleo]=$B130) *
  (desp[centro.negocio]=$B$120) *
  (desp[data.pagamento]&gt;=J$1) *
  (desp[data.pagamento]&lt;EOMONTH(J$1,0)+1)
)</f>
        <v>0</v>
      </c>
      <c r="K130" s="251" cm="1">
        <f t="array" ref="K130">-SUMPRODUCT(
  desp[valor] *
  (desp[nucleo]=$B130) *
  (desp[centro.negocio]=$B$120) *
  (desp[data.pagamento]&gt;=K$1) *
  (desp[data.pagamento]&lt;EOMONTH(K$1,0)+1)
)</f>
        <v>0</v>
      </c>
      <c r="L130" s="251" cm="1">
        <f t="array" ref="L130">-SUMPRODUCT(
  desp[valor] *
  (desp[nucleo]=$B130) *
  (desp[centro.negocio]=$B$120) *
  (desp[data.pagamento]&gt;=L$1) *
  (desp[data.pagamento]&lt;EOMONTH(L$1,0)+1)
)</f>
        <v>0</v>
      </c>
      <c r="M130" s="251" cm="1">
        <f t="array" ref="M130">-SUMPRODUCT(
  desp[valor] *
  (desp[nucleo]=$B130) *
  (desp[centro.negocio]=$B$120) *
  (desp[data.pagamento]&gt;=M$1) *
  (desp[data.pagamento]&lt;EOMONTH(M$1,0)+1)
)</f>
        <v>0</v>
      </c>
      <c r="N130" s="251" cm="1">
        <f t="array" ref="N130">-SUMPRODUCT(
  desp[valor] *
  (desp[nucleo]=$B130) *
  (desp[centro.negocio]=$B$120) *
  (desp[data.pagamento]&gt;=N$1) *
  (desp[data.pagamento]&lt;EOMONTH(N$1,0)+1)
)</f>
        <v>0</v>
      </c>
      <c r="O130" s="251" cm="1">
        <f t="array" ref="O130">-SUMPRODUCT(
  desp[valor] *
  (desp[nucleo]=$B130) *
  (desp[centro.negocio]=$B$120) *
  (desp[data.pagamento]&gt;=O$1) *
  (desp[data.pagamento]&lt;EOMONTH(O$1,0)+1)
)</f>
        <v>0</v>
      </c>
      <c r="P130" s="251" cm="1">
        <f t="array" ref="P130">-SUMPRODUCT(
  desp[valor] *
  (desp[nucleo]=$B130) *
  (desp[centro.negocio]=$B$120) *
  (desp[data.pagamento]&gt;=P$1) *
  (desp[data.pagamento]&lt;EOMONTH(P$1,0)+1)
)</f>
        <v>0</v>
      </c>
      <c r="Q130" s="251" cm="1">
        <f t="array" ref="Q130">-SUMPRODUCT(
  desp[valor] *
  (desp[nucleo]=$B130) *
  (desp[centro.negocio]=$B$120) *
  (desp[data.pagamento]&gt;=Q$1) *
  (desp[data.pagamento]&lt;EOMONTH(Q$1,0)+1)
)</f>
        <v>0</v>
      </c>
      <c r="S130" s="243">
        <f t="shared" si="33"/>
        <v>0</v>
      </c>
    </row>
    <row r="131" spans="1:19" outlineLevel="2" x14ac:dyDescent="0.25">
      <c r="A131" s="250" t="s">
        <v>701</v>
      </c>
      <c r="B131" s="250" t="s">
        <v>586</v>
      </c>
      <c r="C131" s="197" t="s">
        <v>556</v>
      </c>
      <c r="D131" s="251" cm="1">
        <f t="array" ref="D131">-SUMPRODUCT(
  desp[valor] *
  (desp[nucleo]=$B131) *
  (desp[centro.negocio]=$B$120) *
  (desp[data.pagamento]&gt;=D$1) *
  (desp[data.pagamento]&lt;EOMONTH(D$1,0)+1)
)</f>
        <v>0</v>
      </c>
      <c r="E131" s="251" cm="1">
        <f t="array" ref="E131">-SUMPRODUCT(
  desp[valor] *
  (desp[nucleo]=$B131) *
  (desp[centro.negocio]=$B$120) *
  (desp[data.pagamento]&gt;=E$1) *
  (desp[data.pagamento]&lt;EOMONTH(E$1,0)+1)
)</f>
        <v>0</v>
      </c>
      <c r="F131" s="251" cm="1">
        <f t="array" ref="F131">-SUMPRODUCT(
  desp[valor] *
  (desp[nucleo]=$B131) *
  (desp[centro.negocio]=$B$120) *
  (desp[data.pagamento]&gt;=F$1) *
  (desp[data.pagamento]&lt;EOMONTH(F$1,0)+1)
)</f>
        <v>0</v>
      </c>
      <c r="G131" s="251" cm="1">
        <f t="array" ref="G131">-SUMPRODUCT(
  desp[valor] *
  (desp[nucleo]=$B131) *
  (desp[centro.negocio]=$B$120) *
  (desp[data.pagamento]&gt;=G$1) *
  (desp[data.pagamento]&lt;EOMONTH(G$1,0)+1)
)</f>
        <v>0</v>
      </c>
      <c r="H131" s="251" cm="1">
        <f t="array" ref="H131">-SUMPRODUCT(
  desp[valor] *
  (desp[nucleo]=$B131) *
  (desp[centro.negocio]=$B$120) *
  (desp[data.pagamento]&gt;=H$1) *
  (desp[data.pagamento]&lt;EOMONTH(H$1,0)+1)
)</f>
        <v>0</v>
      </c>
      <c r="I131" s="251" cm="1">
        <f t="array" ref="I131">-SUMPRODUCT(
  desp[valor] *
  (desp[nucleo]=$B131) *
  (desp[centro.negocio]=$B$120) *
  (desp[data.pagamento]&gt;=I$1) *
  (desp[data.pagamento]&lt;EOMONTH(I$1,0)+1)
)</f>
        <v>0</v>
      </c>
      <c r="J131" s="251" cm="1">
        <f t="array" ref="J131">-SUMPRODUCT(
  desp[valor] *
  (desp[nucleo]=$B131) *
  (desp[centro.negocio]=$B$120) *
  (desp[data.pagamento]&gt;=J$1) *
  (desp[data.pagamento]&lt;EOMONTH(J$1,0)+1)
)</f>
        <v>0</v>
      </c>
      <c r="K131" s="251" cm="1">
        <f t="array" ref="K131">-SUMPRODUCT(
  desp[valor] *
  (desp[nucleo]=$B131) *
  (desp[centro.negocio]=$B$120) *
  (desp[data.pagamento]&gt;=K$1) *
  (desp[data.pagamento]&lt;EOMONTH(K$1,0)+1)
)</f>
        <v>0</v>
      </c>
      <c r="L131" s="251" cm="1">
        <f t="array" ref="L131">-SUMPRODUCT(
  desp[valor] *
  (desp[nucleo]=$B131) *
  (desp[centro.negocio]=$B$120) *
  (desp[data.pagamento]&gt;=L$1) *
  (desp[data.pagamento]&lt;EOMONTH(L$1,0)+1)
)</f>
        <v>0</v>
      </c>
      <c r="M131" s="251" cm="1">
        <f t="array" ref="M131">-SUMPRODUCT(
  desp[valor] *
  (desp[nucleo]=$B131) *
  (desp[centro.negocio]=$B$120) *
  (desp[data.pagamento]&gt;=M$1) *
  (desp[data.pagamento]&lt;EOMONTH(M$1,0)+1)
)</f>
        <v>0</v>
      </c>
      <c r="N131" s="251" cm="1">
        <f t="array" ref="N131">-SUMPRODUCT(
  desp[valor] *
  (desp[nucleo]=$B131) *
  (desp[centro.negocio]=$B$120) *
  (desp[data.pagamento]&gt;=N$1) *
  (desp[data.pagamento]&lt;EOMONTH(N$1,0)+1)
)</f>
        <v>0</v>
      </c>
      <c r="O131" s="251" cm="1">
        <f t="array" ref="O131">-SUMPRODUCT(
  desp[valor] *
  (desp[nucleo]=$B131) *
  (desp[centro.negocio]=$B$120) *
  (desp[data.pagamento]&gt;=O$1) *
  (desp[data.pagamento]&lt;EOMONTH(O$1,0)+1)
)</f>
        <v>0</v>
      </c>
      <c r="P131" s="251" cm="1">
        <f t="array" ref="P131">-SUMPRODUCT(
  desp[valor] *
  (desp[nucleo]=$B131) *
  (desp[centro.negocio]=$B$120) *
  (desp[data.pagamento]&gt;=P$1) *
  (desp[data.pagamento]&lt;EOMONTH(P$1,0)+1)
)</f>
        <v>0</v>
      </c>
      <c r="Q131" s="251" cm="1">
        <f t="array" ref="Q131">-SUMPRODUCT(
  desp[valor] *
  (desp[nucleo]=$B131) *
  (desp[centro.negocio]=$B$120) *
  (desp[data.pagamento]&gt;=Q$1) *
  (desp[data.pagamento]&lt;EOMONTH(Q$1,0)+1)
)</f>
        <v>0</v>
      </c>
      <c r="S131" s="243">
        <f t="shared" si="33"/>
        <v>0</v>
      </c>
    </row>
    <row r="132" spans="1:19" outlineLevel="2" x14ac:dyDescent="0.25">
      <c r="A132" s="250" t="s">
        <v>702</v>
      </c>
      <c r="B132" s="250" t="s">
        <v>584</v>
      </c>
      <c r="C132" s="197" t="s">
        <v>556</v>
      </c>
      <c r="D132" s="251" cm="1">
        <f t="array" ref="D132">-SUMPRODUCT(
  desp[valor] *
  (desp[nucleo]=$B132) *
  (desp[centro.negocio]=$B$120) *
  (desp[data.pagamento]&gt;=D$1) *
  (desp[data.pagamento]&lt;EOMONTH(D$1,0)+1)
)</f>
        <v>0</v>
      </c>
      <c r="E132" s="251" cm="1">
        <f t="array" ref="E132">-SUMPRODUCT(
  desp[valor] *
  (desp[nucleo]=$B132) *
  (desp[centro.negocio]=$B$120) *
  (desp[data.pagamento]&gt;=E$1) *
  (desp[data.pagamento]&lt;EOMONTH(E$1,0)+1)
)</f>
        <v>0</v>
      </c>
      <c r="F132" s="251" cm="1">
        <f t="array" ref="F132">-SUMPRODUCT(
  desp[valor] *
  (desp[nucleo]=$B132) *
  (desp[centro.negocio]=$B$120) *
  (desp[data.pagamento]&gt;=F$1) *
  (desp[data.pagamento]&lt;EOMONTH(F$1,0)+1)
)</f>
        <v>0</v>
      </c>
      <c r="G132" s="251" cm="1">
        <f t="array" ref="G132">-SUMPRODUCT(
  desp[valor] *
  (desp[nucleo]=$B132) *
  (desp[centro.negocio]=$B$120) *
  (desp[data.pagamento]&gt;=G$1) *
  (desp[data.pagamento]&lt;EOMONTH(G$1,0)+1)
)</f>
        <v>0</v>
      </c>
      <c r="H132" s="251" cm="1">
        <f t="array" ref="H132">-SUMPRODUCT(
  desp[valor] *
  (desp[nucleo]=$B132) *
  (desp[centro.negocio]=$B$120) *
  (desp[data.pagamento]&gt;=H$1) *
  (desp[data.pagamento]&lt;EOMONTH(H$1,0)+1)
)</f>
        <v>0</v>
      </c>
      <c r="I132" s="251" cm="1">
        <f t="array" ref="I132">-SUMPRODUCT(
  desp[valor] *
  (desp[nucleo]=$B132) *
  (desp[centro.negocio]=$B$120) *
  (desp[data.pagamento]&gt;=I$1) *
  (desp[data.pagamento]&lt;EOMONTH(I$1,0)+1)
)</f>
        <v>0</v>
      </c>
      <c r="J132" s="251" cm="1">
        <f t="array" ref="J132">-SUMPRODUCT(
  desp[valor] *
  (desp[nucleo]=$B132) *
  (desp[centro.negocio]=$B$120) *
  (desp[data.pagamento]&gt;=J$1) *
  (desp[data.pagamento]&lt;EOMONTH(J$1,0)+1)
)</f>
        <v>0</v>
      </c>
      <c r="K132" s="251" cm="1">
        <f t="array" ref="K132">-SUMPRODUCT(
  desp[valor] *
  (desp[nucleo]=$B132) *
  (desp[centro.negocio]=$B$120) *
  (desp[data.pagamento]&gt;=K$1) *
  (desp[data.pagamento]&lt;EOMONTH(K$1,0)+1)
)</f>
        <v>0</v>
      </c>
      <c r="L132" s="251" cm="1">
        <f t="array" ref="L132">-SUMPRODUCT(
  desp[valor] *
  (desp[nucleo]=$B132) *
  (desp[centro.negocio]=$B$120) *
  (desp[data.pagamento]&gt;=L$1) *
  (desp[data.pagamento]&lt;EOMONTH(L$1,0)+1)
)</f>
        <v>0</v>
      </c>
      <c r="M132" s="251" cm="1">
        <f t="array" ref="M132">-SUMPRODUCT(
  desp[valor] *
  (desp[nucleo]=$B132) *
  (desp[centro.negocio]=$B$120) *
  (desp[data.pagamento]&gt;=M$1) *
  (desp[data.pagamento]&lt;EOMONTH(M$1,0)+1)
)</f>
        <v>0</v>
      </c>
      <c r="N132" s="251" cm="1">
        <f t="array" ref="N132">-SUMPRODUCT(
  desp[valor] *
  (desp[nucleo]=$B132) *
  (desp[centro.negocio]=$B$120) *
  (desp[data.pagamento]&gt;=N$1) *
  (desp[data.pagamento]&lt;EOMONTH(N$1,0)+1)
)</f>
        <v>0</v>
      </c>
      <c r="O132" s="251" cm="1">
        <f t="array" ref="O132">-SUMPRODUCT(
  desp[valor] *
  (desp[nucleo]=$B132) *
  (desp[centro.negocio]=$B$120) *
  (desp[data.pagamento]&gt;=O$1) *
  (desp[data.pagamento]&lt;EOMONTH(O$1,0)+1)
)</f>
        <v>0</v>
      </c>
      <c r="P132" s="251" cm="1">
        <f t="array" ref="P132">-SUMPRODUCT(
  desp[valor] *
  (desp[nucleo]=$B132) *
  (desp[centro.negocio]=$B$120) *
  (desp[data.pagamento]&gt;=P$1) *
  (desp[data.pagamento]&lt;EOMONTH(P$1,0)+1)
)</f>
        <v>0</v>
      </c>
      <c r="Q132" s="251" cm="1">
        <f t="array" ref="Q132">-SUMPRODUCT(
  desp[valor] *
  (desp[nucleo]=$B132) *
  (desp[centro.negocio]=$B$120) *
  (desp[data.pagamento]&gt;=Q$1) *
  (desp[data.pagamento]&lt;EOMONTH(Q$1,0)+1)
)</f>
        <v>0</v>
      </c>
      <c r="S132" s="243">
        <f t="shared" si="33"/>
        <v>0</v>
      </c>
    </row>
    <row r="133" spans="1:19" outlineLevel="2" x14ac:dyDescent="0.25">
      <c r="A133" s="250" t="s">
        <v>693</v>
      </c>
      <c r="B133" s="250" t="s">
        <v>689</v>
      </c>
      <c r="C133" s="197" t="s">
        <v>556</v>
      </c>
      <c r="D133" s="251" cm="1">
        <f t="array" ref="D133">-SUMPRODUCT(
  desp[valor] *
  (desp[nucleo]=$B133) *
  (desp[centro.negocio]=$B$120) *
  (desp[data.pagamento]&gt;=D$1) *
  (desp[data.pagamento]&lt;EOMONTH(D$1,0)+1)
)</f>
        <v>0</v>
      </c>
      <c r="E133" s="251" cm="1">
        <f t="array" ref="E133">-SUMPRODUCT(
  desp[valor] *
  (desp[nucleo]=$B133) *
  (desp[centro.negocio]=$B$120) *
  (desp[data.pagamento]&gt;=E$1) *
  (desp[data.pagamento]&lt;EOMONTH(E$1,0)+1)
)</f>
        <v>0</v>
      </c>
      <c r="F133" s="251" cm="1">
        <f t="array" ref="F133">-SUMPRODUCT(
  desp[valor] *
  (desp[nucleo]=$B133) *
  (desp[centro.negocio]=$B$120) *
  (desp[data.pagamento]&gt;=F$1) *
  (desp[data.pagamento]&lt;EOMONTH(F$1,0)+1)
)</f>
        <v>0</v>
      </c>
      <c r="G133" s="251" cm="1">
        <f t="array" ref="G133">-SUMPRODUCT(
  desp[valor] *
  (desp[nucleo]=$B133) *
  (desp[centro.negocio]=$B$120) *
  (desp[data.pagamento]&gt;=G$1) *
  (desp[data.pagamento]&lt;EOMONTH(G$1,0)+1)
)</f>
        <v>0</v>
      </c>
      <c r="H133" s="251" cm="1">
        <f t="array" ref="H133">-SUMPRODUCT(
  desp[valor] *
  (desp[nucleo]=$B133) *
  (desp[centro.negocio]=$B$120) *
  (desp[data.pagamento]&gt;=H$1) *
  (desp[data.pagamento]&lt;EOMONTH(H$1,0)+1)
)</f>
        <v>0</v>
      </c>
      <c r="I133" s="251" cm="1">
        <f t="array" ref="I133">-SUMPRODUCT(
  desp[valor] *
  (desp[nucleo]=$B133) *
  (desp[centro.negocio]=$B$120) *
  (desp[data.pagamento]&gt;=I$1) *
  (desp[data.pagamento]&lt;EOMONTH(I$1,0)+1)
)</f>
        <v>0</v>
      </c>
      <c r="J133" s="251" cm="1">
        <f t="array" ref="J133">-SUMPRODUCT(
  desp[valor] *
  (desp[nucleo]=$B133) *
  (desp[centro.negocio]=$B$120) *
  (desp[data.pagamento]&gt;=J$1) *
  (desp[data.pagamento]&lt;EOMONTH(J$1,0)+1)
)</f>
        <v>0</v>
      </c>
      <c r="K133" s="251" cm="1">
        <f t="array" ref="K133">-SUMPRODUCT(
  desp[valor] *
  (desp[nucleo]=$B133) *
  (desp[centro.negocio]=$B$120) *
  (desp[data.pagamento]&gt;=K$1) *
  (desp[data.pagamento]&lt;EOMONTH(K$1,0)+1)
)</f>
        <v>0</v>
      </c>
      <c r="L133" s="251" cm="1">
        <f t="array" ref="L133">-SUMPRODUCT(
  desp[valor] *
  (desp[nucleo]=$B133) *
  (desp[centro.negocio]=$B$120) *
  (desp[data.pagamento]&gt;=L$1) *
  (desp[data.pagamento]&lt;EOMONTH(L$1,0)+1)
)</f>
        <v>0</v>
      </c>
      <c r="M133" s="251" cm="1">
        <f t="array" ref="M133">-SUMPRODUCT(
  desp[valor] *
  (desp[nucleo]=$B133) *
  (desp[centro.negocio]=$B$120) *
  (desp[data.pagamento]&gt;=M$1) *
  (desp[data.pagamento]&lt;EOMONTH(M$1,0)+1)
)</f>
        <v>0</v>
      </c>
      <c r="N133" s="251" cm="1">
        <f t="array" ref="N133">-SUMPRODUCT(
  desp[valor] *
  (desp[nucleo]=$B133) *
  (desp[centro.negocio]=$B$120) *
  (desp[data.pagamento]&gt;=N$1) *
  (desp[data.pagamento]&lt;EOMONTH(N$1,0)+1)
)</f>
        <v>0</v>
      </c>
      <c r="O133" s="251" cm="1">
        <f t="array" ref="O133">-SUMPRODUCT(
  desp[valor] *
  (desp[nucleo]=$B133) *
  (desp[centro.negocio]=$B$120) *
  (desp[data.pagamento]&gt;=O$1) *
  (desp[data.pagamento]&lt;EOMONTH(O$1,0)+1)
)</f>
        <v>0</v>
      </c>
      <c r="P133" s="251" cm="1">
        <f t="array" ref="P133">-SUMPRODUCT(
  desp[valor] *
  (desp[nucleo]=$B133) *
  (desp[centro.negocio]=$B$120) *
  (desp[data.pagamento]&gt;=P$1) *
  (desp[data.pagamento]&lt;EOMONTH(P$1,0)+1)
)</f>
        <v>0</v>
      </c>
      <c r="Q133" s="251" cm="1">
        <f t="array" ref="Q133">-SUMPRODUCT(
  desp[valor] *
  (desp[nucleo]=$B133) *
  (desp[centro.negocio]=$B$120) *
  (desp[data.pagamento]&gt;=Q$1) *
  (desp[data.pagamento]&lt;EOMONTH(Q$1,0)+1)
)</f>
        <v>0</v>
      </c>
      <c r="S133" s="243">
        <f t="shared" si="33"/>
        <v>0</v>
      </c>
    </row>
    <row r="134" spans="1:19" outlineLevel="1" x14ac:dyDescent="0.25">
      <c r="A134" s="247" t="s">
        <v>703</v>
      </c>
      <c r="B134" s="247" t="s">
        <v>419</v>
      </c>
      <c r="C134" s="248" t="s">
        <v>556</v>
      </c>
      <c r="D134" s="249">
        <f>SUM(D$135:D$138)</f>
        <v>0</v>
      </c>
      <c r="E134" s="249">
        <f t="shared" ref="E134:Q134" si="35">SUM(E$135:E$138)</f>
        <v>0</v>
      </c>
      <c r="F134" s="249">
        <f t="shared" si="35"/>
        <v>0</v>
      </c>
      <c r="G134" s="249">
        <f t="shared" si="35"/>
        <v>0</v>
      </c>
      <c r="H134" s="249">
        <f t="shared" si="35"/>
        <v>0</v>
      </c>
      <c r="I134" s="249">
        <f t="shared" si="35"/>
        <v>0</v>
      </c>
      <c r="J134" s="249">
        <f t="shared" si="35"/>
        <v>0</v>
      </c>
      <c r="K134" s="249">
        <f t="shared" si="35"/>
        <v>0</v>
      </c>
      <c r="L134" s="249">
        <f t="shared" si="35"/>
        <v>0</v>
      </c>
      <c r="M134" s="249">
        <f t="shared" si="35"/>
        <v>0</v>
      </c>
      <c r="N134" s="249">
        <f t="shared" si="35"/>
        <v>0</v>
      </c>
      <c r="O134" s="249">
        <f t="shared" si="35"/>
        <v>0</v>
      </c>
      <c r="P134" s="249">
        <f t="shared" si="35"/>
        <v>0</v>
      </c>
      <c r="Q134" s="249">
        <f t="shared" si="35"/>
        <v>0</v>
      </c>
      <c r="S134" s="243">
        <f t="shared" si="33"/>
        <v>0</v>
      </c>
    </row>
    <row r="135" spans="1:19" outlineLevel="2" x14ac:dyDescent="0.25">
      <c r="A135" s="250" t="s">
        <v>704</v>
      </c>
      <c r="B135" s="250" t="s">
        <v>582</v>
      </c>
      <c r="C135" s="197" t="s">
        <v>556</v>
      </c>
      <c r="D135" s="251" cm="1">
        <f t="array" ref="D135">-SUMPRODUCT(
  desp[valor] *
  (desp[nucleo]=$B135) *
  (desp[centro.negocio]=$B$134) *
  (desp[data.pagamento]&gt;=D$1) *
  (desp[data.pagamento]&lt;EOMONTH(D$1,0)+1)
)</f>
        <v>0</v>
      </c>
      <c r="E135" s="251" cm="1">
        <f t="array" ref="E135">-SUMPRODUCT(
  desp[valor] *
  (desp[nucleo]=$B135) *
  (desp[centro.negocio]=$B$134) *
  (desp[data.pagamento]&gt;=E$1) *
  (desp[data.pagamento]&lt;EOMONTH(E$1,0)+1)
)</f>
        <v>0</v>
      </c>
      <c r="F135" s="251" cm="1">
        <f t="array" ref="F135">-SUMPRODUCT(
  desp[valor] *
  (desp[nucleo]=$B135) *
  (desp[centro.negocio]=$B$134) *
  (desp[data.pagamento]&gt;=F$1) *
  (desp[data.pagamento]&lt;EOMONTH(F$1,0)+1)
)</f>
        <v>0</v>
      </c>
      <c r="G135" s="251" cm="1">
        <f t="array" ref="G135">-SUMPRODUCT(
  desp[valor] *
  (desp[nucleo]=$B135) *
  (desp[centro.negocio]=$B$134) *
  (desp[data.pagamento]&gt;=G$1) *
  (desp[data.pagamento]&lt;EOMONTH(G$1,0)+1)
)</f>
        <v>0</v>
      </c>
      <c r="H135" s="251" cm="1">
        <f t="array" ref="H135">-SUMPRODUCT(
  desp[valor] *
  (desp[nucleo]=$B135) *
  (desp[centro.negocio]=$B$134) *
  (desp[data.pagamento]&gt;=H$1) *
  (desp[data.pagamento]&lt;EOMONTH(H$1,0)+1)
)</f>
        <v>0</v>
      </c>
      <c r="I135" s="251" cm="1">
        <f t="array" ref="I135">-SUMPRODUCT(
  desp[valor] *
  (desp[nucleo]=$B135) *
  (desp[centro.negocio]=$B$134) *
  (desp[data.pagamento]&gt;=I$1) *
  (desp[data.pagamento]&lt;EOMONTH(I$1,0)+1)
)</f>
        <v>0</v>
      </c>
      <c r="J135" s="251" cm="1">
        <f t="array" ref="J135">-SUMPRODUCT(
  desp[valor] *
  (desp[nucleo]=$B135) *
  (desp[centro.negocio]=$B$134) *
  (desp[data.pagamento]&gt;=J$1) *
  (desp[data.pagamento]&lt;EOMONTH(J$1,0)+1)
)</f>
        <v>0</v>
      </c>
      <c r="K135" s="251" cm="1">
        <f t="array" ref="K135">-SUMPRODUCT(
  desp[valor] *
  (desp[nucleo]=$B135) *
  (desp[centro.negocio]=$B$134) *
  (desp[data.pagamento]&gt;=K$1) *
  (desp[data.pagamento]&lt;EOMONTH(K$1,0)+1)
)</f>
        <v>0</v>
      </c>
      <c r="L135" s="251" cm="1">
        <f t="array" ref="L135">-SUMPRODUCT(
  desp[valor] *
  (desp[nucleo]=$B135) *
  (desp[centro.negocio]=$B$134) *
  (desp[data.pagamento]&gt;=L$1) *
  (desp[data.pagamento]&lt;EOMONTH(L$1,0)+1)
)</f>
        <v>0</v>
      </c>
      <c r="M135" s="251" cm="1">
        <f t="array" ref="M135">-SUMPRODUCT(
  desp[valor] *
  (desp[nucleo]=$B135) *
  (desp[centro.negocio]=$B$134) *
  (desp[data.pagamento]&gt;=M$1) *
  (desp[data.pagamento]&lt;EOMONTH(M$1,0)+1)
)</f>
        <v>0</v>
      </c>
      <c r="N135" s="251" cm="1">
        <f t="array" ref="N135">-SUMPRODUCT(
  desp[valor] *
  (desp[nucleo]=$B135) *
  (desp[centro.negocio]=$B$134) *
  (desp[data.pagamento]&gt;=N$1) *
  (desp[data.pagamento]&lt;EOMONTH(N$1,0)+1)
)</f>
        <v>0</v>
      </c>
      <c r="O135" s="251" cm="1">
        <f t="array" ref="O135">-SUMPRODUCT(
  desp[valor] *
  (desp[nucleo]=$B135) *
  (desp[centro.negocio]=$B$134) *
  (desp[data.pagamento]&gt;=O$1) *
  (desp[data.pagamento]&lt;EOMONTH(O$1,0)+1)
)</f>
        <v>0</v>
      </c>
      <c r="P135" s="251" cm="1">
        <f t="array" ref="P135">-SUMPRODUCT(
  desp[valor] *
  (desp[nucleo]=$B135) *
  (desp[centro.negocio]=$B$134) *
  (desp[data.pagamento]&gt;=P$1) *
  (desp[data.pagamento]&lt;EOMONTH(P$1,0)+1)
)</f>
        <v>0</v>
      </c>
      <c r="Q135" s="251" cm="1">
        <f t="array" ref="Q135">-SUMPRODUCT(
  desp[valor] *
  (desp[nucleo]=$B135) *
  (desp[centro.negocio]=$B$134) *
  (desp[data.pagamento]&gt;=Q$1) *
  (desp[data.pagamento]&lt;EOMONTH(Q$1,0)+1)
)</f>
        <v>0</v>
      </c>
      <c r="S135" s="243">
        <f t="shared" si="33"/>
        <v>0</v>
      </c>
    </row>
    <row r="136" spans="1:19" outlineLevel="2" x14ac:dyDescent="0.25">
      <c r="A136" s="250" t="s">
        <v>705</v>
      </c>
      <c r="B136" s="250" t="s">
        <v>580</v>
      </c>
      <c r="C136" s="197" t="s">
        <v>556</v>
      </c>
      <c r="D136" s="251" cm="1">
        <f t="array" ref="D136">-SUMPRODUCT(
  desp[valor] *
  (desp[nucleo]=$B136) *
  (desp[centro.negocio]=$B$134) *
  (desp[data.pagamento]&gt;=D$1) *
  (desp[data.pagamento]&lt;EOMONTH(D$1,0)+1)
)</f>
        <v>0</v>
      </c>
      <c r="E136" s="251" cm="1">
        <f t="array" ref="E136">-SUMPRODUCT(
  desp[valor] *
  (desp[nucleo]=$B136) *
  (desp[centro.negocio]=$B$134) *
  (desp[data.pagamento]&gt;=E$1) *
  (desp[data.pagamento]&lt;EOMONTH(E$1,0)+1)
)</f>
        <v>0</v>
      </c>
      <c r="F136" s="251" cm="1">
        <f t="array" ref="F136">-SUMPRODUCT(
  desp[valor] *
  (desp[nucleo]=$B136) *
  (desp[centro.negocio]=$B$134) *
  (desp[data.pagamento]&gt;=F$1) *
  (desp[data.pagamento]&lt;EOMONTH(F$1,0)+1)
)</f>
        <v>0</v>
      </c>
      <c r="G136" s="251" cm="1">
        <f t="array" ref="G136">-SUMPRODUCT(
  desp[valor] *
  (desp[nucleo]=$B136) *
  (desp[centro.negocio]=$B$134) *
  (desp[data.pagamento]&gt;=G$1) *
  (desp[data.pagamento]&lt;EOMONTH(G$1,0)+1)
)</f>
        <v>0</v>
      </c>
      <c r="H136" s="251" cm="1">
        <f t="array" ref="H136">-SUMPRODUCT(
  desp[valor] *
  (desp[nucleo]=$B136) *
  (desp[centro.negocio]=$B$134) *
  (desp[data.pagamento]&gt;=H$1) *
  (desp[data.pagamento]&lt;EOMONTH(H$1,0)+1)
)</f>
        <v>0</v>
      </c>
      <c r="I136" s="251" cm="1">
        <f t="array" ref="I136">-SUMPRODUCT(
  desp[valor] *
  (desp[nucleo]=$B136) *
  (desp[centro.negocio]=$B$134) *
  (desp[data.pagamento]&gt;=I$1) *
  (desp[data.pagamento]&lt;EOMONTH(I$1,0)+1)
)</f>
        <v>0</v>
      </c>
      <c r="J136" s="251" cm="1">
        <f t="array" ref="J136">-SUMPRODUCT(
  desp[valor] *
  (desp[nucleo]=$B136) *
  (desp[centro.negocio]=$B$134) *
  (desp[data.pagamento]&gt;=J$1) *
  (desp[data.pagamento]&lt;EOMONTH(J$1,0)+1)
)</f>
        <v>0</v>
      </c>
      <c r="K136" s="251" cm="1">
        <f t="array" ref="K136">-SUMPRODUCT(
  desp[valor] *
  (desp[nucleo]=$B136) *
  (desp[centro.negocio]=$B$134) *
  (desp[data.pagamento]&gt;=K$1) *
  (desp[data.pagamento]&lt;EOMONTH(K$1,0)+1)
)</f>
        <v>0</v>
      </c>
      <c r="L136" s="251" cm="1">
        <f t="array" ref="L136">-SUMPRODUCT(
  desp[valor] *
  (desp[nucleo]=$B136) *
  (desp[centro.negocio]=$B$134) *
  (desp[data.pagamento]&gt;=L$1) *
  (desp[data.pagamento]&lt;EOMONTH(L$1,0)+1)
)</f>
        <v>0</v>
      </c>
      <c r="M136" s="251" cm="1">
        <f t="array" ref="M136">-SUMPRODUCT(
  desp[valor] *
  (desp[nucleo]=$B136) *
  (desp[centro.negocio]=$B$134) *
  (desp[data.pagamento]&gt;=M$1) *
  (desp[data.pagamento]&lt;EOMONTH(M$1,0)+1)
)</f>
        <v>0</v>
      </c>
      <c r="N136" s="251" cm="1">
        <f t="array" ref="N136">-SUMPRODUCT(
  desp[valor] *
  (desp[nucleo]=$B136) *
  (desp[centro.negocio]=$B$134) *
  (desp[data.pagamento]&gt;=N$1) *
  (desp[data.pagamento]&lt;EOMONTH(N$1,0)+1)
)</f>
        <v>0</v>
      </c>
      <c r="O136" s="251" cm="1">
        <f t="array" ref="O136">-SUMPRODUCT(
  desp[valor] *
  (desp[nucleo]=$B136) *
  (desp[centro.negocio]=$B$134) *
  (desp[data.pagamento]&gt;=O$1) *
  (desp[data.pagamento]&lt;EOMONTH(O$1,0)+1)
)</f>
        <v>0</v>
      </c>
      <c r="P136" s="251" cm="1">
        <f t="array" ref="P136">-SUMPRODUCT(
  desp[valor] *
  (desp[nucleo]=$B136) *
  (desp[centro.negocio]=$B$134) *
  (desp[data.pagamento]&gt;=P$1) *
  (desp[data.pagamento]&lt;EOMONTH(P$1,0)+1)
)</f>
        <v>0</v>
      </c>
      <c r="Q136" s="251" cm="1">
        <f t="array" ref="Q136">-SUMPRODUCT(
  desp[valor] *
  (desp[nucleo]=$B136) *
  (desp[centro.negocio]=$B$134) *
  (desp[data.pagamento]&gt;=Q$1) *
  (desp[data.pagamento]&lt;EOMONTH(Q$1,0)+1)
)</f>
        <v>0</v>
      </c>
      <c r="S136" s="243">
        <f t="shared" si="33"/>
        <v>0</v>
      </c>
    </row>
    <row r="137" spans="1:19" outlineLevel="2" x14ac:dyDescent="0.25">
      <c r="A137" s="250" t="s">
        <v>706</v>
      </c>
      <c r="B137" s="250" t="s">
        <v>586</v>
      </c>
      <c r="C137" s="197" t="s">
        <v>556</v>
      </c>
      <c r="D137" s="251" cm="1">
        <f t="array" ref="D137">-SUMPRODUCT(
  desp[valor] *
  (desp[nucleo]=$B137) *
  (desp[centro.negocio]=$B$134) *
  (desp[data.pagamento]&gt;=D$1) *
  (desp[data.pagamento]&lt;EOMONTH(D$1,0)+1)
)</f>
        <v>0</v>
      </c>
      <c r="E137" s="251" cm="1">
        <f t="array" ref="E137">-SUMPRODUCT(
  desp[valor] *
  (desp[nucleo]=$B137) *
  (desp[centro.negocio]=$B$134) *
  (desp[data.pagamento]&gt;=E$1) *
  (desp[data.pagamento]&lt;EOMONTH(E$1,0)+1)
)</f>
        <v>0</v>
      </c>
      <c r="F137" s="251" cm="1">
        <f t="array" ref="F137">-SUMPRODUCT(
  desp[valor] *
  (desp[nucleo]=$B137) *
  (desp[centro.negocio]=$B$134) *
  (desp[data.pagamento]&gt;=F$1) *
  (desp[data.pagamento]&lt;EOMONTH(F$1,0)+1)
)</f>
        <v>0</v>
      </c>
      <c r="G137" s="251" cm="1">
        <f t="array" ref="G137">-SUMPRODUCT(
  desp[valor] *
  (desp[nucleo]=$B137) *
  (desp[centro.negocio]=$B$134) *
  (desp[data.pagamento]&gt;=G$1) *
  (desp[data.pagamento]&lt;EOMONTH(G$1,0)+1)
)</f>
        <v>0</v>
      </c>
      <c r="H137" s="251" cm="1">
        <f t="array" ref="H137">-SUMPRODUCT(
  desp[valor] *
  (desp[nucleo]=$B137) *
  (desp[centro.negocio]=$B$134) *
  (desp[data.pagamento]&gt;=H$1) *
  (desp[data.pagamento]&lt;EOMONTH(H$1,0)+1)
)</f>
        <v>0</v>
      </c>
      <c r="I137" s="251" cm="1">
        <f t="array" ref="I137">-SUMPRODUCT(
  desp[valor] *
  (desp[nucleo]=$B137) *
  (desp[centro.negocio]=$B$134) *
  (desp[data.pagamento]&gt;=I$1) *
  (desp[data.pagamento]&lt;EOMONTH(I$1,0)+1)
)</f>
        <v>0</v>
      </c>
      <c r="J137" s="251" cm="1">
        <f t="array" ref="J137">-SUMPRODUCT(
  desp[valor] *
  (desp[nucleo]=$B137) *
  (desp[centro.negocio]=$B$134) *
  (desp[data.pagamento]&gt;=J$1) *
  (desp[data.pagamento]&lt;EOMONTH(J$1,0)+1)
)</f>
        <v>0</v>
      </c>
      <c r="K137" s="251" cm="1">
        <f t="array" ref="K137">-SUMPRODUCT(
  desp[valor] *
  (desp[nucleo]=$B137) *
  (desp[centro.negocio]=$B$134) *
  (desp[data.pagamento]&gt;=K$1) *
  (desp[data.pagamento]&lt;EOMONTH(K$1,0)+1)
)</f>
        <v>0</v>
      </c>
      <c r="L137" s="251" cm="1">
        <f t="array" ref="L137">-SUMPRODUCT(
  desp[valor] *
  (desp[nucleo]=$B137) *
  (desp[centro.negocio]=$B$134) *
  (desp[data.pagamento]&gt;=L$1) *
  (desp[data.pagamento]&lt;EOMONTH(L$1,0)+1)
)</f>
        <v>0</v>
      </c>
      <c r="M137" s="251" cm="1">
        <f t="array" ref="M137">-SUMPRODUCT(
  desp[valor] *
  (desp[nucleo]=$B137) *
  (desp[centro.negocio]=$B$134) *
  (desp[data.pagamento]&gt;=M$1) *
  (desp[data.pagamento]&lt;EOMONTH(M$1,0)+1)
)</f>
        <v>0</v>
      </c>
      <c r="N137" s="251" cm="1">
        <f t="array" ref="N137">-SUMPRODUCT(
  desp[valor] *
  (desp[nucleo]=$B137) *
  (desp[centro.negocio]=$B$134) *
  (desp[data.pagamento]&gt;=N$1) *
  (desp[data.pagamento]&lt;EOMONTH(N$1,0)+1)
)</f>
        <v>0</v>
      </c>
      <c r="O137" s="251" cm="1">
        <f t="array" ref="O137">-SUMPRODUCT(
  desp[valor] *
  (desp[nucleo]=$B137) *
  (desp[centro.negocio]=$B$134) *
  (desp[data.pagamento]&gt;=O$1) *
  (desp[data.pagamento]&lt;EOMONTH(O$1,0)+1)
)</f>
        <v>0</v>
      </c>
      <c r="P137" s="251" cm="1">
        <f t="array" ref="P137">-SUMPRODUCT(
  desp[valor] *
  (desp[nucleo]=$B137) *
  (desp[centro.negocio]=$B$134) *
  (desp[data.pagamento]&gt;=P$1) *
  (desp[data.pagamento]&lt;EOMONTH(P$1,0)+1)
)</f>
        <v>0</v>
      </c>
      <c r="Q137" s="251" cm="1">
        <f t="array" ref="Q137">-SUMPRODUCT(
  desp[valor] *
  (desp[nucleo]=$B137) *
  (desp[centro.negocio]=$B$134) *
  (desp[data.pagamento]&gt;=Q$1) *
  (desp[data.pagamento]&lt;EOMONTH(Q$1,0)+1)
)</f>
        <v>0</v>
      </c>
      <c r="S137" s="243">
        <f t="shared" si="33"/>
        <v>0</v>
      </c>
    </row>
    <row r="138" spans="1:19" outlineLevel="2" x14ac:dyDescent="0.25">
      <c r="A138" s="250" t="s">
        <v>707</v>
      </c>
      <c r="B138" s="250" t="s">
        <v>584</v>
      </c>
      <c r="C138" s="197" t="s">
        <v>556</v>
      </c>
      <c r="D138" s="251" cm="1">
        <f t="array" ref="D138">-SUMPRODUCT(
  desp[valor] *
  (desp[nucleo]=$B138) *
  (desp[centro.negocio]=$B$134) *
  (desp[data.pagamento]&gt;=D$1) *
  (desp[data.pagamento]&lt;EOMONTH(D$1,0)+1)
)</f>
        <v>0</v>
      </c>
      <c r="E138" s="251" cm="1">
        <f t="array" ref="E138">-SUMPRODUCT(
  desp[valor] *
  (desp[nucleo]=$B138) *
  (desp[centro.negocio]=$B$134) *
  (desp[data.pagamento]&gt;=E$1) *
  (desp[data.pagamento]&lt;EOMONTH(E$1,0)+1)
)</f>
        <v>0</v>
      </c>
      <c r="F138" s="251" cm="1">
        <f t="array" ref="F138">-SUMPRODUCT(
  desp[valor] *
  (desp[nucleo]=$B138) *
  (desp[centro.negocio]=$B$134) *
  (desp[data.pagamento]&gt;=F$1) *
  (desp[data.pagamento]&lt;EOMONTH(F$1,0)+1)
)</f>
        <v>0</v>
      </c>
      <c r="G138" s="251" cm="1">
        <f t="array" ref="G138">-SUMPRODUCT(
  desp[valor] *
  (desp[nucleo]=$B138) *
  (desp[centro.negocio]=$B$134) *
  (desp[data.pagamento]&gt;=G$1) *
  (desp[data.pagamento]&lt;EOMONTH(G$1,0)+1)
)</f>
        <v>0</v>
      </c>
      <c r="H138" s="251" cm="1">
        <f t="array" ref="H138">-SUMPRODUCT(
  desp[valor] *
  (desp[nucleo]=$B138) *
  (desp[centro.negocio]=$B$134) *
  (desp[data.pagamento]&gt;=H$1) *
  (desp[data.pagamento]&lt;EOMONTH(H$1,0)+1)
)</f>
        <v>0</v>
      </c>
      <c r="I138" s="251" cm="1">
        <f t="array" ref="I138">-SUMPRODUCT(
  desp[valor] *
  (desp[nucleo]=$B138) *
  (desp[centro.negocio]=$B$134) *
  (desp[data.pagamento]&gt;=I$1) *
  (desp[data.pagamento]&lt;EOMONTH(I$1,0)+1)
)</f>
        <v>0</v>
      </c>
      <c r="J138" s="251" cm="1">
        <f t="array" ref="J138">-SUMPRODUCT(
  desp[valor] *
  (desp[nucleo]=$B138) *
  (desp[centro.negocio]=$B$134) *
  (desp[data.pagamento]&gt;=J$1) *
  (desp[data.pagamento]&lt;EOMONTH(J$1,0)+1)
)</f>
        <v>0</v>
      </c>
      <c r="K138" s="251" cm="1">
        <f t="array" ref="K138">-SUMPRODUCT(
  desp[valor] *
  (desp[nucleo]=$B138) *
  (desp[centro.negocio]=$B$134) *
  (desp[data.pagamento]&gt;=K$1) *
  (desp[data.pagamento]&lt;EOMONTH(K$1,0)+1)
)</f>
        <v>0</v>
      </c>
      <c r="L138" s="251" cm="1">
        <f t="array" ref="L138">-SUMPRODUCT(
  desp[valor] *
  (desp[nucleo]=$B138) *
  (desp[centro.negocio]=$B$134) *
  (desp[data.pagamento]&gt;=L$1) *
  (desp[data.pagamento]&lt;EOMONTH(L$1,0)+1)
)</f>
        <v>0</v>
      </c>
      <c r="M138" s="251" cm="1">
        <f t="array" ref="M138">-SUMPRODUCT(
  desp[valor] *
  (desp[nucleo]=$B138) *
  (desp[centro.negocio]=$B$134) *
  (desp[data.pagamento]&gt;=M$1) *
  (desp[data.pagamento]&lt;EOMONTH(M$1,0)+1)
)</f>
        <v>0</v>
      </c>
      <c r="N138" s="251" cm="1">
        <f t="array" ref="N138">-SUMPRODUCT(
  desp[valor] *
  (desp[nucleo]=$B138) *
  (desp[centro.negocio]=$B$134) *
  (desp[data.pagamento]&gt;=N$1) *
  (desp[data.pagamento]&lt;EOMONTH(N$1,0)+1)
)</f>
        <v>0</v>
      </c>
      <c r="O138" s="251" cm="1">
        <f t="array" ref="O138">-SUMPRODUCT(
  desp[valor] *
  (desp[nucleo]=$B138) *
  (desp[centro.negocio]=$B$134) *
  (desp[data.pagamento]&gt;=O$1) *
  (desp[data.pagamento]&lt;EOMONTH(O$1,0)+1)
)</f>
        <v>0</v>
      </c>
      <c r="P138" s="251" cm="1">
        <f t="array" ref="P138">-SUMPRODUCT(
  desp[valor] *
  (desp[nucleo]=$B138) *
  (desp[centro.negocio]=$B$134) *
  (desp[data.pagamento]&gt;=P$1) *
  (desp[data.pagamento]&lt;EOMONTH(P$1,0)+1)
)</f>
        <v>0</v>
      </c>
      <c r="Q138" s="251" cm="1">
        <f t="array" ref="Q138">-SUMPRODUCT(
  desp[valor] *
  (desp[nucleo]=$B138) *
  (desp[centro.negocio]=$B$134) *
  (desp[data.pagamento]&gt;=Q$1) *
  (desp[data.pagamento]&lt;EOMONTH(Q$1,0)+1)
)</f>
        <v>0</v>
      </c>
      <c r="S138" s="243">
        <f t="shared" si="33"/>
        <v>0</v>
      </c>
    </row>
    <row r="139" spans="1:19" outlineLevel="1" x14ac:dyDescent="0.25">
      <c r="A139" s="247" t="s">
        <v>708</v>
      </c>
      <c r="B139" s="247" t="s">
        <v>395</v>
      </c>
      <c r="C139" s="248" t="s">
        <v>556</v>
      </c>
      <c r="D139" s="249">
        <f>SUM(D$140)</f>
        <v>0</v>
      </c>
      <c r="E139" s="249">
        <f t="shared" ref="E139:Q139" si="36">SUM(E$140)</f>
        <v>0</v>
      </c>
      <c r="F139" s="249">
        <f t="shared" si="36"/>
        <v>0</v>
      </c>
      <c r="G139" s="249">
        <f t="shared" si="36"/>
        <v>0</v>
      </c>
      <c r="H139" s="249">
        <f t="shared" si="36"/>
        <v>0</v>
      </c>
      <c r="I139" s="249">
        <f t="shared" si="36"/>
        <v>0</v>
      </c>
      <c r="J139" s="249">
        <f t="shared" si="36"/>
        <v>0</v>
      </c>
      <c r="K139" s="249">
        <f t="shared" si="36"/>
        <v>0</v>
      </c>
      <c r="L139" s="249">
        <f t="shared" si="36"/>
        <v>0</v>
      </c>
      <c r="M139" s="249">
        <f t="shared" si="36"/>
        <v>0</v>
      </c>
      <c r="N139" s="249">
        <f t="shared" si="36"/>
        <v>0</v>
      </c>
      <c r="O139" s="249">
        <f t="shared" si="36"/>
        <v>0</v>
      </c>
      <c r="P139" s="249">
        <f t="shared" si="36"/>
        <v>0</v>
      </c>
      <c r="Q139" s="249">
        <f t="shared" si="36"/>
        <v>0</v>
      </c>
      <c r="S139" s="243">
        <f t="shared" si="33"/>
        <v>0</v>
      </c>
    </row>
    <row r="140" spans="1:19" outlineLevel="2" x14ac:dyDescent="0.25">
      <c r="A140" s="256" t="s">
        <v>709</v>
      </c>
      <c r="B140" s="250" t="s">
        <v>710</v>
      </c>
      <c r="C140" s="197" t="s">
        <v>556</v>
      </c>
      <c r="D140" s="251" cm="1">
        <f t="array" ref="D140">-SUMPRODUCT(
  desp[valor] *
  (desp[nucleo]=$B140) *
  (desp[centro.negocio]=$B$139) *
  (desp[data.pagamento]&gt;=D$1) *
  (desp[data.pagamento]&lt;EOMONTH(D$1,0)+1)
)</f>
        <v>0</v>
      </c>
      <c r="E140" s="251" cm="1">
        <f t="array" ref="E140">-SUMPRODUCT(
  desp[valor] *
  (desp[nucleo]=$B140) *
  (desp[centro.negocio]=$B$139) *
  (desp[data.pagamento]&gt;=E$1) *
  (desp[data.pagamento]&lt;EOMONTH(E$1,0)+1)
)</f>
        <v>0</v>
      </c>
      <c r="F140" s="251" cm="1">
        <f t="array" ref="F140">-SUMPRODUCT(
  desp[valor] *
  (desp[nucleo]=$B140) *
  (desp[centro.negocio]=$B$139) *
  (desp[data.pagamento]&gt;=F$1) *
  (desp[data.pagamento]&lt;EOMONTH(F$1,0)+1)
)</f>
        <v>0</v>
      </c>
      <c r="G140" s="251" cm="1">
        <f t="array" ref="G140">-SUMPRODUCT(
  desp[valor] *
  (desp[nucleo]=$B140) *
  (desp[centro.negocio]=$B$139) *
  (desp[data.pagamento]&gt;=G$1) *
  (desp[data.pagamento]&lt;EOMONTH(G$1,0)+1)
)</f>
        <v>0</v>
      </c>
      <c r="H140" s="251" cm="1">
        <f t="array" ref="H140">-SUMPRODUCT(
  desp[valor] *
  (desp[nucleo]=$B140) *
  (desp[centro.negocio]=$B$139) *
  (desp[data.pagamento]&gt;=H$1) *
  (desp[data.pagamento]&lt;EOMONTH(H$1,0)+1)
)</f>
        <v>0</v>
      </c>
      <c r="I140" s="251" cm="1">
        <f t="array" ref="I140">-SUMPRODUCT(
  desp[valor] *
  (desp[nucleo]=$B140) *
  (desp[centro.negocio]=$B$139) *
  (desp[data.pagamento]&gt;=I$1) *
  (desp[data.pagamento]&lt;EOMONTH(I$1,0)+1)
)</f>
        <v>0</v>
      </c>
      <c r="J140" s="251" cm="1">
        <f t="array" ref="J140">-SUMPRODUCT(
  desp[valor] *
  (desp[nucleo]=$B140) *
  (desp[centro.negocio]=$B$139) *
  (desp[data.pagamento]&gt;=J$1) *
  (desp[data.pagamento]&lt;EOMONTH(J$1,0)+1)
)</f>
        <v>0</v>
      </c>
      <c r="K140" s="251" cm="1">
        <f t="array" ref="K140">-SUMPRODUCT(
  desp[valor] *
  (desp[nucleo]=$B140) *
  (desp[centro.negocio]=$B$139) *
  (desp[data.pagamento]&gt;=K$1) *
  (desp[data.pagamento]&lt;EOMONTH(K$1,0)+1)
)</f>
        <v>0</v>
      </c>
      <c r="L140" s="251" cm="1">
        <f t="array" ref="L140">-SUMPRODUCT(
  desp[valor] *
  (desp[nucleo]=$B140) *
  (desp[centro.negocio]=$B$139) *
  (desp[data.pagamento]&gt;=L$1) *
  (desp[data.pagamento]&lt;EOMONTH(L$1,0)+1)
)</f>
        <v>0</v>
      </c>
      <c r="M140" s="251" cm="1">
        <f t="array" ref="M140">-SUMPRODUCT(
  desp[valor] *
  (desp[nucleo]=$B140) *
  (desp[centro.negocio]=$B$139) *
  (desp[data.pagamento]&gt;=M$1) *
  (desp[data.pagamento]&lt;EOMONTH(M$1,0)+1)
)</f>
        <v>0</v>
      </c>
      <c r="N140" s="251" cm="1">
        <f t="array" ref="N140">-SUMPRODUCT(
  desp[valor] *
  (desp[nucleo]=$B140) *
  (desp[centro.negocio]=$B$139) *
  (desp[data.pagamento]&gt;=N$1) *
  (desp[data.pagamento]&lt;EOMONTH(N$1,0)+1)
)</f>
        <v>0</v>
      </c>
      <c r="O140" s="251" cm="1">
        <f t="array" ref="O140">-SUMPRODUCT(
  desp[valor] *
  (desp[nucleo]=$B140) *
  (desp[centro.negocio]=$B$139) *
  (desp[data.pagamento]&gt;=O$1) *
  (desp[data.pagamento]&lt;EOMONTH(O$1,0)+1)
)</f>
        <v>0</v>
      </c>
      <c r="P140" s="251" cm="1">
        <f t="array" ref="P140">-SUMPRODUCT(
  desp[valor] *
  (desp[nucleo]=$B140) *
  (desp[centro.negocio]=$B$139) *
  (desp[data.pagamento]&gt;=P$1) *
  (desp[data.pagamento]&lt;EOMONTH(P$1,0)+1)
)</f>
        <v>0</v>
      </c>
      <c r="Q140" s="251" cm="1">
        <f t="array" ref="Q140">-SUMPRODUCT(
  desp[valor] *
  (desp[nucleo]=$B140) *
  (desp[centro.negocio]=$B$139) *
  (desp[data.pagamento]&gt;=Q$1) *
  (desp[data.pagamento]&lt;EOMONTH(Q$1,0)+1)
)</f>
        <v>0</v>
      </c>
      <c r="S140" s="243">
        <f t="shared" si="33"/>
        <v>0</v>
      </c>
    </row>
    <row r="141" spans="1:19" outlineLevel="1" x14ac:dyDescent="0.25">
      <c r="A141" s="247" t="s">
        <v>711</v>
      </c>
      <c r="B141" s="247" t="s">
        <v>411</v>
      </c>
      <c r="C141" s="248" t="s">
        <v>556</v>
      </c>
      <c r="D141" s="249">
        <f>SUM(D$142)</f>
        <v>0</v>
      </c>
      <c r="E141" s="249">
        <f t="shared" ref="E141:Q141" si="37">SUM(E$142)</f>
        <v>0</v>
      </c>
      <c r="F141" s="249">
        <f t="shared" si="37"/>
        <v>0</v>
      </c>
      <c r="G141" s="249">
        <f t="shared" si="37"/>
        <v>0</v>
      </c>
      <c r="H141" s="249">
        <f t="shared" si="37"/>
        <v>0</v>
      </c>
      <c r="I141" s="249">
        <f t="shared" si="37"/>
        <v>0</v>
      </c>
      <c r="J141" s="249">
        <f t="shared" si="37"/>
        <v>0</v>
      </c>
      <c r="K141" s="249">
        <f t="shared" si="37"/>
        <v>0</v>
      </c>
      <c r="L141" s="249">
        <f t="shared" si="37"/>
        <v>0</v>
      </c>
      <c r="M141" s="249">
        <f t="shared" si="37"/>
        <v>0</v>
      </c>
      <c r="N141" s="249">
        <f t="shared" si="37"/>
        <v>0</v>
      </c>
      <c r="O141" s="249">
        <f t="shared" si="37"/>
        <v>0</v>
      </c>
      <c r="P141" s="249">
        <f t="shared" si="37"/>
        <v>0</v>
      </c>
      <c r="Q141" s="249">
        <f t="shared" si="37"/>
        <v>0</v>
      </c>
      <c r="S141" s="243">
        <f t="shared" si="33"/>
        <v>0</v>
      </c>
    </row>
    <row r="142" spans="1:19" outlineLevel="2" x14ac:dyDescent="0.25">
      <c r="A142" s="250" t="s">
        <v>712</v>
      </c>
      <c r="B142" s="250" t="s">
        <v>586</v>
      </c>
      <c r="C142" s="197" t="s">
        <v>556</v>
      </c>
      <c r="D142" s="251" cm="1">
        <f t="array" ref="D142">-SUMPRODUCT(
  desp[valor] *
  (desp[nucleo]=$B142) *
  (desp[centro.negocio]=$B$141) *
  (desp[data.pagamento]&gt;=D$1) *
  (desp[data.pagamento]&lt;EOMONTH(D$1,0)+1)
)</f>
        <v>0</v>
      </c>
      <c r="E142" s="251" cm="1">
        <f t="array" ref="E142">-SUMPRODUCT(
  desp[valor] *
  (desp[nucleo]=$B142) *
  (desp[centro.negocio]=$B$141) *
  (desp[data.pagamento]&gt;=E$1) *
  (desp[data.pagamento]&lt;EOMONTH(E$1,0)+1)
)</f>
        <v>0</v>
      </c>
      <c r="F142" s="251" cm="1">
        <f t="array" ref="F142">-SUMPRODUCT(
  desp[valor] *
  (desp[nucleo]=$B142) *
  (desp[centro.negocio]=$B$141) *
  (desp[data.pagamento]&gt;=F$1) *
  (desp[data.pagamento]&lt;EOMONTH(F$1,0)+1)
)</f>
        <v>0</v>
      </c>
      <c r="G142" s="251" cm="1">
        <f t="array" ref="G142">-SUMPRODUCT(
  desp[valor] *
  (desp[nucleo]=$B142) *
  (desp[centro.negocio]=$B$141) *
  (desp[data.pagamento]&gt;=G$1) *
  (desp[data.pagamento]&lt;EOMONTH(G$1,0)+1)
)</f>
        <v>0</v>
      </c>
      <c r="H142" s="251" cm="1">
        <f t="array" ref="H142">-SUMPRODUCT(
  desp[valor] *
  (desp[nucleo]=$B142) *
  (desp[centro.negocio]=$B$141) *
  (desp[data.pagamento]&gt;=H$1) *
  (desp[data.pagamento]&lt;EOMONTH(H$1,0)+1)
)</f>
        <v>0</v>
      </c>
      <c r="I142" s="251" cm="1">
        <f t="array" ref="I142">-SUMPRODUCT(
  desp[valor] *
  (desp[nucleo]=$B142) *
  (desp[centro.negocio]=$B$141) *
  (desp[data.pagamento]&gt;=I$1) *
  (desp[data.pagamento]&lt;EOMONTH(I$1,0)+1)
)</f>
        <v>0</v>
      </c>
      <c r="J142" s="251" cm="1">
        <f t="array" ref="J142">-SUMPRODUCT(
  desp[valor] *
  (desp[nucleo]=$B142) *
  (desp[centro.negocio]=$B$141) *
  (desp[data.pagamento]&gt;=J$1) *
  (desp[data.pagamento]&lt;EOMONTH(J$1,0)+1)
)</f>
        <v>0</v>
      </c>
      <c r="K142" s="251" cm="1">
        <f t="array" ref="K142">-SUMPRODUCT(
  desp[valor] *
  (desp[nucleo]=$B142) *
  (desp[centro.negocio]=$B$141) *
  (desp[data.pagamento]&gt;=K$1) *
  (desp[data.pagamento]&lt;EOMONTH(K$1,0)+1)
)</f>
        <v>0</v>
      </c>
      <c r="L142" s="251" cm="1">
        <f t="array" ref="L142">-SUMPRODUCT(
  desp[valor] *
  (desp[nucleo]=$B142) *
  (desp[centro.negocio]=$B$141) *
  (desp[data.pagamento]&gt;=L$1) *
  (desp[data.pagamento]&lt;EOMONTH(L$1,0)+1)
)</f>
        <v>0</v>
      </c>
      <c r="M142" s="251" cm="1">
        <f t="array" ref="M142">-SUMPRODUCT(
  desp[valor] *
  (desp[nucleo]=$B142) *
  (desp[centro.negocio]=$B$141) *
  (desp[data.pagamento]&gt;=M$1) *
  (desp[data.pagamento]&lt;EOMONTH(M$1,0)+1)
)</f>
        <v>0</v>
      </c>
      <c r="N142" s="251" cm="1">
        <f t="array" ref="N142">-SUMPRODUCT(
  desp[valor] *
  (desp[nucleo]=$B142) *
  (desp[centro.negocio]=$B$141) *
  (desp[data.pagamento]&gt;=N$1) *
  (desp[data.pagamento]&lt;EOMONTH(N$1,0)+1)
)</f>
        <v>0</v>
      </c>
      <c r="O142" s="251" cm="1">
        <f t="array" ref="O142">-SUMPRODUCT(
  desp[valor] *
  (desp[nucleo]=$B142) *
  (desp[centro.negocio]=$B$141) *
  (desp[data.pagamento]&gt;=O$1) *
  (desp[data.pagamento]&lt;EOMONTH(O$1,0)+1)
)</f>
        <v>0</v>
      </c>
      <c r="P142" s="251" cm="1">
        <f t="array" ref="P142">-SUMPRODUCT(
  desp[valor] *
  (desp[nucleo]=$B142) *
  (desp[centro.negocio]=$B$141) *
  (desp[data.pagamento]&gt;=P$1) *
  (desp[data.pagamento]&lt;EOMONTH(P$1,0)+1)
)</f>
        <v>0</v>
      </c>
      <c r="Q142" s="251" cm="1">
        <f t="array" ref="Q142">-SUMPRODUCT(
  desp[valor] *
  (desp[nucleo]=$B142) *
  (desp[centro.negocio]=$B$141) *
  (desp[data.pagamento]&gt;=Q$1) *
  (desp[data.pagamento]&lt;EOMONTH(Q$1,0)+1)
)</f>
        <v>0</v>
      </c>
      <c r="S142" s="243">
        <f t="shared" si="33"/>
        <v>0</v>
      </c>
    </row>
    <row r="143" spans="1:19" outlineLevel="1" x14ac:dyDescent="0.25">
      <c r="A143" s="247" t="s">
        <v>713</v>
      </c>
      <c r="B143" s="247" t="s">
        <v>437</v>
      </c>
      <c r="C143" s="248" t="s">
        <v>556</v>
      </c>
      <c r="D143" s="249">
        <f>SUM(D$144:D$153)</f>
        <v>0</v>
      </c>
      <c r="E143" s="249">
        <f t="shared" ref="E143:Q143" si="38">SUM(E$144:E$153)</f>
        <v>0</v>
      </c>
      <c r="F143" s="249">
        <f t="shared" si="38"/>
        <v>0</v>
      </c>
      <c r="G143" s="249">
        <f t="shared" si="38"/>
        <v>0</v>
      </c>
      <c r="H143" s="249">
        <f t="shared" si="38"/>
        <v>0</v>
      </c>
      <c r="I143" s="249">
        <f t="shared" si="38"/>
        <v>0</v>
      </c>
      <c r="J143" s="249">
        <f t="shared" si="38"/>
        <v>0</v>
      </c>
      <c r="K143" s="249">
        <f t="shared" si="38"/>
        <v>0</v>
      </c>
      <c r="L143" s="249">
        <f t="shared" si="38"/>
        <v>0</v>
      </c>
      <c r="M143" s="249">
        <f t="shared" si="38"/>
        <v>0</v>
      </c>
      <c r="N143" s="249">
        <f t="shared" si="38"/>
        <v>0</v>
      </c>
      <c r="O143" s="249">
        <f t="shared" si="38"/>
        <v>0</v>
      </c>
      <c r="P143" s="249">
        <f t="shared" si="38"/>
        <v>0</v>
      </c>
      <c r="Q143" s="249">
        <f t="shared" si="38"/>
        <v>0</v>
      </c>
      <c r="S143" s="243">
        <f t="shared" si="33"/>
        <v>0</v>
      </c>
    </row>
    <row r="144" spans="1:19" outlineLevel="2" x14ac:dyDescent="0.25">
      <c r="A144" s="250" t="s">
        <v>714</v>
      </c>
      <c r="B144" s="250" t="s">
        <v>586</v>
      </c>
      <c r="C144" s="197" t="s">
        <v>556</v>
      </c>
      <c r="D144" s="251" cm="1">
        <f t="array" ref="D144">-SUMPRODUCT(
  desp[valor] *
  (desp[nucleo]=$B144) *
  (desp[centro.negocio]=$B$143) *
  (desp[data.pagamento]&gt;=D$1) *
  (desp[data.pagamento]&lt;EOMONTH(D$1,0)+1)
)</f>
        <v>0</v>
      </c>
      <c r="E144" s="251" cm="1">
        <f t="array" ref="E144">-SUMPRODUCT(
  desp[valor] *
  (desp[nucleo]=$B144) *
  (desp[centro.negocio]=$B$143) *
  (desp[data.pagamento]&gt;=E$1) *
  (desp[data.pagamento]&lt;EOMONTH(E$1,0)+1)
)</f>
        <v>0</v>
      </c>
      <c r="F144" s="251" cm="1">
        <f t="array" ref="F144">-SUMPRODUCT(
  desp[valor] *
  (desp[nucleo]=$B144) *
  (desp[centro.negocio]=$B$143) *
  (desp[data.pagamento]&gt;=F$1) *
  (desp[data.pagamento]&lt;EOMONTH(F$1,0)+1)
)</f>
        <v>0</v>
      </c>
      <c r="G144" s="251" cm="1">
        <f t="array" ref="G144">-SUMPRODUCT(
  desp[valor] *
  (desp[nucleo]=$B144) *
  (desp[centro.negocio]=$B$143) *
  (desp[data.pagamento]&gt;=G$1) *
  (desp[data.pagamento]&lt;EOMONTH(G$1,0)+1)
)</f>
        <v>0</v>
      </c>
      <c r="H144" s="251" cm="1">
        <f t="array" ref="H144">-SUMPRODUCT(
  desp[valor] *
  (desp[nucleo]=$B144) *
  (desp[centro.negocio]=$B$143) *
  (desp[data.pagamento]&gt;=H$1) *
  (desp[data.pagamento]&lt;EOMONTH(H$1,0)+1)
)</f>
        <v>0</v>
      </c>
      <c r="I144" s="251" cm="1">
        <f t="array" ref="I144">-SUMPRODUCT(
  desp[valor] *
  (desp[nucleo]=$B144) *
  (desp[centro.negocio]=$B$143) *
  (desp[data.pagamento]&gt;=I$1) *
  (desp[data.pagamento]&lt;EOMONTH(I$1,0)+1)
)</f>
        <v>0</v>
      </c>
      <c r="J144" s="251" cm="1">
        <f t="array" ref="J144">-SUMPRODUCT(
  desp[valor] *
  (desp[nucleo]=$B144) *
  (desp[centro.negocio]=$B$143) *
  (desp[data.pagamento]&gt;=J$1) *
  (desp[data.pagamento]&lt;EOMONTH(J$1,0)+1)
)</f>
        <v>0</v>
      </c>
      <c r="K144" s="251" cm="1">
        <f t="array" ref="K144">-SUMPRODUCT(
  desp[valor] *
  (desp[nucleo]=$B144) *
  (desp[centro.negocio]=$B$143) *
  (desp[data.pagamento]&gt;=K$1) *
  (desp[data.pagamento]&lt;EOMONTH(K$1,0)+1)
)</f>
        <v>0</v>
      </c>
      <c r="L144" s="251" cm="1">
        <f t="array" ref="L144">-SUMPRODUCT(
  desp[valor] *
  (desp[nucleo]=$B144) *
  (desp[centro.negocio]=$B$143) *
  (desp[data.pagamento]&gt;=L$1) *
  (desp[data.pagamento]&lt;EOMONTH(L$1,0)+1)
)</f>
        <v>0</v>
      </c>
      <c r="M144" s="251" cm="1">
        <f t="array" ref="M144">-SUMPRODUCT(
  desp[valor] *
  (desp[nucleo]=$B144) *
  (desp[centro.negocio]=$B$143) *
  (desp[data.pagamento]&gt;=M$1) *
  (desp[data.pagamento]&lt;EOMONTH(M$1,0)+1)
)</f>
        <v>0</v>
      </c>
      <c r="N144" s="251" cm="1">
        <f t="array" ref="N144">-SUMPRODUCT(
  desp[valor] *
  (desp[nucleo]=$B144) *
  (desp[centro.negocio]=$B$143) *
  (desp[data.pagamento]&gt;=N$1) *
  (desp[data.pagamento]&lt;EOMONTH(N$1,0)+1)
)</f>
        <v>0</v>
      </c>
      <c r="O144" s="251" cm="1">
        <f t="array" ref="O144">-SUMPRODUCT(
  desp[valor] *
  (desp[nucleo]=$B144) *
  (desp[centro.negocio]=$B$143) *
  (desp[data.pagamento]&gt;=O$1) *
  (desp[data.pagamento]&lt;EOMONTH(O$1,0)+1)
)</f>
        <v>0</v>
      </c>
      <c r="P144" s="251" cm="1">
        <f t="array" ref="P144">-SUMPRODUCT(
  desp[valor] *
  (desp[nucleo]=$B144) *
  (desp[centro.negocio]=$B$143) *
  (desp[data.pagamento]&gt;=P$1) *
  (desp[data.pagamento]&lt;EOMONTH(P$1,0)+1)
)</f>
        <v>0</v>
      </c>
      <c r="Q144" s="251" cm="1">
        <f t="array" ref="Q144">-SUMPRODUCT(
  desp[valor] *
  (desp[nucleo]=$B144) *
  (desp[centro.negocio]=$B$143) *
  (desp[data.pagamento]&gt;=Q$1) *
  (desp[data.pagamento]&lt;EOMONTH(Q$1,0)+1)
)</f>
        <v>0</v>
      </c>
      <c r="S144" s="243">
        <f t="shared" si="33"/>
        <v>0</v>
      </c>
    </row>
    <row r="145" spans="1:19" outlineLevel="2" x14ac:dyDescent="0.25">
      <c r="A145" s="250" t="s">
        <v>715</v>
      </c>
      <c r="B145" s="250" t="s">
        <v>590</v>
      </c>
      <c r="C145" s="197" t="s">
        <v>556</v>
      </c>
      <c r="D145" s="251" cm="1">
        <f t="array" ref="D145">-SUMPRODUCT(
  desp[valor] *
  (desp[nucleo]=$B145) *
  (desp[centro.negocio]=$B$143) *
  (desp[data.pagamento]&gt;=D$1) *
  (desp[data.pagamento]&lt;EOMONTH(D$1,0)+1)
)</f>
        <v>0</v>
      </c>
      <c r="E145" s="251" cm="1">
        <f t="array" ref="E145">-SUMPRODUCT(
  desp[valor] *
  (desp[nucleo]=$B145) *
  (desp[centro.negocio]=$B$143) *
  (desp[data.pagamento]&gt;=E$1) *
  (desp[data.pagamento]&lt;EOMONTH(E$1,0)+1)
)</f>
        <v>0</v>
      </c>
      <c r="F145" s="251" cm="1">
        <f t="array" ref="F145">-SUMPRODUCT(
  desp[valor] *
  (desp[nucleo]=$B145) *
  (desp[centro.negocio]=$B$143) *
  (desp[data.pagamento]&gt;=F$1) *
  (desp[data.pagamento]&lt;EOMONTH(F$1,0)+1)
)</f>
        <v>0</v>
      </c>
      <c r="G145" s="251" cm="1">
        <f t="array" ref="G145">-SUMPRODUCT(
  desp[valor] *
  (desp[nucleo]=$B145) *
  (desp[centro.negocio]=$B$143) *
  (desp[data.pagamento]&gt;=G$1) *
  (desp[data.pagamento]&lt;EOMONTH(G$1,0)+1)
)</f>
        <v>0</v>
      </c>
      <c r="H145" s="251" cm="1">
        <f t="array" ref="H145">-SUMPRODUCT(
  desp[valor] *
  (desp[nucleo]=$B145) *
  (desp[centro.negocio]=$B$143) *
  (desp[data.pagamento]&gt;=H$1) *
  (desp[data.pagamento]&lt;EOMONTH(H$1,0)+1)
)</f>
        <v>0</v>
      </c>
      <c r="I145" s="251" cm="1">
        <f t="array" ref="I145">-SUMPRODUCT(
  desp[valor] *
  (desp[nucleo]=$B145) *
  (desp[centro.negocio]=$B$143) *
  (desp[data.pagamento]&gt;=I$1) *
  (desp[data.pagamento]&lt;EOMONTH(I$1,0)+1)
)</f>
        <v>0</v>
      </c>
      <c r="J145" s="251" cm="1">
        <f t="array" ref="J145">-SUMPRODUCT(
  desp[valor] *
  (desp[nucleo]=$B145) *
  (desp[centro.negocio]=$B$143) *
  (desp[data.pagamento]&gt;=J$1) *
  (desp[data.pagamento]&lt;EOMONTH(J$1,0)+1)
)</f>
        <v>0</v>
      </c>
      <c r="K145" s="251" cm="1">
        <f t="array" ref="K145">-SUMPRODUCT(
  desp[valor] *
  (desp[nucleo]=$B145) *
  (desp[centro.negocio]=$B$143) *
  (desp[data.pagamento]&gt;=K$1) *
  (desp[data.pagamento]&lt;EOMONTH(K$1,0)+1)
)</f>
        <v>0</v>
      </c>
      <c r="L145" s="251" cm="1">
        <f t="array" ref="L145">-SUMPRODUCT(
  desp[valor] *
  (desp[nucleo]=$B145) *
  (desp[centro.negocio]=$B$143) *
  (desp[data.pagamento]&gt;=L$1) *
  (desp[data.pagamento]&lt;EOMONTH(L$1,0)+1)
)</f>
        <v>0</v>
      </c>
      <c r="M145" s="251" cm="1">
        <f t="array" ref="M145">-SUMPRODUCT(
  desp[valor] *
  (desp[nucleo]=$B145) *
  (desp[centro.negocio]=$B$143) *
  (desp[data.pagamento]&gt;=M$1) *
  (desp[data.pagamento]&lt;EOMONTH(M$1,0)+1)
)</f>
        <v>0</v>
      </c>
      <c r="N145" s="251" cm="1">
        <f t="array" ref="N145">-SUMPRODUCT(
  desp[valor] *
  (desp[nucleo]=$B145) *
  (desp[centro.negocio]=$B$143) *
  (desp[data.pagamento]&gt;=N$1) *
  (desp[data.pagamento]&lt;EOMONTH(N$1,0)+1)
)</f>
        <v>0</v>
      </c>
      <c r="O145" s="251" cm="1">
        <f t="array" ref="O145">-SUMPRODUCT(
  desp[valor] *
  (desp[nucleo]=$B145) *
  (desp[centro.negocio]=$B$143) *
  (desp[data.pagamento]&gt;=O$1) *
  (desp[data.pagamento]&lt;EOMONTH(O$1,0)+1)
)</f>
        <v>0</v>
      </c>
      <c r="P145" s="251" cm="1">
        <f t="array" ref="P145">-SUMPRODUCT(
  desp[valor] *
  (desp[nucleo]=$B145) *
  (desp[centro.negocio]=$B$143) *
  (desp[data.pagamento]&gt;=P$1) *
  (desp[data.pagamento]&lt;EOMONTH(P$1,0)+1)
)</f>
        <v>0</v>
      </c>
      <c r="Q145" s="251" cm="1">
        <f t="array" ref="Q145">-SUMPRODUCT(
  desp[valor] *
  (desp[nucleo]=$B145) *
  (desp[centro.negocio]=$B$143) *
  (desp[data.pagamento]&gt;=Q$1) *
  (desp[data.pagamento]&lt;EOMONTH(Q$1,0)+1)
)</f>
        <v>0</v>
      </c>
      <c r="S145" s="243">
        <f t="shared" si="33"/>
        <v>0</v>
      </c>
    </row>
    <row r="146" spans="1:19" outlineLevel="2" x14ac:dyDescent="0.25">
      <c r="A146" s="250" t="s">
        <v>716</v>
      </c>
      <c r="B146" s="250" t="s">
        <v>598</v>
      </c>
      <c r="C146" s="197" t="s">
        <v>556</v>
      </c>
      <c r="D146" s="251" cm="1">
        <f t="array" ref="D146">-SUMPRODUCT(
  desp[valor] *
  (desp[nucleo]=$B146) *
  (desp[centro.negocio]=$B$143) *
  (desp[data.pagamento]&gt;=D$1) *
  (desp[data.pagamento]&lt;EOMONTH(D$1,0)+1)
)</f>
        <v>0</v>
      </c>
      <c r="E146" s="251" cm="1">
        <f t="array" ref="E146">-SUMPRODUCT(
  desp[valor] *
  (desp[nucleo]=$B146) *
  (desp[centro.negocio]=$B$143) *
  (desp[data.pagamento]&gt;=E$1) *
  (desp[data.pagamento]&lt;EOMONTH(E$1,0)+1)
)</f>
        <v>0</v>
      </c>
      <c r="F146" s="251" cm="1">
        <f t="array" ref="F146">-SUMPRODUCT(
  desp[valor] *
  (desp[nucleo]=$B146) *
  (desp[centro.negocio]=$B$143) *
  (desp[data.pagamento]&gt;=F$1) *
  (desp[data.pagamento]&lt;EOMONTH(F$1,0)+1)
)</f>
        <v>0</v>
      </c>
      <c r="G146" s="251" cm="1">
        <f t="array" ref="G146">-SUMPRODUCT(
  desp[valor] *
  (desp[nucleo]=$B146) *
  (desp[centro.negocio]=$B$143) *
  (desp[data.pagamento]&gt;=G$1) *
  (desp[data.pagamento]&lt;EOMONTH(G$1,0)+1)
)</f>
        <v>0</v>
      </c>
      <c r="H146" s="251" cm="1">
        <f t="array" ref="H146">-SUMPRODUCT(
  desp[valor] *
  (desp[nucleo]=$B146) *
  (desp[centro.negocio]=$B$143) *
  (desp[data.pagamento]&gt;=H$1) *
  (desp[data.pagamento]&lt;EOMONTH(H$1,0)+1)
)</f>
        <v>0</v>
      </c>
      <c r="I146" s="251" cm="1">
        <f t="array" ref="I146">-SUMPRODUCT(
  desp[valor] *
  (desp[nucleo]=$B146) *
  (desp[centro.negocio]=$B$143) *
  (desp[data.pagamento]&gt;=I$1) *
  (desp[data.pagamento]&lt;EOMONTH(I$1,0)+1)
)</f>
        <v>0</v>
      </c>
      <c r="J146" s="251" cm="1">
        <f t="array" ref="J146">-SUMPRODUCT(
  desp[valor] *
  (desp[nucleo]=$B146) *
  (desp[centro.negocio]=$B$143) *
  (desp[data.pagamento]&gt;=J$1) *
  (desp[data.pagamento]&lt;EOMONTH(J$1,0)+1)
)</f>
        <v>0</v>
      </c>
      <c r="K146" s="251" cm="1">
        <f t="array" ref="K146">-SUMPRODUCT(
  desp[valor] *
  (desp[nucleo]=$B146) *
  (desp[centro.negocio]=$B$143) *
  (desp[data.pagamento]&gt;=K$1) *
  (desp[data.pagamento]&lt;EOMONTH(K$1,0)+1)
)</f>
        <v>0</v>
      </c>
      <c r="L146" s="251" cm="1">
        <f t="array" ref="L146">-SUMPRODUCT(
  desp[valor] *
  (desp[nucleo]=$B146) *
  (desp[centro.negocio]=$B$143) *
  (desp[data.pagamento]&gt;=L$1) *
  (desp[data.pagamento]&lt;EOMONTH(L$1,0)+1)
)</f>
        <v>0</v>
      </c>
      <c r="M146" s="251" cm="1">
        <f t="array" ref="M146">-SUMPRODUCT(
  desp[valor] *
  (desp[nucleo]=$B146) *
  (desp[centro.negocio]=$B$143) *
  (desp[data.pagamento]&gt;=M$1) *
  (desp[data.pagamento]&lt;EOMONTH(M$1,0)+1)
)</f>
        <v>0</v>
      </c>
      <c r="N146" s="251" cm="1">
        <f t="array" ref="N146">-SUMPRODUCT(
  desp[valor] *
  (desp[nucleo]=$B146) *
  (desp[centro.negocio]=$B$143) *
  (desp[data.pagamento]&gt;=N$1) *
  (desp[data.pagamento]&lt;EOMONTH(N$1,0)+1)
)</f>
        <v>0</v>
      </c>
      <c r="O146" s="251" cm="1">
        <f t="array" ref="O146">-SUMPRODUCT(
  desp[valor] *
  (desp[nucleo]=$B146) *
  (desp[centro.negocio]=$B$143) *
  (desp[data.pagamento]&gt;=O$1) *
  (desp[data.pagamento]&lt;EOMONTH(O$1,0)+1)
)</f>
        <v>0</v>
      </c>
      <c r="P146" s="251" cm="1">
        <f t="array" ref="P146">-SUMPRODUCT(
  desp[valor] *
  (desp[nucleo]=$B146) *
  (desp[centro.negocio]=$B$143) *
  (desp[data.pagamento]&gt;=P$1) *
  (desp[data.pagamento]&lt;EOMONTH(P$1,0)+1)
)</f>
        <v>0</v>
      </c>
      <c r="Q146" s="251" cm="1">
        <f t="array" ref="Q146">-SUMPRODUCT(
  desp[valor] *
  (desp[nucleo]=$B146) *
  (desp[centro.negocio]=$B$143) *
  (desp[data.pagamento]&gt;=Q$1) *
  (desp[data.pagamento]&lt;EOMONTH(Q$1,0)+1)
)</f>
        <v>0</v>
      </c>
      <c r="S146" s="243">
        <f t="shared" si="33"/>
        <v>0</v>
      </c>
    </row>
    <row r="147" spans="1:19" outlineLevel="2" x14ac:dyDescent="0.25">
      <c r="A147" s="250" t="s">
        <v>717</v>
      </c>
      <c r="B147" s="250" t="s">
        <v>596</v>
      </c>
      <c r="C147" s="197" t="s">
        <v>556</v>
      </c>
      <c r="D147" s="251" cm="1">
        <f t="array" ref="D147">-SUMPRODUCT(
  desp[valor] *
  (desp[nucleo]=$B147) *
  (desp[centro.negocio]=$B$143) *
  (desp[data.pagamento]&gt;=D$1) *
  (desp[data.pagamento]&lt;EOMONTH(D$1,0)+1)
)</f>
        <v>0</v>
      </c>
      <c r="E147" s="251" cm="1">
        <f t="array" ref="E147">-SUMPRODUCT(
  desp[valor] *
  (desp[nucleo]=$B147) *
  (desp[centro.negocio]=$B$143) *
  (desp[data.pagamento]&gt;=E$1) *
  (desp[data.pagamento]&lt;EOMONTH(E$1,0)+1)
)</f>
        <v>0</v>
      </c>
      <c r="F147" s="251" cm="1">
        <f t="array" ref="F147">-SUMPRODUCT(
  desp[valor] *
  (desp[nucleo]=$B147) *
  (desp[centro.negocio]=$B$143) *
  (desp[data.pagamento]&gt;=F$1) *
  (desp[data.pagamento]&lt;EOMONTH(F$1,0)+1)
)</f>
        <v>0</v>
      </c>
      <c r="G147" s="251" cm="1">
        <f t="array" ref="G147">-SUMPRODUCT(
  desp[valor] *
  (desp[nucleo]=$B147) *
  (desp[centro.negocio]=$B$143) *
  (desp[data.pagamento]&gt;=G$1) *
  (desp[data.pagamento]&lt;EOMONTH(G$1,0)+1)
)</f>
        <v>0</v>
      </c>
      <c r="H147" s="251" cm="1">
        <f t="array" ref="H147">-SUMPRODUCT(
  desp[valor] *
  (desp[nucleo]=$B147) *
  (desp[centro.negocio]=$B$143) *
  (desp[data.pagamento]&gt;=H$1) *
  (desp[data.pagamento]&lt;EOMONTH(H$1,0)+1)
)</f>
        <v>0</v>
      </c>
      <c r="I147" s="251" cm="1">
        <f t="array" ref="I147">-SUMPRODUCT(
  desp[valor] *
  (desp[nucleo]=$B147) *
  (desp[centro.negocio]=$B$143) *
  (desp[data.pagamento]&gt;=I$1) *
  (desp[data.pagamento]&lt;EOMONTH(I$1,0)+1)
)</f>
        <v>0</v>
      </c>
      <c r="J147" s="251" cm="1">
        <f t="array" ref="J147">-SUMPRODUCT(
  desp[valor] *
  (desp[nucleo]=$B147) *
  (desp[centro.negocio]=$B$143) *
  (desp[data.pagamento]&gt;=J$1) *
  (desp[data.pagamento]&lt;EOMONTH(J$1,0)+1)
)</f>
        <v>0</v>
      </c>
      <c r="K147" s="251" cm="1">
        <f t="array" ref="K147">-SUMPRODUCT(
  desp[valor] *
  (desp[nucleo]=$B147) *
  (desp[centro.negocio]=$B$143) *
  (desp[data.pagamento]&gt;=K$1) *
  (desp[data.pagamento]&lt;EOMONTH(K$1,0)+1)
)</f>
        <v>0</v>
      </c>
      <c r="L147" s="251" cm="1">
        <f t="array" ref="L147">-SUMPRODUCT(
  desp[valor] *
  (desp[nucleo]=$B147) *
  (desp[centro.negocio]=$B$143) *
  (desp[data.pagamento]&gt;=L$1) *
  (desp[data.pagamento]&lt;EOMONTH(L$1,0)+1)
)</f>
        <v>0</v>
      </c>
      <c r="M147" s="251" cm="1">
        <f t="array" ref="M147">-SUMPRODUCT(
  desp[valor] *
  (desp[nucleo]=$B147) *
  (desp[centro.negocio]=$B$143) *
  (desp[data.pagamento]&gt;=M$1) *
  (desp[data.pagamento]&lt;EOMONTH(M$1,0)+1)
)</f>
        <v>0</v>
      </c>
      <c r="N147" s="251" cm="1">
        <f t="array" ref="N147">-SUMPRODUCT(
  desp[valor] *
  (desp[nucleo]=$B147) *
  (desp[centro.negocio]=$B$143) *
  (desp[data.pagamento]&gt;=N$1) *
  (desp[data.pagamento]&lt;EOMONTH(N$1,0)+1)
)</f>
        <v>0</v>
      </c>
      <c r="O147" s="251" cm="1">
        <f t="array" ref="O147">-SUMPRODUCT(
  desp[valor] *
  (desp[nucleo]=$B147) *
  (desp[centro.negocio]=$B$143) *
  (desp[data.pagamento]&gt;=O$1) *
  (desp[data.pagamento]&lt;EOMONTH(O$1,0)+1)
)</f>
        <v>0</v>
      </c>
      <c r="P147" s="251" cm="1">
        <f t="array" ref="P147">-SUMPRODUCT(
  desp[valor] *
  (desp[nucleo]=$B147) *
  (desp[centro.negocio]=$B$143) *
  (desp[data.pagamento]&gt;=P$1) *
  (desp[data.pagamento]&lt;EOMONTH(P$1,0)+1)
)</f>
        <v>0</v>
      </c>
      <c r="Q147" s="251" cm="1">
        <f t="array" ref="Q147">-SUMPRODUCT(
  desp[valor] *
  (desp[nucleo]=$B147) *
  (desp[centro.negocio]=$B$143) *
  (desp[data.pagamento]&gt;=Q$1) *
  (desp[data.pagamento]&lt;EOMONTH(Q$1,0)+1)
)</f>
        <v>0</v>
      </c>
      <c r="S147" s="243">
        <f t="shared" si="33"/>
        <v>0</v>
      </c>
    </row>
    <row r="148" spans="1:19" outlineLevel="2" x14ac:dyDescent="0.25">
      <c r="A148" s="250" t="s">
        <v>718</v>
      </c>
      <c r="B148" s="250" t="s">
        <v>592</v>
      </c>
      <c r="C148" s="197" t="s">
        <v>556</v>
      </c>
      <c r="D148" s="251" cm="1">
        <f t="array" ref="D148">-SUMPRODUCT(
  desp[valor] *
  (desp[nucleo]=$B148) *
  (desp[centro.negocio]=$B$143) *
  (desp[data.pagamento]&gt;=D$1) *
  (desp[data.pagamento]&lt;EOMONTH(D$1,0)+1)
)</f>
        <v>0</v>
      </c>
      <c r="E148" s="251" cm="1">
        <f t="array" ref="E148">-SUMPRODUCT(
  desp[valor] *
  (desp[nucleo]=$B148) *
  (desp[centro.negocio]=$B$143) *
  (desp[data.pagamento]&gt;=E$1) *
  (desp[data.pagamento]&lt;EOMONTH(E$1,0)+1)
)</f>
        <v>0</v>
      </c>
      <c r="F148" s="251" cm="1">
        <f t="array" ref="F148">-SUMPRODUCT(
  desp[valor] *
  (desp[nucleo]=$B148) *
  (desp[centro.negocio]=$B$143) *
  (desp[data.pagamento]&gt;=F$1) *
  (desp[data.pagamento]&lt;EOMONTH(F$1,0)+1)
)</f>
        <v>0</v>
      </c>
      <c r="G148" s="251" cm="1">
        <f t="array" ref="G148">-SUMPRODUCT(
  desp[valor] *
  (desp[nucleo]=$B148) *
  (desp[centro.negocio]=$B$143) *
  (desp[data.pagamento]&gt;=G$1) *
  (desp[data.pagamento]&lt;EOMONTH(G$1,0)+1)
)</f>
        <v>0</v>
      </c>
      <c r="H148" s="251" cm="1">
        <f t="array" ref="H148">-SUMPRODUCT(
  desp[valor] *
  (desp[nucleo]=$B148) *
  (desp[centro.negocio]=$B$143) *
  (desp[data.pagamento]&gt;=H$1) *
  (desp[data.pagamento]&lt;EOMONTH(H$1,0)+1)
)</f>
        <v>0</v>
      </c>
      <c r="I148" s="251" cm="1">
        <f t="array" ref="I148">-SUMPRODUCT(
  desp[valor] *
  (desp[nucleo]=$B148) *
  (desp[centro.negocio]=$B$143) *
  (desp[data.pagamento]&gt;=I$1) *
  (desp[data.pagamento]&lt;EOMONTH(I$1,0)+1)
)</f>
        <v>0</v>
      </c>
      <c r="J148" s="251" cm="1">
        <f t="array" ref="J148">-SUMPRODUCT(
  desp[valor] *
  (desp[nucleo]=$B148) *
  (desp[centro.negocio]=$B$143) *
  (desp[data.pagamento]&gt;=J$1) *
  (desp[data.pagamento]&lt;EOMONTH(J$1,0)+1)
)</f>
        <v>0</v>
      </c>
      <c r="K148" s="251" cm="1">
        <f t="array" ref="K148">-SUMPRODUCT(
  desp[valor] *
  (desp[nucleo]=$B148) *
  (desp[centro.negocio]=$B$143) *
  (desp[data.pagamento]&gt;=K$1) *
  (desp[data.pagamento]&lt;EOMONTH(K$1,0)+1)
)</f>
        <v>0</v>
      </c>
      <c r="L148" s="251" cm="1">
        <f t="array" ref="L148">-SUMPRODUCT(
  desp[valor] *
  (desp[nucleo]=$B148) *
  (desp[centro.negocio]=$B$143) *
  (desp[data.pagamento]&gt;=L$1) *
  (desp[data.pagamento]&lt;EOMONTH(L$1,0)+1)
)</f>
        <v>0</v>
      </c>
      <c r="M148" s="251" cm="1">
        <f t="array" ref="M148">-SUMPRODUCT(
  desp[valor] *
  (desp[nucleo]=$B148) *
  (desp[centro.negocio]=$B$143) *
  (desp[data.pagamento]&gt;=M$1) *
  (desp[data.pagamento]&lt;EOMONTH(M$1,0)+1)
)</f>
        <v>0</v>
      </c>
      <c r="N148" s="251" cm="1">
        <f t="array" ref="N148">-SUMPRODUCT(
  desp[valor] *
  (desp[nucleo]=$B148) *
  (desp[centro.negocio]=$B$143) *
  (desp[data.pagamento]&gt;=N$1) *
  (desp[data.pagamento]&lt;EOMONTH(N$1,0)+1)
)</f>
        <v>0</v>
      </c>
      <c r="O148" s="251" cm="1">
        <f t="array" ref="O148">-SUMPRODUCT(
  desp[valor] *
  (desp[nucleo]=$B148) *
  (desp[centro.negocio]=$B$143) *
  (desp[data.pagamento]&gt;=O$1) *
  (desp[data.pagamento]&lt;EOMONTH(O$1,0)+1)
)</f>
        <v>0</v>
      </c>
      <c r="P148" s="251" cm="1">
        <f t="array" ref="P148">-SUMPRODUCT(
  desp[valor] *
  (desp[nucleo]=$B148) *
  (desp[centro.negocio]=$B$143) *
  (desp[data.pagamento]&gt;=P$1) *
  (desp[data.pagamento]&lt;EOMONTH(P$1,0)+1)
)</f>
        <v>0</v>
      </c>
      <c r="Q148" s="251" cm="1">
        <f t="array" ref="Q148">-SUMPRODUCT(
  desp[valor] *
  (desp[nucleo]=$B148) *
  (desp[centro.negocio]=$B$143) *
  (desp[data.pagamento]&gt;=Q$1) *
  (desp[data.pagamento]&lt;EOMONTH(Q$1,0)+1)
)</f>
        <v>0</v>
      </c>
      <c r="S148" s="243">
        <f t="shared" si="33"/>
        <v>0</v>
      </c>
    </row>
    <row r="149" spans="1:19" outlineLevel="2" x14ac:dyDescent="0.25">
      <c r="A149" s="250" t="s">
        <v>719</v>
      </c>
      <c r="B149" s="250" t="s">
        <v>594</v>
      </c>
      <c r="C149" s="197" t="s">
        <v>556</v>
      </c>
      <c r="D149" s="251" cm="1">
        <f t="array" ref="D149">-SUMPRODUCT(
  desp[valor] *
  (desp[nucleo]=$B149) *
  (desp[centro.negocio]=$B$143) *
  (desp[data.pagamento]&gt;=D$1) *
  (desp[data.pagamento]&lt;EOMONTH(D$1,0)+1)
)</f>
        <v>0</v>
      </c>
      <c r="E149" s="251" cm="1">
        <f t="array" ref="E149">-SUMPRODUCT(
  desp[valor] *
  (desp[nucleo]=$B149) *
  (desp[centro.negocio]=$B$143) *
  (desp[data.pagamento]&gt;=E$1) *
  (desp[data.pagamento]&lt;EOMONTH(E$1,0)+1)
)</f>
        <v>0</v>
      </c>
      <c r="F149" s="251" cm="1">
        <f t="array" ref="F149">-SUMPRODUCT(
  desp[valor] *
  (desp[nucleo]=$B149) *
  (desp[centro.negocio]=$B$143) *
  (desp[data.pagamento]&gt;=F$1) *
  (desp[data.pagamento]&lt;EOMONTH(F$1,0)+1)
)</f>
        <v>0</v>
      </c>
      <c r="G149" s="251" cm="1">
        <f t="array" ref="G149">-SUMPRODUCT(
  desp[valor] *
  (desp[nucleo]=$B149) *
  (desp[centro.negocio]=$B$143) *
  (desp[data.pagamento]&gt;=G$1) *
  (desp[data.pagamento]&lt;EOMONTH(G$1,0)+1)
)</f>
        <v>0</v>
      </c>
      <c r="H149" s="251" cm="1">
        <f t="array" ref="H149">-SUMPRODUCT(
  desp[valor] *
  (desp[nucleo]=$B149) *
  (desp[centro.negocio]=$B$143) *
  (desp[data.pagamento]&gt;=H$1) *
  (desp[data.pagamento]&lt;EOMONTH(H$1,0)+1)
)</f>
        <v>0</v>
      </c>
      <c r="I149" s="251" cm="1">
        <f t="array" ref="I149">-SUMPRODUCT(
  desp[valor] *
  (desp[nucleo]=$B149) *
  (desp[centro.negocio]=$B$143) *
  (desp[data.pagamento]&gt;=I$1) *
  (desp[data.pagamento]&lt;EOMONTH(I$1,0)+1)
)</f>
        <v>0</v>
      </c>
      <c r="J149" s="251" cm="1">
        <f t="array" ref="J149">-SUMPRODUCT(
  desp[valor] *
  (desp[nucleo]=$B149) *
  (desp[centro.negocio]=$B$143) *
  (desp[data.pagamento]&gt;=J$1) *
  (desp[data.pagamento]&lt;EOMONTH(J$1,0)+1)
)</f>
        <v>0</v>
      </c>
      <c r="K149" s="251" cm="1">
        <f t="array" ref="K149">-SUMPRODUCT(
  desp[valor] *
  (desp[nucleo]=$B149) *
  (desp[centro.negocio]=$B$143) *
  (desp[data.pagamento]&gt;=K$1) *
  (desp[data.pagamento]&lt;EOMONTH(K$1,0)+1)
)</f>
        <v>0</v>
      </c>
      <c r="L149" s="251" cm="1">
        <f t="array" ref="L149">-SUMPRODUCT(
  desp[valor] *
  (desp[nucleo]=$B149) *
  (desp[centro.negocio]=$B$143) *
  (desp[data.pagamento]&gt;=L$1) *
  (desp[data.pagamento]&lt;EOMONTH(L$1,0)+1)
)</f>
        <v>0</v>
      </c>
      <c r="M149" s="251" cm="1">
        <f t="array" ref="M149">-SUMPRODUCT(
  desp[valor] *
  (desp[nucleo]=$B149) *
  (desp[centro.negocio]=$B$143) *
  (desp[data.pagamento]&gt;=M$1) *
  (desp[data.pagamento]&lt;EOMONTH(M$1,0)+1)
)</f>
        <v>0</v>
      </c>
      <c r="N149" s="251" cm="1">
        <f t="array" ref="N149">-SUMPRODUCT(
  desp[valor] *
  (desp[nucleo]=$B149) *
  (desp[centro.negocio]=$B$143) *
  (desp[data.pagamento]&gt;=N$1) *
  (desp[data.pagamento]&lt;EOMONTH(N$1,0)+1)
)</f>
        <v>0</v>
      </c>
      <c r="O149" s="251" cm="1">
        <f t="array" ref="O149">-SUMPRODUCT(
  desp[valor] *
  (desp[nucleo]=$B149) *
  (desp[centro.negocio]=$B$143) *
  (desp[data.pagamento]&gt;=O$1) *
  (desp[data.pagamento]&lt;EOMONTH(O$1,0)+1)
)</f>
        <v>0</v>
      </c>
      <c r="P149" s="251" cm="1">
        <f t="array" ref="P149">-SUMPRODUCT(
  desp[valor] *
  (desp[nucleo]=$B149) *
  (desp[centro.negocio]=$B$143) *
  (desp[data.pagamento]&gt;=P$1) *
  (desp[data.pagamento]&lt;EOMONTH(P$1,0)+1)
)</f>
        <v>0</v>
      </c>
      <c r="Q149" s="251" cm="1">
        <f t="array" ref="Q149">-SUMPRODUCT(
  desp[valor] *
  (desp[nucleo]=$B149) *
  (desp[centro.negocio]=$B$143) *
  (desp[data.pagamento]&gt;=Q$1) *
  (desp[data.pagamento]&lt;EOMONTH(Q$1,0)+1)
)</f>
        <v>0</v>
      </c>
      <c r="S149" s="243">
        <f t="shared" si="33"/>
        <v>0</v>
      </c>
    </row>
    <row r="150" spans="1:19" outlineLevel="2" x14ac:dyDescent="0.25">
      <c r="A150" s="250" t="s">
        <v>720</v>
      </c>
      <c r="B150" s="250" t="s">
        <v>580</v>
      </c>
      <c r="C150" s="197" t="s">
        <v>556</v>
      </c>
      <c r="D150" s="251" cm="1">
        <f t="array" ref="D150">-SUMPRODUCT(
  desp[valor] *
  (desp[nucleo]=$B150) *
  (desp[centro.negocio]=$B$143) *
  (desp[data.pagamento]&gt;=D$1) *
  (desp[data.pagamento]&lt;EOMONTH(D$1,0)+1)
)</f>
        <v>0</v>
      </c>
      <c r="E150" s="251" cm="1">
        <f t="array" ref="E150">-SUMPRODUCT(
  desp[valor] *
  (desp[nucleo]=$B150) *
  (desp[centro.negocio]=$B$143) *
  (desp[data.pagamento]&gt;=E$1) *
  (desp[data.pagamento]&lt;EOMONTH(E$1,0)+1)
)</f>
        <v>0</v>
      </c>
      <c r="F150" s="251" cm="1">
        <f t="array" ref="F150">-SUMPRODUCT(
  desp[valor] *
  (desp[nucleo]=$B150) *
  (desp[centro.negocio]=$B$143) *
  (desp[data.pagamento]&gt;=F$1) *
  (desp[data.pagamento]&lt;EOMONTH(F$1,0)+1)
)</f>
        <v>0</v>
      </c>
      <c r="G150" s="251" cm="1">
        <f t="array" ref="G150">-SUMPRODUCT(
  desp[valor] *
  (desp[nucleo]=$B150) *
  (desp[centro.negocio]=$B$143) *
  (desp[data.pagamento]&gt;=G$1) *
  (desp[data.pagamento]&lt;EOMONTH(G$1,0)+1)
)</f>
        <v>0</v>
      </c>
      <c r="H150" s="251" cm="1">
        <f t="array" ref="H150">-SUMPRODUCT(
  desp[valor] *
  (desp[nucleo]=$B150) *
  (desp[centro.negocio]=$B$143) *
  (desp[data.pagamento]&gt;=H$1) *
  (desp[data.pagamento]&lt;EOMONTH(H$1,0)+1)
)</f>
        <v>0</v>
      </c>
      <c r="I150" s="251" cm="1">
        <f t="array" ref="I150">-SUMPRODUCT(
  desp[valor] *
  (desp[nucleo]=$B150) *
  (desp[centro.negocio]=$B$143) *
  (desp[data.pagamento]&gt;=I$1) *
  (desp[data.pagamento]&lt;EOMONTH(I$1,0)+1)
)</f>
        <v>0</v>
      </c>
      <c r="J150" s="251" cm="1">
        <f t="array" ref="J150">-SUMPRODUCT(
  desp[valor] *
  (desp[nucleo]=$B150) *
  (desp[centro.negocio]=$B$143) *
  (desp[data.pagamento]&gt;=J$1) *
  (desp[data.pagamento]&lt;EOMONTH(J$1,0)+1)
)</f>
        <v>0</v>
      </c>
      <c r="K150" s="251" cm="1">
        <f t="array" ref="K150">-SUMPRODUCT(
  desp[valor] *
  (desp[nucleo]=$B150) *
  (desp[centro.negocio]=$B$143) *
  (desp[data.pagamento]&gt;=K$1) *
  (desp[data.pagamento]&lt;EOMONTH(K$1,0)+1)
)</f>
        <v>0</v>
      </c>
      <c r="L150" s="251" cm="1">
        <f t="array" ref="L150">-SUMPRODUCT(
  desp[valor] *
  (desp[nucleo]=$B150) *
  (desp[centro.negocio]=$B$143) *
  (desp[data.pagamento]&gt;=L$1) *
  (desp[data.pagamento]&lt;EOMONTH(L$1,0)+1)
)</f>
        <v>0</v>
      </c>
      <c r="M150" s="251" cm="1">
        <f t="array" ref="M150">-SUMPRODUCT(
  desp[valor] *
  (desp[nucleo]=$B150) *
  (desp[centro.negocio]=$B$143) *
  (desp[data.pagamento]&gt;=M$1) *
  (desp[data.pagamento]&lt;EOMONTH(M$1,0)+1)
)</f>
        <v>0</v>
      </c>
      <c r="N150" s="251" cm="1">
        <f t="array" ref="N150">-SUMPRODUCT(
  desp[valor] *
  (desp[nucleo]=$B150) *
  (desp[centro.negocio]=$B$143) *
  (desp[data.pagamento]&gt;=N$1) *
  (desp[data.pagamento]&lt;EOMONTH(N$1,0)+1)
)</f>
        <v>0</v>
      </c>
      <c r="O150" s="251" cm="1">
        <f t="array" ref="O150">-SUMPRODUCT(
  desp[valor] *
  (desp[nucleo]=$B150) *
  (desp[centro.negocio]=$B$143) *
  (desp[data.pagamento]&gt;=O$1) *
  (desp[data.pagamento]&lt;EOMONTH(O$1,0)+1)
)</f>
        <v>0</v>
      </c>
      <c r="P150" s="251" cm="1">
        <f t="array" ref="P150">-SUMPRODUCT(
  desp[valor] *
  (desp[nucleo]=$B150) *
  (desp[centro.negocio]=$B$143) *
  (desp[data.pagamento]&gt;=P$1) *
  (desp[data.pagamento]&lt;EOMONTH(P$1,0)+1)
)</f>
        <v>0</v>
      </c>
      <c r="Q150" s="251" cm="1">
        <f t="array" ref="Q150">-SUMPRODUCT(
  desp[valor] *
  (desp[nucleo]=$B150) *
  (desp[centro.negocio]=$B$143) *
  (desp[data.pagamento]&gt;=Q$1) *
  (desp[data.pagamento]&lt;EOMONTH(Q$1,0)+1)
)</f>
        <v>0</v>
      </c>
      <c r="S150" s="243">
        <f t="shared" si="33"/>
        <v>0</v>
      </c>
    </row>
    <row r="151" spans="1:19" outlineLevel="2" x14ac:dyDescent="0.25">
      <c r="A151" s="250" t="s">
        <v>721</v>
      </c>
      <c r="B151" s="250" t="s">
        <v>684</v>
      </c>
      <c r="C151" s="197" t="s">
        <v>556</v>
      </c>
      <c r="D151" s="251" cm="1">
        <f t="array" ref="D151">-SUMPRODUCT(
  desp[valor] *
  (desp[nucleo]=$B151) *
  (desp[centro.negocio]=$B$143) *
  (desp[data.pagamento]&gt;=D$1) *
  (desp[data.pagamento]&lt;EOMONTH(D$1,0)+1)
)</f>
        <v>0</v>
      </c>
      <c r="E151" s="251" cm="1">
        <f t="array" ref="E151">-SUMPRODUCT(
  desp[valor] *
  (desp[nucleo]=$B151) *
  (desp[centro.negocio]=$B$143) *
  (desp[data.pagamento]&gt;=E$1) *
  (desp[data.pagamento]&lt;EOMONTH(E$1,0)+1)
)</f>
        <v>0</v>
      </c>
      <c r="F151" s="251" cm="1">
        <f t="array" ref="F151">-SUMPRODUCT(
  desp[valor] *
  (desp[nucleo]=$B151) *
  (desp[centro.negocio]=$B$143) *
  (desp[data.pagamento]&gt;=F$1) *
  (desp[data.pagamento]&lt;EOMONTH(F$1,0)+1)
)</f>
        <v>0</v>
      </c>
      <c r="G151" s="251" cm="1">
        <f t="array" ref="G151">-SUMPRODUCT(
  desp[valor] *
  (desp[nucleo]=$B151) *
  (desp[centro.negocio]=$B$143) *
  (desp[data.pagamento]&gt;=G$1) *
  (desp[data.pagamento]&lt;EOMONTH(G$1,0)+1)
)</f>
        <v>0</v>
      </c>
      <c r="H151" s="251" cm="1">
        <f t="array" ref="H151">-SUMPRODUCT(
  desp[valor] *
  (desp[nucleo]=$B151) *
  (desp[centro.negocio]=$B$143) *
  (desp[data.pagamento]&gt;=H$1) *
  (desp[data.pagamento]&lt;EOMONTH(H$1,0)+1)
)</f>
        <v>0</v>
      </c>
      <c r="I151" s="251" cm="1">
        <f t="array" ref="I151">-SUMPRODUCT(
  desp[valor] *
  (desp[nucleo]=$B151) *
  (desp[centro.negocio]=$B$143) *
  (desp[data.pagamento]&gt;=I$1) *
  (desp[data.pagamento]&lt;EOMONTH(I$1,0)+1)
)</f>
        <v>0</v>
      </c>
      <c r="J151" s="251" cm="1">
        <f t="array" ref="J151">-SUMPRODUCT(
  desp[valor] *
  (desp[nucleo]=$B151) *
  (desp[centro.negocio]=$B$143) *
  (desp[data.pagamento]&gt;=J$1) *
  (desp[data.pagamento]&lt;EOMONTH(J$1,0)+1)
)</f>
        <v>0</v>
      </c>
      <c r="K151" s="251" cm="1">
        <f t="array" ref="K151">-SUMPRODUCT(
  desp[valor] *
  (desp[nucleo]=$B151) *
  (desp[centro.negocio]=$B$143) *
  (desp[data.pagamento]&gt;=K$1) *
  (desp[data.pagamento]&lt;EOMONTH(K$1,0)+1)
)</f>
        <v>0</v>
      </c>
      <c r="L151" s="251" cm="1">
        <f t="array" ref="L151">-SUMPRODUCT(
  desp[valor] *
  (desp[nucleo]=$B151) *
  (desp[centro.negocio]=$B$143) *
  (desp[data.pagamento]&gt;=L$1) *
  (desp[data.pagamento]&lt;EOMONTH(L$1,0)+1)
)</f>
        <v>0</v>
      </c>
      <c r="M151" s="251" cm="1">
        <f t="array" ref="M151">-SUMPRODUCT(
  desp[valor] *
  (desp[nucleo]=$B151) *
  (desp[centro.negocio]=$B$143) *
  (desp[data.pagamento]&gt;=M$1) *
  (desp[data.pagamento]&lt;EOMONTH(M$1,0)+1)
)</f>
        <v>0</v>
      </c>
      <c r="N151" s="251" cm="1">
        <f t="array" ref="N151">-SUMPRODUCT(
  desp[valor] *
  (desp[nucleo]=$B151) *
  (desp[centro.negocio]=$B$143) *
  (desp[data.pagamento]&gt;=N$1) *
  (desp[data.pagamento]&lt;EOMONTH(N$1,0)+1)
)</f>
        <v>0</v>
      </c>
      <c r="O151" s="251" cm="1">
        <f t="array" ref="O151">-SUMPRODUCT(
  desp[valor] *
  (desp[nucleo]=$B151) *
  (desp[centro.negocio]=$B$143) *
  (desp[data.pagamento]&gt;=O$1) *
  (desp[data.pagamento]&lt;EOMONTH(O$1,0)+1)
)</f>
        <v>0</v>
      </c>
      <c r="P151" s="251" cm="1">
        <f t="array" ref="P151">-SUMPRODUCT(
  desp[valor] *
  (desp[nucleo]=$B151) *
  (desp[centro.negocio]=$B$143) *
  (desp[data.pagamento]&gt;=P$1) *
  (desp[data.pagamento]&lt;EOMONTH(P$1,0)+1)
)</f>
        <v>0</v>
      </c>
      <c r="Q151" s="251" cm="1">
        <f t="array" ref="Q151">-SUMPRODUCT(
  desp[valor] *
  (desp[nucleo]=$B151) *
  (desp[centro.negocio]=$B$143) *
  (desp[data.pagamento]&gt;=Q$1) *
  (desp[data.pagamento]&lt;EOMONTH(Q$1,0)+1)
)</f>
        <v>0</v>
      </c>
      <c r="S151" s="243">
        <f t="shared" si="33"/>
        <v>0</v>
      </c>
    </row>
    <row r="152" spans="1:19" outlineLevel="2" x14ac:dyDescent="0.25">
      <c r="A152" s="250" t="s">
        <v>722</v>
      </c>
      <c r="B152" s="250" t="s">
        <v>584</v>
      </c>
      <c r="C152" s="197" t="s">
        <v>556</v>
      </c>
      <c r="D152" s="251" cm="1">
        <f t="array" ref="D152">-SUMPRODUCT(
  desp[valor] *
  (desp[nucleo]=$B152) *
  (desp[centro.negocio]=$B$143) *
  (desp[data.pagamento]&gt;=D$1) *
  (desp[data.pagamento]&lt;EOMONTH(D$1,0)+1)
)</f>
        <v>0</v>
      </c>
      <c r="E152" s="251" cm="1">
        <f t="array" ref="E152">-SUMPRODUCT(
  desp[valor] *
  (desp[nucleo]=$B152) *
  (desp[centro.negocio]=$B$143) *
  (desp[data.pagamento]&gt;=E$1) *
  (desp[data.pagamento]&lt;EOMONTH(E$1,0)+1)
)</f>
        <v>0</v>
      </c>
      <c r="F152" s="251" cm="1">
        <f t="array" ref="F152">-SUMPRODUCT(
  desp[valor] *
  (desp[nucleo]=$B152) *
  (desp[centro.negocio]=$B$143) *
  (desp[data.pagamento]&gt;=F$1) *
  (desp[data.pagamento]&lt;EOMONTH(F$1,0)+1)
)</f>
        <v>0</v>
      </c>
      <c r="G152" s="251" cm="1">
        <f t="array" ref="G152">-SUMPRODUCT(
  desp[valor] *
  (desp[nucleo]=$B152) *
  (desp[centro.negocio]=$B$143) *
  (desp[data.pagamento]&gt;=G$1) *
  (desp[data.pagamento]&lt;EOMONTH(G$1,0)+1)
)</f>
        <v>0</v>
      </c>
      <c r="H152" s="251" cm="1">
        <f t="array" ref="H152">-SUMPRODUCT(
  desp[valor] *
  (desp[nucleo]=$B152) *
  (desp[centro.negocio]=$B$143) *
  (desp[data.pagamento]&gt;=H$1) *
  (desp[data.pagamento]&lt;EOMONTH(H$1,0)+1)
)</f>
        <v>0</v>
      </c>
      <c r="I152" s="251" cm="1">
        <f t="array" ref="I152">-SUMPRODUCT(
  desp[valor] *
  (desp[nucleo]=$B152) *
  (desp[centro.negocio]=$B$143) *
  (desp[data.pagamento]&gt;=I$1) *
  (desp[data.pagamento]&lt;EOMONTH(I$1,0)+1)
)</f>
        <v>0</v>
      </c>
      <c r="J152" s="251" cm="1">
        <f t="array" ref="J152">-SUMPRODUCT(
  desp[valor] *
  (desp[nucleo]=$B152) *
  (desp[centro.negocio]=$B$143) *
  (desp[data.pagamento]&gt;=J$1) *
  (desp[data.pagamento]&lt;EOMONTH(J$1,0)+1)
)</f>
        <v>0</v>
      </c>
      <c r="K152" s="251" cm="1">
        <f t="array" ref="K152">-SUMPRODUCT(
  desp[valor] *
  (desp[nucleo]=$B152) *
  (desp[centro.negocio]=$B$143) *
  (desp[data.pagamento]&gt;=K$1) *
  (desp[data.pagamento]&lt;EOMONTH(K$1,0)+1)
)</f>
        <v>0</v>
      </c>
      <c r="L152" s="251" cm="1">
        <f t="array" ref="L152">-SUMPRODUCT(
  desp[valor] *
  (desp[nucleo]=$B152) *
  (desp[centro.negocio]=$B$143) *
  (desp[data.pagamento]&gt;=L$1) *
  (desp[data.pagamento]&lt;EOMONTH(L$1,0)+1)
)</f>
        <v>0</v>
      </c>
      <c r="M152" s="251" cm="1">
        <f t="array" ref="M152">-SUMPRODUCT(
  desp[valor] *
  (desp[nucleo]=$B152) *
  (desp[centro.negocio]=$B$143) *
  (desp[data.pagamento]&gt;=M$1) *
  (desp[data.pagamento]&lt;EOMONTH(M$1,0)+1)
)</f>
        <v>0</v>
      </c>
      <c r="N152" s="251" cm="1">
        <f t="array" ref="N152">-SUMPRODUCT(
  desp[valor] *
  (desp[nucleo]=$B152) *
  (desp[centro.negocio]=$B$143) *
  (desp[data.pagamento]&gt;=N$1) *
  (desp[data.pagamento]&lt;EOMONTH(N$1,0)+1)
)</f>
        <v>0</v>
      </c>
      <c r="O152" s="251" cm="1">
        <f t="array" ref="O152">-SUMPRODUCT(
  desp[valor] *
  (desp[nucleo]=$B152) *
  (desp[centro.negocio]=$B$143) *
  (desp[data.pagamento]&gt;=O$1) *
  (desp[data.pagamento]&lt;EOMONTH(O$1,0)+1)
)</f>
        <v>0</v>
      </c>
      <c r="P152" s="251" cm="1">
        <f t="array" ref="P152">-SUMPRODUCT(
  desp[valor] *
  (desp[nucleo]=$B152) *
  (desp[centro.negocio]=$B$143) *
  (desp[data.pagamento]&gt;=P$1) *
  (desp[data.pagamento]&lt;EOMONTH(P$1,0)+1)
)</f>
        <v>0</v>
      </c>
      <c r="Q152" s="251" cm="1">
        <f t="array" ref="Q152">-SUMPRODUCT(
  desp[valor] *
  (desp[nucleo]=$B152) *
  (desp[centro.negocio]=$B$143) *
  (desp[data.pagamento]&gt;=Q$1) *
  (desp[data.pagamento]&lt;EOMONTH(Q$1,0)+1)
)</f>
        <v>0</v>
      </c>
      <c r="S152" s="243">
        <f t="shared" si="33"/>
        <v>0</v>
      </c>
    </row>
    <row r="153" spans="1:19" outlineLevel="2" x14ac:dyDescent="0.25">
      <c r="A153" s="250" t="s">
        <v>723</v>
      </c>
      <c r="B153" s="250" t="s">
        <v>613</v>
      </c>
      <c r="C153" s="197" t="s">
        <v>556</v>
      </c>
      <c r="D153" s="251" cm="1">
        <f t="array" ref="D153">-SUMPRODUCT(
  desp[valor] *
  (desp[nucleo]=$B153) *
  (desp[centro.negocio]=$B$143) *
  (desp[data.pagamento]&gt;=D$1) *
  (desp[data.pagamento]&lt;EOMONTH(D$1,0)+1)
)</f>
        <v>0</v>
      </c>
      <c r="E153" s="251" cm="1">
        <f t="array" ref="E153">-SUMPRODUCT(
  desp[valor] *
  (desp[nucleo]=$B153) *
  (desp[centro.negocio]=$B$143) *
  (desp[data.pagamento]&gt;=E$1) *
  (desp[data.pagamento]&lt;EOMONTH(E$1,0)+1)
)</f>
        <v>0</v>
      </c>
      <c r="F153" s="251" cm="1">
        <f t="array" ref="F153">-SUMPRODUCT(
  desp[valor] *
  (desp[nucleo]=$B153) *
  (desp[centro.negocio]=$B$143) *
  (desp[data.pagamento]&gt;=F$1) *
  (desp[data.pagamento]&lt;EOMONTH(F$1,0)+1)
)</f>
        <v>0</v>
      </c>
      <c r="G153" s="251" cm="1">
        <f t="array" ref="G153">-SUMPRODUCT(
  desp[valor] *
  (desp[nucleo]=$B153) *
  (desp[centro.negocio]=$B$143) *
  (desp[data.pagamento]&gt;=G$1) *
  (desp[data.pagamento]&lt;EOMONTH(G$1,0)+1)
)</f>
        <v>0</v>
      </c>
      <c r="H153" s="251" cm="1">
        <f t="array" ref="H153">-SUMPRODUCT(
  desp[valor] *
  (desp[nucleo]=$B153) *
  (desp[centro.negocio]=$B$143) *
  (desp[data.pagamento]&gt;=H$1) *
  (desp[data.pagamento]&lt;EOMONTH(H$1,0)+1)
)</f>
        <v>0</v>
      </c>
      <c r="I153" s="251" cm="1">
        <f t="array" ref="I153">-SUMPRODUCT(
  desp[valor] *
  (desp[nucleo]=$B153) *
  (desp[centro.negocio]=$B$143) *
  (desp[data.pagamento]&gt;=I$1) *
  (desp[data.pagamento]&lt;EOMONTH(I$1,0)+1)
)</f>
        <v>0</v>
      </c>
      <c r="J153" s="251" cm="1">
        <f t="array" ref="J153">-SUMPRODUCT(
  desp[valor] *
  (desp[nucleo]=$B153) *
  (desp[centro.negocio]=$B$143) *
  (desp[data.pagamento]&gt;=J$1) *
  (desp[data.pagamento]&lt;EOMONTH(J$1,0)+1)
)</f>
        <v>0</v>
      </c>
      <c r="K153" s="251" cm="1">
        <f t="array" ref="K153">-SUMPRODUCT(
  desp[valor] *
  (desp[nucleo]=$B153) *
  (desp[centro.negocio]=$B$143) *
  (desp[data.pagamento]&gt;=K$1) *
  (desp[data.pagamento]&lt;EOMONTH(K$1,0)+1)
)</f>
        <v>0</v>
      </c>
      <c r="L153" s="251" cm="1">
        <f t="array" ref="L153">-SUMPRODUCT(
  desp[valor] *
  (desp[nucleo]=$B153) *
  (desp[centro.negocio]=$B$143) *
  (desp[data.pagamento]&gt;=L$1) *
  (desp[data.pagamento]&lt;EOMONTH(L$1,0)+1)
)</f>
        <v>0</v>
      </c>
      <c r="M153" s="251" cm="1">
        <f t="array" ref="M153">-SUMPRODUCT(
  desp[valor] *
  (desp[nucleo]=$B153) *
  (desp[centro.negocio]=$B$143) *
  (desp[data.pagamento]&gt;=M$1) *
  (desp[data.pagamento]&lt;EOMONTH(M$1,0)+1)
)</f>
        <v>0</v>
      </c>
      <c r="N153" s="251" cm="1">
        <f t="array" ref="N153">-SUMPRODUCT(
  desp[valor] *
  (desp[nucleo]=$B153) *
  (desp[centro.negocio]=$B$143) *
  (desp[data.pagamento]&gt;=N$1) *
  (desp[data.pagamento]&lt;EOMONTH(N$1,0)+1)
)</f>
        <v>0</v>
      </c>
      <c r="O153" s="251" cm="1">
        <f t="array" ref="O153">-SUMPRODUCT(
  desp[valor] *
  (desp[nucleo]=$B153) *
  (desp[centro.negocio]=$B$143) *
  (desp[data.pagamento]&gt;=O$1) *
  (desp[data.pagamento]&lt;EOMONTH(O$1,0)+1)
)</f>
        <v>0</v>
      </c>
      <c r="P153" s="251" cm="1">
        <f t="array" ref="P153">-SUMPRODUCT(
  desp[valor] *
  (desp[nucleo]=$B153) *
  (desp[centro.negocio]=$B$143) *
  (desp[data.pagamento]&gt;=P$1) *
  (desp[data.pagamento]&lt;EOMONTH(P$1,0)+1)
)</f>
        <v>0</v>
      </c>
      <c r="Q153" s="251" cm="1">
        <f t="array" ref="Q153">-SUMPRODUCT(
  desp[valor] *
  (desp[nucleo]=$B153) *
  (desp[centro.negocio]=$B$143) *
  (desp[data.pagamento]&gt;=Q$1) *
  (desp[data.pagamento]&lt;EOMONTH(Q$1,0)+1)
)</f>
        <v>0</v>
      </c>
      <c r="S153" s="243">
        <f t="shared" si="33"/>
        <v>0</v>
      </c>
    </row>
    <row r="154" spans="1:19" outlineLevel="1" x14ac:dyDescent="0.25">
      <c r="A154" s="247" t="s">
        <v>724</v>
      </c>
      <c r="B154" s="247" t="s">
        <v>412</v>
      </c>
      <c r="C154" s="248" t="s">
        <v>556</v>
      </c>
      <c r="D154" s="249">
        <f>SUM(D$155:D$156)</f>
        <v>0</v>
      </c>
      <c r="E154" s="249">
        <f t="shared" ref="E154:Q154" si="39">SUM(E$155:E$156)</f>
        <v>0</v>
      </c>
      <c r="F154" s="249">
        <f t="shared" si="39"/>
        <v>0</v>
      </c>
      <c r="G154" s="249">
        <f t="shared" si="39"/>
        <v>0</v>
      </c>
      <c r="H154" s="249">
        <f t="shared" si="39"/>
        <v>0</v>
      </c>
      <c r="I154" s="249">
        <f t="shared" si="39"/>
        <v>0</v>
      </c>
      <c r="J154" s="249">
        <f t="shared" si="39"/>
        <v>0</v>
      </c>
      <c r="K154" s="249">
        <f t="shared" si="39"/>
        <v>0</v>
      </c>
      <c r="L154" s="249">
        <f t="shared" si="39"/>
        <v>0</v>
      </c>
      <c r="M154" s="249">
        <f t="shared" si="39"/>
        <v>0</v>
      </c>
      <c r="N154" s="249">
        <f t="shared" si="39"/>
        <v>0</v>
      </c>
      <c r="O154" s="249">
        <f t="shared" si="39"/>
        <v>0</v>
      </c>
      <c r="P154" s="249">
        <f t="shared" si="39"/>
        <v>0</v>
      </c>
      <c r="Q154" s="249">
        <f t="shared" si="39"/>
        <v>0</v>
      </c>
      <c r="S154" s="243">
        <f t="shared" si="33"/>
        <v>0</v>
      </c>
    </row>
    <row r="155" spans="1:19" outlineLevel="2" x14ac:dyDescent="0.25">
      <c r="A155" s="250" t="s">
        <v>725</v>
      </c>
      <c r="B155" s="250" t="s">
        <v>675</v>
      </c>
      <c r="C155" s="197" t="s">
        <v>556</v>
      </c>
      <c r="D155" s="251" cm="1">
        <f t="array" ref="D155">-SUMPRODUCT(
  desp[valor] *
  (desp[nucleo]=$B155) *
  (desp[centro.negocio]=$B$154) *
  (desp[data.pagamento]&gt;=D$1) *
  (desp[data.pagamento]&lt;EOMONTH(D$1,0)+1)
)</f>
        <v>0</v>
      </c>
      <c r="E155" s="251" cm="1">
        <f t="array" ref="E155">-SUMPRODUCT(
  desp[valor] *
  (desp[nucleo]=$B155) *
  (desp[centro.negocio]=$B$154) *
  (desp[data.pagamento]&gt;=E$1) *
  (desp[data.pagamento]&lt;EOMONTH(E$1,0)+1)
)</f>
        <v>0</v>
      </c>
      <c r="F155" s="251" cm="1">
        <f t="array" ref="F155">-SUMPRODUCT(
  desp[valor] *
  (desp[nucleo]=$B155) *
  (desp[centro.negocio]=$B$154) *
  (desp[data.pagamento]&gt;=F$1) *
  (desp[data.pagamento]&lt;EOMONTH(F$1,0)+1)
)</f>
        <v>0</v>
      </c>
      <c r="G155" s="251" cm="1">
        <f t="array" ref="G155">-SUMPRODUCT(
  desp[valor] *
  (desp[nucleo]=$B155) *
  (desp[centro.negocio]=$B$154) *
  (desp[data.pagamento]&gt;=G$1) *
  (desp[data.pagamento]&lt;EOMONTH(G$1,0)+1)
)</f>
        <v>0</v>
      </c>
      <c r="H155" s="251" cm="1">
        <f t="array" ref="H155">-SUMPRODUCT(
  desp[valor] *
  (desp[nucleo]=$B155) *
  (desp[centro.negocio]=$B$154) *
  (desp[data.pagamento]&gt;=H$1) *
  (desp[data.pagamento]&lt;EOMONTH(H$1,0)+1)
)</f>
        <v>0</v>
      </c>
      <c r="I155" s="251" cm="1">
        <f t="array" ref="I155">-SUMPRODUCT(
  desp[valor] *
  (desp[nucleo]=$B155) *
  (desp[centro.negocio]=$B$154) *
  (desp[data.pagamento]&gt;=I$1) *
  (desp[data.pagamento]&lt;EOMONTH(I$1,0)+1)
)</f>
        <v>0</v>
      </c>
      <c r="J155" s="251" cm="1">
        <f t="array" ref="J155">-SUMPRODUCT(
  desp[valor] *
  (desp[nucleo]=$B155) *
  (desp[centro.negocio]=$B$154) *
  (desp[data.pagamento]&gt;=J$1) *
  (desp[data.pagamento]&lt;EOMONTH(J$1,0)+1)
)</f>
        <v>0</v>
      </c>
      <c r="K155" s="251" cm="1">
        <f t="array" ref="K155">-SUMPRODUCT(
  desp[valor] *
  (desp[nucleo]=$B155) *
  (desp[centro.negocio]=$B$154) *
  (desp[data.pagamento]&gt;=K$1) *
  (desp[data.pagamento]&lt;EOMONTH(K$1,0)+1)
)</f>
        <v>0</v>
      </c>
      <c r="L155" s="251" cm="1">
        <f t="array" ref="L155">-SUMPRODUCT(
  desp[valor] *
  (desp[nucleo]=$B155) *
  (desp[centro.negocio]=$B$154) *
  (desp[data.pagamento]&gt;=L$1) *
  (desp[data.pagamento]&lt;EOMONTH(L$1,0)+1)
)</f>
        <v>0</v>
      </c>
      <c r="M155" s="251" cm="1">
        <f t="array" ref="M155">-SUMPRODUCT(
  desp[valor] *
  (desp[nucleo]=$B155) *
  (desp[centro.negocio]=$B$154) *
  (desp[data.pagamento]&gt;=M$1) *
  (desp[data.pagamento]&lt;EOMONTH(M$1,0)+1)
)</f>
        <v>0</v>
      </c>
      <c r="N155" s="251" cm="1">
        <f t="array" ref="N155">-SUMPRODUCT(
  desp[valor] *
  (desp[nucleo]=$B155) *
  (desp[centro.negocio]=$B$154) *
  (desp[data.pagamento]&gt;=N$1) *
  (desp[data.pagamento]&lt;EOMONTH(N$1,0)+1)
)</f>
        <v>0</v>
      </c>
      <c r="O155" s="251" cm="1">
        <f t="array" ref="O155">-SUMPRODUCT(
  desp[valor] *
  (desp[nucleo]=$B155) *
  (desp[centro.negocio]=$B$154) *
  (desp[data.pagamento]&gt;=O$1) *
  (desp[data.pagamento]&lt;EOMONTH(O$1,0)+1)
)</f>
        <v>0</v>
      </c>
      <c r="P155" s="251" cm="1">
        <f t="array" ref="P155">-SUMPRODUCT(
  desp[valor] *
  (desp[nucleo]=$B155) *
  (desp[centro.negocio]=$B$154) *
  (desp[data.pagamento]&gt;=P$1) *
  (desp[data.pagamento]&lt;EOMONTH(P$1,0)+1)
)</f>
        <v>0</v>
      </c>
      <c r="Q155" s="251" cm="1">
        <f t="array" ref="Q155">-SUMPRODUCT(
  desp[valor] *
  (desp[nucleo]=$B155) *
  (desp[centro.negocio]=$B$154) *
  (desp[data.pagamento]&gt;=Q$1) *
  (desp[data.pagamento]&lt;EOMONTH(Q$1,0)+1)
)</f>
        <v>0</v>
      </c>
      <c r="S155" s="243">
        <f t="shared" si="33"/>
        <v>0</v>
      </c>
    </row>
    <row r="156" spans="1:19" outlineLevel="2" x14ac:dyDescent="0.25">
      <c r="A156" s="250" t="s">
        <v>725</v>
      </c>
      <c r="B156" s="250" t="s">
        <v>588</v>
      </c>
      <c r="C156" s="197" t="s">
        <v>556</v>
      </c>
      <c r="D156" s="251" cm="1">
        <f t="array" ref="D156">-SUMPRODUCT(
  desp[valor] *
  (desp[nucleo]=$B156) *
  (desp[centro.negocio]=$B$154) *
  (desp[data.pagamento]&gt;=D$1) *
  (desp[data.pagamento]&lt;EOMONTH(D$1,0)+1)
)</f>
        <v>0</v>
      </c>
      <c r="E156" s="251" cm="1">
        <f t="array" ref="E156">-SUMPRODUCT(
  desp[valor] *
  (desp[nucleo]=$B156) *
  (desp[centro.negocio]=$B$154) *
  (desp[data.pagamento]&gt;=E$1) *
  (desp[data.pagamento]&lt;EOMONTH(E$1,0)+1)
)</f>
        <v>0</v>
      </c>
      <c r="F156" s="251" cm="1">
        <f t="array" ref="F156">-SUMPRODUCT(
  desp[valor] *
  (desp[nucleo]=$B156) *
  (desp[centro.negocio]=$B$154) *
  (desp[data.pagamento]&gt;=F$1) *
  (desp[data.pagamento]&lt;EOMONTH(F$1,0)+1)
)</f>
        <v>0</v>
      </c>
      <c r="G156" s="251" cm="1">
        <f t="array" ref="G156">-SUMPRODUCT(
  desp[valor] *
  (desp[nucleo]=$B156) *
  (desp[centro.negocio]=$B$154) *
  (desp[data.pagamento]&gt;=G$1) *
  (desp[data.pagamento]&lt;EOMONTH(G$1,0)+1)
)</f>
        <v>0</v>
      </c>
      <c r="H156" s="251" cm="1">
        <f t="array" ref="H156">-SUMPRODUCT(
  desp[valor] *
  (desp[nucleo]=$B156) *
  (desp[centro.negocio]=$B$154) *
  (desp[data.pagamento]&gt;=H$1) *
  (desp[data.pagamento]&lt;EOMONTH(H$1,0)+1)
)</f>
        <v>0</v>
      </c>
      <c r="I156" s="251" cm="1">
        <f t="array" ref="I156">-SUMPRODUCT(
  desp[valor] *
  (desp[nucleo]=$B156) *
  (desp[centro.negocio]=$B$154) *
  (desp[data.pagamento]&gt;=I$1) *
  (desp[data.pagamento]&lt;EOMONTH(I$1,0)+1)
)</f>
        <v>0</v>
      </c>
      <c r="J156" s="251" cm="1">
        <f t="array" ref="J156">-SUMPRODUCT(
  desp[valor] *
  (desp[nucleo]=$B156) *
  (desp[centro.negocio]=$B$154) *
  (desp[data.pagamento]&gt;=J$1) *
  (desp[data.pagamento]&lt;EOMONTH(J$1,0)+1)
)</f>
        <v>0</v>
      </c>
      <c r="K156" s="251" cm="1">
        <f t="array" ref="K156">-SUMPRODUCT(
  desp[valor] *
  (desp[nucleo]=$B156) *
  (desp[centro.negocio]=$B$154) *
  (desp[data.pagamento]&gt;=K$1) *
  (desp[data.pagamento]&lt;EOMONTH(K$1,0)+1)
)</f>
        <v>0</v>
      </c>
      <c r="L156" s="251" cm="1">
        <f t="array" ref="L156">-SUMPRODUCT(
  desp[valor] *
  (desp[nucleo]=$B156) *
  (desp[centro.negocio]=$B$154) *
  (desp[data.pagamento]&gt;=L$1) *
  (desp[data.pagamento]&lt;EOMONTH(L$1,0)+1)
)</f>
        <v>0</v>
      </c>
      <c r="M156" s="251" cm="1">
        <f t="array" ref="M156">-SUMPRODUCT(
  desp[valor] *
  (desp[nucleo]=$B156) *
  (desp[centro.negocio]=$B$154) *
  (desp[data.pagamento]&gt;=M$1) *
  (desp[data.pagamento]&lt;EOMONTH(M$1,0)+1)
)</f>
        <v>0</v>
      </c>
      <c r="N156" s="251" cm="1">
        <f t="array" ref="N156">-SUMPRODUCT(
  desp[valor] *
  (desp[nucleo]=$B156) *
  (desp[centro.negocio]=$B$154) *
  (desp[data.pagamento]&gt;=N$1) *
  (desp[data.pagamento]&lt;EOMONTH(N$1,0)+1)
)</f>
        <v>0</v>
      </c>
      <c r="O156" s="251" cm="1">
        <f t="array" ref="O156">-SUMPRODUCT(
  desp[valor] *
  (desp[nucleo]=$B156) *
  (desp[centro.negocio]=$B$154) *
  (desp[data.pagamento]&gt;=O$1) *
  (desp[data.pagamento]&lt;EOMONTH(O$1,0)+1)
)</f>
        <v>0</v>
      </c>
      <c r="P156" s="251" cm="1">
        <f t="array" ref="P156">-SUMPRODUCT(
  desp[valor] *
  (desp[nucleo]=$B156) *
  (desp[centro.negocio]=$B$154) *
  (desp[data.pagamento]&gt;=P$1) *
  (desp[data.pagamento]&lt;EOMONTH(P$1,0)+1)
)</f>
        <v>0</v>
      </c>
      <c r="Q156" s="251" cm="1">
        <f t="array" ref="Q156">-SUMPRODUCT(
  desp[valor] *
  (desp[nucleo]=$B156) *
  (desp[centro.negocio]=$B$154) *
  (desp[data.pagamento]&gt;=Q$1) *
  (desp[data.pagamento]&lt;EOMONTH(Q$1,0)+1)
)</f>
        <v>0</v>
      </c>
      <c r="S156" s="243">
        <f t="shared" si="33"/>
        <v>0</v>
      </c>
    </row>
    <row r="157" spans="1:19" outlineLevel="1" x14ac:dyDescent="0.25">
      <c r="A157" s="247" t="s">
        <v>726</v>
      </c>
      <c r="B157" s="247" t="s">
        <v>384</v>
      </c>
      <c r="C157" s="248" t="s">
        <v>556</v>
      </c>
      <c r="D157" s="249" cm="1">
        <f t="array" ref="D157">-SUMPRODUCT(
  desp[valor] *
  (desp[data.pagamento] &gt;= D$1) *
  (desp[data.pagamento] &lt; EOMONTH(D$1,0)+1) *
  --ISNA(MATCH(desp[centro.negocio], {"NF - Mão de Obra";"Operações Financeiras/juros";"Terreno"}, 0))
)-
SUM(D$32,D$43,D$51,D$64,D$66,D$70,D$72,D$74,D$76,D$81,D$94,D$120,D$134,D$139,D$141,D$143,D$154)</f>
        <v>0</v>
      </c>
      <c r="E157" s="249" cm="1">
        <f t="array" ref="E157">-SUMPRODUCT(
  desp[valor] *
  (desp[data.pagamento] &gt;= E$1) *
  (desp[data.pagamento] &lt; EOMONTH(E$1,0)+1) *
  --ISNA(MATCH(desp[centro.negocio], {"NF - Mão de Obra";"Operações Financeiras/juros";"Terreno"}, 0))
)-
SUM(E$32,E$43,E$51,E$64,E$66,E$70,E$72,E$74,E$76,E$81,E$94,E$120,E$134,E$139,E$141,E$143,E$154)</f>
        <v>0</v>
      </c>
      <c r="F157" s="249" cm="1">
        <f t="array" ref="F157">-SUMPRODUCT(
  desp[valor] *
  (desp[data.pagamento] &gt;= F$1) *
  (desp[data.pagamento] &lt; EOMONTH(F$1,0)+1) *
  --ISNA(MATCH(desp[centro.negocio], {"NF - Mão de Obra";"Operações Financeiras/juros";"Terreno"}, 0))
)-
SUM(F$32,F$43,F$51,F$64,F$66,F$70,F$72,F$74,F$76,F$81,F$94,F$120,F$134,F$139,F$141,F$143,F$154)</f>
        <v>0</v>
      </c>
      <c r="G157" s="249" cm="1">
        <f t="array" ref="G157">-SUMPRODUCT(
  desp[valor] *
  (desp[data.pagamento] &gt;= G$1) *
  (desp[data.pagamento] &lt; EOMONTH(G$1,0)+1) *
  --ISNA(MATCH(desp[centro.negocio], {"NF - Mão de Obra";"Operações Financeiras/juros";"Terreno"}, 0))
)-
SUM(G$32,G$43,G$51,G$64,G$66,G$70,G$72,G$74,G$76,G$81,G$94,G$120,G$134,G$139,G$141,G$143,G$154)</f>
        <v>0</v>
      </c>
      <c r="H157" s="249" cm="1">
        <f t="array" ref="H157">-SUMPRODUCT(
  desp[valor] *
  (desp[data.pagamento] &gt;= H$1) *
  (desp[data.pagamento] &lt; EOMONTH(H$1,0)+1) *
  --ISNA(MATCH(desp[centro.negocio], {"NF - Mão de Obra";"Operações Financeiras/juros";"Terreno"}, 0))
)-
SUM(H$32,H$43,H$51,H$64,H$66,H$70,H$72,H$74,H$76,H$81,H$94,H$120,H$134,H$139,H$141,H$143,H$154)</f>
        <v>0</v>
      </c>
      <c r="I157" s="249" cm="1">
        <f t="array" ref="I157">-SUMPRODUCT(
  desp[valor] *
  (desp[data.pagamento] &gt;= I$1) *
  (desp[data.pagamento] &lt; EOMONTH(I$1,0)+1) *
  --ISNA(MATCH(desp[centro.negocio], {"NF - Mão de Obra";"Operações Financeiras/juros";"Terreno"}, 0))
)-
SUM(I$32,I$43,I$51,I$64,I$66,I$70,I$72,I$74,I$76,I$81,I$94,I$120,I$134,I$139,I$141,I$143,I$154)</f>
        <v>0</v>
      </c>
      <c r="J157" s="249" cm="1">
        <f t="array" ref="J157">-SUMPRODUCT(
  desp[valor] *
  (desp[data.pagamento] &gt;= J$1) *
  (desp[data.pagamento] &lt; EOMONTH(J$1,0)+1) *
  --ISNA(MATCH(desp[centro.negocio], {"NF - Mão de Obra";"Operações Financeiras/juros";"Terreno"}, 0))
)-
SUM(J$32,J$43,J$51,J$64,J$66,J$70,J$72,J$74,J$76,J$81,J$94,J$120,J$134,J$139,J$141,J$143,J$154)</f>
        <v>0</v>
      </c>
      <c r="K157" s="249" cm="1">
        <f t="array" ref="K157">-SUMPRODUCT(
  desp[valor] *
  (desp[data.pagamento] &gt;= K$1) *
  (desp[data.pagamento] &lt; EOMONTH(K$1,0)+1) *
  --ISNA(MATCH(desp[centro.negocio], {"NF - Mão de Obra";"Operações Financeiras/juros";"Terreno"}, 0))
)-
SUM(K$32,K$43,K$51,K$64,K$66,K$70,K$72,K$74,K$76,K$81,K$94,K$120,K$134,K$139,K$141,K$143,K$154)</f>
        <v>0</v>
      </c>
      <c r="L157" s="249" cm="1">
        <f t="array" ref="L157">-SUMPRODUCT(
  desp[valor] *
  (desp[data.pagamento] &gt;= L$1) *
  (desp[data.pagamento] &lt; EOMONTH(L$1,0)+1) *
  --ISNA(MATCH(desp[centro.negocio], {"NF - Mão de Obra";"Operações Financeiras/juros";"Terreno"}, 0))
)-
SUM(L$32,L$43,L$51,L$64,L$66,L$70,L$72,L$74,L$76,L$81,L$94,L$120,L$134,L$139,L$141,L$143,L$154)</f>
        <v>0</v>
      </c>
      <c r="M157" s="249" cm="1">
        <f t="array" ref="M157">-SUMPRODUCT(
  desp[valor] *
  (desp[data.pagamento] &gt;= M$1) *
  (desp[data.pagamento] &lt; EOMONTH(M$1,0)+1) *
  --ISNA(MATCH(desp[centro.negocio], {"NF - Mão de Obra";"Operações Financeiras/juros";"Terreno"}, 0))
)-
SUM(M$32,M$43,M$51,M$64,M$66,M$70,M$72,M$74,M$76,M$81,M$94,M$120,M$134,M$139,M$141,M$143,M$154)</f>
        <v>0</v>
      </c>
      <c r="N157" s="249" cm="1">
        <f t="array" ref="N157">-SUMPRODUCT(
  desp[valor] *
  (desp[data.pagamento] &gt;= N$1) *
  (desp[data.pagamento] &lt; EOMONTH(N$1,0)+1) *
  --ISNA(MATCH(desp[centro.negocio], {"NF - Mão de Obra";"Operações Financeiras/juros";"Terreno"}, 0))
)-
SUM(N$32,N$43,N$51,N$64,N$66,N$70,N$72,N$74,N$76,N$81,N$94,N$120,N$134,N$139,N$141,N$143,N$154)</f>
        <v>0</v>
      </c>
      <c r="O157" s="249" cm="1">
        <f t="array" ref="O157">-SUMPRODUCT(
  desp[valor] *
  (desp[data.pagamento] &gt;= O$1) *
  (desp[data.pagamento] &lt; EOMONTH(O$1,0)+1) *
  --ISNA(MATCH(desp[centro.negocio], {"NF - Mão de Obra";"Operações Financeiras/juros";"Terreno"}, 0))
)-
SUM(O$32,O$43,O$51,O$64,O$66,O$70,O$72,O$74,O$76,O$81,O$94,O$120,O$134,O$139,O$141,O$143,O$154)</f>
        <v>0</v>
      </c>
      <c r="P157" s="249" cm="1">
        <f t="array" ref="P157">-SUMPRODUCT(
  desp[valor] *
  (desp[data.pagamento] &gt;= P$1) *
  (desp[data.pagamento] &lt; EOMONTH(P$1,0)+1) *
  --ISNA(MATCH(desp[centro.negocio], {"NF - Mão de Obra";"Operações Financeiras/juros";"Terreno"}, 0))
)-
SUM(P$32,P$43,P$51,P$64,P$66,P$70,P$72,P$74,P$76,P$81,P$94,P$120,P$134,P$139,P$141,P$143,P$154)</f>
        <v>0</v>
      </c>
      <c r="Q157" s="249" cm="1">
        <f t="array" ref="Q157">-SUMPRODUCT(
  desp[valor] *
  (desp[data.pagamento] &gt;= Q$1) *
  (desp[data.pagamento] &lt; EOMONTH(Q$1,0)+1) *
  --ISNA(MATCH(desp[centro.negocio], {"NF - Mão de Obra";"Operações Financeiras/juros";"Terreno"}, 0))
)-
SUM(Q$32,Q$43,Q$51,Q$64,Q$66,Q$70,Q$72,Q$74,Q$76,Q$81,Q$94,Q$120,Q$134,Q$139,Q$141,Q$143,Q$154)</f>
        <v>0</v>
      </c>
      <c r="S157" s="243">
        <f t="shared" si="33"/>
        <v>0</v>
      </c>
    </row>
    <row r="158" spans="1:19" x14ac:dyDescent="0.25">
      <c r="A158" s="240" t="s">
        <v>727</v>
      </c>
      <c r="B158" s="240" t="s">
        <v>728</v>
      </c>
      <c r="C158" s="241"/>
      <c r="D158" s="257">
        <f>D$159+D$162</f>
        <v>0</v>
      </c>
      <c r="E158" s="257">
        <f t="shared" ref="E158:Q158" si="40">E$159+E$162</f>
        <v>0</v>
      </c>
      <c r="F158" s="257">
        <f t="shared" si="40"/>
        <v>0</v>
      </c>
      <c r="G158" s="257">
        <f t="shared" si="40"/>
        <v>0</v>
      </c>
      <c r="H158" s="257">
        <f t="shared" si="40"/>
        <v>0</v>
      </c>
      <c r="I158" s="257">
        <f t="shared" si="40"/>
        <v>0</v>
      </c>
      <c r="J158" s="257">
        <f t="shared" si="40"/>
        <v>0</v>
      </c>
      <c r="K158" s="257">
        <f t="shared" si="40"/>
        <v>0</v>
      </c>
      <c r="L158" s="257">
        <f t="shared" si="40"/>
        <v>0</v>
      </c>
      <c r="M158" s="257">
        <f t="shared" si="40"/>
        <v>0</v>
      </c>
      <c r="N158" s="257">
        <f t="shared" si="40"/>
        <v>0</v>
      </c>
      <c r="O158" s="257">
        <f t="shared" si="40"/>
        <v>0</v>
      </c>
      <c r="P158" s="257">
        <f t="shared" si="40"/>
        <v>0</v>
      </c>
      <c r="Q158" s="257">
        <f t="shared" si="40"/>
        <v>0</v>
      </c>
      <c r="S158" s="243">
        <f t="shared" si="33"/>
        <v>0</v>
      </c>
    </row>
    <row r="159" spans="1:19" x14ac:dyDescent="0.25">
      <c r="A159" s="244" t="s">
        <v>729</v>
      </c>
      <c r="B159" s="244" t="s">
        <v>730</v>
      </c>
      <c r="C159" s="245"/>
      <c r="D159" s="246">
        <f>SUM(D$160,D$161)</f>
        <v>0</v>
      </c>
      <c r="E159" s="246">
        <f t="shared" ref="E159:Q159" si="41">SUM(E$160,E$161)</f>
        <v>0</v>
      </c>
      <c r="F159" s="246">
        <f t="shared" si="41"/>
        <v>0</v>
      </c>
      <c r="G159" s="246">
        <f t="shared" si="41"/>
        <v>0</v>
      </c>
      <c r="H159" s="246">
        <f t="shared" si="41"/>
        <v>0</v>
      </c>
      <c r="I159" s="246">
        <f t="shared" si="41"/>
        <v>0</v>
      </c>
      <c r="J159" s="246">
        <f t="shared" si="41"/>
        <v>0</v>
      </c>
      <c r="K159" s="246">
        <f t="shared" si="41"/>
        <v>0</v>
      </c>
      <c r="L159" s="246">
        <f t="shared" si="41"/>
        <v>0</v>
      </c>
      <c r="M159" s="246">
        <f t="shared" si="41"/>
        <v>0</v>
      </c>
      <c r="N159" s="246">
        <f t="shared" si="41"/>
        <v>0</v>
      </c>
      <c r="O159" s="246">
        <f t="shared" si="41"/>
        <v>0</v>
      </c>
      <c r="P159" s="246">
        <f t="shared" si="41"/>
        <v>0</v>
      </c>
      <c r="Q159" s="246">
        <f t="shared" si="41"/>
        <v>0</v>
      </c>
      <c r="S159" s="243">
        <f t="shared" si="33"/>
        <v>0</v>
      </c>
    </row>
    <row r="160" spans="1:19" outlineLevel="1" collapsed="1" x14ac:dyDescent="0.25">
      <c r="A160" s="247" t="s">
        <v>731</v>
      </c>
      <c r="B160" s="258" t="s">
        <v>732</v>
      </c>
      <c r="C160" s="197"/>
      <c r="D160" s="251"/>
      <c r="E160" s="251"/>
      <c r="F160" s="251"/>
      <c r="G160" s="251"/>
      <c r="H160" s="251"/>
      <c r="I160" s="251"/>
      <c r="J160" s="251"/>
      <c r="K160" s="251"/>
      <c r="L160" s="251"/>
      <c r="M160" s="251"/>
      <c r="N160" s="251"/>
      <c r="O160" s="251"/>
      <c r="P160" s="251"/>
      <c r="Q160" s="251"/>
      <c r="S160" s="243">
        <f t="shared" si="33"/>
        <v>0</v>
      </c>
    </row>
    <row r="161" spans="1:19" outlineLevel="1" x14ac:dyDescent="0.25">
      <c r="A161" s="247" t="s">
        <v>733</v>
      </c>
      <c r="B161" s="258" t="s">
        <v>734</v>
      </c>
      <c r="C161" s="197"/>
      <c r="D161" s="251"/>
      <c r="E161" s="251"/>
      <c r="F161" s="251"/>
      <c r="G161" s="251"/>
      <c r="H161" s="251"/>
      <c r="I161" s="251"/>
      <c r="J161" s="251"/>
      <c r="K161" s="251"/>
      <c r="L161" s="251"/>
      <c r="M161" s="251"/>
      <c r="N161" s="251"/>
      <c r="O161" s="251"/>
      <c r="P161" s="251"/>
      <c r="Q161" s="251"/>
      <c r="S161" s="243">
        <f t="shared" si="33"/>
        <v>0</v>
      </c>
    </row>
    <row r="162" spans="1:19" x14ac:dyDescent="0.25">
      <c r="A162" s="253" t="s">
        <v>735</v>
      </c>
      <c r="B162" s="253" t="s">
        <v>736</v>
      </c>
      <c r="C162" s="259"/>
      <c r="D162" s="260">
        <f>SUM(D$163,D$180,D$181)</f>
        <v>0</v>
      </c>
      <c r="E162" s="260">
        <f t="shared" ref="E162:Q162" si="42">SUM(E$163,E$180,E$181)</f>
        <v>0</v>
      </c>
      <c r="F162" s="260">
        <f t="shared" si="42"/>
        <v>0</v>
      </c>
      <c r="G162" s="260">
        <f t="shared" si="42"/>
        <v>0</v>
      </c>
      <c r="H162" s="260">
        <f t="shared" si="42"/>
        <v>0</v>
      </c>
      <c r="I162" s="260">
        <f t="shared" si="42"/>
        <v>0</v>
      </c>
      <c r="J162" s="260">
        <f t="shared" si="42"/>
        <v>0</v>
      </c>
      <c r="K162" s="260">
        <f t="shared" si="42"/>
        <v>0</v>
      </c>
      <c r="L162" s="260">
        <f t="shared" si="42"/>
        <v>0</v>
      </c>
      <c r="M162" s="260">
        <f t="shared" si="42"/>
        <v>0</v>
      </c>
      <c r="N162" s="260">
        <f t="shared" si="42"/>
        <v>0</v>
      </c>
      <c r="O162" s="260">
        <f t="shared" si="42"/>
        <v>0</v>
      </c>
      <c r="P162" s="260">
        <f t="shared" si="42"/>
        <v>0</v>
      </c>
      <c r="Q162" s="260">
        <f t="shared" si="42"/>
        <v>0</v>
      </c>
      <c r="S162" s="243">
        <f t="shared" si="33"/>
        <v>0</v>
      </c>
    </row>
    <row r="163" spans="1:19" outlineLevel="1" x14ac:dyDescent="0.25">
      <c r="A163" s="247" t="s">
        <v>737</v>
      </c>
      <c r="B163" s="247" t="s">
        <v>441</v>
      </c>
      <c r="C163" s="248" t="s">
        <v>556</v>
      </c>
      <c r="D163" s="249">
        <f t="shared" ref="D163:Q163" si="43">SUM(D$164:D$179)</f>
        <v>0</v>
      </c>
      <c r="E163" s="249">
        <f t="shared" si="43"/>
        <v>0</v>
      </c>
      <c r="F163" s="249">
        <f t="shared" si="43"/>
        <v>0</v>
      </c>
      <c r="G163" s="249">
        <f t="shared" si="43"/>
        <v>0</v>
      </c>
      <c r="H163" s="249">
        <f t="shared" si="43"/>
        <v>0</v>
      </c>
      <c r="I163" s="249">
        <f t="shared" si="43"/>
        <v>0</v>
      </c>
      <c r="J163" s="249">
        <f t="shared" si="43"/>
        <v>0</v>
      </c>
      <c r="K163" s="249">
        <f t="shared" si="43"/>
        <v>0</v>
      </c>
      <c r="L163" s="249">
        <f t="shared" si="43"/>
        <v>0</v>
      </c>
      <c r="M163" s="249">
        <f t="shared" si="43"/>
        <v>0</v>
      </c>
      <c r="N163" s="249">
        <f t="shared" si="43"/>
        <v>0</v>
      </c>
      <c r="O163" s="249">
        <f t="shared" si="43"/>
        <v>0</v>
      </c>
      <c r="P163" s="249">
        <f t="shared" si="43"/>
        <v>0</v>
      </c>
      <c r="Q163" s="249">
        <f t="shared" si="43"/>
        <v>0</v>
      </c>
      <c r="S163" s="243">
        <f t="shared" si="33"/>
        <v>0</v>
      </c>
    </row>
    <row r="164" spans="1:19" outlineLevel="2" x14ac:dyDescent="0.25">
      <c r="A164" s="250" t="s">
        <v>738</v>
      </c>
      <c r="B164" s="250" t="s">
        <v>594</v>
      </c>
      <c r="C164" s="197" t="s">
        <v>556</v>
      </c>
      <c r="D164" s="251" cm="1">
        <f t="array" ref="D164">-SUMPRODUCT(
  desp[valor] *
  (desp[nucleo]=$B164) *
  (desp[centro.negocio]=$B$163) *
  (desp[data.pagamento]&gt;=D$1) *
  (desp[data.pagamento]&lt;EOMONTH(D$1,0)+1)
)</f>
        <v>0</v>
      </c>
      <c r="E164" s="251" cm="1">
        <f t="array" ref="E164">-SUMPRODUCT(
  desp[valor] *
  (desp[nucleo]=$B164) *
  (desp[centro.negocio]=$B$163) *
  (desp[data.pagamento]&gt;=E$1) *
  (desp[data.pagamento]&lt;EOMONTH(E$1,0)+1)
)</f>
        <v>0</v>
      </c>
      <c r="F164" s="251" cm="1">
        <f t="array" ref="F164">-SUMPRODUCT(
  desp[valor] *
  (desp[nucleo]=$B164) *
  (desp[centro.negocio]=$B$163) *
  (desp[data.pagamento]&gt;=F$1) *
  (desp[data.pagamento]&lt;EOMONTH(F$1,0)+1)
)</f>
        <v>0</v>
      </c>
      <c r="G164" s="251" cm="1">
        <f t="array" ref="G164">-SUMPRODUCT(
  desp[valor] *
  (desp[nucleo]=$B164) *
  (desp[centro.negocio]=$B$163) *
  (desp[data.pagamento]&gt;=G$1) *
  (desp[data.pagamento]&lt;EOMONTH(G$1,0)+1)
)</f>
        <v>0</v>
      </c>
      <c r="H164" s="251" cm="1">
        <f t="array" ref="H164">-SUMPRODUCT(
  desp[valor] *
  (desp[nucleo]=$B164) *
  (desp[centro.negocio]=$B$163) *
  (desp[data.pagamento]&gt;=H$1) *
  (desp[data.pagamento]&lt;EOMONTH(H$1,0)+1)
)</f>
        <v>0</v>
      </c>
      <c r="I164" s="251" cm="1">
        <f t="array" ref="I164">-SUMPRODUCT(
  desp[valor] *
  (desp[nucleo]=$B164) *
  (desp[centro.negocio]=$B$163) *
  (desp[data.pagamento]&gt;=I$1) *
  (desp[data.pagamento]&lt;EOMONTH(I$1,0)+1)
)</f>
        <v>0</v>
      </c>
      <c r="J164" s="251" cm="1">
        <f t="array" ref="J164">-SUMPRODUCT(
  desp[valor] *
  (desp[nucleo]=$B164) *
  (desp[centro.negocio]=$B$163) *
  (desp[data.pagamento]&gt;=J$1) *
  (desp[data.pagamento]&lt;EOMONTH(J$1,0)+1)
)</f>
        <v>0</v>
      </c>
      <c r="K164" s="251" cm="1">
        <f t="array" ref="K164">-SUMPRODUCT(
  desp[valor] *
  (desp[nucleo]=$B164) *
  (desp[centro.negocio]=$B$163) *
  (desp[data.pagamento]&gt;=K$1) *
  (desp[data.pagamento]&lt;EOMONTH(K$1,0)+1)
)</f>
        <v>0</v>
      </c>
      <c r="L164" s="251" cm="1">
        <f t="array" ref="L164">-SUMPRODUCT(
  desp[valor] *
  (desp[nucleo]=$B164) *
  (desp[centro.negocio]=$B$163) *
  (desp[data.pagamento]&gt;=L$1) *
  (desp[data.pagamento]&lt;EOMONTH(L$1,0)+1)
)</f>
        <v>0</v>
      </c>
      <c r="M164" s="251" cm="1">
        <f t="array" ref="M164">-SUMPRODUCT(
  desp[valor] *
  (desp[nucleo]=$B164) *
  (desp[centro.negocio]=$B$163) *
  (desp[data.pagamento]&gt;=M$1) *
  (desp[data.pagamento]&lt;EOMONTH(M$1,0)+1)
)</f>
        <v>0</v>
      </c>
      <c r="N164" s="251" cm="1">
        <f t="array" ref="N164">-SUMPRODUCT(
  desp[valor] *
  (desp[nucleo]=$B164) *
  (desp[centro.negocio]=$B$163) *
  (desp[data.pagamento]&gt;=N$1) *
  (desp[data.pagamento]&lt;EOMONTH(N$1,0)+1)
)</f>
        <v>0</v>
      </c>
      <c r="O164" s="251" cm="1">
        <f t="array" ref="O164">-SUMPRODUCT(
  desp[valor] *
  (desp[nucleo]=$B164) *
  (desp[centro.negocio]=$B$163) *
  (desp[data.pagamento]&gt;=O$1) *
  (desp[data.pagamento]&lt;EOMONTH(O$1,0)+1)
)</f>
        <v>0</v>
      </c>
      <c r="P164" s="251" cm="1">
        <f t="array" ref="P164">-SUMPRODUCT(
  desp[valor] *
  (desp[nucleo]=$B164) *
  (desp[centro.negocio]=$B$163) *
  (desp[data.pagamento]&gt;=P$1) *
  (desp[data.pagamento]&lt;EOMONTH(P$1,0)+1)
)</f>
        <v>0</v>
      </c>
      <c r="Q164" s="251" cm="1">
        <f t="array" ref="Q164">-SUMPRODUCT(
  desp[valor] *
  (desp[nucleo]=$B164) *
  (desp[centro.negocio]=$B$163) *
  (desp[data.pagamento]&gt;=Q$1) *
  (desp[data.pagamento]&lt;EOMONTH(Q$1,0)+1)
)</f>
        <v>0</v>
      </c>
      <c r="S164" s="243">
        <f t="shared" si="33"/>
        <v>0</v>
      </c>
    </row>
    <row r="165" spans="1:19" outlineLevel="2" x14ac:dyDescent="0.25">
      <c r="A165" s="250" t="s">
        <v>739</v>
      </c>
      <c r="B165" s="250" t="s">
        <v>613</v>
      </c>
      <c r="C165" s="197" t="s">
        <v>556</v>
      </c>
      <c r="D165" s="251" cm="1">
        <f t="array" ref="D165">-SUMPRODUCT(
  desp[valor] *
  (desp[nucleo]=$B165) *
  (desp[centro.negocio]=$B$163) *
  (desp[data.pagamento]&gt;=D$1) *
  (desp[data.pagamento]&lt;EOMONTH(D$1,0)+1)
)</f>
        <v>0</v>
      </c>
      <c r="E165" s="251" cm="1">
        <f t="array" ref="E165">-SUMPRODUCT(
  desp[valor] *
  (desp[nucleo]=$B165) *
  (desp[centro.negocio]=$B$163) *
  (desp[data.pagamento]&gt;=E$1) *
  (desp[data.pagamento]&lt;EOMONTH(E$1,0)+1)
)</f>
        <v>0</v>
      </c>
      <c r="F165" s="251" cm="1">
        <f t="array" ref="F165">-SUMPRODUCT(
  desp[valor] *
  (desp[nucleo]=$B165) *
  (desp[centro.negocio]=$B$163) *
  (desp[data.pagamento]&gt;=F$1) *
  (desp[data.pagamento]&lt;EOMONTH(F$1,0)+1)
)</f>
        <v>0</v>
      </c>
      <c r="G165" s="251" cm="1">
        <f t="array" ref="G165">-SUMPRODUCT(
  desp[valor] *
  (desp[nucleo]=$B165) *
  (desp[centro.negocio]=$B$163) *
  (desp[data.pagamento]&gt;=G$1) *
  (desp[data.pagamento]&lt;EOMONTH(G$1,0)+1)
)</f>
        <v>0</v>
      </c>
      <c r="H165" s="251" cm="1">
        <f t="array" ref="H165">-SUMPRODUCT(
  desp[valor] *
  (desp[nucleo]=$B165) *
  (desp[centro.negocio]=$B$163) *
  (desp[data.pagamento]&gt;=H$1) *
  (desp[data.pagamento]&lt;EOMONTH(H$1,0)+1)
)</f>
        <v>0</v>
      </c>
      <c r="I165" s="251" cm="1">
        <f t="array" ref="I165">-SUMPRODUCT(
  desp[valor] *
  (desp[nucleo]=$B165) *
  (desp[centro.negocio]=$B$163) *
  (desp[data.pagamento]&gt;=I$1) *
  (desp[data.pagamento]&lt;EOMONTH(I$1,0)+1)
)</f>
        <v>0</v>
      </c>
      <c r="J165" s="251" cm="1">
        <f t="array" ref="J165">-SUMPRODUCT(
  desp[valor] *
  (desp[nucleo]=$B165) *
  (desp[centro.negocio]=$B$163) *
  (desp[data.pagamento]&gt;=J$1) *
  (desp[data.pagamento]&lt;EOMONTH(J$1,0)+1)
)</f>
        <v>0</v>
      </c>
      <c r="K165" s="251" cm="1">
        <f t="array" ref="K165">-SUMPRODUCT(
  desp[valor] *
  (desp[nucleo]=$B165) *
  (desp[centro.negocio]=$B$163) *
  (desp[data.pagamento]&gt;=K$1) *
  (desp[data.pagamento]&lt;EOMONTH(K$1,0)+1)
)</f>
        <v>0</v>
      </c>
      <c r="L165" s="251" cm="1">
        <f t="array" ref="L165">-SUMPRODUCT(
  desp[valor] *
  (desp[nucleo]=$B165) *
  (desp[centro.negocio]=$B$163) *
  (desp[data.pagamento]&gt;=L$1) *
  (desp[data.pagamento]&lt;EOMONTH(L$1,0)+1)
)</f>
        <v>0</v>
      </c>
      <c r="M165" s="251" cm="1">
        <f t="array" ref="M165">-SUMPRODUCT(
  desp[valor] *
  (desp[nucleo]=$B165) *
  (desp[centro.negocio]=$B$163) *
  (desp[data.pagamento]&gt;=M$1) *
  (desp[data.pagamento]&lt;EOMONTH(M$1,0)+1)
)</f>
        <v>0</v>
      </c>
      <c r="N165" s="251" cm="1">
        <f t="array" ref="N165">-SUMPRODUCT(
  desp[valor] *
  (desp[nucleo]=$B165) *
  (desp[centro.negocio]=$B$163) *
  (desp[data.pagamento]&gt;=N$1) *
  (desp[data.pagamento]&lt;EOMONTH(N$1,0)+1)
)</f>
        <v>0</v>
      </c>
      <c r="O165" s="251" cm="1">
        <f t="array" ref="O165">-SUMPRODUCT(
  desp[valor] *
  (desp[nucleo]=$B165) *
  (desp[centro.negocio]=$B$163) *
  (desp[data.pagamento]&gt;=O$1) *
  (desp[data.pagamento]&lt;EOMONTH(O$1,0)+1)
)</f>
        <v>0</v>
      </c>
      <c r="P165" s="251" cm="1">
        <f t="array" ref="P165">-SUMPRODUCT(
  desp[valor] *
  (desp[nucleo]=$B165) *
  (desp[centro.negocio]=$B$163) *
  (desp[data.pagamento]&gt;=P$1) *
  (desp[data.pagamento]&lt;EOMONTH(P$1,0)+1)
)</f>
        <v>0</v>
      </c>
      <c r="Q165" s="251" cm="1">
        <f t="array" ref="Q165">-SUMPRODUCT(
  desp[valor] *
  (desp[nucleo]=$B165) *
  (desp[centro.negocio]=$B$163) *
  (desp[data.pagamento]&gt;=Q$1) *
  (desp[data.pagamento]&lt;EOMONTH(Q$1,0)+1)
)</f>
        <v>0</v>
      </c>
      <c r="S165" s="243">
        <f t="shared" si="33"/>
        <v>0</v>
      </c>
    </row>
    <row r="166" spans="1:19" outlineLevel="2" x14ac:dyDescent="0.25">
      <c r="A166" s="250" t="s">
        <v>740</v>
      </c>
      <c r="B166" s="250" t="s">
        <v>592</v>
      </c>
      <c r="C166" s="197" t="s">
        <v>556</v>
      </c>
      <c r="D166" s="251" cm="1">
        <f t="array" ref="D166">-SUMPRODUCT(
  desp[valor] *
  (desp[nucleo]=$B166) *
  (desp[centro.negocio]=$B$163) *
  (desp[data.pagamento]&gt;=D$1) *
  (desp[data.pagamento]&lt;EOMONTH(D$1,0)+1)
)</f>
        <v>0</v>
      </c>
      <c r="E166" s="251" cm="1">
        <f t="array" ref="E166">-SUMPRODUCT(
  desp[valor] *
  (desp[nucleo]=$B166) *
  (desp[centro.negocio]=$B$163) *
  (desp[data.pagamento]&gt;=E$1) *
  (desp[data.pagamento]&lt;EOMONTH(E$1,0)+1)
)</f>
        <v>0</v>
      </c>
      <c r="F166" s="251" cm="1">
        <f t="array" ref="F166">-SUMPRODUCT(
  desp[valor] *
  (desp[nucleo]=$B166) *
  (desp[centro.negocio]=$B$163) *
  (desp[data.pagamento]&gt;=F$1) *
  (desp[data.pagamento]&lt;EOMONTH(F$1,0)+1)
)</f>
        <v>0</v>
      </c>
      <c r="G166" s="251" cm="1">
        <f t="array" ref="G166">-SUMPRODUCT(
  desp[valor] *
  (desp[nucleo]=$B166) *
  (desp[centro.negocio]=$B$163) *
  (desp[data.pagamento]&gt;=G$1) *
  (desp[data.pagamento]&lt;EOMONTH(G$1,0)+1)
)</f>
        <v>0</v>
      </c>
      <c r="H166" s="251" cm="1">
        <f t="array" ref="H166">-SUMPRODUCT(
  desp[valor] *
  (desp[nucleo]=$B166) *
  (desp[centro.negocio]=$B$163) *
  (desp[data.pagamento]&gt;=H$1) *
  (desp[data.pagamento]&lt;EOMONTH(H$1,0)+1)
)</f>
        <v>0</v>
      </c>
      <c r="I166" s="251" cm="1">
        <f t="array" ref="I166">-SUMPRODUCT(
  desp[valor] *
  (desp[nucleo]=$B166) *
  (desp[centro.negocio]=$B$163) *
  (desp[data.pagamento]&gt;=I$1) *
  (desp[data.pagamento]&lt;EOMONTH(I$1,0)+1)
)</f>
        <v>0</v>
      </c>
      <c r="J166" s="251" cm="1">
        <f t="array" ref="J166">-SUMPRODUCT(
  desp[valor] *
  (desp[nucleo]=$B166) *
  (desp[centro.negocio]=$B$163) *
  (desp[data.pagamento]&gt;=J$1) *
  (desp[data.pagamento]&lt;EOMONTH(J$1,0)+1)
)</f>
        <v>0</v>
      </c>
      <c r="K166" s="251" cm="1">
        <f t="array" ref="K166">-SUMPRODUCT(
  desp[valor] *
  (desp[nucleo]=$B166) *
  (desp[centro.negocio]=$B$163) *
  (desp[data.pagamento]&gt;=K$1) *
  (desp[data.pagamento]&lt;EOMONTH(K$1,0)+1)
)</f>
        <v>0</v>
      </c>
      <c r="L166" s="251" cm="1">
        <f t="array" ref="L166">-SUMPRODUCT(
  desp[valor] *
  (desp[nucleo]=$B166) *
  (desp[centro.negocio]=$B$163) *
  (desp[data.pagamento]&gt;=L$1) *
  (desp[data.pagamento]&lt;EOMONTH(L$1,0)+1)
)</f>
        <v>0</v>
      </c>
      <c r="M166" s="251" cm="1">
        <f t="array" ref="M166">-SUMPRODUCT(
  desp[valor] *
  (desp[nucleo]=$B166) *
  (desp[centro.negocio]=$B$163) *
  (desp[data.pagamento]&gt;=M$1) *
  (desp[data.pagamento]&lt;EOMONTH(M$1,0)+1)
)</f>
        <v>0</v>
      </c>
      <c r="N166" s="251" cm="1">
        <f t="array" ref="N166">-SUMPRODUCT(
  desp[valor] *
  (desp[nucleo]=$B166) *
  (desp[centro.negocio]=$B$163) *
  (desp[data.pagamento]&gt;=N$1) *
  (desp[data.pagamento]&lt;EOMONTH(N$1,0)+1)
)</f>
        <v>0</v>
      </c>
      <c r="O166" s="251" cm="1">
        <f t="array" ref="O166">-SUMPRODUCT(
  desp[valor] *
  (desp[nucleo]=$B166) *
  (desp[centro.negocio]=$B$163) *
  (desp[data.pagamento]&gt;=O$1) *
  (desp[data.pagamento]&lt;EOMONTH(O$1,0)+1)
)</f>
        <v>0</v>
      </c>
      <c r="P166" s="251" cm="1">
        <f t="array" ref="P166">-SUMPRODUCT(
  desp[valor] *
  (desp[nucleo]=$B166) *
  (desp[centro.negocio]=$B$163) *
  (desp[data.pagamento]&gt;=P$1) *
  (desp[data.pagamento]&lt;EOMONTH(P$1,0)+1)
)</f>
        <v>0</v>
      </c>
      <c r="Q166" s="251" cm="1">
        <f t="array" ref="Q166">-SUMPRODUCT(
  desp[valor] *
  (desp[nucleo]=$B166) *
  (desp[centro.negocio]=$B$163) *
  (desp[data.pagamento]&gt;=Q$1) *
  (desp[data.pagamento]&lt;EOMONTH(Q$1,0)+1)
)</f>
        <v>0</v>
      </c>
      <c r="S166" s="243">
        <f>SUM(D166:Q166)</f>
        <v>0</v>
      </c>
    </row>
    <row r="167" spans="1:19" outlineLevel="2" x14ac:dyDescent="0.25">
      <c r="A167" s="250" t="s">
        <v>741</v>
      </c>
      <c r="B167" s="250" t="s">
        <v>596</v>
      </c>
      <c r="C167" s="197" t="s">
        <v>556</v>
      </c>
      <c r="D167" s="251" cm="1">
        <f t="array" ref="D167">-SUMPRODUCT(
  desp[valor] *
  (desp[nucleo]=$B167) *
  (desp[centro.negocio]=$B$163) *
  (desp[data.pagamento]&gt;=D$1) *
  (desp[data.pagamento]&lt;EOMONTH(D$1,0)+1)
)</f>
        <v>0</v>
      </c>
      <c r="E167" s="251" cm="1">
        <f t="array" ref="E167">-SUMPRODUCT(
  desp[valor] *
  (desp[nucleo]=$B167) *
  (desp[centro.negocio]=$B$163) *
  (desp[data.pagamento]&gt;=E$1) *
  (desp[data.pagamento]&lt;EOMONTH(E$1,0)+1)
)</f>
        <v>0</v>
      </c>
      <c r="F167" s="251" cm="1">
        <f t="array" ref="F167">-SUMPRODUCT(
  desp[valor] *
  (desp[nucleo]=$B167) *
  (desp[centro.negocio]=$B$163) *
  (desp[data.pagamento]&gt;=F$1) *
  (desp[data.pagamento]&lt;EOMONTH(F$1,0)+1)
)</f>
        <v>0</v>
      </c>
      <c r="G167" s="251" cm="1">
        <f t="array" ref="G167">-SUMPRODUCT(
  desp[valor] *
  (desp[nucleo]=$B167) *
  (desp[centro.negocio]=$B$163) *
  (desp[data.pagamento]&gt;=G$1) *
  (desp[data.pagamento]&lt;EOMONTH(G$1,0)+1)
)</f>
        <v>0</v>
      </c>
      <c r="H167" s="251" cm="1">
        <f t="array" ref="H167">-SUMPRODUCT(
  desp[valor] *
  (desp[nucleo]=$B167) *
  (desp[centro.negocio]=$B$163) *
  (desp[data.pagamento]&gt;=H$1) *
  (desp[data.pagamento]&lt;EOMONTH(H$1,0)+1)
)</f>
        <v>0</v>
      </c>
      <c r="I167" s="251" cm="1">
        <f t="array" ref="I167">-SUMPRODUCT(
  desp[valor] *
  (desp[nucleo]=$B167) *
  (desp[centro.negocio]=$B$163) *
  (desp[data.pagamento]&gt;=I$1) *
  (desp[data.pagamento]&lt;EOMONTH(I$1,0)+1)
)</f>
        <v>0</v>
      </c>
      <c r="J167" s="251" cm="1">
        <f t="array" ref="J167">-SUMPRODUCT(
  desp[valor] *
  (desp[nucleo]=$B167) *
  (desp[centro.negocio]=$B$163) *
  (desp[data.pagamento]&gt;=J$1) *
  (desp[data.pagamento]&lt;EOMONTH(J$1,0)+1)
)</f>
        <v>0</v>
      </c>
      <c r="K167" s="251" cm="1">
        <f t="array" ref="K167">-SUMPRODUCT(
  desp[valor] *
  (desp[nucleo]=$B167) *
  (desp[centro.negocio]=$B$163) *
  (desp[data.pagamento]&gt;=K$1) *
  (desp[data.pagamento]&lt;EOMONTH(K$1,0)+1)
)</f>
        <v>0</v>
      </c>
      <c r="L167" s="251" cm="1">
        <f t="array" ref="L167">-SUMPRODUCT(
  desp[valor] *
  (desp[nucleo]=$B167) *
  (desp[centro.negocio]=$B$163) *
  (desp[data.pagamento]&gt;=L$1) *
  (desp[data.pagamento]&lt;EOMONTH(L$1,0)+1)
)</f>
        <v>0</v>
      </c>
      <c r="M167" s="251" cm="1">
        <f t="array" ref="M167">-SUMPRODUCT(
  desp[valor] *
  (desp[nucleo]=$B167) *
  (desp[centro.negocio]=$B$163) *
  (desp[data.pagamento]&gt;=M$1) *
  (desp[data.pagamento]&lt;EOMONTH(M$1,0)+1)
)</f>
        <v>0</v>
      </c>
      <c r="N167" s="251" cm="1">
        <f t="array" ref="N167">-SUMPRODUCT(
  desp[valor] *
  (desp[nucleo]=$B167) *
  (desp[centro.negocio]=$B$163) *
  (desp[data.pagamento]&gt;=N$1) *
  (desp[data.pagamento]&lt;EOMONTH(N$1,0)+1)
)</f>
        <v>0</v>
      </c>
      <c r="O167" s="251" cm="1">
        <f t="array" ref="O167">-SUMPRODUCT(
  desp[valor] *
  (desp[nucleo]=$B167) *
  (desp[centro.negocio]=$B$163) *
  (desp[data.pagamento]&gt;=O$1) *
  (desp[data.pagamento]&lt;EOMONTH(O$1,0)+1)
)</f>
        <v>0</v>
      </c>
      <c r="P167" s="251" cm="1">
        <f t="array" ref="P167">-SUMPRODUCT(
  desp[valor] *
  (desp[nucleo]=$B167) *
  (desp[centro.negocio]=$B$163) *
  (desp[data.pagamento]&gt;=P$1) *
  (desp[data.pagamento]&lt;EOMONTH(P$1,0)+1)
)</f>
        <v>0</v>
      </c>
      <c r="Q167" s="251" cm="1">
        <f t="array" ref="Q167">-SUMPRODUCT(
  desp[valor] *
  (desp[nucleo]=$B167) *
  (desp[centro.negocio]=$B$163) *
  (desp[data.pagamento]&gt;=Q$1) *
  (desp[data.pagamento]&lt;EOMONTH(Q$1,0)+1)
)</f>
        <v>0</v>
      </c>
      <c r="S167" s="243">
        <f>SUM(D167:Q167)</f>
        <v>0</v>
      </c>
    </row>
    <row r="168" spans="1:19" outlineLevel="2" x14ac:dyDescent="0.25">
      <c r="A168" s="250" t="s">
        <v>742</v>
      </c>
      <c r="B168" s="250" t="s">
        <v>580</v>
      </c>
      <c r="C168" s="197" t="s">
        <v>556</v>
      </c>
      <c r="D168" s="251" cm="1">
        <f t="array" ref="D168">-SUMPRODUCT(
  desp[valor] *
  (desp[nucleo]=$B168) *
  (desp[centro.negocio]=$B$163) *
  (desp[data.pagamento]&gt;=D$1) *
  (desp[data.pagamento]&lt;EOMONTH(D$1,0)+1)
)</f>
        <v>0</v>
      </c>
      <c r="E168" s="251" cm="1">
        <f t="array" ref="E168">-SUMPRODUCT(
  desp[valor] *
  (desp[nucleo]=$B168) *
  (desp[centro.negocio]=$B$163) *
  (desp[data.pagamento]&gt;=E$1) *
  (desp[data.pagamento]&lt;EOMONTH(E$1,0)+1)
)</f>
        <v>0</v>
      </c>
      <c r="F168" s="251" cm="1">
        <f t="array" ref="F168">-SUMPRODUCT(
  desp[valor] *
  (desp[nucleo]=$B168) *
  (desp[centro.negocio]=$B$163) *
  (desp[data.pagamento]&gt;=F$1) *
  (desp[data.pagamento]&lt;EOMONTH(F$1,0)+1)
)</f>
        <v>0</v>
      </c>
      <c r="G168" s="251" cm="1">
        <f t="array" ref="G168">-SUMPRODUCT(
  desp[valor] *
  (desp[nucleo]=$B168) *
  (desp[centro.negocio]=$B$163) *
  (desp[data.pagamento]&gt;=G$1) *
  (desp[data.pagamento]&lt;EOMONTH(G$1,0)+1)
)</f>
        <v>0</v>
      </c>
      <c r="H168" s="251" cm="1">
        <f t="array" ref="H168">-SUMPRODUCT(
  desp[valor] *
  (desp[nucleo]=$B168) *
  (desp[centro.negocio]=$B$163) *
  (desp[data.pagamento]&gt;=H$1) *
  (desp[data.pagamento]&lt;EOMONTH(H$1,0)+1)
)</f>
        <v>0</v>
      </c>
      <c r="I168" s="251" cm="1">
        <f t="array" ref="I168">-SUMPRODUCT(
  desp[valor] *
  (desp[nucleo]=$B168) *
  (desp[centro.negocio]=$B$163) *
  (desp[data.pagamento]&gt;=I$1) *
  (desp[data.pagamento]&lt;EOMONTH(I$1,0)+1)
)</f>
        <v>0</v>
      </c>
      <c r="J168" s="251" cm="1">
        <f t="array" ref="J168">-SUMPRODUCT(
  desp[valor] *
  (desp[nucleo]=$B168) *
  (desp[centro.negocio]=$B$163) *
  (desp[data.pagamento]&gt;=J$1) *
  (desp[data.pagamento]&lt;EOMONTH(J$1,0)+1)
)</f>
        <v>0</v>
      </c>
      <c r="K168" s="251" cm="1">
        <f t="array" ref="K168">-SUMPRODUCT(
  desp[valor] *
  (desp[nucleo]=$B168) *
  (desp[centro.negocio]=$B$163) *
  (desp[data.pagamento]&gt;=K$1) *
  (desp[data.pagamento]&lt;EOMONTH(K$1,0)+1)
)</f>
        <v>0</v>
      </c>
      <c r="L168" s="251" cm="1">
        <f t="array" ref="L168">-SUMPRODUCT(
  desp[valor] *
  (desp[nucleo]=$B168) *
  (desp[centro.negocio]=$B$163) *
  (desp[data.pagamento]&gt;=L$1) *
  (desp[data.pagamento]&lt;EOMONTH(L$1,0)+1)
)</f>
        <v>0</v>
      </c>
      <c r="M168" s="251" cm="1">
        <f t="array" ref="M168">-SUMPRODUCT(
  desp[valor] *
  (desp[nucleo]=$B168) *
  (desp[centro.negocio]=$B$163) *
  (desp[data.pagamento]&gt;=M$1) *
  (desp[data.pagamento]&lt;EOMONTH(M$1,0)+1)
)</f>
        <v>0</v>
      </c>
      <c r="N168" s="251" cm="1">
        <f t="array" ref="N168">-SUMPRODUCT(
  desp[valor] *
  (desp[nucleo]=$B168) *
  (desp[centro.negocio]=$B$163) *
  (desp[data.pagamento]&gt;=N$1) *
  (desp[data.pagamento]&lt;EOMONTH(N$1,0)+1)
)</f>
        <v>0</v>
      </c>
      <c r="O168" s="251" cm="1">
        <f t="array" ref="O168">-SUMPRODUCT(
  desp[valor] *
  (desp[nucleo]=$B168) *
  (desp[centro.negocio]=$B$163) *
  (desp[data.pagamento]&gt;=O$1) *
  (desp[data.pagamento]&lt;EOMONTH(O$1,0)+1)
)</f>
        <v>0</v>
      </c>
      <c r="P168" s="251" cm="1">
        <f t="array" ref="P168">-SUMPRODUCT(
  desp[valor] *
  (desp[nucleo]=$B168) *
  (desp[centro.negocio]=$B$163) *
  (desp[data.pagamento]&gt;=P$1) *
  (desp[data.pagamento]&lt;EOMONTH(P$1,0)+1)
)</f>
        <v>0</v>
      </c>
      <c r="Q168" s="251" cm="1">
        <f t="array" ref="Q168">-SUMPRODUCT(
  desp[valor] *
  (desp[nucleo]=$B168) *
  (desp[centro.negocio]=$B$163) *
  (desp[data.pagamento]&gt;=Q$1) *
  (desp[data.pagamento]&lt;EOMONTH(Q$1,0)+1)
)</f>
        <v>0</v>
      </c>
      <c r="S168" s="243">
        <f>SUM(D168:Q168)</f>
        <v>0</v>
      </c>
    </row>
    <row r="169" spans="1:19" outlineLevel="2" x14ac:dyDescent="0.25">
      <c r="A169" s="250" t="s">
        <v>743</v>
      </c>
      <c r="B169" s="250" t="s">
        <v>582</v>
      </c>
      <c r="C169" s="197" t="s">
        <v>556</v>
      </c>
      <c r="D169" s="251" cm="1">
        <f t="array" ref="D169">-SUMPRODUCT(
  desp[valor] *
  (desp[nucleo]=$B169) *
  (desp[centro.negocio]=$B$163) *
  (desp[data.pagamento]&gt;=D$1) *
  (desp[data.pagamento]&lt;EOMONTH(D$1,0)+1)
)</f>
        <v>0</v>
      </c>
      <c r="E169" s="251" cm="1">
        <f t="array" ref="E169">-SUMPRODUCT(
  desp[valor] *
  (desp[nucleo]=$B169) *
  (desp[centro.negocio]=$B$163) *
  (desp[data.pagamento]&gt;=E$1) *
  (desp[data.pagamento]&lt;EOMONTH(E$1,0)+1)
)</f>
        <v>0</v>
      </c>
      <c r="F169" s="251" cm="1">
        <f t="array" ref="F169">-SUMPRODUCT(
  desp[valor] *
  (desp[nucleo]=$B169) *
  (desp[centro.negocio]=$B$163) *
  (desp[data.pagamento]&gt;=F$1) *
  (desp[data.pagamento]&lt;EOMONTH(F$1,0)+1)
)</f>
        <v>0</v>
      </c>
      <c r="G169" s="251" cm="1">
        <f t="array" ref="G169">-SUMPRODUCT(
  desp[valor] *
  (desp[nucleo]=$B169) *
  (desp[centro.negocio]=$B$163) *
  (desp[data.pagamento]&gt;=G$1) *
  (desp[data.pagamento]&lt;EOMONTH(G$1,0)+1)
)</f>
        <v>0</v>
      </c>
      <c r="H169" s="251" cm="1">
        <f t="array" ref="H169">-SUMPRODUCT(
  desp[valor] *
  (desp[nucleo]=$B169) *
  (desp[centro.negocio]=$B$163) *
  (desp[data.pagamento]&gt;=H$1) *
  (desp[data.pagamento]&lt;EOMONTH(H$1,0)+1)
)</f>
        <v>0</v>
      </c>
      <c r="I169" s="251" cm="1">
        <f t="array" ref="I169">-SUMPRODUCT(
  desp[valor] *
  (desp[nucleo]=$B169) *
  (desp[centro.negocio]=$B$163) *
  (desp[data.pagamento]&gt;=I$1) *
  (desp[data.pagamento]&lt;EOMONTH(I$1,0)+1)
)</f>
        <v>0</v>
      </c>
      <c r="J169" s="251" cm="1">
        <f t="array" ref="J169">-SUMPRODUCT(
  desp[valor] *
  (desp[nucleo]=$B169) *
  (desp[centro.negocio]=$B$163) *
  (desp[data.pagamento]&gt;=J$1) *
  (desp[data.pagamento]&lt;EOMONTH(J$1,0)+1)
)</f>
        <v>0</v>
      </c>
      <c r="K169" s="251" cm="1">
        <f t="array" ref="K169">-SUMPRODUCT(
  desp[valor] *
  (desp[nucleo]=$B169) *
  (desp[centro.negocio]=$B$163) *
  (desp[data.pagamento]&gt;=K$1) *
  (desp[data.pagamento]&lt;EOMONTH(K$1,0)+1)
)</f>
        <v>0</v>
      </c>
      <c r="L169" s="251" cm="1">
        <f t="array" ref="L169">-SUMPRODUCT(
  desp[valor] *
  (desp[nucleo]=$B169) *
  (desp[centro.negocio]=$B$163) *
  (desp[data.pagamento]&gt;=L$1) *
  (desp[data.pagamento]&lt;EOMONTH(L$1,0)+1)
)</f>
        <v>0</v>
      </c>
      <c r="M169" s="251" cm="1">
        <f t="array" ref="M169">-SUMPRODUCT(
  desp[valor] *
  (desp[nucleo]=$B169) *
  (desp[centro.negocio]=$B$163) *
  (desp[data.pagamento]&gt;=M$1) *
  (desp[data.pagamento]&lt;EOMONTH(M$1,0)+1)
)</f>
        <v>0</v>
      </c>
      <c r="N169" s="251" cm="1">
        <f t="array" ref="N169">-SUMPRODUCT(
  desp[valor] *
  (desp[nucleo]=$B169) *
  (desp[centro.negocio]=$B$163) *
  (desp[data.pagamento]&gt;=N$1) *
  (desp[data.pagamento]&lt;EOMONTH(N$1,0)+1)
)</f>
        <v>0</v>
      </c>
      <c r="O169" s="251" cm="1">
        <f t="array" ref="O169">-SUMPRODUCT(
  desp[valor] *
  (desp[nucleo]=$B169) *
  (desp[centro.negocio]=$B$163) *
  (desp[data.pagamento]&gt;=O$1) *
  (desp[data.pagamento]&lt;EOMONTH(O$1,0)+1)
)</f>
        <v>0</v>
      </c>
      <c r="P169" s="251" cm="1">
        <f t="array" ref="P169">-SUMPRODUCT(
  desp[valor] *
  (desp[nucleo]=$B169) *
  (desp[centro.negocio]=$B$163) *
  (desp[data.pagamento]&gt;=P$1) *
  (desp[data.pagamento]&lt;EOMONTH(P$1,0)+1)
)</f>
        <v>0</v>
      </c>
      <c r="Q169" s="251" cm="1">
        <f t="array" ref="Q169">-SUMPRODUCT(
  desp[valor] *
  (desp[nucleo]=$B169) *
  (desp[centro.negocio]=$B$163) *
  (desp[data.pagamento]&gt;=Q$1) *
  (desp[data.pagamento]&lt;EOMONTH(Q$1,0)+1)
)</f>
        <v>0</v>
      </c>
      <c r="S169" s="243">
        <f>SUM(D169:Q169)</f>
        <v>0</v>
      </c>
    </row>
    <row r="170" spans="1:19" outlineLevel="2" x14ac:dyDescent="0.25">
      <c r="A170" s="250" t="s">
        <v>744</v>
      </c>
      <c r="B170" s="250" t="s">
        <v>684</v>
      </c>
      <c r="C170" s="197" t="s">
        <v>556</v>
      </c>
      <c r="D170" s="251" cm="1">
        <f t="array" ref="D170">-SUMPRODUCT(
  desp[valor] *
  (desp[nucleo]=$B170) *
  (desp[centro.negocio]=$B$163) *
  (desp[data.pagamento]&gt;=D$1) *
  (desp[data.pagamento]&lt;EOMONTH(D$1,0)+1)
)</f>
        <v>0</v>
      </c>
      <c r="E170" s="251" cm="1">
        <f t="array" ref="E170">-SUMPRODUCT(
  desp[valor] *
  (desp[nucleo]=$B170) *
  (desp[centro.negocio]=$B$163) *
  (desp[data.pagamento]&gt;=E$1) *
  (desp[data.pagamento]&lt;EOMONTH(E$1,0)+1)
)</f>
        <v>0</v>
      </c>
      <c r="F170" s="251" cm="1">
        <f t="array" ref="F170">-SUMPRODUCT(
  desp[valor] *
  (desp[nucleo]=$B170) *
  (desp[centro.negocio]=$B$163) *
  (desp[data.pagamento]&gt;=F$1) *
  (desp[data.pagamento]&lt;EOMONTH(F$1,0)+1)
)</f>
        <v>0</v>
      </c>
      <c r="G170" s="251" cm="1">
        <f t="array" ref="G170">-SUMPRODUCT(
  desp[valor] *
  (desp[nucleo]=$B170) *
  (desp[centro.negocio]=$B$163) *
  (desp[data.pagamento]&gt;=G$1) *
  (desp[data.pagamento]&lt;EOMONTH(G$1,0)+1)
)</f>
        <v>0</v>
      </c>
      <c r="H170" s="251" cm="1">
        <f t="array" ref="H170">-SUMPRODUCT(
  desp[valor] *
  (desp[nucleo]=$B170) *
  (desp[centro.negocio]=$B$163) *
  (desp[data.pagamento]&gt;=H$1) *
  (desp[data.pagamento]&lt;EOMONTH(H$1,0)+1)
)</f>
        <v>0</v>
      </c>
      <c r="I170" s="251" cm="1">
        <f t="array" ref="I170">-SUMPRODUCT(
  desp[valor] *
  (desp[nucleo]=$B170) *
  (desp[centro.negocio]=$B$163) *
  (desp[data.pagamento]&gt;=I$1) *
  (desp[data.pagamento]&lt;EOMONTH(I$1,0)+1)
)</f>
        <v>0</v>
      </c>
      <c r="J170" s="251" cm="1">
        <f t="array" ref="J170">-SUMPRODUCT(
  desp[valor] *
  (desp[nucleo]=$B170) *
  (desp[centro.negocio]=$B$163) *
  (desp[data.pagamento]&gt;=J$1) *
  (desp[data.pagamento]&lt;EOMONTH(J$1,0)+1)
)</f>
        <v>0</v>
      </c>
      <c r="K170" s="251" cm="1">
        <f t="array" ref="K170">-SUMPRODUCT(
  desp[valor] *
  (desp[nucleo]=$B170) *
  (desp[centro.negocio]=$B$163) *
  (desp[data.pagamento]&gt;=K$1) *
  (desp[data.pagamento]&lt;EOMONTH(K$1,0)+1)
)</f>
        <v>0</v>
      </c>
      <c r="L170" s="251" cm="1">
        <f t="array" ref="L170">-SUMPRODUCT(
  desp[valor] *
  (desp[nucleo]=$B170) *
  (desp[centro.negocio]=$B$163) *
  (desp[data.pagamento]&gt;=L$1) *
  (desp[data.pagamento]&lt;EOMONTH(L$1,0)+1)
)</f>
        <v>0</v>
      </c>
      <c r="M170" s="251" cm="1">
        <f t="array" ref="M170">-SUMPRODUCT(
  desp[valor] *
  (desp[nucleo]=$B170) *
  (desp[centro.negocio]=$B$163) *
  (desp[data.pagamento]&gt;=M$1) *
  (desp[data.pagamento]&lt;EOMONTH(M$1,0)+1)
)</f>
        <v>0</v>
      </c>
      <c r="N170" s="251" cm="1">
        <f t="array" ref="N170">-SUMPRODUCT(
  desp[valor] *
  (desp[nucleo]=$B170) *
  (desp[centro.negocio]=$B$163) *
  (desp[data.pagamento]&gt;=N$1) *
  (desp[data.pagamento]&lt;EOMONTH(N$1,0)+1)
)</f>
        <v>0</v>
      </c>
      <c r="O170" s="251" cm="1">
        <f t="array" ref="O170">-SUMPRODUCT(
  desp[valor] *
  (desp[nucleo]=$B170) *
  (desp[centro.negocio]=$B$163) *
  (desp[data.pagamento]&gt;=O$1) *
  (desp[data.pagamento]&lt;EOMONTH(O$1,0)+1)
)</f>
        <v>0</v>
      </c>
      <c r="P170" s="251" cm="1">
        <f t="array" ref="P170">-SUMPRODUCT(
  desp[valor] *
  (desp[nucleo]=$B170) *
  (desp[centro.negocio]=$B$163) *
  (desp[data.pagamento]&gt;=P$1) *
  (desp[data.pagamento]&lt;EOMONTH(P$1,0)+1)
)</f>
        <v>0</v>
      </c>
      <c r="Q170" s="251" cm="1">
        <f t="array" ref="Q170">-SUMPRODUCT(
  desp[valor] *
  (desp[nucleo]=$B170) *
  (desp[centro.negocio]=$B$163) *
  (desp[data.pagamento]&gt;=Q$1) *
  (desp[data.pagamento]&lt;EOMONTH(Q$1,0)+1)
)</f>
        <v>0</v>
      </c>
      <c r="S170" s="243">
        <f t="shared" ref="S170:S179" si="44">SUM(D170:Q170)</f>
        <v>0</v>
      </c>
    </row>
    <row r="171" spans="1:19" outlineLevel="2" x14ac:dyDescent="0.25">
      <c r="A171" s="250" t="s">
        <v>745</v>
      </c>
      <c r="B171" s="250" t="s">
        <v>586</v>
      </c>
      <c r="C171" s="197" t="s">
        <v>556</v>
      </c>
      <c r="D171" s="251" cm="1">
        <f t="array" ref="D171">-SUMPRODUCT(
  desp[valor] *
  (desp[nucleo]=$B171) *
  (desp[centro.negocio]=$B$163) *
  (desp[data.pagamento]&gt;=D$1) *
  (desp[data.pagamento]&lt;EOMONTH(D$1,0)+1)
)</f>
        <v>0</v>
      </c>
      <c r="E171" s="251" cm="1">
        <f t="array" ref="E171">-SUMPRODUCT(
  desp[valor] *
  (desp[nucleo]=$B171) *
  (desp[centro.negocio]=$B$163) *
  (desp[data.pagamento]&gt;=E$1) *
  (desp[data.pagamento]&lt;EOMONTH(E$1,0)+1)
)</f>
        <v>0</v>
      </c>
      <c r="F171" s="251" cm="1">
        <f t="array" ref="F171">-SUMPRODUCT(
  desp[valor] *
  (desp[nucleo]=$B171) *
  (desp[centro.negocio]=$B$163) *
  (desp[data.pagamento]&gt;=F$1) *
  (desp[data.pagamento]&lt;EOMONTH(F$1,0)+1)
)</f>
        <v>0</v>
      </c>
      <c r="G171" s="251" cm="1">
        <f t="array" ref="G171">-SUMPRODUCT(
  desp[valor] *
  (desp[nucleo]=$B171) *
  (desp[centro.negocio]=$B$163) *
  (desp[data.pagamento]&gt;=G$1) *
  (desp[data.pagamento]&lt;EOMONTH(G$1,0)+1)
)</f>
        <v>0</v>
      </c>
      <c r="H171" s="251" cm="1">
        <f t="array" ref="H171">-SUMPRODUCT(
  desp[valor] *
  (desp[nucleo]=$B171) *
  (desp[centro.negocio]=$B$163) *
  (desp[data.pagamento]&gt;=H$1) *
  (desp[data.pagamento]&lt;EOMONTH(H$1,0)+1)
)</f>
        <v>0</v>
      </c>
      <c r="I171" s="251" cm="1">
        <f t="array" ref="I171">-SUMPRODUCT(
  desp[valor] *
  (desp[nucleo]=$B171) *
  (desp[centro.negocio]=$B$163) *
  (desp[data.pagamento]&gt;=I$1) *
  (desp[data.pagamento]&lt;EOMONTH(I$1,0)+1)
)</f>
        <v>0</v>
      </c>
      <c r="J171" s="251" cm="1">
        <f t="array" ref="J171">-SUMPRODUCT(
  desp[valor] *
  (desp[nucleo]=$B171) *
  (desp[centro.negocio]=$B$163) *
  (desp[data.pagamento]&gt;=J$1) *
  (desp[data.pagamento]&lt;EOMONTH(J$1,0)+1)
)</f>
        <v>0</v>
      </c>
      <c r="K171" s="251" cm="1">
        <f t="array" ref="K171">-SUMPRODUCT(
  desp[valor] *
  (desp[nucleo]=$B171) *
  (desp[centro.negocio]=$B$163) *
  (desp[data.pagamento]&gt;=K$1) *
  (desp[data.pagamento]&lt;EOMONTH(K$1,0)+1)
)</f>
        <v>0</v>
      </c>
      <c r="L171" s="251" cm="1">
        <f t="array" ref="L171">-SUMPRODUCT(
  desp[valor] *
  (desp[nucleo]=$B171) *
  (desp[centro.negocio]=$B$163) *
  (desp[data.pagamento]&gt;=L$1) *
  (desp[data.pagamento]&lt;EOMONTH(L$1,0)+1)
)</f>
        <v>0</v>
      </c>
      <c r="M171" s="251" cm="1">
        <f t="array" ref="M171">-SUMPRODUCT(
  desp[valor] *
  (desp[nucleo]=$B171) *
  (desp[centro.negocio]=$B$163) *
  (desp[data.pagamento]&gt;=M$1) *
  (desp[data.pagamento]&lt;EOMONTH(M$1,0)+1)
)</f>
        <v>0</v>
      </c>
      <c r="N171" s="251" cm="1">
        <f t="array" ref="N171">-SUMPRODUCT(
  desp[valor] *
  (desp[nucleo]=$B171) *
  (desp[centro.negocio]=$B$163) *
  (desp[data.pagamento]&gt;=N$1) *
  (desp[data.pagamento]&lt;EOMONTH(N$1,0)+1)
)</f>
        <v>0</v>
      </c>
      <c r="O171" s="251" cm="1">
        <f t="array" ref="O171">-SUMPRODUCT(
  desp[valor] *
  (desp[nucleo]=$B171) *
  (desp[centro.negocio]=$B$163) *
  (desp[data.pagamento]&gt;=O$1) *
  (desp[data.pagamento]&lt;EOMONTH(O$1,0)+1)
)</f>
        <v>0</v>
      </c>
      <c r="P171" s="251" cm="1">
        <f t="array" ref="P171">-SUMPRODUCT(
  desp[valor] *
  (desp[nucleo]=$B171) *
  (desp[centro.negocio]=$B$163) *
  (desp[data.pagamento]&gt;=P$1) *
  (desp[data.pagamento]&lt;EOMONTH(P$1,0)+1)
)</f>
        <v>0</v>
      </c>
      <c r="Q171" s="251" cm="1">
        <f t="array" ref="Q171">-SUMPRODUCT(
  desp[valor] *
  (desp[nucleo]=$B171) *
  (desp[centro.negocio]=$B$163) *
  (desp[data.pagamento]&gt;=Q$1) *
  (desp[data.pagamento]&lt;EOMONTH(Q$1,0)+1)
)</f>
        <v>0</v>
      </c>
      <c r="S171" s="243">
        <f t="shared" si="44"/>
        <v>0</v>
      </c>
    </row>
    <row r="172" spans="1:19" outlineLevel="2" x14ac:dyDescent="0.25">
      <c r="A172" s="250" t="s">
        <v>746</v>
      </c>
      <c r="B172" s="250" t="s">
        <v>590</v>
      </c>
      <c r="C172" s="197" t="s">
        <v>556</v>
      </c>
      <c r="D172" s="251" cm="1">
        <f t="array" ref="D172">-SUMPRODUCT(
  desp[valor] *
  (desp[nucleo]=$B172) *
  (desp[centro.negocio]=$B$163) *
  (desp[data.pagamento]&gt;=D$1) *
  (desp[data.pagamento]&lt;EOMONTH(D$1,0)+1)
)</f>
        <v>0</v>
      </c>
      <c r="E172" s="251" cm="1">
        <f t="array" ref="E172">-SUMPRODUCT(
  desp[valor] *
  (desp[nucleo]=$B172) *
  (desp[centro.negocio]=$B$163) *
  (desp[data.pagamento]&gt;=E$1) *
  (desp[data.pagamento]&lt;EOMONTH(E$1,0)+1)
)</f>
        <v>0</v>
      </c>
      <c r="F172" s="251" cm="1">
        <f t="array" ref="F172">-SUMPRODUCT(
  desp[valor] *
  (desp[nucleo]=$B172) *
  (desp[centro.negocio]=$B$163) *
  (desp[data.pagamento]&gt;=F$1) *
  (desp[data.pagamento]&lt;EOMONTH(F$1,0)+1)
)</f>
        <v>0</v>
      </c>
      <c r="G172" s="251" cm="1">
        <f t="array" ref="G172">-SUMPRODUCT(
  desp[valor] *
  (desp[nucleo]=$B172) *
  (desp[centro.negocio]=$B$163) *
  (desp[data.pagamento]&gt;=G$1) *
  (desp[data.pagamento]&lt;EOMONTH(G$1,0)+1)
)</f>
        <v>0</v>
      </c>
      <c r="H172" s="251" cm="1">
        <f t="array" ref="H172">-SUMPRODUCT(
  desp[valor] *
  (desp[nucleo]=$B172) *
  (desp[centro.negocio]=$B$163) *
  (desp[data.pagamento]&gt;=H$1) *
  (desp[data.pagamento]&lt;EOMONTH(H$1,0)+1)
)</f>
        <v>0</v>
      </c>
      <c r="I172" s="251" cm="1">
        <f t="array" ref="I172">-SUMPRODUCT(
  desp[valor] *
  (desp[nucleo]=$B172) *
  (desp[centro.negocio]=$B$163) *
  (desp[data.pagamento]&gt;=I$1) *
  (desp[data.pagamento]&lt;EOMONTH(I$1,0)+1)
)</f>
        <v>0</v>
      </c>
      <c r="J172" s="251" cm="1">
        <f t="array" ref="J172">-SUMPRODUCT(
  desp[valor] *
  (desp[nucleo]=$B172) *
  (desp[centro.negocio]=$B$163) *
  (desp[data.pagamento]&gt;=J$1) *
  (desp[data.pagamento]&lt;EOMONTH(J$1,0)+1)
)</f>
        <v>0</v>
      </c>
      <c r="K172" s="251" cm="1">
        <f t="array" ref="K172">-SUMPRODUCT(
  desp[valor] *
  (desp[nucleo]=$B172) *
  (desp[centro.negocio]=$B$163) *
  (desp[data.pagamento]&gt;=K$1) *
  (desp[data.pagamento]&lt;EOMONTH(K$1,0)+1)
)</f>
        <v>0</v>
      </c>
      <c r="L172" s="251" cm="1">
        <f t="array" ref="L172">-SUMPRODUCT(
  desp[valor] *
  (desp[nucleo]=$B172) *
  (desp[centro.negocio]=$B$163) *
  (desp[data.pagamento]&gt;=L$1) *
  (desp[data.pagamento]&lt;EOMONTH(L$1,0)+1)
)</f>
        <v>0</v>
      </c>
      <c r="M172" s="251" cm="1">
        <f t="array" ref="M172">-SUMPRODUCT(
  desp[valor] *
  (desp[nucleo]=$B172) *
  (desp[centro.negocio]=$B$163) *
  (desp[data.pagamento]&gt;=M$1) *
  (desp[data.pagamento]&lt;EOMONTH(M$1,0)+1)
)</f>
        <v>0</v>
      </c>
      <c r="N172" s="251" cm="1">
        <f t="array" ref="N172">-SUMPRODUCT(
  desp[valor] *
  (desp[nucleo]=$B172) *
  (desp[centro.negocio]=$B$163) *
  (desp[data.pagamento]&gt;=N$1) *
  (desp[data.pagamento]&lt;EOMONTH(N$1,0)+1)
)</f>
        <v>0</v>
      </c>
      <c r="O172" s="251" cm="1">
        <f t="array" ref="O172">-SUMPRODUCT(
  desp[valor] *
  (desp[nucleo]=$B172) *
  (desp[centro.negocio]=$B$163) *
  (desp[data.pagamento]&gt;=O$1) *
  (desp[data.pagamento]&lt;EOMONTH(O$1,0)+1)
)</f>
        <v>0</v>
      </c>
      <c r="P172" s="251" cm="1">
        <f t="array" ref="P172">-SUMPRODUCT(
  desp[valor] *
  (desp[nucleo]=$B172) *
  (desp[centro.negocio]=$B$163) *
  (desp[data.pagamento]&gt;=P$1) *
  (desp[data.pagamento]&lt;EOMONTH(P$1,0)+1)
)</f>
        <v>0</v>
      </c>
      <c r="Q172" s="251" cm="1">
        <f t="array" ref="Q172">-SUMPRODUCT(
  desp[valor] *
  (desp[nucleo]=$B172) *
  (desp[centro.negocio]=$B$163) *
  (desp[data.pagamento]&gt;=Q$1) *
  (desp[data.pagamento]&lt;EOMONTH(Q$1,0)+1)
)</f>
        <v>0</v>
      </c>
      <c r="S172" s="243">
        <f t="shared" si="44"/>
        <v>0</v>
      </c>
    </row>
    <row r="173" spans="1:19" outlineLevel="2" x14ac:dyDescent="0.25">
      <c r="A173" s="256" t="s">
        <v>747</v>
      </c>
      <c r="B173" s="250" t="s">
        <v>682</v>
      </c>
      <c r="C173" s="197" t="s">
        <v>556</v>
      </c>
      <c r="D173" s="251" cm="1">
        <f t="array" ref="D173">-SUMPRODUCT(
  desp[valor] *
  (desp[nucleo]=$B173) *
  (desp[centro.negocio]=$B$163) *
  (desp[data.pagamento]&gt;=D$1) *
  (desp[data.pagamento]&lt;EOMONTH(D$1,0)+1)
)</f>
        <v>0</v>
      </c>
      <c r="E173" s="251" cm="1">
        <f t="array" ref="E173">-SUMPRODUCT(
  desp[valor] *
  (desp[nucleo]=$B173) *
  (desp[centro.negocio]=$B$163) *
  (desp[data.pagamento]&gt;=E$1) *
  (desp[data.pagamento]&lt;EOMONTH(E$1,0)+1)
)</f>
        <v>0</v>
      </c>
      <c r="F173" s="251" cm="1">
        <f t="array" ref="F173">-SUMPRODUCT(
  desp[valor] *
  (desp[nucleo]=$B173) *
  (desp[centro.negocio]=$B$163) *
  (desp[data.pagamento]&gt;=F$1) *
  (desp[data.pagamento]&lt;EOMONTH(F$1,0)+1)
)</f>
        <v>0</v>
      </c>
      <c r="G173" s="251" cm="1">
        <f t="array" ref="G173">-SUMPRODUCT(
  desp[valor] *
  (desp[nucleo]=$B173) *
  (desp[centro.negocio]=$B$163) *
  (desp[data.pagamento]&gt;=G$1) *
  (desp[data.pagamento]&lt;EOMONTH(G$1,0)+1)
)</f>
        <v>0</v>
      </c>
      <c r="H173" s="251" cm="1">
        <f t="array" ref="H173">-SUMPRODUCT(
  desp[valor] *
  (desp[nucleo]=$B173) *
  (desp[centro.negocio]=$B$163) *
  (desp[data.pagamento]&gt;=H$1) *
  (desp[data.pagamento]&lt;EOMONTH(H$1,0)+1)
)</f>
        <v>0</v>
      </c>
      <c r="I173" s="251" cm="1">
        <f t="array" ref="I173">-SUMPRODUCT(
  desp[valor] *
  (desp[nucleo]=$B173) *
  (desp[centro.negocio]=$B$163) *
  (desp[data.pagamento]&gt;=I$1) *
  (desp[data.pagamento]&lt;EOMONTH(I$1,0)+1)
)</f>
        <v>0</v>
      </c>
      <c r="J173" s="251" cm="1">
        <f t="array" ref="J173">-SUMPRODUCT(
  desp[valor] *
  (desp[nucleo]=$B173) *
  (desp[centro.negocio]=$B$163) *
  (desp[data.pagamento]&gt;=J$1) *
  (desp[data.pagamento]&lt;EOMONTH(J$1,0)+1)
)</f>
        <v>0</v>
      </c>
      <c r="K173" s="251" cm="1">
        <f t="array" ref="K173">-SUMPRODUCT(
  desp[valor] *
  (desp[nucleo]=$B173) *
  (desp[centro.negocio]=$B$163) *
  (desp[data.pagamento]&gt;=K$1) *
  (desp[data.pagamento]&lt;EOMONTH(K$1,0)+1)
)</f>
        <v>0</v>
      </c>
      <c r="L173" s="251" cm="1">
        <f t="array" ref="L173">-SUMPRODUCT(
  desp[valor] *
  (desp[nucleo]=$B173) *
  (desp[centro.negocio]=$B$163) *
  (desp[data.pagamento]&gt;=L$1) *
  (desp[data.pagamento]&lt;EOMONTH(L$1,0)+1)
)</f>
        <v>0</v>
      </c>
      <c r="M173" s="251" cm="1">
        <f t="array" ref="M173">-SUMPRODUCT(
  desp[valor] *
  (desp[nucleo]=$B173) *
  (desp[centro.negocio]=$B$163) *
  (desp[data.pagamento]&gt;=M$1) *
  (desp[data.pagamento]&lt;EOMONTH(M$1,0)+1)
)</f>
        <v>0</v>
      </c>
      <c r="N173" s="251" cm="1">
        <f t="array" ref="N173">-SUMPRODUCT(
  desp[valor] *
  (desp[nucleo]=$B173) *
  (desp[centro.negocio]=$B$163) *
  (desp[data.pagamento]&gt;=N$1) *
  (desp[data.pagamento]&lt;EOMONTH(N$1,0)+1)
)</f>
        <v>0</v>
      </c>
      <c r="O173" s="251" cm="1">
        <f t="array" ref="O173">-SUMPRODUCT(
  desp[valor] *
  (desp[nucleo]=$B173) *
  (desp[centro.negocio]=$B$163) *
  (desp[data.pagamento]&gt;=O$1) *
  (desp[data.pagamento]&lt;EOMONTH(O$1,0)+1)
)</f>
        <v>0</v>
      </c>
      <c r="P173" s="251" cm="1">
        <f t="array" ref="P173">-SUMPRODUCT(
  desp[valor] *
  (desp[nucleo]=$B173) *
  (desp[centro.negocio]=$B$163) *
  (desp[data.pagamento]&gt;=P$1) *
  (desp[data.pagamento]&lt;EOMONTH(P$1,0)+1)
)</f>
        <v>0</v>
      </c>
      <c r="Q173" s="251" cm="1">
        <f t="array" ref="Q173">-SUMPRODUCT(
  desp[valor] *
  (desp[nucleo]=$B173) *
  (desp[centro.negocio]=$B$163) *
  (desp[data.pagamento]&gt;=Q$1) *
  (desp[data.pagamento]&lt;EOMONTH(Q$1,0)+1)
)</f>
        <v>0</v>
      </c>
      <c r="S173" s="243">
        <f t="shared" si="44"/>
        <v>0</v>
      </c>
    </row>
    <row r="174" spans="1:19" outlineLevel="2" x14ac:dyDescent="0.25">
      <c r="A174" s="250" t="s">
        <v>748</v>
      </c>
      <c r="B174" s="250" t="s">
        <v>598</v>
      </c>
      <c r="C174" s="197" t="s">
        <v>556</v>
      </c>
      <c r="D174" s="251" cm="1">
        <f t="array" ref="D174">-SUMPRODUCT(
  desp[valor] *
  (desp[nucleo]=$B174) *
  (desp[centro.negocio]=$B$163) *
  (desp[data.pagamento]&gt;=D$1) *
  (desp[data.pagamento]&lt;EOMONTH(D$1,0)+1)
)</f>
        <v>0</v>
      </c>
      <c r="E174" s="251" cm="1">
        <f t="array" ref="E174">-SUMPRODUCT(
  desp[valor] *
  (desp[nucleo]=$B174) *
  (desp[centro.negocio]=$B$163) *
  (desp[data.pagamento]&gt;=E$1) *
  (desp[data.pagamento]&lt;EOMONTH(E$1,0)+1)
)</f>
        <v>0</v>
      </c>
      <c r="F174" s="251" cm="1">
        <f t="array" ref="F174">-SUMPRODUCT(
  desp[valor] *
  (desp[nucleo]=$B174) *
  (desp[centro.negocio]=$B$163) *
  (desp[data.pagamento]&gt;=F$1) *
  (desp[data.pagamento]&lt;EOMONTH(F$1,0)+1)
)</f>
        <v>0</v>
      </c>
      <c r="G174" s="251" cm="1">
        <f t="array" ref="G174">-SUMPRODUCT(
  desp[valor] *
  (desp[nucleo]=$B174) *
  (desp[centro.negocio]=$B$163) *
  (desp[data.pagamento]&gt;=G$1) *
  (desp[data.pagamento]&lt;EOMONTH(G$1,0)+1)
)</f>
        <v>0</v>
      </c>
      <c r="H174" s="251" cm="1">
        <f t="array" ref="H174">-SUMPRODUCT(
  desp[valor] *
  (desp[nucleo]=$B174) *
  (desp[centro.negocio]=$B$163) *
  (desp[data.pagamento]&gt;=H$1) *
  (desp[data.pagamento]&lt;EOMONTH(H$1,0)+1)
)</f>
        <v>0</v>
      </c>
      <c r="I174" s="251" cm="1">
        <f t="array" ref="I174">-SUMPRODUCT(
  desp[valor] *
  (desp[nucleo]=$B174) *
  (desp[centro.negocio]=$B$163) *
  (desp[data.pagamento]&gt;=I$1) *
  (desp[data.pagamento]&lt;EOMONTH(I$1,0)+1)
)</f>
        <v>0</v>
      </c>
      <c r="J174" s="251" cm="1">
        <f t="array" ref="J174">-SUMPRODUCT(
  desp[valor] *
  (desp[nucleo]=$B174) *
  (desp[centro.negocio]=$B$163) *
  (desp[data.pagamento]&gt;=J$1) *
  (desp[data.pagamento]&lt;EOMONTH(J$1,0)+1)
)</f>
        <v>0</v>
      </c>
      <c r="K174" s="251" cm="1">
        <f t="array" ref="K174">-SUMPRODUCT(
  desp[valor] *
  (desp[nucleo]=$B174) *
  (desp[centro.negocio]=$B$163) *
  (desp[data.pagamento]&gt;=K$1) *
  (desp[data.pagamento]&lt;EOMONTH(K$1,0)+1)
)</f>
        <v>0</v>
      </c>
      <c r="L174" s="251" cm="1">
        <f t="array" ref="L174">-SUMPRODUCT(
  desp[valor] *
  (desp[nucleo]=$B174) *
  (desp[centro.negocio]=$B$163) *
  (desp[data.pagamento]&gt;=L$1) *
  (desp[data.pagamento]&lt;EOMONTH(L$1,0)+1)
)</f>
        <v>0</v>
      </c>
      <c r="M174" s="251" cm="1">
        <f t="array" ref="M174">-SUMPRODUCT(
  desp[valor] *
  (desp[nucleo]=$B174) *
  (desp[centro.negocio]=$B$163) *
  (desp[data.pagamento]&gt;=M$1) *
  (desp[data.pagamento]&lt;EOMONTH(M$1,0)+1)
)</f>
        <v>0</v>
      </c>
      <c r="N174" s="251" cm="1">
        <f t="array" ref="N174">-SUMPRODUCT(
  desp[valor] *
  (desp[nucleo]=$B174) *
  (desp[centro.negocio]=$B$163) *
  (desp[data.pagamento]&gt;=N$1) *
  (desp[data.pagamento]&lt;EOMONTH(N$1,0)+1)
)</f>
        <v>0</v>
      </c>
      <c r="O174" s="251" cm="1">
        <f t="array" ref="O174">-SUMPRODUCT(
  desp[valor] *
  (desp[nucleo]=$B174) *
  (desp[centro.negocio]=$B$163) *
  (desp[data.pagamento]&gt;=O$1) *
  (desp[data.pagamento]&lt;EOMONTH(O$1,0)+1)
)</f>
        <v>0</v>
      </c>
      <c r="P174" s="251" cm="1">
        <f t="array" ref="P174">-SUMPRODUCT(
  desp[valor] *
  (desp[nucleo]=$B174) *
  (desp[centro.negocio]=$B$163) *
  (desp[data.pagamento]&gt;=P$1) *
  (desp[data.pagamento]&lt;EOMONTH(P$1,0)+1)
)</f>
        <v>0</v>
      </c>
      <c r="Q174" s="251" cm="1">
        <f t="array" ref="Q174">-SUMPRODUCT(
  desp[valor] *
  (desp[nucleo]=$B174) *
  (desp[centro.negocio]=$B$163) *
  (desp[data.pagamento]&gt;=Q$1) *
  (desp[data.pagamento]&lt;EOMONTH(Q$1,0)+1)
)</f>
        <v>0</v>
      </c>
      <c r="S174" s="243">
        <f t="shared" si="44"/>
        <v>0</v>
      </c>
    </row>
    <row r="175" spans="1:19" outlineLevel="2" x14ac:dyDescent="0.25">
      <c r="A175" s="250" t="s">
        <v>749</v>
      </c>
      <c r="B175" s="250" t="s">
        <v>588</v>
      </c>
      <c r="C175" s="197" t="s">
        <v>556</v>
      </c>
      <c r="D175" s="251" cm="1">
        <f t="array" ref="D175">-SUMPRODUCT(
  desp[valor] *
  (desp[nucleo]=$B175) *
  (desp[centro.negocio]=$B$163) *
  (desp[data.pagamento]&gt;=D$1) *
  (desp[data.pagamento]&lt;EOMONTH(D$1,0)+1)
)</f>
        <v>0</v>
      </c>
      <c r="E175" s="251" cm="1">
        <f t="array" ref="E175">-SUMPRODUCT(
  desp[valor] *
  (desp[nucleo]=$B175) *
  (desp[centro.negocio]=$B$163) *
  (desp[data.pagamento]&gt;=E$1) *
  (desp[data.pagamento]&lt;EOMONTH(E$1,0)+1)
)</f>
        <v>0</v>
      </c>
      <c r="F175" s="251" cm="1">
        <f t="array" ref="F175">-SUMPRODUCT(
  desp[valor] *
  (desp[nucleo]=$B175) *
  (desp[centro.negocio]=$B$163) *
  (desp[data.pagamento]&gt;=F$1) *
  (desp[data.pagamento]&lt;EOMONTH(F$1,0)+1)
)</f>
        <v>0</v>
      </c>
      <c r="G175" s="251" cm="1">
        <f t="array" ref="G175">-SUMPRODUCT(
  desp[valor] *
  (desp[nucleo]=$B175) *
  (desp[centro.negocio]=$B$163) *
  (desp[data.pagamento]&gt;=G$1) *
  (desp[data.pagamento]&lt;EOMONTH(G$1,0)+1)
)</f>
        <v>0</v>
      </c>
      <c r="H175" s="251" cm="1">
        <f t="array" ref="H175">-SUMPRODUCT(
  desp[valor] *
  (desp[nucleo]=$B175) *
  (desp[centro.negocio]=$B$163) *
  (desp[data.pagamento]&gt;=H$1) *
  (desp[data.pagamento]&lt;EOMONTH(H$1,0)+1)
)</f>
        <v>0</v>
      </c>
      <c r="I175" s="251" cm="1">
        <f t="array" ref="I175">-SUMPRODUCT(
  desp[valor] *
  (desp[nucleo]=$B175) *
  (desp[centro.negocio]=$B$163) *
  (desp[data.pagamento]&gt;=I$1) *
  (desp[data.pagamento]&lt;EOMONTH(I$1,0)+1)
)</f>
        <v>0</v>
      </c>
      <c r="J175" s="251" cm="1">
        <f t="array" ref="J175">-SUMPRODUCT(
  desp[valor] *
  (desp[nucleo]=$B175) *
  (desp[centro.negocio]=$B$163) *
  (desp[data.pagamento]&gt;=J$1) *
  (desp[data.pagamento]&lt;EOMONTH(J$1,0)+1)
)</f>
        <v>0</v>
      </c>
      <c r="K175" s="251" cm="1">
        <f t="array" ref="K175">-SUMPRODUCT(
  desp[valor] *
  (desp[nucleo]=$B175) *
  (desp[centro.negocio]=$B$163) *
  (desp[data.pagamento]&gt;=K$1) *
  (desp[data.pagamento]&lt;EOMONTH(K$1,0)+1)
)</f>
        <v>0</v>
      </c>
      <c r="L175" s="251" cm="1">
        <f t="array" ref="L175">-SUMPRODUCT(
  desp[valor] *
  (desp[nucleo]=$B175) *
  (desp[centro.negocio]=$B$163) *
  (desp[data.pagamento]&gt;=L$1) *
  (desp[data.pagamento]&lt;EOMONTH(L$1,0)+1)
)</f>
        <v>0</v>
      </c>
      <c r="M175" s="251" cm="1">
        <f t="array" ref="M175">-SUMPRODUCT(
  desp[valor] *
  (desp[nucleo]=$B175) *
  (desp[centro.negocio]=$B$163) *
  (desp[data.pagamento]&gt;=M$1) *
  (desp[data.pagamento]&lt;EOMONTH(M$1,0)+1)
)</f>
        <v>0</v>
      </c>
      <c r="N175" s="251" cm="1">
        <f t="array" ref="N175">-SUMPRODUCT(
  desp[valor] *
  (desp[nucleo]=$B175) *
  (desp[centro.negocio]=$B$163) *
  (desp[data.pagamento]&gt;=N$1) *
  (desp[data.pagamento]&lt;EOMONTH(N$1,0)+1)
)</f>
        <v>0</v>
      </c>
      <c r="O175" s="251" cm="1">
        <f t="array" ref="O175">-SUMPRODUCT(
  desp[valor] *
  (desp[nucleo]=$B175) *
  (desp[centro.negocio]=$B$163) *
  (desp[data.pagamento]&gt;=O$1) *
  (desp[data.pagamento]&lt;EOMONTH(O$1,0)+1)
)</f>
        <v>0</v>
      </c>
      <c r="P175" s="251" cm="1">
        <f t="array" ref="P175">-SUMPRODUCT(
  desp[valor] *
  (desp[nucleo]=$B175) *
  (desp[centro.negocio]=$B$163) *
  (desp[data.pagamento]&gt;=P$1) *
  (desp[data.pagamento]&lt;EOMONTH(P$1,0)+1)
)</f>
        <v>0</v>
      </c>
      <c r="Q175" s="251" cm="1">
        <f t="array" ref="Q175">-SUMPRODUCT(
  desp[valor] *
  (desp[nucleo]=$B175) *
  (desp[centro.negocio]=$B$163) *
  (desp[data.pagamento]&gt;=Q$1) *
  (desp[data.pagamento]&lt;EOMONTH(Q$1,0)+1)
)</f>
        <v>0</v>
      </c>
      <c r="S175" s="243">
        <f t="shared" si="44"/>
        <v>0</v>
      </c>
    </row>
    <row r="176" spans="1:19" outlineLevel="2" x14ac:dyDescent="0.25">
      <c r="A176" s="250" t="s">
        <v>750</v>
      </c>
      <c r="B176" s="250" t="s">
        <v>584</v>
      </c>
      <c r="C176" s="197" t="s">
        <v>556</v>
      </c>
      <c r="D176" s="251" cm="1">
        <f t="array" ref="D176">-SUMPRODUCT(
  desp[valor] *
  (desp[nucleo]=$B176) *
  (desp[centro.negocio]=$B$163) *
  (desp[data.pagamento]&gt;=D$1) *
  (desp[data.pagamento]&lt;EOMONTH(D$1,0)+1)
)</f>
        <v>0</v>
      </c>
      <c r="E176" s="251" cm="1">
        <f t="array" ref="E176">-SUMPRODUCT(
  desp[valor] *
  (desp[nucleo]=$B176) *
  (desp[centro.negocio]=$B$163) *
  (desp[data.pagamento]&gt;=E$1) *
  (desp[data.pagamento]&lt;EOMONTH(E$1,0)+1)
)</f>
        <v>0</v>
      </c>
      <c r="F176" s="251" cm="1">
        <f t="array" ref="F176">-SUMPRODUCT(
  desp[valor] *
  (desp[nucleo]=$B176) *
  (desp[centro.negocio]=$B$163) *
  (desp[data.pagamento]&gt;=F$1) *
  (desp[data.pagamento]&lt;EOMONTH(F$1,0)+1)
)</f>
        <v>0</v>
      </c>
      <c r="G176" s="251" cm="1">
        <f t="array" ref="G176">-SUMPRODUCT(
  desp[valor] *
  (desp[nucleo]=$B176) *
  (desp[centro.negocio]=$B$163) *
  (desp[data.pagamento]&gt;=G$1) *
  (desp[data.pagamento]&lt;EOMONTH(G$1,0)+1)
)</f>
        <v>0</v>
      </c>
      <c r="H176" s="251" cm="1">
        <f t="array" ref="H176">-SUMPRODUCT(
  desp[valor] *
  (desp[nucleo]=$B176) *
  (desp[centro.negocio]=$B$163) *
  (desp[data.pagamento]&gt;=H$1) *
  (desp[data.pagamento]&lt;EOMONTH(H$1,0)+1)
)</f>
        <v>0</v>
      </c>
      <c r="I176" s="251" cm="1">
        <f t="array" ref="I176">-SUMPRODUCT(
  desp[valor] *
  (desp[nucleo]=$B176) *
  (desp[centro.negocio]=$B$163) *
  (desp[data.pagamento]&gt;=I$1) *
  (desp[data.pagamento]&lt;EOMONTH(I$1,0)+1)
)</f>
        <v>0</v>
      </c>
      <c r="J176" s="251" cm="1">
        <f t="array" ref="J176">-SUMPRODUCT(
  desp[valor] *
  (desp[nucleo]=$B176) *
  (desp[centro.negocio]=$B$163) *
  (desp[data.pagamento]&gt;=J$1) *
  (desp[data.pagamento]&lt;EOMONTH(J$1,0)+1)
)</f>
        <v>0</v>
      </c>
      <c r="K176" s="251" cm="1">
        <f t="array" ref="K176">-SUMPRODUCT(
  desp[valor] *
  (desp[nucleo]=$B176) *
  (desp[centro.negocio]=$B$163) *
  (desp[data.pagamento]&gt;=K$1) *
  (desp[data.pagamento]&lt;EOMONTH(K$1,0)+1)
)</f>
        <v>0</v>
      </c>
      <c r="L176" s="251" cm="1">
        <f t="array" ref="L176">-SUMPRODUCT(
  desp[valor] *
  (desp[nucleo]=$B176) *
  (desp[centro.negocio]=$B$163) *
  (desp[data.pagamento]&gt;=L$1) *
  (desp[data.pagamento]&lt;EOMONTH(L$1,0)+1)
)</f>
        <v>0</v>
      </c>
      <c r="M176" s="251" cm="1">
        <f t="array" ref="M176">-SUMPRODUCT(
  desp[valor] *
  (desp[nucleo]=$B176) *
  (desp[centro.negocio]=$B$163) *
  (desp[data.pagamento]&gt;=M$1) *
  (desp[data.pagamento]&lt;EOMONTH(M$1,0)+1)
)</f>
        <v>0</v>
      </c>
      <c r="N176" s="251" cm="1">
        <f t="array" ref="N176">-SUMPRODUCT(
  desp[valor] *
  (desp[nucleo]=$B176) *
  (desp[centro.negocio]=$B$163) *
  (desp[data.pagamento]&gt;=N$1) *
  (desp[data.pagamento]&lt;EOMONTH(N$1,0)+1)
)</f>
        <v>0</v>
      </c>
      <c r="O176" s="251" cm="1">
        <f t="array" ref="O176">-SUMPRODUCT(
  desp[valor] *
  (desp[nucleo]=$B176) *
  (desp[centro.negocio]=$B$163) *
  (desp[data.pagamento]&gt;=O$1) *
  (desp[data.pagamento]&lt;EOMONTH(O$1,0)+1)
)</f>
        <v>0</v>
      </c>
      <c r="P176" s="251" cm="1">
        <f t="array" ref="P176">-SUMPRODUCT(
  desp[valor] *
  (desp[nucleo]=$B176) *
  (desp[centro.negocio]=$B$163) *
  (desp[data.pagamento]&gt;=P$1) *
  (desp[data.pagamento]&lt;EOMONTH(P$1,0)+1)
)</f>
        <v>0</v>
      </c>
      <c r="Q176" s="251" cm="1">
        <f t="array" ref="Q176">-SUMPRODUCT(
  desp[valor] *
  (desp[nucleo]=$B176) *
  (desp[centro.negocio]=$B$163) *
  (desp[data.pagamento]&gt;=Q$1) *
  (desp[data.pagamento]&lt;EOMONTH(Q$1,0)+1)
)</f>
        <v>0</v>
      </c>
      <c r="S176" s="243">
        <f t="shared" si="44"/>
        <v>0</v>
      </c>
    </row>
    <row r="177" spans="1:19" outlineLevel="2" x14ac:dyDescent="0.25">
      <c r="A177" s="256" t="s">
        <v>747</v>
      </c>
      <c r="B177" s="250" t="s">
        <v>689</v>
      </c>
      <c r="C177" s="197" t="s">
        <v>556</v>
      </c>
      <c r="D177" s="251" cm="1">
        <f t="array" ref="D177">-SUMPRODUCT(
  desp[valor] *
  (desp[nucleo]=$B177) *
  (desp[centro.negocio]=$B$163) *
  (desp[data.pagamento]&gt;=D$1) *
  (desp[data.pagamento]&lt;EOMONTH(D$1,0)+1)
)</f>
        <v>0</v>
      </c>
      <c r="E177" s="251" cm="1">
        <f t="array" ref="E177">-SUMPRODUCT(
  desp[valor] *
  (desp[nucleo]=$B177) *
  (desp[centro.negocio]=$B$163) *
  (desp[data.pagamento]&gt;=E$1) *
  (desp[data.pagamento]&lt;EOMONTH(E$1,0)+1)
)</f>
        <v>0</v>
      </c>
      <c r="F177" s="251" cm="1">
        <f t="array" ref="F177">-SUMPRODUCT(
  desp[valor] *
  (desp[nucleo]=$B177) *
  (desp[centro.negocio]=$B$163) *
  (desp[data.pagamento]&gt;=F$1) *
  (desp[data.pagamento]&lt;EOMONTH(F$1,0)+1)
)</f>
        <v>0</v>
      </c>
      <c r="G177" s="251" cm="1">
        <f t="array" ref="G177">-SUMPRODUCT(
  desp[valor] *
  (desp[nucleo]=$B177) *
  (desp[centro.negocio]=$B$163) *
  (desp[data.pagamento]&gt;=G$1) *
  (desp[data.pagamento]&lt;EOMONTH(G$1,0)+1)
)</f>
        <v>0</v>
      </c>
      <c r="H177" s="251" cm="1">
        <f t="array" ref="H177">-SUMPRODUCT(
  desp[valor] *
  (desp[nucleo]=$B177) *
  (desp[centro.negocio]=$B$163) *
  (desp[data.pagamento]&gt;=H$1) *
  (desp[data.pagamento]&lt;EOMONTH(H$1,0)+1)
)</f>
        <v>0</v>
      </c>
      <c r="I177" s="251" cm="1">
        <f t="array" ref="I177">-SUMPRODUCT(
  desp[valor] *
  (desp[nucleo]=$B177) *
  (desp[centro.negocio]=$B$163) *
  (desp[data.pagamento]&gt;=I$1) *
  (desp[data.pagamento]&lt;EOMONTH(I$1,0)+1)
)</f>
        <v>0</v>
      </c>
      <c r="J177" s="251" cm="1">
        <f t="array" ref="J177">-SUMPRODUCT(
  desp[valor] *
  (desp[nucleo]=$B177) *
  (desp[centro.negocio]=$B$163) *
  (desp[data.pagamento]&gt;=J$1) *
  (desp[data.pagamento]&lt;EOMONTH(J$1,0)+1)
)</f>
        <v>0</v>
      </c>
      <c r="K177" s="251" cm="1">
        <f t="array" ref="K177">-SUMPRODUCT(
  desp[valor] *
  (desp[nucleo]=$B177) *
  (desp[centro.negocio]=$B$163) *
  (desp[data.pagamento]&gt;=K$1) *
  (desp[data.pagamento]&lt;EOMONTH(K$1,0)+1)
)</f>
        <v>0</v>
      </c>
      <c r="L177" s="251" cm="1">
        <f t="array" ref="L177">-SUMPRODUCT(
  desp[valor] *
  (desp[nucleo]=$B177) *
  (desp[centro.negocio]=$B$163) *
  (desp[data.pagamento]&gt;=L$1) *
  (desp[data.pagamento]&lt;EOMONTH(L$1,0)+1)
)</f>
        <v>0</v>
      </c>
      <c r="M177" s="251" cm="1">
        <f t="array" ref="M177">-SUMPRODUCT(
  desp[valor] *
  (desp[nucleo]=$B177) *
  (desp[centro.negocio]=$B$163) *
  (desp[data.pagamento]&gt;=M$1) *
  (desp[data.pagamento]&lt;EOMONTH(M$1,0)+1)
)</f>
        <v>0</v>
      </c>
      <c r="N177" s="251" cm="1">
        <f t="array" ref="N177">-SUMPRODUCT(
  desp[valor] *
  (desp[nucleo]=$B177) *
  (desp[centro.negocio]=$B$163) *
  (desp[data.pagamento]&gt;=N$1) *
  (desp[data.pagamento]&lt;EOMONTH(N$1,0)+1)
)</f>
        <v>0</v>
      </c>
      <c r="O177" s="251" cm="1">
        <f t="array" ref="O177">-SUMPRODUCT(
  desp[valor] *
  (desp[nucleo]=$B177) *
  (desp[centro.negocio]=$B$163) *
  (desp[data.pagamento]&gt;=O$1) *
  (desp[data.pagamento]&lt;EOMONTH(O$1,0)+1)
)</f>
        <v>0</v>
      </c>
      <c r="P177" s="251" cm="1">
        <f t="array" ref="P177">-SUMPRODUCT(
  desp[valor] *
  (desp[nucleo]=$B177) *
  (desp[centro.negocio]=$B$163) *
  (desp[data.pagamento]&gt;=P$1) *
  (desp[data.pagamento]&lt;EOMONTH(P$1,0)+1)
)</f>
        <v>0</v>
      </c>
      <c r="Q177" s="251" cm="1">
        <f t="array" ref="Q177">-SUMPRODUCT(
  desp[valor] *
  (desp[nucleo]=$B177) *
  (desp[centro.negocio]=$B$163) *
  (desp[data.pagamento]&gt;=Q$1) *
  (desp[data.pagamento]&lt;EOMONTH(Q$1,0)+1)
)</f>
        <v>0</v>
      </c>
      <c r="S177" s="243">
        <f t="shared" si="44"/>
        <v>0</v>
      </c>
    </row>
    <row r="178" spans="1:19" outlineLevel="2" x14ac:dyDescent="0.25">
      <c r="A178" s="250" t="s">
        <v>751</v>
      </c>
      <c r="B178" s="250" t="s">
        <v>619</v>
      </c>
      <c r="C178" s="197" t="s">
        <v>556</v>
      </c>
      <c r="D178" s="251" cm="1">
        <f t="array" ref="D178">-SUMPRODUCT(
  desp[valor] *
  (desp[nucleo]=$B178) *
  (desp[centro.negocio]=$B$163) *
  (desp[data.pagamento]&gt;=D$1) *
  (desp[data.pagamento]&lt;EOMONTH(D$1,0)+1)
)</f>
        <v>0</v>
      </c>
      <c r="E178" s="251" cm="1">
        <f t="array" ref="E178">-SUMPRODUCT(
  desp[valor] *
  (desp[nucleo]=$B178) *
  (desp[centro.negocio]=$B$163) *
  (desp[data.pagamento]&gt;=E$1) *
  (desp[data.pagamento]&lt;EOMONTH(E$1,0)+1)
)</f>
        <v>0</v>
      </c>
      <c r="F178" s="251" cm="1">
        <f t="array" ref="F178">-SUMPRODUCT(
  desp[valor] *
  (desp[nucleo]=$B178) *
  (desp[centro.negocio]=$B$163) *
  (desp[data.pagamento]&gt;=F$1) *
  (desp[data.pagamento]&lt;EOMONTH(F$1,0)+1)
)</f>
        <v>0</v>
      </c>
      <c r="G178" s="251" cm="1">
        <f t="array" ref="G178">-SUMPRODUCT(
  desp[valor] *
  (desp[nucleo]=$B178) *
  (desp[centro.negocio]=$B$163) *
  (desp[data.pagamento]&gt;=G$1) *
  (desp[data.pagamento]&lt;EOMONTH(G$1,0)+1)
)</f>
        <v>0</v>
      </c>
      <c r="H178" s="251" cm="1">
        <f t="array" ref="H178">-SUMPRODUCT(
  desp[valor] *
  (desp[nucleo]=$B178) *
  (desp[centro.negocio]=$B$163) *
  (desp[data.pagamento]&gt;=H$1) *
  (desp[data.pagamento]&lt;EOMONTH(H$1,0)+1)
)</f>
        <v>0</v>
      </c>
      <c r="I178" s="251" cm="1">
        <f t="array" ref="I178">-SUMPRODUCT(
  desp[valor] *
  (desp[nucleo]=$B178) *
  (desp[centro.negocio]=$B$163) *
  (desp[data.pagamento]&gt;=I$1) *
  (desp[data.pagamento]&lt;EOMONTH(I$1,0)+1)
)</f>
        <v>0</v>
      </c>
      <c r="J178" s="251" cm="1">
        <f t="array" ref="J178">-SUMPRODUCT(
  desp[valor] *
  (desp[nucleo]=$B178) *
  (desp[centro.negocio]=$B$163) *
  (desp[data.pagamento]&gt;=J$1) *
  (desp[data.pagamento]&lt;EOMONTH(J$1,0)+1)
)</f>
        <v>0</v>
      </c>
      <c r="K178" s="251" cm="1">
        <f t="array" ref="K178">-SUMPRODUCT(
  desp[valor] *
  (desp[nucleo]=$B178) *
  (desp[centro.negocio]=$B$163) *
  (desp[data.pagamento]&gt;=K$1) *
  (desp[data.pagamento]&lt;EOMONTH(K$1,0)+1)
)</f>
        <v>0</v>
      </c>
      <c r="L178" s="251" cm="1">
        <f t="array" ref="L178">-SUMPRODUCT(
  desp[valor] *
  (desp[nucleo]=$B178) *
  (desp[centro.negocio]=$B$163) *
  (desp[data.pagamento]&gt;=L$1) *
  (desp[data.pagamento]&lt;EOMONTH(L$1,0)+1)
)</f>
        <v>0</v>
      </c>
      <c r="M178" s="251" cm="1">
        <f t="array" ref="M178">-SUMPRODUCT(
  desp[valor] *
  (desp[nucleo]=$B178) *
  (desp[centro.negocio]=$B$163) *
  (desp[data.pagamento]&gt;=M$1) *
  (desp[data.pagamento]&lt;EOMONTH(M$1,0)+1)
)</f>
        <v>0</v>
      </c>
      <c r="N178" s="251" cm="1">
        <f t="array" ref="N178">-SUMPRODUCT(
  desp[valor] *
  (desp[nucleo]=$B178) *
  (desp[centro.negocio]=$B$163) *
  (desp[data.pagamento]&gt;=N$1) *
  (desp[data.pagamento]&lt;EOMONTH(N$1,0)+1)
)</f>
        <v>0</v>
      </c>
      <c r="O178" s="251" cm="1">
        <f t="array" ref="O178">-SUMPRODUCT(
  desp[valor] *
  (desp[nucleo]=$B178) *
  (desp[centro.negocio]=$B$163) *
  (desp[data.pagamento]&gt;=O$1) *
  (desp[data.pagamento]&lt;EOMONTH(O$1,0)+1)
)</f>
        <v>0</v>
      </c>
      <c r="P178" s="251" cm="1">
        <f t="array" ref="P178">-SUMPRODUCT(
  desp[valor] *
  (desp[nucleo]=$B178) *
  (desp[centro.negocio]=$B$163) *
  (desp[data.pagamento]&gt;=P$1) *
  (desp[data.pagamento]&lt;EOMONTH(P$1,0)+1)
)</f>
        <v>0</v>
      </c>
      <c r="Q178" s="251" cm="1">
        <f t="array" ref="Q178">-SUMPRODUCT(
  desp[valor] *
  (desp[nucleo]=$B178) *
  (desp[centro.negocio]=$B$163) *
  (desp[data.pagamento]&gt;=Q$1) *
  (desp[data.pagamento]&lt;EOMONTH(Q$1,0)+1)
)</f>
        <v>0</v>
      </c>
      <c r="S178" s="243">
        <f t="shared" si="44"/>
        <v>0</v>
      </c>
    </row>
    <row r="179" spans="1:19" outlineLevel="2" x14ac:dyDescent="0.25">
      <c r="A179" s="250" t="s">
        <v>752</v>
      </c>
      <c r="B179" s="250" t="s">
        <v>688</v>
      </c>
      <c r="C179" s="197" t="s">
        <v>556</v>
      </c>
      <c r="D179" s="251" cm="1">
        <f t="array" ref="D179">-SUMPRODUCT(
  desp[valor] *
  (desp[nucleo]=$B179) *
  (desp[centro.negocio]=$B$163) *
  (desp[data.pagamento]&gt;=D$1) *
  (desp[data.pagamento]&lt;EOMONTH(D$1,0)+1)
)</f>
        <v>0</v>
      </c>
      <c r="E179" s="251" cm="1">
        <f t="array" ref="E179">-SUMPRODUCT(
  desp[valor] *
  (desp[nucleo]=$B179) *
  (desp[centro.negocio]=$B$163) *
  (desp[data.pagamento]&gt;=E$1) *
  (desp[data.pagamento]&lt;EOMONTH(E$1,0)+1)
)</f>
        <v>0</v>
      </c>
      <c r="F179" s="251" cm="1">
        <f t="array" ref="F179">-SUMPRODUCT(
  desp[valor] *
  (desp[nucleo]=$B179) *
  (desp[centro.negocio]=$B$163) *
  (desp[data.pagamento]&gt;=F$1) *
  (desp[data.pagamento]&lt;EOMONTH(F$1,0)+1)
)</f>
        <v>0</v>
      </c>
      <c r="G179" s="251" cm="1">
        <f t="array" ref="G179">-SUMPRODUCT(
  desp[valor] *
  (desp[nucleo]=$B179) *
  (desp[centro.negocio]=$B$163) *
  (desp[data.pagamento]&gt;=G$1) *
  (desp[data.pagamento]&lt;EOMONTH(G$1,0)+1)
)</f>
        <v>0</v>
      </c>
      <c r="H179" s="251" cm="1">
        <f t="array" ref="H179">-SUMPRODUCT(
  desp[valor] *
  (desp[nucleo]=$B179) *
  (desp[centro.negocio]=$B$163) *
  (desp[data.pagamento]&gt;=H$1) *
  (desp[data.pagamento]&lt;EOMONTH(H$1,0)+1)
)</f>
        <v>0</v>
      </c>
      <c r="I179" s="251" cm="1">
        <f t="array" ref="I179">-SUMPRODUCT(
  desp[valor] *
  (desp[nucleo]=$B179) *
  (desp[centro.negocio]=$B$163) *
  (desp[data.pagamento]&gt;=I$1) *
  (desp[data.pagamento]&lt;EOMONTH(I$1,0)+1)
)</f>
        <v>0</v>
      </c>
      <c r="J179" s="251" cm="1">
        <f t="array" ref="J179">-SUMPRODUCT(
  desp[valor] *
  (desp[nucleo]=$B179) *
  (desp[centro.negocio]=$B$163) *
  (desp[data.pagamento]&gt;=J$1) *
  (desp[data.pagamento]&lt;EOMONTH(J$1,0)+1)
)</f>
        <v>0</v>
      </c>
      <c r="K179" s="251" cm="1">
        <f t="array" ref="K179">-SUMPRODUCT(
  desp[valor] *
  (desp[nucleo]=$B179) *
  (desp[centro.negocio]=$B$163) *
  (desp[data.pagamento]&gt;=K$1) *
  (desp[data.pagamento]&lt;EOMONTH(K$1,0)+1)
)</f>
        <v>0</v>
      </c>
      <c r="L179" s="251" cm="1">
        <f t="array" ref="L179">-SUMPRODUCT(
  desp[valor] *
  (desp[nucleo]=$B179) *
  (desp[centro.negocio]=$B$163) *
  (desp[data.pagamento]&gt;=L$1) *
  (desp[data.pagamento]&lt;EOMONTH(L$1,0)+1)
)</f>
        <v>0</v>
      </c>
      <c r="M179" s="251" cm="1">
        <f t="array" ref="M179">-SUMPRODUCT(
  desp[valor] *
  (desp[nucleo]=$B179) *
  (desp[centro.negocio]=$B$163) *
  (desp[data.pagamento]&gt;=M$1) *
  (desp[data.pagamento]&lt;EOMONTH(M$1,0)+1)
)</f>
        <v>0</v>
      </c>
      <c r="N179" s="251" cm="1">
        <f t="array" ref="N179">-SUMPRODUCT(
  desp[valor] *
  (desp[nucleo]=$B179) *
  (desp[centro.negocio]=$B$163) *
  (desp[data.pagamento]&gt;=N$1) *
  (desp[data.pagamento]&lt;EOMONTH(N$1,0)+1)
)</f>
        <v>0</v>
      </c>
      <c r="O179" s="251" cm="1">
        <f t="array" ref="O179">-SUMPRODUCT(
  desp[valor] *
  (desp[nucleo]=$B179) *
  (desp[centro.negocio]=$B$163) *
  (desp[data.pagamento]&gt;=O$1) *
  (desp[data.pagamento]&lt;EOMONTH(O$1,0)+1)
)</f>
        <v>0</v>
      </c>
      <c r="P179" s="251" cm="1">
        <f t="array" ref="P179">-SUMPRODUCT(
  desp[valor] *
  (desp[nucleo]=$B179) *
  (desp[centro.negocio]=$B$163) *
  (desp[data.pagamento]&gt;=P$1) *
  (desp[data.pagamento]&lt;EOMONTH(P$1,0)+1)
)</f>
        <v>0</v>
      </c>
      <c r="Q179" s="251" cm="1">
        <f t="array" ref="Q179">-SUMPRODUCT(
  desp[valor] *
  (desp[nucleo]=$B179) *
  (desp[centro.negocio]=$B$163) *
  (desp[data.pagamento]&gt;=Q$1) *
  (desp[data.pagamento]&lt;EOMONTH(Q$1,0)+1)
)</f>
        <v>0</v>
      </c>
      <c r="S179" s="243">
        <f t="shared" si="44"/>
        <v>0</v>
      </c>
    </row>
    <row r="180" spans="1:19" outlineLevel="1" x14ac:dyDescent="0.25">
      <c r="A180" s="261" t="s">
        <v>753</v>
      </c>
      <c r="B180" s="258" t="s">
        <v>754</v>
      </c>
      <c r="C180" s="197"/>
      <c r="D180" s="251"/>
      <c r="E180" s="251"/>
      <c r="F180" s="251"/>
      <c r="G180" s="251"/>
      <c r="H180" s="251"/>
      <c r="I180" s="251"/>
      <c r="J180" s="251"/>
      <c r="K180" s="251"/>
      <c r="L180" s="251"/>
      <c r="M180" s="251"/>
      <c r="N180" s="251"/>
      <c r="O180" s="251"/>
      <c r="P180" s="251"/>
      <c r="Q180" s="251"/>
      <c r="S180" s="243">
        <f t="shared" ref="S180:S191" si="45">SUM(D180:Q180)</f>
        <v>0</v>
      </c>
    </row>
    <row r="181" spans="1:19" outlineLevel="1" x14ac:dyDescent="0.25">
      <c r="A181" s="261" t="s">
        <v>755</v>
      </c>
      <c r="B181" s="258" t="s">
        <v>756</v>
      </c>
      <c r="C181" s="197"/>
      <c r="D181" s="251"/>
      <c r="E181" s="251"/>
      <c r="F181" s="251"/>
      <c r="G181" s="251"/>
      <c r="H181" s="251"/>
      <c r="I181" s="251"/>
      <c r="J181" s="251"/>
      <c r="K181" s="251"/>
      <c r="L181" s="251"/>
      <c r="M181" s="251"/>
      <c r="N181" s="251"/>
      <c r="O181" s="251"/>
      <c r="P181" s="251"/>
      <c r="Q181" s="251"/>
      <c r="S181" s="243">
        <f t="shared" si="45"/>
        <v>0</v>
      </c>
    </row>
    <row r="182" spans="1:19" x14ac:dyDescent="0.25">
      <c r="A182" s="240" t="s">
        <v>757</v>
      </c>
      <c r="B182" s="240" t="s">
        <v>758</v>
      </c>
      <c r="C182" s="241"/>
      <c r="D182" s="242">
        <f t="shared" ref="D182:Q182" si="46">D$183+D$205</f>
        <v>1301708.8500000001</v>
      </c>
      <c r="E182" s="242">
        <f t="shared" si="46"/>
        <v>0</v>
      </c>
      <c r="F182" s="242">
        <f t="shared" si="46"/>
        <v>621715.06000000006</v>
      </c>
      <c r="G182" s="242">
        <f t="shared" si="46"/>
        <v>3408120.66</v>
      </c>
      <c r="H182" s="242">
        <f t="shared" si="46"/>
        <v>6070665.4500000002</v>
      </c>
      <c r="I182" s="242">
        <f t="shared" si="46"/>
        <v>2693304.8</v>
      </c>
      <c r="J182" s="242">
        <f t="shared" si="46"/>
        <v>1715270.17</v>
      </c>
      <c r="K182" s="242">
        <f t="shared" si="46"/>
        <v>8459049.3599999994</v>
      </c>
      <c r="L182" s="242">
        <f t="shared" si="46"/>
        <v>1226397.81</v>
      </c>
      <c r="M182" s="242">
        <f t="shared" si="46"/>
        <v>3497137.5199999996</v>
      </c>
      <c r="N182" s="242">
        <f t="shared" si="46"/>
        <v>-3397342.11</v>
      </c>
      <c r="O182" s="242">
        <f t="shared" si="46"/>
        <v>471701.2</v>
      </c>
      <c r="P182" s="242">
        <f t="shared" si="46"/>
        <v>1138483.6300000001</v>
      </c>
      <c r="Q182" s="242">
        <f t="shared" si="46"/>
        <v>650997.91</v>
      </c>
      <c r="S182" s="243">
        <f t="shared" si="45"/>
        <v>27857210.309999999</v>
      </c>
    </row>
    <row r="183" spans="1:19" x14ac:dyDescent="0.25">
      <c r="A183" s="244" t="s">
        <v>759</v>
      </c>
      <c r="B183" s="244" t="s">
        <v>760</v>
      </c>
      <c r="C183" s="245"/>
      <c r="D183" s="246">
        <f t="shared" ref="D183:Q183" si="47">SUM(D$184,D$204)</f>
        <v>1301708.8500000001</v>
      </c>
      <c r="E183" s="246">
        <f t="shared" si="47"/>
        <v>0</v>
      </c>
      <c r="F183" s="246">
        <f t="shared" si="47"/>
        <v>621715.06000000006</v>
      </c>
      <c r="G183" s="246">
        <f t="shared" si="47"/>
        <v>3408120.66</v>
      </c>
      <c r="H183" s="246">
        <f t="shared" si="47"/>
        <v>6070665.4500000002</v>
      </c>
      <c r="I183" s="246">
        <f t="shared" si="47"/>
        <v>2693304.8</v>
      </c>
      <c r="J183" s="246">
        <f t="shared" si="47"/>
        <v>1715270.17</v>
      </c>
      <c r="K183" s="246">
        <f t="shared" si="47"/>
        <v>8459049.3599999994</v>
      </c>
      <c r="L183" s="246">
        <f t="shared" si="47"/>
        <v>1226397.81</v>
      </c>
      <c r="M183" s="246">
        <f t="shared" si="47"/>
        <v>6497137.5199999996</v>
      </c>
      <c r="N183" s="246">
        <f t="shared" si="47"/>
        <v>809114.02</v>
      </c>
      <c r="O183" s="246">
        <f t="shared" si="47"/>
        <v>471701.2</v>
      </c>
      <c r="P183" s="246">
        <f t="shared" si="47"/>
        <v>1138483.6300000001</v>
      </c>
      <c r="Q183" s="246">
        <f t="shared" si="47"/>
        <v>650997.91</v>
      </c>
      <c r="S183" s="243">
        <f t="shared" si="45"/>
        <v>35063666.439999998</v>
      </c>
    </row>
    <row r="184" spans="1:19" outlineLevel="1" x14ac:dyDescent="0.25">
      <c r="A184" s="247" t="s">
        <v>761</v>
      </c>
      <c r="B184" s="247" t="s">
        <v>762</v>
      </c>
      <c r="C184" s="248" t="s">
        <v>763</v>
      </c>
      <c r="D184" s="249">
        <f>SUM(D$185,D$191)</f>
        <v>1301708.8500000001</v>
      </c>
      <c r="E184" s="249">
        <f t="shared" ref="E184:Q184" si="48">SUM(E$185,E$191)</f>
        <v>0</v>
      </c>
      <c r="F184" s="249">
        <f t="shared" si="48"/>
        <v>621715.06000000006</v>
      </c>
      <c r="G184" s="249">
        <f t="shared" si="48"/>
        <v>3408120.66</v>
      </c>
      <c r="H184" s="249">
        <f t="shared" si="48"/>
        <v>6070665.4500000002</v>
      </c>
      <c r="I184" s="249">
        <f t="shared" si="48"/>
        <v>2693304.8</v>
      </c>
      <c r="J184" s="249">
        <f t="shared" si="48"/>
        <v>1715270.17</v>
      </c>
      <c r="K184" s="249">
        <f t="shared" si="48"/>
        <v>8459049.3599999994</v>
      </c>
      <c r="L184" s="249">
        <f t="shared" si="48"/>
        <v>1226397.81</v>
      </c>
      <c r="M184" s="249">
        <f t="shared" si="48"/>
        <v>6497137.5199999996</v>
      </c>
      <c r="N184" s="249">
        <f t="shared" si="48"/>
        <v>809114.02</v>
      </c>
      <c r="O184" s="249">
        <f t="shared" si="48"/>
        <v>471701.2</v>
      </c>
      <c r="P184" s="249">
        <f t="shared" si="48"/>
        <v>1138483.6300000001</v>
      </c>
      <c r="Q184" s="249">
        <f t="shared" si="48"/>
        <v>650997.91</v>
      </c>
      <c r="S184" s="243">
        <f t="shared" si="45"/>
        <v>35063666.439999998</v>
      </c>
    </row>
    <row r="185" spans="1:19" outlineLevel="1" x14ac:dyDescent="0.25">
      <c r="A185" s="262" t="s">
        <v>764</v>
      </c>
      <c r="B185" s="262" t="s">
        <v>765</v>
      </c>
      <c r="C185" s="248" t="s">
        <v>516</v>
      </c>
      <c r="D185" s="249">
        <f>SUM(D$186:D$190)</f>
        <v>489068.85</v>
      </c>
      <c r="E185" s="249">
        <f t="shared" ref="E185:Q185" si="49">SUM(E$186:E$190)</f>
        <v>0</v>
      </c>
      <c r="F185" s="249">
        <f t="shared" si="49"/>
        <v>621715.06000000006</v>
      </c>
      <c r="G185" s="249">
        <f t="shared" si="49"/>
        <v>497086.75</v>
      </c>
      <c r="H185" s="249">
        <f t="shared" si="49"/>
        <v>134752.4</v>
      </c>
      <c r="I185" s="249">
        <f t="shared" si="49"/>
        <v>289304.8</v>
      </c>
      <c r="J185" s="249">
        <f t="shared" si="49"/>
        <v>1169364.17</v>
      </c>
      <c r="K185" s="249">
        <f t="shared" si="49"/>
        <v>1447049.36</v>
      </c>
      <c r="L185" s="249">
        <f t="shared" si="49"/>
        <v>726397.81</v>
      </c>
      <c r="M185" s="249">
        <f t="shared" si="49"/>
        <v>746758.73</v>
      </c>
      <c r="N185" s="249">
        <f t="shared" si="49"/>
        <v>809114.02</v>
      </c>
      <c r="O185" s="249">
        <f t="shared" si="49"/>
        <v>471701.2</v>
      </c>
      <c r="P185" s="249">
        <f t="shared" si="49"/>
        <v>1138483.6300000001</v>
      </c>
      <c r="Q185" s="249">
        <f t="shared" si="49"/>
        <v>650997.91</v>
      </c>
      <c r="S185" s="243">
        <f t="shared" si="45"/>
        <v>9191794.6900000013</v>
      </c>
    </row>
    <row r="186" spans="1:19" outlineLevel="2" x14ac:dyDescent="0.25">
      <c r="A186" s="263" t="s">
        <v>766</v>
      </c>
      <c r="B186" s="263" t="s">
        <v>12</v>
      </c>
      <c r="C186" s="197" t="s">
        <v>516</v>
      </c>
      <c r="D186" s="251" cm="1">
        <f t="array" ref="D186:P186">TRANSPOSE(inputs!F$51:F$63)</f>
        <v>489068.85</v>
      </c>
      <c r="E186" s="251">
        <v>0</v>
      </c>
      <c r="F186" s="251">
        <v>385006.39</v>
      </c>
      <c r="G186" s="251">
        <v>223853.73</v>
      </c>
      <c r="H186" s="251">
        <v>134752.4</v>
      </c>
      <c r="I186" s="251">
        <v>289304.8</v>
      </c>
      <c r="J186" s="251">
        <v>171602.91</v>
      </c>
      <c r="K186" s="251">
        <v>366306.04</v>
      </c>
      <c r="L186" s="251">
        <v>181081.21</v>
      </c>
      <c r="M186" s="251">
        <v>266613.7</v>
      </c>
      <c r="N186" s="251">
        <v>230479.34</v>
      </c>
      <c r="O186" s="251">
        <v>471701.2</v>
      </c>
      <c r="P186" s="251">
        <v>0</v>
      </c>
      <c r="Q186" s="251"/>
      <c r="S186" s="243">
        <f t="shared" si="45"/>
        <v>3209770.5700000003</v>
      </c>
    </row>
    <row r="187" spans="1:19" outlineLevel="2" x14ac:dyDescent="0.25">
      <c r="A187" s="263" t="s">
        <v>767</v>
      </c>
      <c r="B187" s="263" t="s">
        <v>13</v>
      </c>
      <c r="C187" s="197" t="s">
        <v>516</v>
      </c>
      <c r="D187" s="251" cm="1">
        <f t="array" ref="D187:Q187">TRANSPOSE(inputs!R$51:R$64)</f>
        <v>0</v>
      </c>
      <c r="E187" s="251">
        <v>0</v>
      </c>
      <c r="F187" s="251">
        <v>0</v>
      </c>
      <c r="G187" s="251">
        <v>0</v>
      </c>
      <c r="H187" s="251">
        <v>0</v>
      </c>
      <c r="I187" s="251">
        <v>0</v>
      </c>
      <c r="J187" s="251">
        <v>0</v>
      </c>
      <c r="K187" s="251">
        <v>0</v>
      </c>
      <c r="L187" s="251">
        <v>0</v>
      </c>
      <c r="M187" s="251">
        <v>0</v>
      </c>
      <c r="N187" s="251">
        <v>0</v>
      </c>
      <c r="O187" s="251">
        <v>0</v>
      </c>
      <c r="P187" s="251">
        <v>0</v>
      </c>
      <c r="Q187" s="251">
        <v>0</v>
      </c>
      <c r="S187" s="243">
        <f t="shared" si="45"/>
        <v>0</v>
      </c>
    </row>
    <row r="188" spans="1:19" outlineLevel="2" x14ac:dyDescent="0.25">
      <c r="A188" s="263" t="s">
        <v>768</v>
      </c>
      <c r="B188" s="263" t="s">
        <v>14</v>
      </c>
      <c r="C188" s="197" t="s">
        <v>516</v>
      </c>
      <c r="D188" s="251" cm="1">
        <f t="array" ref="D188:Q188">TRANSPOSE(inputs!AN$51:AN$64)</f>
        <v>0</v>
      </c>
      <c r="E188" s="251">
        <v>0</v>
      </c>
      <c r="F188" s="251">
        <v>0</v>
      </c>
      <c r="G188" s="251">
        <v>0</v>
      </c>
      <c r="H188" s="251">
        <v>0</v>
      </c>
      <c r="I188" s="251">
        <v>0</v>
      </c>
      <c r="J188" s="251">
        <v>493410.63</v>
      </c>
      <c r="K188" s="251">
        <v>831222.47</v>
      </c>
      <c r="L188" s="251">
        <v>229516.7</v>
      </c>
      <c r="M188" s="251">
        <v>314892.83</v>
      </c>
      <c r="N188" s="251">
        <v>378061.31</v>
      </c>
      <c r="O188" s="251">
        <v>0</v>
      </c>
      <c r="P188" s="251">
        <v>313227.59000000003</v>
      </c>
      <c r="Q188" s="251">
        <v>0</v>
      </c>
      <c r="S188" s="243">
        <f t="shared" si="45"/>
        <v>2560331.5299999998</v>
      </c>
    </row>
    <row r="189" spans="1:19" outlineLevel="2" collapsed="1" x14ac:dyDescent="0.25">
      <c r="A189" s="263" t="s">
        <v>769</v>
      </c>
      <c r="B189" s="263" t="s">
        <v>17</v>
      </c>
      <c r="C189" s="197" t="s">
        <v>516</v>
      </c>
      <c r="D189" s="251" cm="1">
        <f t="array" ref="D189:Q189">TRANSPOSE(inputs!CF$51:CF$64)</f>
        <v>0</v>
      </c>
      <c r="E189" s="251">
        <v>0</v>
      </c>
      <c r="F189" s="251">
        <v>236708.67</v>
      </c>
      <c r="G189" s="251">
        <v>273233.02</v>
      </c>
      <c r="H189" s="251">
        <v>0</v>
      </c>
      <c r="I189" s="251">
        <v>0</v>
      </c>
      <c r="J189" s="251">
        <v>504350.63</v>
      </c>
      <c r="K189" s="251">
        <v>249520.85</v>
      </c>
      <c r="L189" s="251">
        <v>315799.90000000002</v>
      </c>
      <c r="M189" s="251">
        <v>165252.20000000001</v>
      </c>
      <c r="N189" s="251">
        <v>200573.37</v>
      </c>
      <c r="O189" s="251">
        <v>0</v>
      </c>
      <c r="P189" s="251">
        <v>311984.76</v>
      </c>
      <c r="Q189" s="251">
        <v>378029.53</v>
      </c>
      <c r="S189" s="243">
        <f t="shared" ref="S189" si="50">SUM(D189:Q189)</f>
        <v>2635452.9300000006</v>
      </c>
    </row>
    <row r="190" spans="1:19" outlineLevel="2" collapsed="1" x14ac:dyDescent="0.25">
      <c r="A190" s="263" t="s">
        <v>812</v>
      </c>
      <c r="B190" s="263" t="s">
        <v>15</v>
      </c>
      <c r="C190" s="197" t="s">
        <v>516</v>
      </c>
      <c r="D190" s="251" cm="1">
        <f t="array" ref="D190:Q190">TRANSPOSE(inputs!AZ$51:AZ$64)</f>
        <v>0</v>
      </c>
      <c r="E190" s="251">
        <v>0</v>
      </c>
      <c r="F190" s="251">
        <v>0</v>
      </c>
      <c r="G190" s="251">
        <v>0</v>
      </c>
      <c r="H190" s="251">
        <v>0</v>
      </c>
      <c r="I190" s="251">
        <v>0</v>
      </c>
      <c r="J190" s="251">
        <v>0</v>
      </c>
      <c r="K190" s="251">
        <v>0</v>
      </c>
      <c r="L190" s="251">
        <v>0</v>
      </c>
      <c r="M190" s="251">
        <v>0</v>
      </c>
      <c r="N190" s="251">
        <v>0</v>
      </c>
      <c r="O190" s="251">
        <v>0</v>
      </c>
      <c r="P190" s="251">
        <v>513271.28</v>
      </c>
      <c r="Q190" s="251">
        <v>272968.38</v>
      </c>
      <c r="S190" s="243">
        <f t="shared" si="45"/>
        <v>786239.66</v>
      </c>
    </row>
    <row r="191" spans="1:19" outlineLevel="1" x14ac:dyDescent="0.25">
      <c r="A191" s="262" t="s">
        <v>770</v>
      </c>
      <c r="B191" s="262" t="s">
        <v>384</v>
      </c>
      <c r="C191" s="248" t="s">
        <v>771</v>
      </c>
      <c r="D191" s="249">
        <f>SUM(D$192:D$203)</f>
        <v>812640</v>
      </c>
      <c r="E191" s="249">
        <f t="shared" ref="E191:Q191" si="51">SUM(E$192:E$203)</f>
        <v>0</v>
      </c>
      <c r="F191" s="249">
        <f t="shared" si="51"/>
        <v>0</v>
      </c>
      <c r="G191" s="249">
        <f t="shared" si="51"/>
        <v>2911033.91</v>
      </c>
      <c r="H191" s="249">
        <f t="shared" si="51"/>
        <v>5935913.0499999998</v>
      </c>
      <c r="I191" s="249">
        <f t="shared" si="51"/>
        <v>2404000</v>
      </c>
      <c r="J191" s="249">
        <f t="shared" si="51"/>
        <v>545906</v>
      </c>
      <c r="K191" s="249">
        <f t="shared" si="51"/>
        <v>7012000</v>
      </c>
      <c r="L191" s="249">
        <f t="shared" si="51"/>
        <v>500000</v>
      </c>
      <c r="M191" s="249">
        <f t="shared" si="51"/>
        <v>5750378.79</v>
      </c>
      <c r="N191" s="249">
        <f t="shared" si="51"/>
        <v>0</v>
      </c>
      <c r="O191" s="249">
        <f t="shared" si="51"/>
        <v>0</v>
      </c>
      <c r="P191" s="249">
        <f t="shared" si="51"/>
        <v>0</v>
      </c>
      <c r="Q191" s="249">
        <f t="shared" si="51"/>
        <v>0</v>
      </c>
      <c r="S191" s="243">
        <f t="shared" si="45"/>
        <v>25871871.75</v>
      </c>
    </row>
    <row r="192" spans="1:19" outlineLevel="2" x14ac:dyDescent="0.25">
      <c r="A192" s="263" t="s">
        <v>772</v>
      </c>
      <c r="B192" s="263" t="s">
        <v>773</v>
      </c>
      <c r="C192" s="197" t="s">
        <v>771</v>
      </c>
      <c r="D192" s="251" cm="1">
        <f t="array" ref="D192">SUMPRODUCT(
  fin[jan/25] *
  (fin[Id]=$B192)
)</f>
        <v>0</v>
      </c>
      <c r="E192" s="251" cm="1">
        <f t="array" ref="E192">SUMPRODUCT(
  fin[fev/25] *
  (fin[Id]=$B192)
)</f>
        <v>0</v>
      </c>
      <c r="F192" s="251" cm="1">
        <f t="array" ref="F192">SUMPRODUCT(
  fin[mar/25] *
  (fin[Id]=$B192)
)</f>
        <v>0</v>
      </c>
      <c r="G192" s="251" cm="1">
        <f t="array" ref="G192">SUMPRODUCT(
  fin[abr/25] *
  (fin[Id]=$B192)
)</f>
        <v>0</v>
      </c>
      <c r="H192" s="251" cm="1">
        <f t="array" ref="H192">SUMPRODUCT(
  fin[mai/25] *
  (fin[Id]=$B192)
)</f>
        <v>3185913.05</v>
      </c>
      <c r="I192" s="251" cm="1">
        <f t="array" ref="I192">SUMPRODUCT(
  fin[jun/25] *
  (fin[Id]=$B192)
)</f>
        <v>1604000</v>
      </c>
      <c r="J192" s="251" cm="1">
        <f t="array" ref="J192">SUMPRODUCT(
  fin[jul/25] *
  (fin[Id]=$B192)
)</f>
        <v>0</v>
      </c>
      <c r="K192" s="251" cm="1">
        <f t="array" ref="K192">SUMPRODUCT(
  fin[ago/25] *
  (fin[Id]=$B192)
)</f>
        <v>0</v>
      </c>
      <c r="L192" s="251" cm="1">
        <f t="array" ref="L192">SUMPRODUCT(
  fin[set/25] *
  (fin[Id]=$B192)
)</f>
        <v>0</v>
      </c>
      <c r="M192" s="251" cm="1">
        <f t="array" ref="M192">SUMPRODUCT(
  fin[out/25] *
  (fin[Id]=$B192)
)</f>
        <v>5750378.79</v>
      </c>
      <c r="N192" s="251" cm="1">
        <f t="array" ref="N192">SUMPRODUCT(
  fin[nov/25] *
  (fin[Id]=$B192)
)</f>
        <v>0</v>
      </c>
      <c r="O192" s="251" cm="1">
        <f t="array" ref="O192">SUMPRODUCT(
  fin[dez/25] *
  (fin[Id]=$B192)
)</f>
        <v>0</v>
      </c>
      <c r="P192" s="251" cm="1">
        <f t="array" ref="P192">SUMPRODUCT(
  fin[jan/26] *
  (fin[Id]=$B192)
)</f>
        <v>0</v>
      </c>
      <c r="Q192" s="251" cm="1">
        <f t="array" ref="Q192">SUMPRODUCT(
  fin[fev/26] *
  (fin[Id]=$B192)
)</f>
        <v>0</v>
      </c>
      <c r="S192" s="243">
        <f t="shared" ref="S192" si="52">SUM(D192:Q192)</f>
        <v>10540291.84</v>
      </c>
    </row>
    <row r="193" spans="1:19" outlineLevel="2" x14ac:dyDescent="0.25">
      <c r="A193" s="263" t="s">
        <v>772</v>
      </c>
      <c r="B193" s="263" t="s">
        <v>774</v>
      </c>
      <c r="C193" s="197" t="s">
        <v>771</v>
      </c>
      <c r="D193" s="251" cm="1">
        <f t="array" ref="D193">SUMPRODUCT(
  fin[jan/25] *
  (fin[Id]=$B193)
)</f>
        <v>0</v>
      </c>
      <c r="E193" s="251" cm="1">
        <f t="array" ref="E193">SUMPRODUCT(
  fin[fev/25] *
  (fin[Id]=$B193)
)</f>
        <v>0</v>
      </c>
      <c r="F193" s="251" cm="1">
        <f t="array" ref="F193">SUMPRODUCT(
  fin[mar/25] *
  (fin[Id]=$B193)
)</f>
        <v>0</v>
      </c>
      <c r="G193" s="251" cm="1">
        <f t="array" ref="G193">SUMPRODUCT(
  fin[abr/25] *
  (fin[Id]=$B193)
)</f>
        <v>0</v>
      </c>
      <c r="H193" s="251" cm="1">
        <f t="array" ref="H193">SUMPRODUCT(
  fin[mai/25] *
  (fin[Id]=$B193)
)</f>
        <v>0</v>
      </c>
      <c r="I193" s="251" cm="1">
        <f t="array" ref="I193">SUMPRODUCT(
  fin[jun/25] *
  (fin[Id]=$B193)
)</f>
        <v>0</v>
      </c>
      <c r="J193" s="251" cm="1">
        <f t="array" ref="J193">SUMPRODUCT(
  fin[jul/25] *
  (fin[Id]=$B193)
)</f>
        <v>0</v>
      </c>
      <c r="K193" s="251" cm="1">
        <f t="array" ref="K193">SUMPRODUCT(
  fin[ago/25] *
  (fin[Id]=$B193)
)</f>
        <v>6000000</v>
      </c>
      <c r="L193" s="251" cm="1">
        <f t="array" ref="L193">SUMPRODUCT(
  fin[set/25] *
  (fin[Id]=$B193)
)</f>
        <v>0</v>
      </c>
      <c r="M193" s="251" cm="1">
        <f t="array" ref="M193">SUMPRODUCT(
  fin[out/25] *
  (fin[Id]=$B193)
)</f>
        <v>0</v>
      </c>
      <c r="N193" s="251" cm="1">
        <f t="array" ref="N193">SUMPRODUCT(
  fin[nov/25] *
  (fin[Id]=$B193)
)</f>
        <v>0</v>
      </c>
      <c r="O193" s="251" cm="1">
        <f t="array" ref="O193">SUMPRODUCT(
  fin[dez/25] *
  (fin[Id]=$B193)
)</f>
        <v>0</v>
      </c>
      <c r="P193" s="251" cm="1">
        <f t="array" ref="P193">SUMPRODUCT(
  fin[jan/26] *
  (fin[Id]=$B193)
)</f>
        <v>0</v>
      </c>
      <c r="Q193" s="251" cm="1">
        <f t="array" ref="Q193">SUMPRODUCT(
  fin[fev/26] *
  (fin[Id]=$B193)
)</f>
        <v>0</v>
      </c>
      <c r="S193" s="243">
        <f t="shared" ref="S193:S194" si="53">SUM(D193:Q193)</f>
        <v>6000000</v>
      </c>
    </row>
    <row r="194" spans="1:19" outlineLevel="2" x14ac:dyDescent="0.25">
      <c r="A194" s="263" t="s">
        <v>772</v>
      </c>
      <c r="B194" s="263" t="s">
        <v>775</v>
      </c>
      <c r="C194" s="197" t="s">
        <v>771</v>
      </c>
      <c r="D194" s="251" cm="1">
        <f t="array" ref="D194">SUMPRODUCT(
  fin[jan/25] *
  (fin[Id]=$B194)
)</f>
        <v>0</v>
      </c>
      <c r="E194" s="251" cm="1">
        <f t="array" ref="E194">SUMPRODUCT(
  fin[fev/25] *
  (fin[Id]=$B194)
)</f>
        <v>0</v>
      </c>
      <c r="F194" s="251" cm="1">
        <f t="array" ref="F194">SUMPRODUCT(
  fin[mar/25] *
  (fin[Id]=$B194)
)</f>
        <v>0</v>
      </c>
      <c r="G194" s="251" cm="1">
        <f t="array" ref="G194">SUMPRODUCT(
  fin[abr/25] *
  (fin[Id]=$B194)
)</f>
        <v>0</v>
      </c>
      <c r="H194" s="251" cm="1">
        <f t="array" ref="H194">SUMPRODUCT(
  fin[mai/25] *
  (fin[Id]=$B194)
)</f>
        <v>0</v>
      </c>
      <c r="I194" s="251" cm="1">
        <f t="array" ref="I194">SUMPRODUCT(
  fin[jun/25] *
  (fin[Id]=$B194)
)</f>
        <v>0</v>
      </c>
      <c r="J194" s="251" cm="1">
        <f t="array" ref="J194">SUMPRODUCT(
  fin[jul/25] *
  (fin[Id]=$B194)
)</f>
        <v>0</v>
      </c>
      <c r="K194" s="251" cm="1">
        <f t="array" ref="K194">SUMPRODUCT(
  fin[ago/25] *
  (fin[Id]=$B194)
)</f>
        <v>0</v>
      </c>
      <c r="L194" s="251" cm="1">
        <f t="array" ref="L194">SUMPRODUCT(
  fin[set/25] *
  (fin[Id]=$B194)
)</f>
        <v>0</v>
      </c>
      <c r="M194" s="251" cm="1">
        <f t="array" ref="M194">SUMPRODUCT(
  fin[out/25] *
  (fin[Id]=$B194)
)</f>
        <v>0</v>
      </c>
      <c r="N194" s="251" cm="1">
        <f t="array" ref="N194">SUMPRODUCT(
  fin[nov/25] *
  (fin[Id]=$B194)
)</f>
        <v>0</v>
      </c>
      <c r="O194" s="251" cm="1">
        <f t="array" ref="O194">SUMPRODUCT(
  fin[dez/25] *
  (fin[Id]=$B194)
)</f>
        <v>0</v>
      </c>
      <c r="P194" s="251" cm="1">
        <f t="array" ref="P194">SUMPRODUCT(
  fin[jan/26] *
  (fin[Id]=$B194)
)</f>
        <v>0</v>
      </c>
      <c r="Q194" s="251" cm="1">
        <f t="array" ref="Q194">SUMPRODUCT(
  fin[fev/26] *
  (fin[Id]=$B194)
)</f>
        <v>0</v>
      </c>
      <c r="S194" s="243">
        <f t="shared" si="53"/>
        <v>0</v>
      </c>
    </row>
    <row r="195" spans="1:19" outlineLevel="2" x14ac:dyDescent="0.25">
      <c r="A195" s="263" t="s">
        <v>772</v>
      </c>
      <c r="B195" s="263" t="s">
        <v>776</v>
      </c>
      <c r="C195" s="197" t="s">
        <v>771</v>
      </c>
      <c r="D195" s="251" cm="1">
        <f t="array" ref="D195">SUMPRODUCT(
  fin[jan/25] *
  (fin[Id]=$B195)
)</f>
        <v>0</v>
      </c>
      <c r="E195" s="251" cm="1">
        <f t="array" ref="E195">SUMPRODUCT(
  fin[fev/25] *
  (fin[Id]=$B195)
)</f>
        <v>0</v>
      </c>
      <c r="F195" s="251" cm="1">
        <f t="array" ref="F195">SUMPRODUCT(
  fin[mar/25] *
  (fin[Id]=$B195)
)</f>
        <v>0</v>
      </c>
      <c r="G195" s="251" cm="1">
        <f t="array" ref="G195">SUMPRODUCT(
  fin[abr/25] *
  (fin[Id]=$B195)
)</f>
        <v>2911033.91</v>
      </c>
      <c r="H195" s="251" cm="1">
        <f t="array" ref="H195">SUMPRODUCT(
  fin[mai/25] *
  (fin[Id]=$B195)
)</f>
        <v>0</v>
      </c>
      <c r="I195" s="251" cm="1">
        <f t="array" ref="I195">SUMPRODUCT(
  fin[jun/25] *
  (fin[Id]=$B195)
)</f>
        <v>0</v>
      </c>
      <c r="J195" s="251" cm="1">
        <f t="array" ref="J195">SUMPRODUCT(
  fin[jul/25] *
  (fin[Id]=$B195)
)</f>
        <v>0</v>
      </c>
      <c r="K195" s="251" cm="1">
        <f t="array" ref="K195">SUMPRODUCT(
  fin[ago/25] *
  (fin[Id]=$B195)
)</f>
        <v>0</v>
      </c>
      <c r="L195" s="251" cm="1">
        <f t="array" ref="L195">SUMPRODUCT(
  fin[set/25] *
  (fin[Id]=$B195)
)</f>
        <v>0</v>
      </c>
      <c r="M195" s="251" cm="1">
        <f t="array" ref="M195">SUMPRODUCT(
  fin[out/25] *
  (fin[Id]=$B195)
)</f>
        <v>0</v>
      </c>
      <c r="N195" s="251" cm="1">
        <f t="array" ref="N195">SUMPRODUCT(
  fin[nov/25] *
  (fin[Id]=$B195)
)</f>
        <v>0</v>
      </c>
      <c r="O195" s="251" cm="1">
        <f t="array" ref="O195">SUMPRODUCT(
  fin[dez/25] *
  (fin[Id]=$B195)
)</f>
        <v>0</v>
      </c>
      <c r="P195" s="251" cm="1">
        <f t="array" ref="P195">SUMPRODUCT(
  fin[jan/26] *
  (fin[Id]=$B195)
)</f>
        <v>0</v>
      </c>
      <c r="Q195" s="251" cm="1">
        <f t="array" ref="Q195">SUMPRODUCT(
  fin[fev/26] *
  (fin[Id]=$B195)
)</f>
        <v>0</v>
      </c>
      <c r="S195" s="243">
        <f t="shared" ref="S195:S203" si="54">SUM(D195:Q195)</f>
        <v>2911033.91</v>
      </c>
    </row>
    <row r="196" spans="1:19" outlineLevel="2" x14ac:dyDescent="0.25">
      <c r="A196" s="263" t="s">
        <v>772</v>
      </c>
      <c r="B196" s="263" t="s">
        <v>777</v>
      </c>
      <c r="C196" s="197" t="s">
        <v>771</v>
      </c>
      <c r="D196" s="251" cm="1">
        <f t="array" ref="D196">SUMPRODUCT(
  fin[jan/25] *
  (fin[Id]=$B196)
)</f>
        <v>0</v>
      </c>
      <c r="E196" s="251" cm="1">
        <f t="array" ref="E196">SUMPRODUCT(
  fin[fev/25] *
  (fin[Id]=$B196)
)</f>
        <v>0</v>
      </c>
      <c r="F196" s="251" cm="1">
        <f t="array" ref="F196">SUMPRODUCT(
  fin[mar/25] *
  (fin[Id]=$B196)
)</f>
        <v>0</v>
      </c>
      <c r="G196" s="251" cm="1">
        <f t="array" ref="G196">SUMPRODUCT(
  fin[abr/25] *
  (fin[Id]=$B196)
)</f>
        <v>0</v>
      </c>
      <c r="H196" s="251" cm="1">
        <f t="array" ref="H196">SUMPRODUCT(
  fin[mai/25] *
  (fin[Id]=$B196)
)</f>
        <v>2750000</v>
      </c>
      <c r="I196" s="251" cm="1">
        <f t="array" ref="I196">SUMPRODUCT(
  fin[jun/25] *
  (fin[Id]=$B196)
)</f>
        <v>0</v>
      </c>
      <c r="J196" s="251" cm="1">
        <f t="array" ref="J196">SUMPRODUCT(
  fin[jul/25] *
  (fin[Id]=$B196)
)</f>
        <v>0</v>
      </c>
      <c r="K196" s="251" cm="1">
        <f t="array" ref="K196">SUMPRODUCT(
  fin[ago/25] *
  (fin[Id]=$B196)
)</f>
        <v>0</v>
      </c>
      <c r="L196" s="251" cm="1">
        <f t="array" ref="L196">SUMPRODUCT(
  fin[set/25] *
  (fin[Id]=$B196)
)</f>
        <v>0</v>
      </c>
      <c r="M196" s="251" cm="1">
        <f t="array" ref="M196">SUMPRODUCT(
  fin[out/25] *
  (fin[Id]=$B196)
)</f>
        <v>0</v>
      </c>
      <c r="N196" s="251" cm="1">
        <f t="array" ref="N196">SUMPRODUCT(
  fin[nov/25] *
  (fin[Id]=$B196)
)</f>
        <v>0</v>
      </c>
      <c r="O196" s="251" cm="1">
        <f t="array" ref="O196">SUMPRODUCT(
  fin[dez/25] *
  (fin[Id]=$B196)
)</f>
        <v>0</v>
      </c>
      <c r="P196" s="251" cm="1">
        <f t="array" ref="P196">SUMPRODUCT(
  fin[jan/26] *
  (fin[Id]=$B196)
)</f>
        <v>0</v>
      </c>
      <c r="Q196" s="251" cm="1">
        <f t="array" ref="Q196">SUMPRODUCT(
  fin[fev/26] *
  (fin[Id]=$B196)
)</f>
        <v>0</v>
      </c>
      <c r="S196" s="243">
        <f t="shared" si="54"/>
        <v>2750000</v>
      </c>
    </row>
    <row r="197" spans="1:19" outlineLevel="2" x14ac:dyDescent="0.25">
      <c r="A197" s="263" t="s">
        <v>772</v>
      </c>
      <c r="B197" s="263" t="s">
        <v>778</v>
      </c>
      <c r="C197" s="197" t="s">
        <v>771</v>
      </c>
      <c r="D197" s="251" cm="1">
        <f t="array" ref="D197">SUMPRODUCT(
  fin[jan/25] *
  (fin[Id]=$B197)
)</f>
        <v>812640</v>
      </c>
      <c r="E197" s="251" cm="1">
        <f t="array" ref="E197">SUMPRODUCT(
  fin[fev/25] *
  (fin[Id]=$B197)
)</f>
        <v>0</v>
      </c>
      <c r="F197" s="251" cm="1">
        <f t="array" ref="F197">SUMPRODUCT(
  fin[mar/25] *
  (fin[Id]=$B197)
)</f>
        <v>0</v>
      </c>
      <c r="G197" s="251" cm="1">
        <f t="array" ref="G197">SUMPRODUCT(
  fin[abr/25] *
  (fin[Id]=$B197)
)</f>
        <v>0</v>
      </c>
      <c r="H197" s="251" cm="1">
        <f t="array" ref="H197">SUMPRODUCT(
  fin[mai/25] *
  (fin[Id]=$B197)
)</f>
        <v>0</v>
      </c>
      <c r="I197" s="251" cm="1">
        <f t="array" ref="I197">SUMPRODUCT(
  fin[jun/25] *
  (fin[Id]=$B197)
)</f>
        <v>0</v>
      </c>
      <c r="J197" s="251" cm="1">
        <f t="array" ref="J197">SUMPRODUCT(
  fin[jul/25] *
  (fin[Id]=$B197)
)</f>
        <v>0</v>
      </c>
      <c r="K197" s="251" cm="1">
        <f t="array" ref="K197">SUMPRODUCT(
  fin[ago/25] *
  (fin[Id]=$B197)
)</f>
        <v>0</v>
      </c>
      <c r="L197" s="251" cm="1">
        <f t="array" ref="L197">SUMPRODUCT(
  fin[set/25] *
  (fin[Id]=$B197)
)</f>
        <v>0</v>
      </c>
      <c r="M197" s="251" cm="1">
        <f t="array" ref="M197">SUMPRODUCT(
  fin[out/25] *
  (fin[Id]=$B197)
)</f>
        <v>0</v>
      </c>
      <c r="N197" s="251" cm="1">
        <f t="array" ref="N197">SUMPRODUCT(
  fin[nov/25] *
  (fin[Id]=$B197)
)</f>
        <v>0</v>
      </c>
      <c r="O197" s="251" cm="1">
        <f t="array" ref="O197">SUMPRODUCT(
  fin[dez/25] *
  (fin[Id]=$B197)
)</f>
        <v>0</v>
      </c>
      <c r="P197" s="251" cm="1">
        <f t="array" ref="P197">SUMPRODUCT(
  fin[jan/26] *
  (fin[Id]=$B197)
)</f>
        <v>0</v>
      </c>
      <c r="Q197" s="251" cm="1">
        <f t="array" ref="Q197">SUMPRODUCT(
  fin[fev/26] *
  (fin[Id]=$B197)
)</f>
        <v>0</v>
      </c>
      <c r="S197" s="243">
        <f t="shared" si="54"/>
        <v>812640</v>
      </c>
    </row>
    <row r="198" spans="1:19" outlineLevel="2" x14ac:dyDescent="0.25">
      <c r="A198" s="263" t="s">
        <v>772</v>
      </c>
      <c r="B198" s="263" t="s">
        <v>779</v>
      </c>
      <c r="C198" s="197" t="s">
        <v>771</v>
      </c>
      <c r="D198" s="251" cm="1">
        <f t="array" ref="D198">SUMPRODUCT(
  fin[jan/25] *
  (fin[Id]=$B198)
)</f>
        <v>0</v>
      </c>
      <c r="E198" s="251" cm="1">
        <f t="array" ref="E198">SUMPRODUCT(
  fin[fev/25] *
  (fin[Id]=$B198)
)</f>
        <v>0</v>
      </c>
      <c r="F198" s="251" cm="1">
        <f t="array" ref="F198">SUMPRODUCT(
  fin[mar/25] *
  (fin[Id]=$B198)
)</f>
        <v>0</v>
      </c>
      <c r="G198" s="251" cm="1">
        <f t="array" ref="G198">SUMPRODUCT(
  fin[abr/25] *
  (fin[Id]=$B198)
)</f>
        <v>0</v>
      </c>
      <c r="H198" s="251" cm="1">
        <f t="array" ref="H198">SUMPRODUCT(
  fin[mai/25] *
  (fin[Id]=$B198)
)</f>
        <v>0</v>
      </c>
      <c r="I198" s="251" cm="1">
        <f t="array" ref="I198">SUMPRODUCT(
  fin[jun/25] *
  (fin[Id]=$B198)
)</f>
        <v>0</v>
      </c>
      <c r="J198" s="251" cm="1">
        <f t="array" ref="J198">SUMPRODUCT(
  fin[jul/25] *
  (fin[Id]=$B198)
)</f>
        <v>0</v>
      </c>
      <c r="K198" s="251" cm="1">
        <f t="array" ref="K198">SUMPRODUCT(
  fin[ago/25] *
  (fin[Id]=$B198)
)</f>
        <v>612000</v>
      </c>
      <c r="L198" s="251" cm="1">
        <f t="array" ref="L198">SUMPRODUCT(
  fin[set/25] *
  (fin[Id]=$B198)
)</f>
        <v>0</v>
      </c>
      <c r="M198" s="251" cm="1">
        <f t="array" ref="M198">SUMPRODUCT(
  fin[out/25] *
  (fin[Id]=$B198)
)</f>
        <v>0</v>
      </c>
      <c r="N198" s="251" cm="1">
        <f t="array" ref="N198">SUMPRODUCT(
  fin[nov/25] *
  (fin[Id]=$B198)
)</f>
        <v>0</v>
      </c>
      <c r="O198" s="251" cm="1">
        <f t="array" ref="O198">SUMPRODUCT(
  fin[dez/25] *
  (fin[Id]=$B198)
)</f>
        <v>0</v>
      </c>
      <c r="P198" s="251" cm="1">
        <f t="array" ref="P198">SUMPRODUCT(
  fin[jan/26] *
  (fin[Id]=$B198)
)</f>
        <v>0</v>
      </c>
      <c r="Q198" s="251" cm="1">
        <f t="array" ref="Q198">SUMPRODUCT(
  fin[fev/26] *
  (fin[Id]=$B198)
)</f>
        <v>0</v>
      </c>
      <c r="S198" s="243">
        <f t="shared" si="54"/>
        <v>612000</v>
      </c>
    </row>
    <row r="199" spans="1:19" outlineLevel="2" x14ac:dyDescent="0.25">
      <c r="A199" s="263" t="s">
        <v>772</v>
      </c>
      <c r="B199" s="263" t="s">
        <v>780</v>
      </c>
      <c r="C199" s="197" t="s">
        <v>771</v>
      </c>
      <c r="D199" s="251" cm="1">
        <f t="array" ref="D199">SUMPRODUCT(
  fin[jan/25] *
  (fin[Id]=$B199)
)</f>
        <v>0</v>
      </c>
      <c r="E199" s="251" cm="1">
        <f t="array" ref="E199">SUMPRODUCT(
  fin[fev/25] *
  (fin[Id]=$B199)
)</f>
        <v>0</v>
      </c>
      <c r="F199" s="251" cm="1">
        <f t="array" ref="F199">SUMPRODUCT(
  fin[mar/25] *
  (fin[Id]=$B199)
)</f>
        <v>0</v>
      </c>
      <c r="G199" s="251" cm="1">
        <f t="array" ref="G199">SUMPRODUCT(
  fin[abr/25] *
  (fin[Id]=$B199)
)</f>
        <v>0</v>
      </c>
      <c r="H199" s="251" cm="1">
        <f t="array" ref="H199">SUMPRODUCT(
  fin[mai/25] *
  (fin[Id]=$B199)
)</f>
        <v>0</v>
      </c>
      <c r="I199" s="251" cm="1">
        <f t="array" ref="I199">SUMPRODUCT(
  fin[jun/25] *
  (fin[Id]=$B199)
)</f>
        <v>0</v>
      </c>
      <c r="J199" s="251" cm="1">
        <f t="array" ref="J199">SUMPRODUCT(
  fin[jul/25] *
  (fin[Id]=$B199)
)</f>
        <v>545906</v>
      </c>
      <c r="K199" s="251" cm="1">
        <f t="array" ref="K199">SUMPRODUCT(
  fin[ago/25] *
  (fin[Id]=$B199)
)</f>
        <v>0</v>
      </c>
      <c r="L199" s="251" cm="1">
        <f t="array" ref="L199">SUMPRODUCT(
  fin[set/25] *
  (fin[Id]=$B199)
)</f>
        <v>0</v>
      </c>
      <c r="M199" s="251" cm="1">
        <f t="array" ref="M199">SUMPRODUCT(
  fin[out/25] *
  (fin[Id]=$B199)
)</f>
        <v>0</v>
      </c>
      <c r="N199" s="251" cm="1">
        <f t="array" ref="N199">SUMPRODUCT(
  fin[nov/25] *
  (fin[Id]=$B199)
)</f>
        <v>0</v>
      </c>
      <c r="O199" s="251" cm="1">
        <f t="array" ref="O199">SUMPRODUCT(
  fin[dez/25] *
  (fin[Id]=$B199)
)</f>
        <v>0</v>
      </c>
      <c r="P199" s="251" cm="1">
        <f t="array" ref="P199">SUMPRODUCT(
  fin[jan/26] *
  (fin[Id]=$B199)
)</f>
        <v>0</v>
      </c>
      <c r="Q199" s="251" cm="1">
        <f t="array" ref="Q199">SUMPRODUCT(
  fin[fev/26] *
  (fin[Id]=$B199)
)</f>
        <v>0</v>
      </c>
      <c r="S199" s="243">
        <f t="shared" si="54"/>
        <v>545906</v>
      </c>
    </row>
    <row r="200" spans="1:19" outlineLevel="2" x14ac:dyDescent="0.25">
      <c r="A200" s="263" t="s">
        <v>772</v>
      </c>
      <c r="B200" s="263" t="s">
        <v>781</v>
      </c>
      <c r="C200" s="197" t="s">
        <v>771</v>
      </c>
      <c r="D200" s="251" cm="1">
        <f t="array" ref="D200">SUMPRODUCT(
  fin[jan/25] *
  (fin[Id]=$B200)
)</f>
        <v>0</v>
      </c>
      <c r="E200" s="251" cm="1">
        <f t="array" ref="E200">SUMPRODUCT(
  fin[fev/25] *
  (fin[Id]=$B200)
)</f>
        <v>0</v>
      </c>
      <c r="F200" s="251" cm="1">
        <f t="array" ref="F200">SUMPRODUCT(
  fin[mar/25] *
  (fin[Id]=$B200)
)</f>
        <v>0</v>
      </c>
      <c r="G200" s="251" cm="1">
        <f t="array" ref="G200">SUMPRODUCT(
  fin[abr/25] *
  (fin[Id]=$B200)
)</f>
        <v>0</v>
      </c>
      <c r="H200" s="251" cm="1">
        <f t="array" ref="H200">SUMPRODUCT(
  fin[mai/25] *
  (fin[Id]=$B200)
)</f>
        <v>0</v>
      </c>
      <c r="I200" s="251" cm="1">
        <f t="array" ref="I200">SUMPRODUCT(
  fin[jun/25] *
  (fin[Id]=$B200)
)</f>
        <v>500000</v>
      </c>
      <c r="J200" s="251" cm="1">
        <f t="array" ref="J200">SUMPRODUCT(
  fin[jul/25] *
  (fin[Id]=$B200)
)</f>
        <v>0</v>
      </c>
      <c r="K200" s="251" cm="1">
        <f t="array" ref="K200">SUMPRODUCT(
  fin[ago/25] *
  (fin[Id]=$B200)
)</f>
        <v>0</v>
      </c>
      <c r="L200" s="251" cm="1">
        <f t="array" ref="L200">SUMPRODUCT(
  fin[set/25] *
  (fin[Id]=$B200)
)</f>
        <v>0</v>
      </c>
      <c r="M200" s="251" cm="1">
        <f t="array" ref="M200">SUMPRODUCT(
  fin[out/25] *
  (fin[Id]=$B200)
)</f>
        <v>0</v>
      </c>
      <c r="N200" s="251" cm="1">
        <f t="array" ref="N200">SUMPRODUCT(
  fin[nov/25] *
  (fin[Id]=$B200)
)</f>
        <v>0</v>
      </c>
      <c r="O200" s="251" cm="1">
        <f t="array" ref="O200">SUMPRODUCT(
  fin[dez/25] *
  (fin[Id]=$B200)
)</f>
        <v>0</v>
      </c>
      <c r="P200" s="251" cm="1">
        <f t="array" ref="P200">SUMPRODUCT(
  fin[jan/26] *
  (fin[Id]=$B200)
)</f>
        <v>0</v>
      </c>
      <c r="Q200" s="251" cm="1">
        <f t="array" ref="Q200">SUMPRODUCT(
  fin[fev/26] *
  (fin[Id]=$B200)
)</f>
        <v>0</v>
      </c>
      <c r="S200" s="243">
        <f t="shared" si="54"/>
        <v>500000</v>
      </c>
    </row>
    <row r="201" spans="1:19" outlineLevel="2" x14ac:dyDescent="0.25">
      <c r="A201" s="263" t="s">
        <v>772</v>
      </c>
      <c r="B201" s="263" t="s">
        <v>782</v>
      </c>
      <c r="C201" s="197" t="s">
        <v>771</v>
      </c>
      <c r="D201" s="251" cm="1">
        <f t="array" ref="D201">SUMPRODUCT(
  fin[jan/25] *
  (fin[Id]=$B201)
)</f>
        <v>0</v>
      </c>
      <c r="E201" s="251" cm="1">
        <f t="array" ref="E201">SUMPRODUCT(
  fin[fev/25] *
  (fin[Id]=$B201)
)</f>
        <v>0</v>
      </c>
      <c r="F201" s="251" cm="1">
        <f t="array" ref="F201">SUMPRODUCT(
  fin[mar/25] *
  (fin[Id]=$B201)
)</f>
        <v>0</v>
      </c>
      <c r="G201" s="251" cm="1">
        <f t="array" ref="G201">SUMPRODUCT(
  fin[abr/25] *
  (fin[Id]=$B201)
)</f>
        <v>0</v>
      </c>
      <c r="H201" s="251" cm="1">
        <f t="array" ref="H201">SUMPRODUCT(
  fin[mai/25] *
  (fin[Id]=$B201)
)</f>
        <v>0</v>
      </c>
      <c r="I201" s="251" cm="1">
        <f t="array" ref="I201">SUMPRODUCT(
  fin[jun/25] *
  (fin[Id]=$B201)
)</f>
        <v>0</v>
      </c>
      <c r="J201" s="251" cm="1">
        <f t="array" ref="J201">SUMPRODUCT(
  fin[jul/25] *
  (fin[Id]=$B201)
)</f>
        <v>0</v>
      </c>
      <c r="K201" s="251" cm="1">
        <f t="array" ref="K201">SUMPRODUCT(
  fin[ago/25] *
  (fin[Id]=$B201)
)</f>
        <v>0</v>
      </c>
      <c r="L201" s="251" cm="1">
        <f t="array" ref="L201">SUMPRODUCT(
  fin[set/25] *
  (fin[Id]=$B201)
)</f>
        <v>500000</v>
      </c>
      <c r="M201" s="251" cm="1">
        <f t="array" ref="M201">SUMPRODUCT(
  fin[out/25] *
  (fin[Id]=$B201)
)</f>
        <v>0</v>
      </c>
      <c r="N201" s="251" cm="1">
        <f t="array" ref="N201">SUMPRODUCT(
  fin[nov/25] *
  (fin[Id]=$B201)
)</f>
        <v>0</v>
      </c>
      <c r="O201" s="251" cm="1">
        <f t="array" ref="O201">SUMPRODUCT(
  fin[dez/25] *
  (fin[Id]=$B201)
)</f>
        <v>0</v>
      </c>
      <c r="P201" s="251" cm="1">
        <f t="array" ref="P201">SUMPRODUCT(
  fin[jan/26] *
  (fin[Id]=$B201)
)</f>
        <v>0</v>
      </c>
      <c r="Q201" s="251" cm="1">
        <f t="array" ref="Q201">SUMPRODUCT(
  fin[fev/26] *
  (fin[Id]=$B201)
)</f>
        <v>0</v>
      </c>
      <c r="S201" s="243">
        <f t="shared" si="54"/>
        <v>500000</v>
      </c>
    </row>
    <row r="202" spans="1:19" outlineLevel="2" x14ac:dyDescent="0.25">
      <c r="A202" s="263" t="s">
        <v>772</v>
      </c>
      <c r="B202" s="263" t="s">
        <v>783</v>
      </c>
      <c r="C202" s="197" t="s">
        <v>771</v>
      </c>
      <c r="D202" s="251" cm="1">
        <f t="array" ref="D202">SUMPRODUCT(
  fin[jan/25] *
  (fin[Id]=$B202)
)</f>
        <v>0</v>
      </c>
      <c r="E202" s="251" cm="1">
        <f t="array" ref="E202">SUMPRODUCT(
  fin[fev/25] *
  (fin[Id]=$B202)
)</f>
        <v>0</v>
      </c>
      <c r="F202" s="251" cm="1">
        <f t="array" ref="F202">SUMPRODUCT(
  fin[mar/25] *
  (fin[Id]=$B202)
)</f>
        <v>0</v>
      </c>
      <c r="G202" s="251" cm="1">
        <f t="array" ref="G202">SUMPRODUCT(
  fin[abr/25] *
  (fin[Id]=$B202)
)</f>
        <v>0</v>
      </c>
      <c r="H202" s="251" cm="1">
        <f t="array" ref="H202">SUMPRODUCT(
  fin[mai/25] *
  (fin[Id]=$B202)
)</f>
        <v>0</v>
      </c>
      <c r="I202" s="251" cm="1">
        <f t="array" ref="I202">SUMPRODUCT(
  fin[jun/25] *
  (fin[Id]=$B202)
)</f>
        <v>0</v>
      </c>
      <c r="J202" s="251" cm="1">
        <f t="array" ref="J202">SUMPRODUCT(
  fin[jul/25] *
  (fin[Id]=$B202)
)</f>
        <v>0</v>
      </c>
      <c r="K202" s="251" cm="1">
        <f t="array" ref="K202">SUMPRODUCT(
  fin[ago/25] *
  (fin[Id]=$B202)
)</f>
        <v>400000</v>
      </c>
      <c r="L202" s="251" cm="1">
        <f t="array" ref="L202">SUMPRODUCT(
  fin[set/25] *
  (fin[Id]=$B202)
)</f>
        <v>0</v>
      </c>
      <c r="M202" s="251" cm="1">
        <f t="array" ref="M202">SUMPRODUCT(
  fin[out/25] *
  (fin[Id]=$B202)
)</f>
        <v>0</v>
      </c>
      <c r="N202" s="251" cm="1">
        <f t="array" ref="N202">SUMPRODUCT(
  fin[nov/25] *
  (fin[Id]=$B202)
)</f>
        <v>0</v>
      </c>
      <c r="O202" s="251" cm="1">
        <f t="array" ref="O202">SUMPRODUCT(
  fin[dez/25] *
  (fin[Id]=$B202)
)</f>
        <v>0</v>
      </c>
      <c r="P202" s="251" cm="1">
        <f t="array" ref="P202">SUMPRODUCT(
  fin[jan/26] *
  (fin[Id]=$B202)
)</f>
        <v>0</v>
      </c>
      <c r="Q202" s="251" cm="1">
        <f t="array" ref="Q202">SUMPRODUCT(
  fin[fev/26] *
  (fin[Id]=$B202)
)</f>
        <v>0</v>
      </c>
      <c r="S202" s="243">
        <f t="shared" si="54"/>
        <v>400000</v>
      </c>
    </row>
    <row r="203" spans="1:19" outlineLevel="2" x14ac:dyDescent="0.25">
      <c r="A203" s="263" t="s">
        <v>772</v>
      </c>
      <c r="B203" s="263" t="s">
        <v>784</v>
      </c>
      <c r="C203" s="197" t="s">
        <v>771</v>
      </c>
      <c r="D203" s="251" cm="1">
        <f t="array" ref="D203">SUMPRODUCT(
  fin[jan/25] *
  (fin[Id]=$B203)
)</f>
        <v>0</v>
      </c>
      <c r="E203" s="251" cm="1">
        <f t="array" ref="E203">SUMPRODUCT(
  fin[fev/25] *
  (fin[Id]=$B203)
)</f>
        <v>0</v>
      </c>
      <c r="F203" s="251" cm="1">
        <f t="array" ref="F203">SUMPRODUCT(
  fin[mar/25] *
  (fin[Id]=$B203)
)</f>
        <v>0</v>
      </c>
      <c r="G203" s="251" cm="1">
        <f t="array" ref="G203">SUMPRODUCT(
  fin[abr/25] *
  (fin[Id]=$B203)
)</f>
        <v>0</v>
      </c>
      <c r="H203" s="251" cm="1">
        <f t="array" ref="H203">SUMPRODUCT(
  fin[mai/25] *
  (fin[Id]=$B203)
)</f>
        <v>0</v>
      </c>
      <c r="I203" s="251" cm="1">
        <f t="array" ref="I203">SUMPRODUCT(
  fin[jun/25] *
  (fin[Id]=$B203)
)</f>
        <v>300000</v>
      </c>
      <c r="J203" s="251" cm="1">
        <f t="array" ref="J203">SUMPRODUCT(
  fin[jul/25] *
  (fin[Id]=$B203)
)</f>
        <v>0</v>
      </c>
      <c r="K203" s="251" cm="1">
        <f t="array" ref="K203">SUMPRODUCT(
  fin[ago/25] *
  (fin[Id]=$B203)
)</f>
        <v>0</v>
      </c>
      <c r="L203" s="251" cm="1">
        <f t="array" ref="L203">SUMPRODUCT(
  fin[set/25] *
  (fin[Id]=$B203)
)</f>
        <v>0</v>
      </c>
      <c r="M203" s="251" cm="1">
        <f t="array" ref="M203">SUMPRODUCT(
  fin[out/25] *
  (fin[Id]=$B203)
)</f>
        <v>0</v>
      </c>
      <c r="N203" s="251" cm="1">
        <f t="array" ref="N203">SUMPRODUCT(
  fin[nov/25] *
  (fin[Id]=$B203)
)</f>
        <v>0</v>
      </c>
      <c r="O203" s="251" cm="1">
        <f t="array" ref="O203">SUMPRODUCT(
  fin[dez/25] *
  (fin[Id]=$B203)
)</f>
        <v>0</v>
      </c>
      <c r="P203" s="251" cm="1">
        <f t="array" ref="P203">SUMPRODUCT(
  fin[jan/26] *
  (fin[Id]=$B203)
)</f>
        <v>0</v>
      </c>
      <c r="Q203" s="251" cm="1">
        <f t="array" ref="Q203">SUMPRODUCT(
  fin[fev/26] *
  (fin[Id]=$B203)
)</f>
        <v>0</v>
      </c>
      <c r="S203" s="243">
        <f t="shared" si="54"/>
        <v>300000</v>
      </c>
    </row>
    <row r="204" spans="1:19" outlineLevel="1" x14ac:dyDescent="0.25">
      <c r="A204" s="247" t="s">
        <v>785</v>
      </c>
      <c r="B204" s="258" t="s">
        <v>786</v>
      </c>
      <c r="C204" s="248" t="s">
        <v>556</v>
      </c>
      <c r="D204" s="249"/>
      <c r="E204" s="249"/>
      <c r="F204" s="249"/>
      <c r="G204" s="249"/>
      <c r="H204" s="249"/>
      <c r="I204" s="249"/>
      <c r="J204" s="249"/>
      <c r="K204" s="249"/>
      <c r="L204" s="249"/>
      <c r="M204" s="249"/>
      <c r="N204" s="249"/>
      <c r="O204" s="249"/>
      <c r="P204" s="249"/>
      <c r="Q204" s="249"/>
      <c r="S204" s="243">
        <f t="shared" ref="S204:S222" si="55">SUM(D204:Q204)</f>
        <v>0</v>
      </c>
    </row>
    <row r="205" spans="1:19" x14ac:dyDescent="0.25">
      <c r="A205" s="253" t="s">
        <v>787</v>
      </c>
      <c r="B205" s="253" t="s">
        <v>788</v>
      </c>
      <c r="C205" s="259"/>
      <c r="D205" s="260">
        <f>SUM(D$206,D$222)</f>
        <v>0</v>
      </c>
      <c r="E205" s="260">
        <f t="shared" ref="E205:Q205" si="56">SUM(E$206,E$222)</f>
        <v>0</v>
      </c>
      <c r="F205" s="260">
        <f t="shared" si="56"/>
        <v>0</v>
      </c>
      <c r="G205" s="260">
        <f t="shared" si="56"/>
        <v>0</v>
      </c>
      <c r="H205" s="260">
        <f t="shared" si="56"/>
        <v>0</v>
      </c>
      <c r="I205" s="260">
        <f t="shared" si="56"/>
        <v>0</v>
      </c>
      <c r="J205" s="260">
        <f t="shared" si="56"/>
        <v>0</v>
      </c>
      <c r="K205" s="260">
        <f t="shared" si="56"/>
        <v>0</v>
      </c>
      <c r="L205" s="260">
        <f t="shared" si="56"/>
        <v>0</v>
      </c>
      <c r="M205" s="260">
        <f t="shared" si="56"/>
        <v>-3000000</v>
      </c>
      <c r="N205" s="260">
        <f t="shared" si="56"/>
        <v>-4206456.13</v>
      </c>
      <c r="O205" s="260">
        <f t="shared" si="56"/>
        <v>0</v>
      </c>
      <c r="P205" s="260">
        <f t="shared" si="56"/>
        <v>0</v>
      </c>
      <c r="Q205" s="260">
        <f t="shared" si="56"/>
        <v>0</v>
      </c>
      <c r="S205" s="243">
        <f t="shared" si="55"/>
        <v>-7206456.1299999999</v>
      </c>
    </row>
    <row r="206" spans="1:19" outlineLevel="1" x14ac:dyDescent="0.25">
      <c r="A206" s="247" t="s">
        <v>789</v>
      </c>
      <c r="B206" s="252" t="s">
        <v>430</v>
      </c>
      <c r="C206" s="248" t="s">
        <v>556</v>
      </c>
      <c r="D206" s="249">
        <f t="shared" ref="D206:Q206" si="57">SUM(D$207:D$221)</f>
        <v>0</v>
      </c>
      <c r="E206" s="249">
        <f t="shared" si="57"/>
        <v>0</v>
      </c>
      <c r="F206" s="249">
        <f t="shared" si="57"/>
        <v>0</v>
      </c>
      <c r="G206" s="249">
        <f t="shared" si="57"/>
        <v>0</v>
      </c>
      <c r="H206" s="249">
        <f t="shared" si="57"/>
        <v>0</v>
      </c>
      <c r="I206" s="249">
        <f t="shared" si="57"/>
        <v>0</v>
      </c>
      <c r="J206" s="249">
        <f t="shared" si="57"/>
        <v>0</v>
      </c>
      <c r="K206" s="249">
        <f t="shared" si="57"/>
        <v>0</v>
      </c>
      <c r="L206" s="249">
        <f t="shared" si="57"/>
        <v>0</v>
      </c>
      <c r="M206" s="249">
        <f t="shared" si="57"/>
        <v>-3000000</v>
      </c>
      <c r="N206" s="249">
        <f t="shared" si="57"/>
        <v>-4206456.13</v>
      </c>
      <c r="O206" s="249">
        <f t="shared" si="57"/>
        <v>0</v>
      </c>
      <c r="P206" s="249">
        <f t="shared" si="57"/>
        <v>0</v>
      </c>
      <c r="Q206" s="249">
        <f t="shared" si="57"/>
        <v>0</v>
      </c>
      <c r="S206" s="243">
        <f t="shared" si="55"/>
        <v>-7206456.1299999999</v>
      </c>
    </row>
    <row r="207" spans="1:19" outlineLevel="2" x14ac:dyDescent="0.25">
      <c r="A207" s="250" t="s">
        <v>790</v>
      </c>
      <c r="B207" s="250" t="s">
        <v>590</v>
      </c>
      <c r="C207" s="197" t="s">
        <v>556</v>
      </c>
      <c r="D207" s="251" cm="1">
        <f t="array" ref="D207">-SUMPRODUCT(
  desp[valor] *
  (desp[nucleo]=$B207) *
  (desp[centro.negocio]=$B$206) *
  (desp[data.pagamento]&gt;=D$1) *
  (desp[data.pagamento]&lt;EOMONTH(D$1,0)+1)
)</f>
        <v>0</v>
      </c>
      <c r="E207" s="251" cm="1">
        <f t="array" ref="E207">-SUMPRODUCT(
  desp[valor] *
  (desp[nucleo]=$B207) *
  (desp[centro.negocio]=$B$206) *
  (desp[data.pagamento]&gt;=E$1) *
  (desp[data.pagamento]&lt;EOMONTH(E$1,0)+1)
)</f>
        <v>0</v>
      </c>
      <c r="F207" s="251" cm="1">
        <f t="array" ref="F207">-SUMPRODUCT(
  desp[valor] *
  (desp[nucleo]=$B207) *
  (desp[centro.negocio]=$B$206) *
  (desp[data.pagamento]&gt;=F$1) *
  (desp[data.pagamento]&lt;EOMONTH(F$1,0)+1)
)</f>
        <v>0</v>
      </c>
      <c r="G207" s="251" cm="1">
        <f t="array" ref="G207">-SUMPRODUCT(
  desp[valor] *
  (desp[nucleo]=$B207) *
  (desp[centro.negocio]=$B$206) *
  (desp[data.pagamento]&gt;=G$1) *
  (desp[data.pagamento]&lt;EOMONTH(G$1,0)+1)
)</f>
        <v>0</v>
      </c>
      <c r="H207" s="251" cm="1">
        <f t="array" ref="H207">-SUMPRODUCT(
  desp[valor] *
  (desp[nucleo]=$B207) *
  (desp[centro.negocio]=$B$206) *
  (desp[data.pagamento]&gt;=H$1) *
  (desp[data.pagamento]&lt;EOMONTH(H$1,0)+1)
)</f>
        <v>0</v>
      </c>
      <c r="I207" s="251" cm="1">
        <f t="array" ref="I207">-SUMPRODUCT(
  desp[valor] *
  (desp[nucleo]=$B207) *
  (desp[centro.negocio]=$B$206) *
  (desp[data.pagamento]&gt;=I$1) *
  (desp[data.pagamento]&lt;EOMONTH(I$1,0)+1)
)</f>
        <v>0</v>
      </c>
      <c r="J207" s="251" cm="1">
        <f t="array" ref="J207">-SUMPRODUCT(
  desp[valor] *
  (desp[nucleo]=$B207) *
  (desp[centro.negocio]=$B$206) *
  (desp[data.pagamento]&gt;=J$1) *
  (desp[data.pagamento]&lt;EOMONTH(J$1,0)+1)
)</f>
        <v>0</v>
      </c>
      <c r="K207" s="251" cm="1">
        <f t="array" ref="K207">-SUMPRODUCT(
  desp[valor] *
  (desp[nucleo]=$B207) *
  (desp[centro.negocio]=$B$206) *
  (desp[data.pagamento]&gt;=K$1) *
  (desp[data.pagamento]&lt;EOMONTH(K$1,0)+1)
)</f>
        <v>0</v>
      </c>
      <c r="L207" s="251" cm="1">
        <f t="array" ref="L207">-SUMPRODUCT(
  desp[valor] *
  (desp[nucleo]=$B207) *
  (desp[centro.negocio]=$B$206) *
  (desp[data.pagamento]&gt;=L$1) *
  (desp[data.pagamento]&lt;EOMONTH(L$1,0)+1)
)</f>
        <v>0</v>
      </c>
      <c r="M207" s="251" cm="1">
        <f t="array" ref="M207">-SUMPRODUCT(
  desp[valor] *
  (desp[nucleo]=$B207) *
  (desp[centro.negocio]=$B$206) *
  (desp[data.pagamento]&gt;=M$1) *
  (desp[data.pagamento]&lt;EOMONTH(M$1,0)+1)
)</f>
        <v>0</v>
      </c>
      <c r="N207" s="251" cm="1">
        <f t="array" ref="N207">-SUMPRODUCT(
  desp[valor] *
  (desp[nucleo]=$B207) *
  (desp[centro.negocio]=$B$206) *
  (desp[data.pagamento]&gt;=N$1) *
  (desp[data.pagamento]&lt;EOMONTH(N$1,0)+1)
)</f>
        <v>0</v>
      </c>
      <c r="O207" s="251" cm="1">
        <f t="array" ref="O207">-SUMPRODUCT(
  desp[valor] *
  (desp[nucleo]=$B207) *
  (desp[centro.negocio]=$B$206) *
  (desp[data.pagamento]&gt;=O$1) *
  (desp[data.pagamento]&lt;EOMONTH(O$1,0)+1)
)</f>
        <v>0</v>
      </c>
      <c r="P207" s="251" cm="1">
        <f t="array" ref="P207">-SUMPRODUCT(
  desp[valor] *
  (desp[nucleo]=$B207) *
  (desp[centro.negocio]=$B$206) *
  (desp[data.pagamento]&gt;=P$1) *
  (desp[data.pagamento]&lt;EOMONTH(P$1,0)+1)
)</f>
        <v>0</v>
      </c>
      <c r="Q207" s="251" cm="1">
        <f t="array" ref="Q207">-SUMPRODUCT(
  desp[valor] *
  (desp[nucleo]=$B207) *
  (desp[centro.negocio]=$B$206) *
  (desp[data.pagamento]&gt;=Q$1) *
  (desp[data.pagamento]&lt;EOMONTH(Q$1,0)+1)
)</f>
        <v>0</v>
      </c>
      <c r="S207" s="243">
        <f t="shared" si="55"/>
        <v>0</v>
      </c>
    </row>
    <row r="208" spans="1:19" outlineLevel="2" x14ac:dyDescent="0.25">
      <c r="A208" s="250" t="s">
        <v>791</v>
      </c>
      <c r="B208" s="250" t="s">
        <v>580</v>
      </c>
      <c r="C208" s="197" t="s">
        <v>556</v>
      </c>
      <c r="D208" s="251" cm="1">
        <f t="array" ref="D208">-SUMPRODUCT(
  desp[valor] *
  (desp[nucleo]=$B208) *
  (desp[centro.negocio]=$B$206) *
  (desp[data.pagamento]&gt;=D$1) *
  (desp[data.pagamento]&lt;EOMONTH(D$1,0)+1)
)</f>
        <v>0</v>
      </c>
      <c r="E208" s="251" cm="1">
        <f t="array" ref="E208">-SUMPRODUCT(
  desp[valor] *
  (desp[nucleo]=$B208) *
  (desp[centro.negocio]=$B$206) *
  (desp[data.pagamento]&gt;=E$1) *
  (desp[data.pagamento]&lt;EOMONTH(E$1,0)+1)
)</f>
        <v>0</v>
      </c>
      <c r="F208" s="251" cm="1">
        <f t="array" ref="F208">-SUMPRODUCT(
  desp[valor] *
  (desp[nucleo]=$B208) *
  (desp[centro.negocio]=$B$206) *
  (desp[data.pagamento]&gt;=F$1) *
  (desp[data.pagamento]&lt;EOMONTH(F$1,0)+1)
)</f>
        <v>0</v>
      </c>
      <c r="G208" s="251" cm="1">
        <f t="array" ref="G208">-SUMPRODUCT(
  desp[valor] *
  (desp[nucleo]=$B208) *
  (desp[centro.negocio]=$B$206) *
  (desp[data.pagamento]&gt;=G$1) *
  (desp[data.pagamento]&lt;EOMONTH(G$1,0)+1)
)</f>
        <v>0</v>
      </c>
      <c r="H208" s="251" cm="1">
        <f t="array" ref="H208">-SUMPRODUCT(
  desp[valor] *
  (desp[nucleo]=$B208) *
  (desp[centro.negocio]=$B$206) *
  (desp[data.pagamento]&gt;=H$1) *
  (desp[data.pagamento]&lt;EOMONTH(H$1,0)+1)
)</f>
        <v>0</v>
      </c>
      <c r="I208" s="251" cm="1">
        <f t="array" ref="I208">-SUMPRODUCT(
  desp[valor] *
  (desp[nucleo]=$B208) *
  (desp[centro.negocio]=$B$206) *
  (desp[data.pagamento]&gt;=I$1) *
  (desp[data.pagamento]&lt;EOMONTH(I$1,0)+1)
)</f>
        <v>0</v>
      </c>
      <c r="J208" s="251" cm="1">
        <f t="array" ref="J208">-SUMPRODUCT(
  desp[valor] *
  (desp[nucleo]=$B208) *
  (desp[centro.negocio]=$B$206) *
  (desp[data.pagamento]&gt;=J$1) *
  (desp[data.pagamento]&lt;EOMONTH(J$1,0)+1)
)</f>
        <v>0</v>
      </c>
      <c r="K208" s="251" cm="1">
        <f t="array" ref="K208">-SUMPRODUCT(
  desp[valor] *
  (desp[nucleo]=$B208) *
  (desp[centro.negocio]=$B$206) *
  (desp[data.pagamento]&gt;=K$1) *
  (desp[data.pagamento]&lt;EOMONTH(K$1,0)+1)
)</f>
        <v>0</v>
      </c>
      <c r="L208" s="251" cm="1">
        <f t="array" ref="L208">-SUMPRODUCT(
  desp[valor] *
  (desp[nucleo]=$B208) *
  (desp[centro.negocio]=$B$206) *
  (desp[data.pagamento]&gt;=L$1) *
  (desp[data.pagamento]&lt;EOMONTH(L$1,0)+1)
)</f>
        <v>0</v>
      </c>
      <c r="M208" s="251" cm="1">
        <f t="array" ref="M208">-SUMPRODUCT(
  desp[valor] *
  (desp[nucleo]=$B208) *
  (desp[centro.negocio]=$B$206) *
  (desp[data.pagamento]&gt;=M$1) *
  (desp[data.pagamento]&lt;EOMONTH(M$1,0)+1)
)</f>
        <v>0</v>
      </c>
      <c r="N208" s="251" cm="1">
        <f t="array" ref="N208">-SUMPRODUCT(
  desp[valor] *
  (desp[nucleo]=$B208) *
  (desp[centro.negocio]=$B$206) *
  (desp[data.pagamento]&gt;=N$1) *
  (desp[data.pagamento]&lt;EOMONTH(N$1,0)+1)
)</f>
        <v>0</v>
      </c>
      <c r="O208" s="251" cm="1">
        <f t="array" ref="O208">-SUMPRODUCT(
  desp[valor] *
  (desp[nucleo]=$B208) *
  (desp[centro.negocio]=$B$206) *
  (desp[data.pagamento]&gt;=O$1) *
  (desp[data.pagamento]&lt;EOMONTH(O$1,0)+1)
)</f>
        <v>0</v>
      </c>
      <c r="P208" s="251" cm="1">
        <f t="array" ref="P208">-SUMPRODUCT(
  desp[valor] *
  (desp[nucleo]=$B208) *
  (desp[centro.negocio]=$B$206) *
  (desp[data.pagamento]&gt;=P$1) *
  (desp[data.pagamento]&lt;EOMONTH(P$1,0)+1)
)</f>
        <v>0</v>
      </c>
      <c r="Q208" s="251" cm="1">
        <f t="array" ref="Q208">-SUMPRODUCT(
  desp[valor] *
  (desp[nucleo]=$B208) *
  (desp[centro.negocio]=$B$206) *
  (desp[data.pagamento]&gt;=Q$1) *
  (desp[data.pagamento]&lt;EOMONTH(Q$1,0)+1)
)</f>
        <v>0</v>
      </c>
      <c r="S208" s="243">
        <f t="shared" si="55"/>
        <v>0</v>
      </c>
    </row>
    <row r="209" spans="1:19" outlineLevel="2" x14ac:dyDescent="0.25">
      <c r="A209" s="250" t="s">
        <v>792</v>
      </c>
      <c r="B209" s="250" t="s">
        <v>596</v>
      </c>
      <c r="C209" s="197" t="s">
        <v>556</v>
      </c>
      <c r="D209" s="251" cm="1">
        <f t="array" ref="D209">-SUMPRODUCT(
  desp[valor] *
  (desp[nucleo]=$B209) *
  (desp[centro.negocio]=$B$206) *
  (desp[data.pagamento]&gt;=D$1) *
  (desp[data.pagamento]&lt;EOMONTH(D$1,0)+1)
)</f>
        <v>0</v>
      </c>
      <c r="E209" s="251" cm="1">
        <f t="array" ref="E209">-SUMPRODUCT(
  desp[valor] *
  (desp[nucleo]=$B209) *
  (desp[centro.negocio]=$B$206) *
  (desp[data.pagamento]&gt;=E$1) *
  (desp[data.pagamento]&lt;EOMONTH(E$1,0)+1)
)</f>
        <v>0</v>
      </c>
      <c r="F209" s="251" cm="1">
        <f t="array" ref="F209">-SUMPRODUCT(
  desp[valor] *
  (desp[nucleo]=$B209) *
  (desp[centro.negocio]=$B$206) *
  (desp[data.pagamento]&gt;=F$1) *
  (desp[data.pagamento]&lt;EOMONTH(F$1,0)+1)
)</f>
        <v>0</v>
      </c>
      <c r="G209" s="251" cm="1">
        <f t="array" ref="G209">-SUMPRODUCT(
  desp[valor] *
  (desp[nucleo]=$B209) *
  (desp[centro.negocio]=$B$206) *
  (desp[data.pagamento]&gt;=G$1) *
  (desp[data.pagamento]&lt;EOMONTH(G$1,0)+1)
)</f>
        <v>0</v>
      </c>
      <c r="H209" s="251" cm="1">
        <f t="array" ref="H209">-SUMPRODUCT(
  desp[valor] *
  (desp[nucleo]=$B209) *
  (desp[centro.negocio]=$B$206) *
  (desp[data.pagamento]&gt;=H$1) *
  (desp[data.pagamento]&lt;EOMONTH(H$1,0)+1)
)</f>
        <v>0</v>
      </c>
      <c r="I209" s="251" cm="1">
        <f t="array" ref="I209">-SUMPRODUCT(
  desp[valor] *
  (desp[nucleo]=$B209) *
  (desp[centro.negocio]=$B$206) *
  (desp[data.pagamento]&gt;=I$1) *
  (desp[data.pagamento]&lt;EOMONTH(I$1,0)+1)
)</f>
        <v>0</v>
      </c>
      <c r="J209" s="251" cm="1">
        <f t="array" ref="J209">-SUMPRODUCT(
  desp[valor] *
  (desp[nucleo]=$B209) *
  (desp[centro.negocio]=$B$206) *
  (desp[data.pagamento]&gt;=J$1) *
  (desp[data.pagamento]&lt;EOMONTH(J$1,0)+1)
)</f>
        <v>0</v>
      </c>
      <c r="K209" s="251" cm="1">
        <f t="array" ref="K209">-SUMPRODUCT(
  desp[valor] *
  (desp[nucleo]=$B209) *
  (desp[centro.negocio]=$B$206) *
  (desp[data.pagamento]&gt;=K$1) *
  (desp[data.pagamento]&lt;EOMONTH(K$1,0)+1)
)</f>
        <v>0</v>
      </c>
      <c r="L209" s="251" cm="1">
        <f t="array" ref="L209">-SUMPRODUCT(
  desp[valor] *
  (desp[nucleo]=$B209) *
  (desp[centro.negocio]=$B$206) *
  (desp[data.pagamento]&gt;=L$1) *
  (desp[data.pagamento]&lt;EOMONTH(L$1,0)+1)
)</f>
        <v>0</v>
      </c>
      <c r="M209" s="251" cm="1">
        <f t="array" ref="M209">-SUMPRODUCT(
  desp[valor] *
  (desp[nucleo]=$B209) *
  (desp[centro.negocio]=$B$206) *
  (desp[data.pagamento]&gt;=M$1) *
  (desp[data.pagamento]&lt;EOMONTH(M$1,0)+1)
)</f>
        <v>0</v>
      </c>
      <c r="N209" s="251" cm="1">
        <f t="array" ref="N209">-SUMPRODUCT(
  desp[valor] *
  (desp[nucleo]=$B209) *
  (desp[centro.negocio]=$B$206) *
  (desp[data.pagamento]&gt;=N$1) *
  (desp[data.pagamento]&lt;EOMONTH(N$1,0)+1)
)</f>
        <v>0</v>
      </c>
      <c r="O209" s="251" cm="1">
        <f t="array" ref="O209">-SUMPRODUCT(
  desp[valor] *
  (desp[nucleo]=$B209) *
  (desp[centro.negocio]=$B$206) *
  (desp[data.pagamento]&gt;=O$1) *
  (desp[data.pagamento]&lt;EOMONTH(O$1,0)+1)
)</f>
        <v>0</v>
      </c>
      <c r="P209" s="251" cm="1">
        <f t="array" ref="P209">-SUMPRODUCT(
  desp[valor] *
  (desp[nucleo]=$B209) *
  (desp[centro.negocio]=$B$206) *
  (desp[data.pagamento]&gt;=P$1) *
  (desp[data.pagamento]&lt;EOMONTH(P$1,0)+1)
)</f>
        <v>0</v>
      </c>
      <c r="Q209" s="251" cm="1">
        <f t="array" ref="Q209">-SUMPRODUCT(
  desp[valor] *
  (desp[nucleo]=$B209) *
  (desp[centro.negocio]=$B$206) *
  (desp[data.pagamento]&gt;=Q$1) *
  (desp[data.pagamento]&lt;EOMONTH(Q$1,0)+1)
)</f>
        <v>0</v>
      </c>
      <c r="S209" s="243">
        <f t="shared" si="55"/>
        <v>0</v>
      </c>
    </row>
    <row r="210" spans="1:19" outlineLevel="2" x14ac:dyDescent="0.25">
      <c r="A210" s="250" t="s">
        <v>793</v>
      </c>
      <c r="B210" s="250" t="s">
        <v>536</v>
      </c>
      <c r="C210" s="197" t="s">
        <v>556</v>
      </c>
      <c r="D210" s="251" cm="1">
        <f t="array" ref="D210">-SUMPRODUCT(
  desp[valor] *
  (desp[nucleo]=$B210) *
  (desp[centro.negocio]=$B$206) *
  (desp[data.pagamento]&gt;=D$1) *
  (desp[data.pagamento]&lt;EOMONTH(D$1,0)+1)
)</f>
        <v>0</v>
      </c>
      <c r="E210" s="251" cm="1">
        <f t="array" ref="E210">-SUMPRODUCT(
  desp[valor] *
  (desp[nucleo]=$B210) *
  (desp[centro.negocio]=$B$206) *
  (desp[data.pagamento]&gt;=E$1) *
  (desp[data.pagamento]&lt;EOMONTH(E$1,0)+1)
)</f>
        <v>0</v>
      </c>
      <c r="F210" s="251" cm="1">
        <f t="array" ref="F210">-SUMPRODUCT(
  desp[valor] *
  (desp[nucleo]=$B210) *
  (desp[centro.negocio]=$B$206) *
  (desp[data.pagamento]&gt;=F$1) *
  (desp[data.pagamento]&lt;EOMONTH(F$1,0)+1)
)</f>
        <v>0</v>
      </c>
      <c r="G210" s="251" cm="1">
        <f t="array" ref="G210">-SUMPRODUCT(
  desp[valor] *
  (desp[nucleo]=$B210) *
  (desp[centro.negocio]=$B$206) *
  (desp[data.pagamento]&gt;=G$1) *
  (desp[data.pagamento]&lt;EOMONTH(G$1,0)+1)
)</f>
        <v>0</v>
      </c>
      <c r="H210" s="251" cm="1">
        <f t="array" ref="H210">-SUMPRODUCT(
  desp[valor] *
  (desp[nucleo]=$B210) *
  (desp[centro.negocio]=$B$206) *
  (desp[data.pagamento]&gt;=H$1) *
  (desp[data.pagamento]&lt;EOMONTH(H$1,0)+1)
)</f>
        <v>0</v>
      </c>
      <c r="I210" s="251" cm="1">
        <f t="array" ref="I210">-SUMPRODUCT(
  desp[valor] *
  (desp[nucleo]=$B210) *
  (desp[centro.negocio]=$B$206) *
  (desp[data.pagamento]&gt;=I$1) *
  (desp[data.pagamento]&lt;EOMONTH(I$1,0)+1)
)</f>
        <v>0</v>
      </c>
      <c r="J210" s="251" cm="1">
        <f t="array" ref="J210">-SUMPRODUCT(
  desp[valor] *
  (desp[nucleo]=$B210) *
  (desp[centro.negocio]=$B$206) *
  (desp[data.pagamento]&gt;=J$1) *
  (desp[data.pagamento]&lt;EOMONTH(J$1,0)+1)
)</f>
        <v>0</v>
      </c>
      <c r="K210" s="251" cm="1">
        <f t="array" ref="K210">-SUMPRODUCT(
  desp[valor] *
  (desp[nucleo]=$B210) *
  (desp[centro.negocio]=$B$206) *
  (desp[data.pagamento]&gt;=K$1) *
  (desp[data.pagamento]&lt;EOMONTH(K$1,0)+1)
)</f>
        <v>0</v>
      </c>
      <c r="L210" s="251" cm="1">
        <f t="array" ref="L210">-SUMPRODUCT(
  desp[valor] *
  (desp[nucleo]=$B210) *
  (desp[centro.negocio]=$B$206) *
  (desp[data.pagamento]&gt;=L$1) *
  (desp[data.pagamento]&lt;EOMONTH(L$1,0)+1)
)</f>
        <v>0</v>
      </c>
      <c r="M210" s="251" cm="1">
        <f t="array" ref="M210">-SUMPRODUCT(
  desp[valor] *
  (desp[nucleo]=$B210) *
  (desp[centro.negocio]=$B$206) *
  (desp[data.pagamento]&gt;=M$1) *
  (desp[data.pagamento]&lt;EOMONTH(M$1,0)+1)
)-3000000</f>
        <v>-3000000</v>
      </c>
      <c r="N210" s="251" cm="1">
        <f t="array" ref="N210">-SUMPRODUCT(
  desp[valor] *
  (desp[nucleo]=$B210) *
  (desp[centro.negocio]=$B$206) *
  (desp[data.pagamento]&gt;=N$1) *
  (desp[data.pagamento]&lt;EOMONTH(N$1,0)+1)
)-4206456.13</f>
        <v>-4206456.13</v>
      </c>
      <c r="O210" s="251" cm="1">
        <f t="array" ref="O210">-SUMPRODUCT(
  desp[valor] *
  (desp[nucleo]=$B210) *
  (desp[centro.negocio]=$B$206) *
  (desp[data.pagamento]&gt;=O$1) *
  (desp[data.pagamento]&lt;EOMONTH(O$1,0)+1)
)</f>
        <v>0</v>
      </c>
      <c r="P210" s="251" cm="1">
        <f t="array" ref="P210">-SUMPRODUCT(
  desp[valor] *
  (desp[nucleo]=$B210) *
  (desp[centro.negocio]=$B$206) *
  (desp[data.pagamento]&gt;=P$1) *
  (desp[data.pagamento]&lt;EOMONTH(P$1,0)+1)
)</f>
        <v>0</v>
      </c>
      <c r="Q210" s="251" cm="1">
        <f t="array" ref="Q210">-SUMPRODUCT(
  desp[valor] *
  (desp[nucleo]=$B210) *
  (desp[centro.negocio]=$B$206) *
  (desp[data.pagamento]&gt;=Q$1) *
  (desp[data.pagamento]&lt;EOMONTH(Q$1,0)+1)
)</f>
        <v>0</v>
      </c>
      <c r="S210" s="243">
        <f t="shared" si="55"/>
        <v>-7206456.1299999999</v>
      </c>
    </row>
    <row r="211" spans="1:19" outlineLevel="2" x14ac:dyDescent="0.25">
      <c r="A211" s="250" t="s">
        <v>794</v>
      </c>
      <c r="B211" s="250" t="s">
        <v>582</v>
      </c>
      <c r="C211" s="197" t="s">
        <v>556</v>
      </c>
      <c r="D211" s="251" cm="1">
        <f t="array" ref="D211">-SUMPRODUCT(
  desp[valor] *
  (desp[nucleo]=$B211) *
  (desp[centro.negocio]=$B$206) *
  (desp[data.pagamento]&gt;=D$1) *
  (desp[data.pagamento]&lt;EOMONTH(D$1,0)+1)
)</f>
        <v>0</v>
      </c>
      <c r="E211" s="251" cm="1">
        <f t="array" ref="E211">-SUMPRODUCT(
  desp[valor] *
  (desp[nucleo]=$B211) *
  (desp[centro.negocio]=$B$206) *
  (desp[data.pagamento]&gt;=E$1) *
  (desp[data.pagamento]&lt;EOMONTH(E$1,0)+1)
)</f>
        <v>0</v>
      </c>
      <c r="F211" s="251" cm="1">
        <f t="array" ref="F211">-SUMPRODUCT(
  desp[valor] *
  (desp[nucleo]=$B211) *
  (desp[centro.negocio]=$B$206) *
  (desp[data.pagamento]&gt;=F$1) *
  (desp[data.pagamento]&lt;EOMONTH(F$1,0)+1)
)</f>
        <v>0</v>
      </c>
      <c r="G211" s="251" cm="1">
        <f t="array" ref="G211">-SUMPRODUCT(
  desp[valor] *
  (desp[nucleo]=$B211) *
  (desp[centro.negocio]=$B$206) *
  (desp[data.pagamento]&gt;=G$1) *
  (desp[data.pagamento]&lt;EOMONTH(G$1,0)+1)
)</f>
        <v>0</v>
      </c>
      <c r="H211" s="251" cm="1">
        <f t="array" ref="H211">-SUMPRODUCT(
  desp[valor] *
  (desp[nucleo]=$B211) *
  (desp[centro.negocio]=$B$206) *
  (desp[data.pagamento]&gt;=H$1) *
  (desp[data.pagamento]&lt;EOMONTH(H$1,0)+1)
)</f>
        <v>0</v>
      </c>
      <c r="I211" s="251" cm="1">
        <f t="array" ref="I211">-SUMPRODUCT(
  desp[valor] *
  (desp[nucleo]=$B211) *
  (desp[centro.negocio]=$B$206) *
  (desp[data.pagamento]&gt;=I$1) *
  (desp[data.pagamento]&lt;EOMONTH(I$1,0)+1)
)</f>
        <v>0</v>
      </c>
      <c r="J211" s="251" cm="1">
        <f t="array" ref="J211">-SUMPRODUCT(
  desp[valor] *
  (desp[nucleo]=$B211) *
  (desp[centro.negocio]=$B$206) *
  (desp[data.pagamento]&gt;=J$1) *
  (desp[data.pagamento]&lt;EOMONTH(J$1,0)+1)
)</f>
        <v>0</v>
      </c>
      <c r="K211" s="251" cm="1">
        <f t="array" ref="K211">-SUMPRODUCT(
  desp[valor] *
  (desp[nucleo]=$B211) *
  (desp[centro.negocio]=$B$206) *
  (desp[data.pagamento]&gt;=K$1) *
  (desp[data.pagamento]&lt;EOMONTH(K$1,0)+1)
)</f>
        <v>0</v>
      </c>
      <c r="L211" s="251" cm="1">
        <f t="array" ref="L211">-SUMPRODUCT(
  desp[valor] *
  (desp[nucleo]=$B211) *
  (desp[centro.negocio]=$B$206) *
  (desp[data.pagamento]&gt;=L$1) *
  (desp[data.pagamento]&lt;EOMONTH(L$1,0)+1)
)</f>
        <v>0</v>
      </c>
      <c r="M211" s="251" cm="1">
        <f t="array" ref="M211">-SUMPRODUCT(
  desp[valor] *
  (desp[nucleo]=$B211) *
  (desp[centro.negocio]=$B$206) *
  (desp[data.pagamento]&gt;=M$1) *
  (desp[data.pagamento]&lt;EOMONTH(M$1,0)+1)
)</f>
        <v>0</v>
      </c>
      <c r="N211" s="251" cm="1">
        <f t="array" ref="N211">-SUMPRODUCT(
  desp[valor] *
  (desp[nucleo]=$B211) *
  (desp[centro.negocio]=$B$206) *
  (desp[data.pagamento]&gt;=N$1) *
  (desp[data.pagamento]&lt;EOMONTH(N$1,0)+1)
)</f>
        <v>0</v>
      </c>
      <c r="O211" s="251" cm="1">
        <f t="array" ref="O211">-SUMPRODUCT(
  desp[valor] *
  (desp[nucleo]=$B211) *
  (desp[centro.negocio]=$B$206) *
  (desp[data.pagamento]&gt;=O$1) *
  (desp[data.pagamento]&lt;EOMONTH(O$1,0)+1)
)</f>
        <v>0</v>
      </c>
      <c r="P211" s="251" cm="1">
        <f t="array" ref="P211">-SUMPRODUCT(
  desp[valor] *
  (desp[nucleo]=$B211) *
  (desp[centro.negocio]=$B$206) *
  (desp[data.pagamento]&gt;=P$1) *
  (desp[data.pagamento]&lt;EOMONTH(P$1,0)+1)
)</f>
        <v>0</v>
      </c>
      <c r="Q211" s="251" cm="1">
        <f t="array" ref="Q211">-SUMPRODUCT(
  desp[valor] *
  (desp[nucleo]=$B211) *
  (desp[centro.negocio]=$B$206) *
  (desp[data.pagamento]&gt;=Q$1) *
  (desp[data.pagamento]&lt;EOMONTH(Q$1,0)+1)
)</f>
        <v>0</v>
      </c>
      <c r="S211" s="243">
        <f t="shared" si="55"/>
        <v>0</v>
      </c>
    </row>
    <row r="212" spans="1:19" outlineLevel="2" x14ac:dyDescent="0.25">
      <c r="A212" s="250" t="s">
        <v>795</v>
      </c>
      <c r="B212" s="250" t="s">
        <v>628</v>
      </c>
      <c r="C212" s="197" t="s">
        <v>556</v>
      </c>
      <c r="D212" s="251" cm="1">
        <f t="array" ref="D212">-SUMPRODUCT(
  desp[valor] *
  (desp[nucleo]=$B212) *
  (desp[centro.negocio]=$B$206) *
  (desp[data.pagamento]&gt;=D$1) *
  (desp[data.pagamento]&lt;EOMONTH(D$1,0)+1)
)</f>
        <v>0</v>
      </c>
      <c r="E212" s="251" cm="1">
        <f t="array" ref="E212">-SUMPRODUCT(
  desp[valor] *
  (desp[nucleo]=$B212) *
  (desp[centro.negocio]=$B$206) *
  (desp[data.pagamento]&gt;=E$1) *
  (desp[data.pagamento]&lt;EOMONTH(E$1,0)+1)
)</f>
        <v>0</v>
      </c>
      <c r="F212" s="251" cm="1">
        <f t="array" ref="F212">-SUMPRODUCT(
  desp[valor] *
  (desp[nucleo]=$B212) *
  (desp[centro.negocio]=$B$206) *
  (desp[data.pagamento]&gt;=F$1) *
  (desp[data.pagamento]&lt;EOMONTH(F$1,0)+1)
)</f>
        <v>0</v>
      </c>
      <c r="G212" s="251" cm="1">
        <f t="array" ref="G212">-SUMPRODUCT(
  desp[valor] *
  (desp[nucleo]=$B212) *
  (desp[centro.negocio]=$B$206) *
  (desp[data.pagamento]&gt;=G$1) *
  (desp[data.pagamento]&lt;EOMONTH(G$1,0)+1)
)</f>
        <v>0</v>
      </c>
      <c r="H212" s="251" cm="1">
        <f t="array" ref="H212">-SUMPRODUCT(
  desp[valor] *
  (desp[nucleo]=$B212) *
  (desp[centro.negocio]=$B$206) *
  (desp[data.pagamento]&gt;=H$1) *
  (desp[data.pagamento]&lt;EOMONTH(H$1,0)+1)
)</f>
        <v>0</v>
      </c>
      <c r="I212" s="251" cm="1">
        <f t="array" ref="I212">-SUMPRODUCT(
  desp[valor] *
  (desp[nucleo]=$B212) *
  (desp[centro.negocio]=$B$206) *
  (desp[data.pagamento]&gt;=I$1) *
  (desp[data.pagamento]&lt;EOMONTH(I$1,0)+1)
)</f>
        <v>0</v>
      </c>
      <c r="J212" s="251" cm="1">
        <f t="array" ref="J212">-SUMPRODUCT(
  desp[valor] *
  (desp[nucleo]=$B212) *
  (desp[centro.negocio]=$B$206) *
  (desp[data.pagamento]&gt;=J$1) *
  (desp[data.pagamento]&lt;EOMONTH(J$1,0)+1)
)</f>
        <v>0</v>
      </c>
      <c r="K212" s="251" cm="1">
        <f t="array" ref="K212">-SUMPRODUCT(
  desp[valor] *
  (desp[nucleo]=$B212) *
  (desp[centro.negocio]=$B$206) *
  (desp[data.pagamento]&gt;=K$1) *
  (desp[data.pagamento]&lt;EOMONTH(K$1,0)+1)
)</f>
        <v>0</v>
      </c>
      <c r="L212" s="251" cm="1">
        <f t="array" ref="L212">-SUMPRODUCT(
  desp[valor] *
  (desp[nucleo]=$B212) *
  (desp[centro.negocio]=$B$206) *
  (desp[data.pagamento]&gt;=L$1) *
  (desp[data.pagamento]&lt;EOMONTH(L$1,0)+1)
)</f>
        <v>0</v>
      </c>
      <c r="M212" s="251" cm="1">
        <f t="array" ref="M212">-SUMPRODUCT(
  desp[valor] *
  (desp[nucleo]=$B212) *
  (desp[centro.negocio]=$B$206) *
  (desp[data.pagamento]&gt;=M$1) *
  (desp[data.pagamento]&lt;EOMONTH(M$1,0)+1)
)</f>
        <v>0</v>
      </c>
      <c r="N212" s="251" cm="1">
        <f t="array" ref="N212">-SUMPRODUCT(
  desp[valor] *
  (desp[nucleo]=$B212) *
  (desp[centro.negocio]=$B$206) *
  (desp[data.pagamento]&gt;=N$1) *
  (desp[data.pagamento]&lt;EOMONTH(N$1,0)+1)
)</f>
        <v>0</v>
      </c>
      <c r="O212" s="251" cm="1">
        <f t="array" ref="O212">-SUMPRODUCT(
  desp[valor] *
  (desp[nucleo]=$B212) *
  (desp[centro.negocio]=$B$206) *
  (desp[data.pagamento]&gt;=O$1) *
  (desp[data.pagamento]&lt;EOMONTH(O$1,0)+1)
)</f>
        <v>0</v>
      </c>
      <c r="P212" s="251" cm="1">
        <f t="array" ref="P212">-SUMPRODUCT(
  desp[valor] *
  (desp[nucleo]=$B212) *
  (desp[centro.negocio]=$B$206) *
  (desp[data.pagamento]&gt;=P$1) *
  (desp[data.pagamento]&lt;EOMONTH(P$1,0)+1)
)</f>
        <v>0</v>
      </c>
      <c r="Q212" s="251" cm="1">
        <f t="array" ref="Q212">-SUMPRODUCT(
  desp[valor] *
  (desp[nucleo]=$B212) *
  (desp[centro.negocio]=$B$206) *
  (desp[data.pagamento]&gt;=Q$1) *
  (desp[data.pagamento]&lt;EOMONTH(Q$1,0)+1)
)</f>
        <v>0</v>
      </c>
      <c r="S212" s="243">
        <f t="shared" si="55"/>
        <v>0</v>
      </c>
    </row>
    <row r="213" spans="1:19" outlineLevel="2" x14ac:dyDescent="0.25">
      <c r="A213" s="250" t="s">
        <v>796</v>
      </c>
      <c r="B213" s="250" t="s">
        <v>586</v>
      </c>
      <c r="C213" s="197" t="s">
        <v>556</v>
      </c>
      <c r="D213" s="251" cm="1">
        <f t="array" ref="D213">-SUMPRODUCT(
  desp[valor] *
  (desp[nucleo]=$B213) *
  (desp[centro.negocio]=$B$206) *
  (desp[data.pagamento]&gt;=D$1) *
  (desp[data.pagamento]&lt;EOMONTH(D$1,0)+1)
)</f>
        <v>0</v>
      </c>
      <c r="E213" s="251" cm="1">
        <f t="array" ref="E213">-SUMPRODUCT(
  desp[valor] *
  (desp[nucleo]=$B213) *
  (desp[centro.negocio]=$B$206) *
  (desp[data.pagamento]&gt;=E$1) *
  (desp[data.pagamento]&lt;EOMONTH(E$1,0)+1)
)</f>
        <v>0</v>
      </c>
      <c r="F213" s="251" cm="1">
        <f t="array" ref="F213">-SUMPRODUCT(
  desp[valor] *
  (desp[nucleo]=$B213) *
  (desp[centro.negocio]=$B$206) *
  (desp[data.pagamento]&gt;=F$1) *
  (desp[data.pagamento]&lt;EOMONTH(F$1,0)+1)
)</f>
        <v>0</v>
      </c>
      <c r="G213" s="251" cm="1">
        <f t="array" ref="G213">-SUMPRODUCT(
  desp[valor] *
  (desp[nucleo]=$B213) *
  (desp[centro.negocio]=$B$206) *
  (desp[data.pagamento]&gt;=G$1) *
  (desp[data.pagamento]&lt;EOMONTH(G$1,0)+1)
)</f>
        <v>0</v>
      </c>
      <c r="H213" s="251" cm="1">
        <f t="array" ref="H213">-SUMPRODUCT(
  desp[valor] *
  (desp[nucleo]=$B213) *
  (desp[centro.negocio]=$B$206) *
  (desp[data.pagamento]&gt;=H$1) *
  (desp[data.pagamento]&lt;EOMONTH(H$1,0)+1)
)</f>
        <v>0</v>
      </c>
      <c r="I213" s="251" cm="1">
        <f t="array" ref="I213">-SUMPRODUCT(
  desp[valor] *
  (desp[nucleo]=$B213) *
  (desp[centro.negocio]=$B$206) *
  (desp[data.pagamento]&gt;=I$1) *
  (desp[data.pagamento]&lt;EOMONTH(I$1,0)+1)
)</f>
        <v>0</v>
      </c>
      <c r="J213" s="251" cm="1">
        <f t="array" ref="J213">-SUMPRODUCT(
  desp[valor] *
  (desp[nucleo]=$B213) *
  (desp[centro.negocio]=$B$206) *
  (desp[data.pagamento]&gt;=J$1) *
  (desp[data.pagamento]&lt;EOMONTH(J$1,0)+1)
)</f>
        <v>0</v>
      </c>
      <c r="K213" s="251" cm="1">
        <f t="array" ref="K213">-SUMPRODUCT(
  desp[valor] *
  (desp[nucleo]=$B213) *
  (desp[centro.negocio]=$B$206) *
  (desp[data.pagamento]&gt;=K$1) *
  (desp[data.pagamento]&lt;EOMONTH(K$1,0)+1)
)</f>
        <v>0</v>
      </c>
      <c r="L213" s="251" cm="1">
        <f t="array" ref="L213">-SUMPRODUCT(
  desp[valor] *
  (desp[nucleo]=$B213) *
  (desp[centro.negocio]=$B$206) *
  (desp[data.pagamento]&gt;=L$1) *
  (desp[data.pagamento]&lt;EOMONTH(L$1,0)+1)
)</f>
        <v>0</v>
      </c>
      <c r="M213" s="251" cm="1">
        <f t="array" ref="M213">-SUMPRODUCT(
  desp[valor] *
  (desp[nucleo]=$B213) *
  (desp[centro.negocio]=$B$206) *
  (desp[data.pagamento]&gt;=M$1) *
  (desp[data.pagamento]&lt;EOMONTH(M$1,0)+1)
)</f>
        <v>0</v>
      </c>
      <c r="N213" s="251" cm="1">
        <f t="array" ref="N213">-SUMPRODUCT(
  desp[valor] *
  (desp[nucleo]=$B213) *
  (desp[centro.negocio]=$B$206) *
  (desp[data.pagamento]&gt;=N$1) *
  (desp[data.pagamento]&lt;EOMONTH(N$1,0)+1)
)</f>
        <v>0</v>
      </c>
      <c r="O213" s="251" cm="1">
        <f t="array" ref="O213">-SUMPRODUCT(
  desp[valor] *
  (desp[nucleo]=$B213) *
  (desp[centro.negocio]=$B$206) *
  (desp[data.pagamento]&gt;=O$1) *
  (desp[data.pagamento]&lt;EOMONTH(O$1,0)+1)
)</f>
        <v>0</v>
      </c>
      <c r="P213" s="251" cm="1">
        <f t="array" ref="P213">-SUMPRODUCT(
  desp[valor] *
  (desp[nucleo]=$B213) *
  (desp[centro.negocio]=$B$206) *
  (desp[data.pagamento]&gt;=P$1) *
  (desp[data.pagamento]&lt;EOMONTH(P$1,0)+1)
)</f>
        <v>0</v>
      </c>
      <c r="Q213" s="251" cm="1">
        <f t="array" ref="Q213">-SUMPRODUCT(
  desp[valor] *
  (desp[nucleo]=$B213) *
  (desp[centro.negocio]=$B$206) *
  (desp[data.pagamento]&gt;=Q$1) *
  (desp[data.pagamento]&lt;EOMONTH(Q$1,0)+1)
)</f>
        <v>0</v>
      </c>
      <c r="S213" s="243">
        <f t="shared" si="55"/>
        <v>0</v>
      </c>
    </row>
    <row r="214" spans="1:19" outlineLevel="2" x14ac:dyDescent="0.25">
      <c r="A214" s="250" t="s">
        <v>797</v>
      </c>
      <c r="B214" s="250" t="s">
        <v>678</v>
      </c>
      <c r="C214" s="197" t="s">
        <v>556</v>
      </c>
      <c r="D214" s="251" cm="1">
        <f t="array" ref="D214">-SUMPRODUCT(
  desp[valor] *
  (desp[nucleo]=$B214) *
  (desp[centro.negocio]=$B$206) *
  (desp[data.pagamento]&gt;=D$1) *
  (desp[data.pagamento]&lt;EOMONTH(D$1,0)+1)
)</f>
        <v>0</v>
      </c>
      <c r="E214" s="251" cm="1">
        <f t="array" ref="E214">-SUMPRODUCT(
  desp[valor] *
  (desp[nucleo]=$B214) *
  (desp[centro.negocio]=$B$206) *
  (desp[data.pagamento]&gt;=E$1) *
  (desp[data.pagamento]&lt;EOMONTH(E$1,0)+1)
)</f>
        <v>0</v>
      </c>
      <c r="F214" s="251" cm="1">
        <f t="array" ref="F214">-SUMPRODUCT(
  desp[valor] *
  (desp[nucleo]=$B214) *
  (desp[centro.negocio]=$B$206) *
  (desp[data.pagamento]&gt;=F$1) *
  (desp[data.pagamento]&lt;EOMONTH(F$1,0)+1)
)</f>
        <v>0</v>
      </c>
      <c r="G214" s="251" cm="1">
        <f t="array" ref="G214">-SUMPRODUCT(
  desp[valor] *
  (desp[nucleo]=$B214) *
  (desp[centro.negocio]=$B$206) *
  (desp[data.pagamento]&gt;=G$1) *
  (desp[data.pagamento]&lt;EOMONTH(G$1,0)+1)
)</f>
        <v>0</v>
      </c>
      <c r="H214" s="251" cm="1">
        <f t="array" ref="H214">-SUMPRODUCT(
  desp[valor] *
  (desp[nucleo]=$B214) *
  (desp[centro.negocio]=$B$206) *
  (desp[data.pagamento]&gt;=H$1) *
  (desp[data.pagamento]&lt;EOMONTH(H$1,0)+1)
)</f>
        <v>0</v>
      </c>
      <c r="I214" s="251" cm="1">
        <f t="array" ref="I214">-SUMPRODUCT(
  desp[valor] *
  (desp[nucleo]=$B214) *
  (desp[centro.negocio]=$B$206) *
  (desp[data.pagamento]&gt;=I$1) *
  (desp[data.pagamento]&lt;EOMONTH(I$1,0)+1)
)</f>
        <v>0</v>
      </c>
      <c r="J214" s="251" cm="1">
        <f t="array" ref="J214">-SUMPRODUCT(
  desp[valor] *
  (desp[nucleo]=$B214) *
  (desp[centro.negocio]=$B$206) *
  (desp[data.pagamento]&gt;=J$1) *
  (desp[data.pagamento]&lt;EOMONTH(J$1,0)+1)
)</f>
        <v>0</v>
      </c>
      <c r="K214" s="251" cm="1">
        <f t="array" ref="K214">-SUMPRODUCT(
  desp[valor] *
  (desp[nucleo]=$B214) *
  (desp[centro.negocio]=$B$206) *
  (desp[data.pagamento]&gt;=K$1) *
  (desp[data.pagamento]&lt;EOMONTH(K$1,0)+1)
)</f>
        <v>0</v>
      </c>
      <c r="L214" s="251" cm="1">
        <f t="array" ref="L214">-SUMPRODUCT(
  desp[valor] *
  (desp[nucleo]=$B214) *
  (desp[centro.negocio]=$B$206) *
  (desp[data.pagamento]&gt;=L$1) *
  (desp[data.pagamento]&lt;EOMONTH(L$1,0)+1)
)</f>
        <v>0</v>
      </c>
      <c r="M214" s="251" cm="1">
        <f t="array" ref="M214">-SUMPRODUCT(
  desp[valor] *
  (desp[nucleo]=$B214) *
  (desp[centro.negocio]=$B$206) *
  (desp[data.pagamento]&gt;=M$1) *
  (desp[data.pagamento]&lt;EOMONTH(M$1,0)+1)
)</f>
        <v>0</v>
      </c>
      <c r="N214" s="251" cm="1">
        <f t="array" ref="N214">-SUMPRODUCT(
  desp[valor] *
  (desp[nucleo]=$B214) *
  (desp[centro.negocio]=$B$206) *
  (desp[data.pagamento]&gt;=N$1) *
  (desp[data.pagamento]&lt;EOMONTH(N$1,0)+1)
)</f>
        <v>0</v>
      </c>
      <c r="O214" s="251" cm="1">
        <f t="array" ref="O214">-SUMPRODUCT(
  desp[valor] *
  (desp[nucleo]=$B214) *
  (desp[centro.negocio]=$B$206) *
  (desp[data.pagamento]&gt;=O$1) *
  (desp[data.pagamento]&lt;EOMONTH(O$1,0)+1)
)</f>
        <v>0</v>
      </c>
      <c r="P214" s="251" cm="1">
        <f t="array" ref="P214">-SUMPRODUCT(
  desp[valor] *
  (desp[nucleo]=$B214) *
  (desp[centro.negocio]=$B$206) *
  (desp[data.pagamento]&gt;=P$1) *
  (desp[data.pagamento]&lt;EOMONTH(P$1,0)+1)
)</f>
        <v>0</v>
      </c>
      <c r="Q214" s="251" cm="1">
        <f t="array" ref="Q214">-SUMPRODUCT(
  desp[valor] *
  (desp[nucleo]=$B214) *
  (desp[centro.negocio]=$B$206) *
  (desp[data.pagamento]&gt;=Q$1) *
  (desp[data.pagamento]&lt;EOMONTH(Q$1,0)+1)
)</f>
        <v>0</v>
      </c>
      <c r="S214" s="243">
        <f t="shared" si="55"/>
        <v>0</v>
      </c>
    </row>
    <row r="215" spans="1:19" outlineLevel="2" x14ac:dyDescent="0.25">
      <c r="A215" s="250" t="s">
        <v>798</v>
      </c>
      <c r="B215" s="250" t="s">
        <v>799</v>
      </c>
      <c r="C215" s="197" t="s">
        <v>556</v>
      </c>
      <c r="D215" s="251" cm="1">
        <f t="array" ref="D215">-SUMPRODUCT(
  desp[valor] *
  (desp[nucleo]=$B215) *
  (desp[centro.negocio]=$B$206) *
  (desp[data.pagamento]&gt;=D$1) *
  (desp[data.pagamento]&lt;EOMONTH(D$1,0)+1)
)</f>
        <v>0</v>
      </c>
      <c r="E215" s="251" cm="1">
        <f t="array" ref="E215">-SUMPRODUCT(
  desp[valor] *
  (desp[nucleo]=$B215) *
  (desp[centro.negocio]=$B$206) *
  (desp[data.pagamento]&gt;=E$1) *
  (desp[data.pagamento]&lt;EOMONTH(E$1,0)+1)
)</f>
        <v>0</v>
      </c>
      <c r="F215" s="251" cm="1">
        <f t="array" ref="F215">-SUMPRODUCT(
  desp[valor] *
  (desp[nucleo]=$B215) *
  (desp[centro.negocio]=$B$206) *
  (desp[data.pagamento]&gt;=F$1) *
  (desp[data.pagamento]&lt;EOMONTH(F$1,0)+1)
)</f>
        <v>0</v>
      </c>
      <c r="G215" s="251" cm="1">
        <f t="array" ref="G215">-SUMPRODUCT(
  desp[valor] *
  (desp[nucleo]=$B215) *
  (desp[centro.negocio]=$B$206) *
  (desp[data.pagamento]&gt;=G$1) *
  (desp[data.pagamento]&lt;EOMONTH(G$1,0)+1)
)</f>
        <v>0</v>
      </c>
      <c r="H215" s="251" cm="1">
        <f t="array" ref="H215">-SUMPRODUCT(
  desp[valor] *
  (desp[nucleo]=$B215) *
  (desp[centro.negocio]=$B$206) *
  (desp[data.pagamento]&gt;=H$1) *
  (desp[data.pagamento]&lt;EOMONTH(H$1,0)+1)
)</f>
        <v>0</v>
      </c>
      <c r="I215" s="251" cm="1">
        <f t="array" ref="I215">-SUMPRODUCT(
  desp[valor] *
  (desp[nucleo]=$B215) *
  (desp[centro.negocio]=$B$206) *
  (desp[data.pagamento]&gt;=I$1) *
  (desp[data.pagamento]&lt;EOMONTH(I$1,0)+1)
)</f>
        <v>0</v>
      </c>
      <c r="J215" s="251" cm="1">
        <f t="array" ref="J215">-SUMPRODUCT(
  desp[valor] *
  (desp[nucleo]=$B215) *
  (desp[centro.negocio]=$B$206) *
  (desp[data.pagamento]&gt;=J$1) *
  (desp[data.pagamento]&lt;EOMONTH(J$1,0)+1)
)</f>
        <v>0</v>
      </c>
      <c r="K215" s="251" cm="1">
        <f t="array" ref="K215">-SUMPRODUCT(
  desp[valor] *
  (desp[nucleo]=$B215) *
  (desp[centro.negocio]=$B$206) *
  (desp[data.pagamento]&gt;=K$1) *
  (desp[data.pagamento]&lt;EOMONTH(K$1,0)+1)
)</f>
        <v>0</v>
      </c>
      <c r="L215" s="251" cm="1">
        <f t="array" ref="L215">-SUMPRODUCT(
  desp[valor] *
  (desp[nucleo]=$B215) *
  (desp[centro.negocio]=$B$206) *
  (desp[data.pagamento]&gt;=L$1) *
  (desp[data.pagamento]&lt;EOMONTH(L$1,0)+1)
)</f>
        <v>0</v>
      </c>
      <c r="M215" s="251" cm="1">
        <f t="array" ref="M215">-SUMPRODUCT(
  desp[valor] *
  (desp[nucleo]=$B215) *
  (desp[centro.negocio]=$B$206) *
  (desp[data.pagamento]&gt;=M$1) *
  (desp[data.pagamento]&lt;EOMONTH(M$1,0)+1)
)</f>
        <v>0</v>
      </c>
      <c r="N215" s="251" cm="1">
        <f t="array" ref="N215">-SUMPRODUCT(
  desp[valor] *
  (desp[nucleo]=$B215) *
  (desp[centro.negocio]=$B$206) *
  (desp[data.pagamento]&gt;=N$1) *
  (desp[data.pagamento]&lt;EOMONTH(N$1,0)+1)
)</f>
        <v>0</v>
      </c>
      <c r="O215" s="251" cm="1">
        <f t="array" ref="O215">-SUMPRODUCT(
  desp[valor] *
  (desp[nucleo]=$B215) *
  (desp[centro.negocio]=$B$206) *
  (desp[data.pagamento]&gt;=O$1) *
  (desp[data.pagamento]&lt;EOMONTH(O$1,0)+1)
)</f>
        <v>0</v>
      </c>
      <c r="P215" s="251" cm="1">
        <f t="array" ref="P215">-SUMPRODUCT(
  desp[valor] *
  (desp[nucleo]=$B215) *
  (desp[centro.negocio]=$B$206) *
  (desp[data.pagamento]&gt;=P$1) *
  (desp[data.pagamento]&lt;EOMONTH(P$1,0)+1)
)</f>
        <v>0</v>
      </c>
      <c r="Q215" s="251" cm="1">
        <f t="array" ref="Q215">-SUMPRODUCT(
  desp[valor] *
  (desp[nucleo]=$B215) *
  (desp[centro.negocio]=$B$206) *
  (desp[data.pagamento]&gt;=Q$1) *
  (desp[data.pagamento]&lt;EOMONTH(Q$1,0)+1)
)</f>
        <v>0</v>
      </c>
      <c r="S215" s="243">
        <f t="shared" si="55"/>
        <v>0</v>
      </c>
    </row>
    <row r="216" spans="1:19" outlineLevel="2" x14ac:dyDescent="0.25">
      <c r="A216" s="250" t="s">
        <v>800</v>
      </c>
      <c r="B216" s="250" t="s">
        <v>594</v>
      </c>
      <c r="C216" s="197" t="s">
        <v>556</v>
      </c>
      <c r="D216" s="251" cm="1">
        <f t="array" ref="D216">-SUMPRODUCT(
  desp[valor] *
  (desp[nucleo]=$B216) *
  (desp[centro.negocio]=$B$206) *
  (desp[data.pagamento]&gt;=D$1) *
  (desp[data.pagamento]&lt;EOMONTH(D$1,0)+1)
)</f>
        <v>0</v>
      </c>
      <c r="E216" s="251" cm="1">
        <f t="array" ref="E216">-SUMPRODUCT(
  desp[valor] *
  (desp[nucleo]=$B216) *
  (desp[centro.negocio]=$B$206) *
  (desp[data.pagamento]&gt;=E$1) *
  (desp[data.pagamento]&lt;EOMONTH(E$1,0)+1)
)</f>
        <v>0</v>
      </c>
      <c r="F216" s="251" cm="1">
        <f t="array" ref="F216">-SUMPRODUCT(
  desp[valor] *
  (desp[nucleo]=$B216) *
  (desp[centro.negocio]=$B$206) *
  (desp[data.pagamento]&gt;=F$1) *
  (desp[data.pagamento]&lt;EOMONTH(F$1,0)+1)
)</f>
        <v>0</v>
      </c>
      <c r="G216" s="251" cm="1">
        <f t="array" ref="G216">-SUMPRODUCT(
  desp[valor] *
  (desp[nucleo]=$B216) *
  (desp[centro.negocio]=$B$206) *
  (desp[data.pagamento]&gt;=G$1) *
  (desp[data.pagamento]&lt;EOMONTH(G$1,0)+1)
)</f>
        <v>0</v>
      </c>
      <c r="H216" s="251" cm="1">
        <f t="array" ref="H216">-SUMPRODUCT(
  desp[valor] *
  (desp[nucleo]=$B216) *
  (desp[centro.negocio]=$B$206) *
  (desp[data.pagamento]&gt;=H$1) *
  (desp[data.pagamento]&lt;EOMONTH(H$1,0)+1)
)</f>
        <v>0</v>
      </c>
      <c r="I216" s="251" cm="1">
        <f t="array" ref="I216">-SUMPRODUCT(
  desp[valor] *
  (desp[nucleo]=$B216) *
  (desp[centro.negocio]=$B$206) *
  (desp[data.pagamento]&gt;=I$1) *
  (desp[data.pagamento]&lt;EOMONTH(I$1,0)+1)
)</f>
        <v>0</v>
      </c>
      <c r="J216" s="251" cm="1">
        <f t="array" ref="J216">-SUMPRODUCT(
  desp[valor] *
  (desp[nucleo]=$B216) *
  (desp[centro.negocio]=$B$206) *
  (desp[data.pagamento]&gt;=J$1) *
  (desp[data.pagamento]&lt;EOMONTH(J$1,0)+1)
)</f>
        <v>0</v>
      </c>
      <c r="K216" s="251" cm="1">
        <f t="array" ref="K216">-SUMPRODUCT(
  desp[valor] *
  (desp[nucleo]=$B216) *
  (desp[centro.negocio]=$B$206) *
  (desp[data.pagamento]&gt;=K$1) *
  (desp[data.pagamento]&lt;EOMONTH(K$1,0)+1)
)</f>
        <v>0</v>
      </c>
      <c r="L216" s="251" cm="1">
        <f t="array" ref="L216">-SUMPRODUCT(
  desp[valor] *
  (desp[nucleo]=$B216) *
  (desp[centro.negocio]=$B$206) *
  (desp[data.pagamento]&gt;=L$1) *
  (desp[data.pagamento]&lt;EOMONTH(L$1,0)+1)
)</f>
        <v>0</v>
      </c>
      <c r="M216" s="251" cm="1">
        <f t="array" ref="M216">-SUMPRODUCT(
  desp[valor] *
  (desp[nucleo]=$B216) *
  (desp[centro.negocio]=$B$206) *
  (desp[data.pagamento]&gt;=M$1) *
  (desp[data.pagamento]&lt;EOMONTH(M$1,0)+1)
)</f>
        <v>0</v>
      </c>
      <c r="N216" s="251" cm="1">
        <f t="array" ref="N216">-SUMPRODUCT(
  desp[valor] *
  (desp[nucleo]=$B216) *
  (desp[centro.negocio]=$B$206) *
  (desp[data.pagamento]&gt;=N$1) *
  (desp[data.pagamento]&lt;EOMONTH(N$1,0)+1)
)</f>
        <v>0</v>
      </c>
      <c r="O216" s="251" cm="1">
        <f t="array" ref="O216">-SUMPRODUCT(
  desp[valor] *
  (desp[nucleo]=$B216) *
  (desp[centro.negocio]=$B$206) *
  (desp[data.pagamento]&gt;=O$1) *
  (desp[data.pagamento]&lt;EOMONTH(O$1,0)+1)
)</f>
        <v>0</v>
      </c>
      <c r="P216" s="251" cm="1">
        <f t="array" ref="P216">-SUMPRODUCT(
  desp[valor] *
  (desp[nucleo]=$B216) *
  (desp[centro.negocio]=$B$206) *
  (desp[data.pagamento]&gt;=P$1) *
  (desp[data.pagamento]&lt;EOMONTH(P$1,0)+1)
)</f>
        <v>0</v>
      </c>
      <c r="Q216" s="251" cm="1">
        <f t="array" ref="Q216">-SUMPRODUCT(
  desp[valor] *
  (desp[nucleo]=$B216) *
  (desp[centro.negocio]=$B$206) *
  (desp[data.pagamento]&gt;=Q$1) *
  (desp[data.pagamento]&lt;EOMONTH(Q$1,0)+1)
)</f>
        <v>0</v>
      </c>
      <c r="S216" s="243">
        <f t="shared" si="55"/>
        <v>0</v>
      </c>
    </row>
    <row r="217" spans="1:19" outlineLevel="2" x14ac:dyDescent="0.25">
      <c r="A217" s="250" t="s">
        <v>801</v>
      </c>
      <c r="B217" s="250" t="s">
        <v>592</v>
      </c>
      <c r="C217" s="197" t="s">
        <v>556</v>
      </c>
      <c r="D217" s="251" cm="1">
        <f t="array" ref="D217">-SUMPRODUCT(
  desp[valor] *
  (desp[nucleo]=$B217) *
  (desp[centro.negocio]=$B$206) *
  (desp[data.pagamento]&gt;=D$1) *
  (desp[data.pagamento]&lt;EOMONTH(D$1,0)+1)
)</f>
        <v>0</v>
      </c>
      <c r="E217" s="251" cm="1">
        <f t="array" ref="E217">-SUMPRODUCT(
  desp[valor] *
  (desp[nucleo]=$B217) *
  (desp[centro.negocio]=$B$206) *
  (desp[data.pagamento]&gt;=E$1) *
  (desp[data.pagamento]&lt;EOMONTH(E$1,0)+1)
)</f>
        <v>0</v>
      </c>
      <c r="F217" s="251" cm="1">
        <f t="array" ref="F217">-SUMPRODUCT(
  desp[valor] *
  (desp[nucleo]=$B217) *
  (desp[centro.negocio]=$B$206) *
  (desp[data.pagamento]&gt;=F$1) *
  (desp[data.pagamento]&lt;EOMONTH(F$1,0)+1)
)</f>
        <v>0</v>
      </c>
      <c r="G217" s="251" cm="1">
        <f t="array" ref="G217">-SUMPRODUCT(
  desp[valor] *
  (desp[nucleo]=$B217) *
  (desp[centro.negocio]=$B$206) *
  (desp[data.pagamento]&gt;=G$1) *
  (desp[data.pagamento]&lt;EOMONTH(G$1,0)+1)
)</f>
        <v>0</v>
      </c>
      <c r="H217" s="251" cm="1">
        <f t="array" ref="H217">-SUMPRODUCT(
  desp[valor] *
  (desp[nucleo]=$B217) *
  (desp[centro.negocio]=$B$206) *
  (desp[data.pagamento]&gt;=H$1) *
  (desp[data.pagamento]&lt;EOMONTH(H$1,0)+1)
)</f>
        <v>0</v>
      </c>
      <c r="I217" s="251" cm="1">
        <f t="array" ref="I217">-SUMPRODUCT(
  desp[valor] *
  (desp[nucleo]=$B217) *
  (desp[centro.negocio]=$B$206) *
  (desp[data.pagamento]&gt;=I$1) *
  (desp[data.pagamento]&lt;EOMONTH(I$1,0)+1)
)</f>
        <v>0</v>
      </c>
      <c r="J217" s="251" cm="1">
        <f t="array" ref="J217">-SUMPRODUCT(
  desp[valor] *
  (desp[nucleo]=$B217) *
  (desp[centro.negocio]=$B$206) *
  (desp[data.pagamento]&gt;=J$1) *
  (desp[data.pagamento]&lt;EOMONTH(J$1,0)+1)
)</f>
        <v>0</v>
      </c>
      <c r="K217" s="251" cm="1">
        <f t="array" ref="K217">-SUMPRODUCT(
  desp[valor] *
  (desp[nucleo]=$B217) *
  (desp[centro.negocio]=$B$206) *
  (desp[data.pagamento]&gt;=K$1) *
  (desp[data.pagamento]&lt;EOMONTH(K$1,0)+1)
)</f>
        <v>0</v>
      </c>
      <c r="L217" s="251" cm="1">
        <f t="array" ref="L217">-SUMPRODUCT(
  desp[valor] *
  (desp[nucleo]=$B217) *
  (desp[centro.negocio]=$B$206) *
  (desp[data.pagamento]&gt;=L$1) *
  (desp[data.pagamento]&lt;EOMONTH(L$1,0)+1)
)</f>
        <v>0</v>
      </c>
      <c r="M217" s="251" cm="1">
        <f t="array" ref="M217">-SUMPRODUCT(
  desp[valor] *
  (desp[nucleo]=$B217) *
  (desp[centro.negocio]=$B$206) *
  (desp[data.pagamento]&gt;=M$1) *
  (desp[data.pagamento]&lt;EOMONTH(M$1,0)+1)
)</f>
        <v>0</v>
      </c>
      <c r="N217" s="251" cm="1">
        <f t="array" ref="N217">-SUMPRODUCT(
  desp[valor] *
  (desp[nucleo]=$B217) *
  (desp[centro.negocio]=$B$206) *
  (desp[data.pagamento]&gt;=N$1) *
  (desp[data.pagamento]&lt;EOMONTH(N$1,0)+1)
)</f>
        <v>0</v>
      </c>
      <c r="O217" s="251" cm="1">
        <f t="array" ref="O217">-SUMPRODUCT(
  desp[valor] *
  (desp[nucleo]=$B217) *
  (desp[centro.negocio]=$B$206) *
  (desp[data.pagamento]&gt;=O$1) *
  (desp[data.pagamento]&lt;EOMONTH(O$1,0)+1)
)</f>
        <v>0</v>
      </c>
      <c r="P217" s="251" cm="1">
        <f t="array" ref="P217">-SUMPRODUCT(
  desp[valor] *
  (desp[nucleo]=$B217) *
  (desp[centro.negocio]=$B$206) *
  (desp[data.pagamento]&gt;=P$1) *
  (desp[data.pagamento]&lt;EOMONTH(P$1,0)+1)
)</f>
        <v>0</v>
      </c>
      <c r="Q217" s="251" cm="1">
        <f t="array" ref="Q217">-SUMPRODUCT(
  desp[valor] *
  (desp[nucleo]=$B217) *
  (desp[centro.negocio]=$B$206) *
  (desp[data.pagamento]&gt;=Q$1) *
  (desp[data.pagamento]&lt;EOMONTH(Q$1,0)+1)
)</f>
        <v>0</v>
      </c>
      <c r="S217" s="243">
        <f t="shared" si="55"/>
        <v>0</v>
      </c>
    </row>
    <row r="218" spans="1:19" outlineLevel="2" x14ac:dyDescent="0.25">
      <c r="A218" s="250" t="s">
        <v>802</v>
      </c>
      <c r="B218" s="250" t="s">
        <v>613</v>
      </c>
      <c r="C218" s="197" t="s">
        <v>556</v>
      </c>
      <c r="D218" s="251" cm="1">
        <f t="array" ref="D218">-SUMPRODUCT(
  desp[valor] *
  (desp[nucleo]=$B218) *
  (desp[centro.negocio]=$B$206) *
  (desp[data.pagamento]&gt;=D$1) *
  (desp[data.pagamento]&lt;EOMONTH(D$1,0)+1)
)</f>
        <v>0</v>
      </c>
      <c r="E218" s="251" cm="1">
        <f t="array" ref="E218">-SUMPRODUCT(
  desp[valor] *
  (desp[nucleo]=$B218) *
  (desp[centro.negocio]=$B$206) *
  (desp[data.pagamento]&gt;=E$1) *
  (desp[data.pagamento]&lt;EOMONTH(E$1,0)+1)
)</f>
        <v>0</v>
      </c>
      <c r="F218" s="251" cm="1">
        <f t="array" ref="F218">-SUMPRODUCT(
  desp[valor] *
  (desp[nucleo]=$B218) *
  (desp[centro.negocio]=$B$206) *
  (desp[data.pagamento]&gt;=F$1) *
  (desp[data.pagamento]&lt;EOMONTH(F$1,0)+1)
)</f>
        <v>0</v>
      </c>
      <c r="G218" s="251" cm="1">
        <f t="array" ref="G218">-SUMPRODUCT(
  desp[valor] *
  (desp[nucleo]=$B218) *
  (desp[centro.negocio]=$B$206) *
  (desp[data.pagamento]&gt;=G$1) *
  (desp[data.pagamento]&lt;EOMONTH(G$1,0)+1)
)</f>
        <v>0</v>
      </c>
      <c r="H218" s="251" cm="1">
        <f t="array" ref="H218">-SUMPRODUCT(
  desp[valor] *
  (desp[nucleo]=$B218) *
  (desp[centro.negocio]=$B$206) *
  (desp[data.pagamento]&gt;=H$1) *
  (desp[data.pagamento]&lt;EOMONTH(H$1,0)+1)
)</f>
        <v>0</v>
      </c>
      <c r="I218" s="251" cm="1">
        <f t="array" ref="I218">-SUMPRODUCT(
  desp[valor] *
  (desp[nucleo]=$B218) *
  (desp[centro.negocio]=$B$206) *
  (desp[data.pagamento]&gt;=I$1) *
  (desp[data.pagamento]&lt;EOMONTH(I$1,0)+1)
)</f>
        <v>0</v>
      </c>
      <c r="J218" s="251" cm="1">
        <f t="array" ref="J218">-SUMPRODUCT(
  desp[valor] *
  (desp[nucleo]=$B218) *
  (desp[centro.negocio]=$B$206) *
  (desp[data.pagamento]&gt;=J$1) *
  (desp[data.pagamento]&lt;EOMONTH(J$1,0)+1)
)</f>
        <v>0</v>
      </c>
      <c r="K218" s="251" cm="1">
        <f t="array" ref="K218">-SUMPRODUCT(
  desp[valor] *
  (desp[nucleo]=$B218) *
  (desp[centro.negocio]=$B$206) *
  (desp[data.pagamento]&gt;=K$1) *
  (desp[data.pagamento]&lt;EOMONTH(K$1,0)+1)
)</f>
        <v>0</v>
      </c>
      <c r="L218" s="251" cm="1">
        <f t="array" ref="L218">-SUMPRODUCT(
  desp[valor] *
  (desp[nucleo]=$B218) *
  (desp[centro.negocio]=$B$206) *
  (desp[data.pagamento]&gt;=L$1) *
  (desp[data.pagamento]&lt;EOMONTH(L$1,0)+1)
)</f>
        <v>0</v>
      </c>
      <c r="M218" s="251" cm="1">
        <f t="array" ref="M218">-SUMPRODUCT(
  desp[valor] *
  (desp[nucleo]=$B218) *
  (desp[centro.negocio]=$B$206) *
  (desp[data.pagamento]&gt;=M$1) *
  (desp[data.pagamento]&lt;EOMONTH(M$1,0)+1)
)</f>
        <v>0</v>
      </c>
      <c r="N218" s="251" cm="1">
        <f t="array" ref="N218">-SUMPRODUCT(
  desp[valor] *
  (desp[nucleo]=$B218) *
  (desp[centro.negocio]=$B$206) *
  (desp[data.pagamento]&gt;=N$1) *
  (desp[data.pagamento]&lt;EOMONTH(N$1,0)+1)
)</f>
        <v>0</v>
      </c>
      <c r="O218" s="251" cm="1">
        <f t="array" ref="O218">-SUMPRODUCT(
  desp[valor] *
  (desp[nucleo]=$B218) *
  (desp[centro.negocio]=$B$206) *
  (desp[data.pagamento]&gt;=O$1) *
  (desp[data.pagamento]&lt;EOMONTH(O$1,0)+1)
)</f>
        <v>0</v>
      </c>
      <c r="P218" s="251" cm="1">
        <f t="array" ref="P218">-SUMPRODUCT(
  desp[valor] *
  (desp[nucleo]=$B218) *
  (desp[centro.negocio]=$B$206) *
  (desp[data.pagamento]&gt;=P$1) *
  (desp[data.pagamento]&lt;EOMONTH(P$1,0)+1)
)</f>
        <v>0</v>
      </c>
      <c r="Q218" s="251" cm="1">
        <f t="array" ref="Q218">-SUMPRODUCT(
  desp[valor] *
  (desp[nucleo]=$B218) *
  (desp[centro.negocio]=$B$206) *
  (desp[data.pagamento]&gt;=Q$1) *
  (desp[data.pagamento]&lt;EOMONTH(Q$1,0)+1)
)</f>
        <v>0</v>
      </c>
      <c r="S218" s="243">
        <f t="shared" si="55"/>
        <v>0</v>
      </c>
    </row>
    <row r="219" spans="1:19" outlineLevel="2" x14ac:dyDescent="0.25">
      <c r="A219" s="250" t="s">
        <v>803</v>
      </c>
      <c r="B219" s="250" t="s">
        <v>588</v>
      </c>
      <c r="C219" s="197" t="s">
        <v>556</v>
      </c>
      <c r="D219" s="251" cm="1">
        <f t="array" ref="D219">-SUMPRODUCT(
  desp[valor] *
  (desp[nucleo]=$B219) *
  (desp[centro.negocio]=$B$206) *
  (desp[data.pagamento]&gt;=D$1) *
  (desp[data.pagamento]&lt;EOMONTH(D$1,0)+1)
)</f>
        <v>0</v>
      </c>
      <c r="E219" s="251" cm="1">
        <f t="array" ref="E219">-SUMPRODUCT(
  desp[valor] *
  (desp[nucleo]=$B219) *
  (desp[centro.negocio]=$B$206) *
  (desp[data.pagamento]&gt;=E$1) *
  (desp[data.pagamento]&lt;EOMONTH(E$1,0)+1)
)</f>
        <v>0</v>
      </c>
      <c r="F219" s="251" cm="1">
        <f t="array" ref="F219">-SUMPRODUCT(
  desp[valor] *
  (desp[nucleo]=$B219) *
  (desp[centro.negocio]=$B$206) *
  (desp[data.pagamento]&gt;=F$1) *
  (desp[data.pagamento]&lt;EOMONTH(F$1,0)+1)
)</f>
        <v>0</v>
      </c>
      <c r="G219" s="251" cm="1">
        <f t="array" ref="G219">-SUMPRODUCT(
  desp[valor] *
  (desp[nucleo]=$B219) *
  (desp[centro.negocio]=$B$206) *
  (desp[data.pagamento]&gt;=G$1) *
  (desp[data.pagamento]&lt;EOMONTH(G$1,0)+1)
)</f>
        <v>0</v>
      </c>
      <c r="H219" s="251" cm="1">
        <f t="array" ref="H219">-SUMPRODUCT(
  desp[valor] *
  (desp[nucleo]=$B219) *
  (desp[centro.negocio]=$B$206) *
  (desp[data.pagamento]&gt;=H$1) *
  (desp[data.pagamento]&lt;EOMONTH(H$1,0)+1)
)</f>
        <v>0</v>
      </c>
      <c r="I219" s="251" cm="1">
        <f t="array" ref="I219">-SUMPRODUCT(
  desp[valor] *
  (desp[nucleo]=$B219) *
  (desp[centro.negocio]=$B$206) *
  (desp[data.pagamento]&gt;=I$1) *
  (desp[data.pagamento]&lt;EOMONTH(I$1,0)+1)
)</f>
        <v>0</v>
      </c>
      <c r="J219" s="251" cm="1">
        <f t="array" ref="J219">-SUMPRODUCT(
  desp[valor] *
  (desp[nucleo]=$B219) *
  (desp[centro.negocio]=$B$206) *
  (desp[data.pagamento]&gt;=J$1) *
  (desp[data.pagamento]&lt;EOMONTH(J$1,0)+1)
)</f>
        <v>0</v>
      </c>
      <c r="K219" s="251" cm="1">
        <f t="array" ref="K219">-SUMPRODUCT(
  desp[valor] *
  (desp[nucleo]=$B219) *
  (desp[centro.negocio]=$B$206) *
  (desp[data.pagamento]&gt;=K$1) *
  (desp[data.pagamento]&lt;EOMONTH(K$1,0)+1)
)</f>
        <v>0</v>
      </c>
      <c r="L219" s="251" cm="1">
        <f t="array" ref="L219">-SUMPRODUCT(
  desp[valor] *
  (desp[nucleo]=$B219) *
  (desp[centro.negocio]=$B$206) *
  (desp[data.pagamento]&gt;=L$1) *
  (desp[data.pagamento]&lt;EOMONTH(L$1,0)+1)
)</f>
        <v>0</v>
      </c>
      <c r="M219" s="251" cm="1">
        <f t="array" ref="M219">-SUMPRODUCT(
  desp[valor] *
  (desp[nucleo]=$B219) *
  (desp[centro.negocio]=$B$206) *
  (desp[data.pagamento]&gt;=M$1) *
  (desp[data.pagamento]&lt;EOMONTH(M$1,0)+1)
)</f>
        <v>0</v>
      </c>
      <c r="N219" s="251" cm="1">
        <f t="array" ref="N219">-SUMPRODUCT(
  desp[valor] *
  (desp[nucleo]=$B219) *
  (desp[centro.negocio]=$B$206) *
  (desp[data.pagamento]&gt;=N$1) *
  (desp[data.pagamento]&lt;EOMONTH(N$1,0)+1)
)</f>
        <v>0</v>
      </c>
      <c r="O219" s="251" cm="1">
        <f t="array" ref="O219">-SUMPRODUCT(
  desp[valor] *
  (desp[nucleo]=$B219) *
  (desp[centro.negocio]=$B$206) *
  (desp[data.pagamento]&gt;=O$1) *
  (desp[data.pagamento]&lt;EOMONTH(O$1,0)+1)
)</f>
        <v>0</v>
      </c>
      <c r="P219" s="251" cm="1">
        <f t="array" ref="P219">-SUMPRODUCT(
  desp[valor] *
  (desp[nucleo]=$B219) *
  (desp[centro.negocio]=$B$206) *
  (desp[data.pagamento]&gt;=P$1) *
  (desp[data.pagamento]&lt;EOMONTH(P$1,0)+1)
)</f>
        <v>0</v>
      </c>
      <c r="Q219" s="251" cm="1">
        <f t="array" ref="Q219">-SUMPRODUCT(
  desp[valor] *
  (desp[nucleo]=$B219) *
  (desp[centro.negocio]=$B$206) *
  (desp[data.pagamento]&gt;=Q$1) *
  (desp[data.pagamento]&lt;EOMONTH(Q$1,0)+1)
)</f>
        <v>0</v>
      </c>
      <c r="S219" s="243">
        <f t="shared" si="55"/>
        <v>0</v>
      </c>
    </row>
    <row r="220" spans="1:19" outlineLevel="2" x14ac:dyDescent="0.25">
      <c r="A220" s="250" t="s">
        <v>804</v>
      </c>
      <c r="B220" s="250" t="s">
        <v>805</v>
      </c>
      <c r="C220" s="197" t="s">
        <v>556</v>
      </c>
      <c r="D220" s="251" cm="1">
        <f t="array" ref="D220">-SUMPRODUCT(
  desp[valor] *
  (desp[nucleo]=$B220) *
  (desp[centro.negocio]=$B$206) *
  (desp[data.pagamento]&gt;=D$1) *
  (desp[data.pagamento]&lt;EOMONTH(D$1,0)+1)
)</f>
        <v>0</v>
      </c>
      <c r="E220" s="251" cm="1">
        <f t="array" ref="E220">-SUMPRODUCT(
  desp[valor] *
  (desp[nucleo]=$B220) *
  (desp[centro.negocio]=$B$206) *
  (desp[data.pagamento]&gt;=E$1) *
  (desp[data.pagamento]&lt;EOMONTH(E$1,0)+1)
)</f>
        <v>0</v>
      </c>
      <c r="F220" s="251" cm="1">
        <f t="array" ref="F220">-SUMPRODUCT(
  desp[valor] *
  (desp[nucleo]=$B220) *
  (desp[centro.negocio]=$B$206) *
  (desp[data.pagamento]&gt;=F$1) *
  (desp[data.pagamento]&lt;EOMONTH(F$1,0)+1)
)</f>
        <v>0</v>
      </c>
      <c r="G220" s="251" cm="1">
        <f t="array" ref="G220">-SUMPRODUCT(
  desp[valor] *
  (desp[nucleo]=$B220) *
  (desp[centro.negocio]=$B$206) *
  (desp[data.pagamento]&gt;=G$1) *
  (desp[data.pagamento]&lt;EOMONTH(G$1,0)+1)
)</f>
        <v>0</v>
      </c>
      <c r="H220" s="251" cm="1">
        <f t="array" ref="H220">-SUMPRODUCT(
  desp[valor] *
  (desp[nucleo]=$B220) *
  (desp[centro.negocio]=$B$206) *
  (desp[data.pagamento]&gt;=H$1) *
  (desp[data.pagamento]&lt;EOMONTH(H$1,0)+1)
)</f>
        <v>0</v>
      </c>
      <c r="I220" s="251" cm="1">
        <f t="array" ref="I220">-SUMPRODUCT(
  desp[valor] *
  (desp[nucleo]=$B220) *
  (desp[centro.negocio]=$B$206) *
  (desp[data.pagamento]&gt;=I$1) *
  (desp[data.pagamento]&lt;EOMONTH(I$1,0)+1)
)</f>
        <v>0</v>
      </c>
      <c r="J220" s="251" cm="1">
        <f t="array" ref="J220">-SUMPRODUCT(
  desp[valor] *
  (desp[nucleo]=$B220) *
  (desp[centro.negocio]=$B$206) *
  (desp[data.pagamento]&gt;=J$1) *
  (desp[data.pagamento]&lt;EOMONTH(J$1,0)+1)
)</f>
        <v>0</v>
      </c>
      <c r="K220" s="251" cm="1">
        <f t="array" ref="K220">-SUMPRODUCT(
  desp[valor] *
  (desp[nucleo]=$B220) *
  (desp[centro.negocio]=$B$206) *
  (desp[data.pagamento]&gt;=K$1) *
  (desp[data.pagamento]&lt;EOMONTH(K$1,0)+1)
)</f>
        <v>0</v>
      </c>
      <c r="L220" s="251" cm="1">
        <f t="array" ref="L220">-SUMPRODUCT(
  desp[valor] *
  (desp[nucleo]=$B220) *
  (desp[centro.negocio]=$B$206) *
  (desp[data.pagamento]&gt;=L$1) *
  (desp[data.pagamento]&lt;EOMONTH(L$1,0)+1)
)</f>
        <v>0</v>
      </c>
      <c r="M220" s="251" cm="1">
        <f t="array" ref="M220">-SUMPRODUCT(
  desp[valor] *
  (desp[nucleo]=$B220) *
  (desp[centro.negocio]=$B$206) *
  (desp[data.pagamento]&gt;=M$1) *
  (desp[data.pagamento]&lt;EOMONTH(M$1,0)+1)
)</f>
        <v>0</v>
      </c>
      <c r="N220" s="251" cm="1">
        <f t="array" ref="N220">-SUMPRODUCT(
  desp[valor] *
  (desp[nucleo]=$B220) *
  (desp[centro.negocio]=$B$206) *
  (desp[data.pagamento]&gt;=N$1) *
  (desp[data.pagamento]&lt;EOMONTH(N$1,0)+1)
)</f>
        <v>0</v>
      </c>
      <c r="O220" s="251" cm="1">
        <f t="array" ref="O220">-SUMPRODUCT(
  desp[valor] *
  (desp[nucleo]=$B220) *
  (desp[centro.negocio]=$B$206) *
  (desp[data.pagamento]&gt;=O$1) *
  (desp[data.pagamento]&lt;EOMONTH(O$1,0)+1)
)</f>
        <v>0</v>
      </c>
      <c r="P220" s="251" cm="1">
        <f t="array" ref="P220">-SUMPRODUCT(
  desp[valor] *
  (desp[nucleo]=$B220) *
  (desp[centro.negocio]=$B$206) *
  (desp[data.pagamento]&gt;=P$1) *
  (desp[data.pagamento]&lt;EOMONTH(P$1,0)+1)
)</f>
        <v>0</v>
      </c>
      <c r="Q220" s="251" cm="1">
        <f t="array" ref="Q220">-SUMPRODUCT(
  desp[valor] *
  (desp[nucleo]=$B220) *
  (desp[centro.negocio]=$B$206) *
  (desp[data.pagamento]&gt;=Q$1) *
  (desp[data.pagamento]&lt;EOMONTH(Q$1,0)+1)
)</f>
        <v>0</v>
      </c>
      <c r="S220" s="243">
        <f t="shared" si="55"/>
        <v>0</v>
      </c>
    </row>
    <row r="221" spans="1:19" outlineLevel="2" x14ac:dyDescent="0.25">
      <c r="A221" s="250" t="s">
        <v>806</v>
      </c>
      <c r="B221" s="250" t="s">
        <v>598</v>
      </c>
      <c r="C221" s="197" t="s">
        <v>556</v>
      </c>
      <c r="D221" s="251" cm="1">
        <f t="array" ref="D221">-SUMPRODUCT(
  desp[valor] *
  (desp[nucleo]=$B221) *
  (desp[centro.negocio]=$B$206) *
  (desp[data.pagamento]&gt;=D$1) *
  (desp[data.pagamento]&lt;EOMONTH(D$1,0)+1)
)</f>
        <v>0</v>
      </c>
      <c r="E221" s="251" cm="1">
        <f t="array" ref="E221">-SUMPRODUCT(
  desp[valor] *
  (desp[nucleo]=$B221) *
  (desp[centro.negocio]=$B$206) *
  (desp[data.pagamento]&gt;=E$1) *
  (desp[data.pagamento]&lt;EOMONTH(E$1,0)+1)
)</f>
        <v>0</v>
      </c>
      <c r="F221" s="251" cm="1">
        <f t="array" ref="F221">-SUMPRODUCT(
  desp[valor] *
  (desp[nucleo]=$B221) *
  (desp[centro.negocio]=$B$206) *
  (desp[data.pagamento]&gt;=F$1) *
  (desp[data.pagamento]&lt;EOMONTH(F$1,0)+1)
)</f>
        <v>0</v>
      </c>
      <c r="G221" s="251" cm="1">
        <f t="array" ref="G221">-SUMPRODUCT(
  desp[valor] *
  (desp[nucleo]=$B221) *
  (desp[centro.negocio]=$B$206) *
  (desp[data.pagamento]&gt;=G$1) *
  (desp[data.pagamento]&lt;EOMONTH(G$1,0)+1)
)</f>
        <v>0</v>
      </c>
      <c r="H221" s="251" cm="1">
        <f t="array" ref="H221">-SUMPRODUCT(
  desp[valor] *
  (desp[nucleo]=$B221) *
  (desp[centro.negocio]=$B$206) *
  (desp[data.pagamento]&gt;=H$1) *
  (desp[data.pagamento]&lt;EOMONTH(H$1,0)+1)
)</f>
        <v>0</v>
      </c>
      <c r="I221" s="251" cm="1">
        <f t="array" ref="I221">-SUMPRODUCT(
  desp[valor] *
  (desp[nucleo]=$B221) *
  (desp[centro.negocio]=$B$206) *
  (desp[data.pagamento]&gt;=I$1) *
  (desp[data.pagamento]&lt;EOMONTH(I$1,0)+1)
)</f>
        <v>0</v>
      </c>
      <c r="J221" s="251" cm="1">
        <f t="array" ref="J221">-SUMPRODUCT(
  desp[valor] *
  (desp[nucleo]=$B221) *
  (desp[centro.negocio]=$B$206) *
  (desp[data.pagamento]&gt;=J$1) *
  (desp[data.pagamento]&lt;EOMONTH(J$1,0)+1)
)</f>
        <v>0</v>
      </c>
      <c r="K221" s="251" cm="1">
        <f t="array" ref="K221">-SUMPRODUCT(
  desp[valor] *
  (desp[nucleo]=$B221) *
  (desp[centro.negocio]=$B$206) *
  (desp[data.pagamento]&gt;=K$1) *
  (desp[data.pagamento]&lt;EOMONTH(K$1,0)+1)
)</f>
        <v>0</v>
      </c>
      <c r="L221" s="251" cm="1">
        <f t="array" ref="L221">-SUMPRODUCT(
  desp[valor] *
  (desp[nucleo]=$B221) *
  (desp[centro.negocio]=$B$206) *
  (desp[data.pagamento]&gt;=L$1) *
  (desp[data.pagamento]&lt;EOMONTH(L$1,0)+1)
)</f>
        <v>0</v>
      </c>
      <c r="M221" s="251" cm="1">
        <f t="array" ref="M221">-SUMPRODUCT(
  desp[valor] *
  (desp[nucleo]=$B221) *
  (desp[centro.negocio]=$B$206) *
  (desp[data.pagamento]&gt;=M$1) *
  (desp[data.pagamento]&lt;EOMONTH(M$1,0)+1)
)</f>
        <v>0</v>
      </c>
      <c r="N221" s="251" cm="1">
        <f t="array" ref="N221">-SUMPRODUCT(
  desp[valor] *
  (desp[nucleo]=$B221) *
  (desp[centro.negocio]=$B$206) *
  (desp[data.pagamento]&gt;=N$1) *
  (desp[data.pagamento]&lt;EOMONTH(N$1,0)+1)
)</f>
        <v>0</v>
      </c>
      <c r="O221" s="251" cm="1">
        <f t="array" ref="O221">-SUMPRODUCT(
  desp[valor] *
  (desp[nucleo]=$B221) *
  (desp[centro.negocio]=$B$206) *
  (desp[data.pagamento]&gt;=O$1) *
  (desp[data.pagamento]&lt;EOMONTH(O$1,0)+1)
)</f>
        <v>0</v>
      </c>
      <c r="P221" s="251" cm="1">
        <f t="array" ref="P221">-SUMPRODUCT(
  desp[valor] *
  (desp[nucleo]=$B221) *
  (desp[centro.negocio]=$B$206) *
  (desp[data.pagamento]&gt;=P$1) *
  (desp[data.pagamento]&lt;EOMONTH(P$1,0)+1)
)</f>
        <v>0</v>
      </c>
      <c r="Q221" s="251" cm="1">
        <f t="array" ref="Q221">-SUMPRODUCT(
  desp[valor] *
  (desp[nucleo]=$B221) *
  (desp[centro.negocio]=$B$206) *
  (desp[data.pagamento]&gt;=Q$1) *
  (desp[data.pagamento]&lt;EOMONTH(Q$1,0)+1)
)</f>
        <v>0</v>
      </c>
      <c r="S221" s="243">
        <f t="shared" si="55"/>
        <v>0</v>
      </c>
    </row>
    <row r="222" spans="1:19" outlineLevel="1" x14ac:dyDescent="0.25">
      <c r="A222" s="247" t="s">
        <v>807</v>
      </c>
      <c r="B222" s="258" t="s">
        <v>808</v>
      </c>
      <c r="C222" s="197"/>
      <c r="D222" s="251"/>
      <c r="E222" s="251"/>
      <c r="F222" s="251"/>
      <c r="G222" s="251"/>
      <c r="H222" s="251"/>
      <c r="I222" s="251"/>
      <c r="J222" s="251"/>
      <c r="K222" s="251"/>
      <c r="L222" s="251"/>
      <c r="M222" s="251"/>
      <c r="N222" s="251"/>
      <c r="O222" s="251"/>
      <c r="P222" s="251"/>
      <c r="Q222" s="251"/>
      <c r="S222" s="243">
        <f t="shared" si="55"/>
        <v>0</v>
      </c>
    </row>
    <row r="223" spans="1:19" ht="15.75" thickBot="1" x14ac:dyDescent="0.3">
      <c r="A223" s="237"/>
      <c r="B223" s="237" t="s">
        <v>809</v>
      </c>
      <c r="C223" s="264"/>
      <c r="D223" s="265">
        <f t="shared" ref="D223:Q223" ca="1" si="58">D$2+D$158+D$182</f>
        <v>1368024.05</v>
      </c>
      <c r="E223" s="265">
        <f t="shared" ca="1" si="58"/>
        <v>102314.88</v>
      </c>
      <c r="F223" s="265">
        <f t="shared" ca="1" si="58"/>
        <v>868976.02</v>
      </c>
      <c r="G223" s="265">
        <f t="shared" ca="1" si="58"/>
        <v>3770012.18</v>
      </c>
      <c r="H223" s="265">
        <f t="shared" ca="1" si="58"/>
        <v>6876868.8100000005</v>
      </c>
      <c r="I223" s="265">
        <f t="shared" ca="1" si="58"/>
        <v>3463508.48</v>
      </c>
      <c r="J223" s="265">
        <f t="shared" ca="1" si="58"/>
        <v>2746945.21</v>
      </c>
      <c r="K223" s="265">
        <f t="shared" ca="1" si="58"/>
        <v>8859782.6399999987</v>
      </c>
      <c r="L223" s="265">
        <f t="shared" ca="1" si="58"/>
        <v>1572184.21</v>
      </c>
      <c r="M223" s="265">
        <f t="shared" ca="1" si="58"/>
        <v>4119553.0399999996</v>
      </c>
      <c r="N223" s="265">
        <f t="shared" ca="1" si="58"/>
        <v>-3018398.11</v>
      </c>
      <c r="O223" s="265">
        <f t="shared" ca="1" si="58"/>
        <v>796645.68</v>
      </c>
      <c r="P223" s="265">
        <f t="shared" ca="1" si="58"/>
        <v>1318482.03</v>
      </c>
      <c r="Q223" s="265">
        <f t="shared" ca="1" si="58"/>
        <v>923837.59000000008</v>
      </c>
      <c r="S223" s="266">
        <f ca="1">SUM(D223:Q223)</f>
        <v>33768736.710000008</v>
      </c>
    </row>
    <row r="224" spans="1:19" x14ac:dyDescent="0.25">
      <c r="A224" s="267"/>
      <c r="B224" s="267" t="s">
        <v>810</v>
      </c>
      <c r="C224" s="268"/>
      <c r="D224" s="251"/>
      <c r="E224" s="251"/>
      <c r="F224" s="251"/>
      <c r="G224" s="251"/>
      <c r="H224" s="251"/>
      <c r="I224" s="251"/>
      <c r="J224" s="251"/>
      <c r="K224" s="251"/>
      <c r="L224" s="251"/>
      <c r="M224" s="251"/>
      <c r="N224" s="251"/>
      <c r="O224" s="251"/>
      <c r="P224" s="251"/>
      <c r="Q224" s="251"/>
    </row>
    <row r="225" spans="1:17" x14ac:dyDescent="0.25">
      <c r="A225" s="267"/>
      <c r="B225" s="267" t="s">
        <v>811</v>
      </c>
      <c r="C225" s="268"/>
      <c r="D225" s="251"/>
      <c r="E225" s="251"/>
      <c r="F225" s="251"/>
      <c r="G225" s="251"/>
      <c r="H225" s="251"/>
      <c r="I225" s="251"/>
      <c r="J225" s="251"/>
      <c r="K225" s="251"/>
      <c r="L225" s="251"/>
      <c r="M225" s="251"/>
      <c r="N225" s="251"/>
      <c r="O225" s="251"/>
      <c r="P225" s="251"/>
      <c r="Q225" s="251"/>
    </row>
  </sheetData>
  <pageMargins left="0.511811024" right="0.511811024" top="0.78740157499999996" bottom="0.78740157499999996" header="0.31496062000000002" footer="0.31496062000000002"/>
  <ignoredErrors>
    <ignoredError sqref="S8 S189" formula="1"/>
  </ignoredErrors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N80"/>
  <sheetViews>
    <sheetView workbookViewId="0"/>
  </sheetViews>
  <sheetFormatPr defaultRowHeight="15" x14ac:dyDescent="0.25"/>
  <cols>
    <col min="1" max="1" width="25.85546875" bestFit="1" customWidth="1"/>
    <col min="2" max="2" width="25.85546875" customWidth="1"/>
    <col min="3" max="3" width="12.28515625" bestFit="1" customWidth="1"/>
    <col min="7" max="8" width="48.7109375" customWidth="1"/>
    <col min="9" max="9" width="12.28515625" bestFit="1" customWidth="1"/>
    <col min="13" max="13" width="22.28515625" bestFit="1" customWidth="1"/>
    <col min="14" max="14" width="36.28515625" customWidth="1"/>
  </cols>
  <sheetData>
    <row r="1" spans="1:14" x14ac:dyDescent="0.25">
      <c r="A1" s="213" t="s">
        <v>528</v>
      </c>
      <c r="B1" s="214">
        <f>DATE(2025,1,1)</f>
        <v>45658</v>
      </c>
      <c r="G1" s="215" t="s">
        <v>529</v>
      </c>
      <c r="H1" s="216" t="s">
        <v>530</v>
      </c>
      <c r="M1" s="213" t="s">
        <v>531</v>
      </c>
      <c r="N1" s="213" t="s">
        <v>392</v>
      </c>
    </row>
    <row r="2" spans="1:14" x14ac:dyDescent="0.25">
      <c r="A2" s="213" t="s">
        <v>532</v>
      </c>
      <c r="B2" s="214">
        <f>DATE(2025,12,31)</f>
        <v>46022</v>
      </c>
      <c r="G2" s="217" t="s">
        <v>533</v>
      </c>
      <c r="H2" s="218" t="s">
        <v>534</v>
      </c>
    </row>
    <row r="3" spans="1:14" x14ac:dyDescent="0.25">
      <c r="M3" t="e" cm="1" vm="1">
        <f t="array" ref="M3">_xlfn._xlws.SORT(
  _xlfn.UNIQUE(
    _xlfn._xlws.FILTER(
      desp[nucleo],
      (desp[centro.negocio]=$N$1) * (desp[data.pagamento]&gt;='n&amp;cn'!$B$1) * (desp[data.pagamento]&lt;='n&amp;cn'!$B$2)
    )
  )
)</f>
        <v>#VALUE!</v>
      </c>
      <c r="N3">
        <f>COUNTA($M$3:$M$100)</f>
        <v>1</v>
      </c>
    </row>
    <row r="4" spans="1:14" x14ac:dyDescent="0.25">
      <c r="A4" s="219" t="s">
        <v>535</v>
      </c>
      <c r="B4" s="219"/>
      <c r="G4" s="219" t="s">
        <v>537</v>
      </c>
      <c r="H4" s="220"/>
    </row>
    <row r="5" spans="1:14" x14ac:dyDescent="0.25">
      <c r="A5" s="221" t="s">
        <v>538</v>
      </c>
      <c r="B5" s="222" t="s">
        <v>539</v>
      </c>
      <c r="C5" s="223"/>
      <c r="G5" s="221" t="s">
        <v>538</v>
      </c>
      <c r="H5" s="222" t="s">
        <v>539</v>
      </c>
      <c r="I5" s="223"/>
    </row>
    <row r="6" spans="1:14" x14ac:dyDescent="0.25">
      <c r="A6" s="224" t="e" cm="1" vm="1">
        <f t="array" ref="A6">_xlfn._xlws.SORT(
   _xlfn.UNIQUE(
      _xlfn._xlws.FILTER(
         desp[nucleo],
         (desp[data.pagamento] &gt;= B1) *
         (desp[data.pagamento] &lt;= B2)
      )
   )
)</f>
        <v>#VALUE!</v>
      </c>
      <c r="B6" s="226" t="e" cm="1" vm="1">
        <f t="array" ref="B6">_xlfn.LET(_xlpm.ini,$B$1,_xlpm.fim,$B$2,
_xlpm.msk,(desp[data.pagamento]&gt;=_xlpm.ini)*(desp[data.pagamento]&lt;=_xlpm.fim),
_xlpm.nucs,_xlfn.UNIQUE(_xlfn._xlws.FILTER(desp[nucleo],_xlpm.msk)),
_xlpm.tot,SUMIFS(desp[valor],desp[nucleo],_xlpm.nucs,desp[data.pagamento],"&gt;="&amp;_xlpm.ini,desp[data.pagamento],"&lt;="&amp;_xlpm.fim),
_xlfn.SORTBY(_xlfn.HSTACK(_xlpm.nucs,_xlpm.tot),_xlpm.tot,-1))</f>
        <v>#VALUE!</v>
      </c>
      <c r="C6" s="227"/>
      <c r="D6" s="230" t="e">
        <f>$C6/SUM($C$6:$C$43)</f>
        <v>#DIV/0!</v>
      </c>
      <c r="E6" s="230" t="e">
        <f>SUM($D$6:$D6)</f>
        <v>#DIV/0!</v>
      </c>
      <c r="G6" s="231" t="e" cm="1" vm="1">
        <f t="array" ref="G6">_xlfn._xlws.SORT(
   _xlfn.UNIQUE(
      _xlfn._xlws.FILTER(
         desp[centro.negocio],
         (desp[data.pagamento] &gt;= $B$1) *
         (desp[data.pagamento] &lt;= $B$2)
      )
   )
)</f>
        <v>#VALUE!</v>
      </c>
      <c r="H6" s="233" t="e" cm="1" vm="1">
        <f t="array" ref="H6">_xlfn.LET(_xlpm.ini,$B$1,_xlpm.fim,$B$2,
_xlpm.msk,(desp[data.pagamento]&gt;=_xlpm.ini)*(desp[data.pagamento]&lt;=_xlpm.fim),
_xlpm.cns,_xlfn.UNIQUE(_xlfn._xlws.FILTER(desp[centro.negocio],_xlpm.msk)),
_xlpm.tot,SUMIFS(desp[valor],desp[centro.negocio],_xlpm.cns,desp[data.pagamento],"&gt;="&amp;_xlpm.ini,desp[data.pagamento],"&lt;="&amp;_xlpm.fim),
_xlfn.SORTBY(_xlfn.HSTACK(_xlpm.cns,_xlpm.tot),_xlpm.tot,-1))</f>
        <v>#VALUE!</v>
      </c>
      <c r="I6" s="227"/>
      <c r="J6" s="230" t="e">
        <f>$I6/SUM($I$6:$I$80)</f>
        <v>#DIV/0!</v>
      </c>
      <c r="K6" s="230" t="e">
        <f>SUM($J$6:$J6)</f>
        <v>#DIV/0!</v>
      </c>
    </row>
    <row r="7" spans="1:14" x14ac:dyDescent="0.25">
      <c r="A7" s="224"/>
      <c r="B7" s="226"/>
      <c r="C7" s="227"/>
      <c r="D7" s="230" t="e">
        <f t="shared" ref="D7:D43" si="0">$C7/SUM($C$6:$C$43)</f>
        <v>#DIV/0!</v>
      </c>
      <c r="E7" s="230" t="e">
        <f>SUM($D$6:$D7)</f>
        <v>#DIV/0!</v>
      </c>
      <c r="G7" s="231"/>
      <c r="H7" s="234"/>
      <c r="I7" s="227"/>
      <c r="J7" s="230" t="e">
        <f t="shared" ref="J7:J70" si="1">$I7/SUM($I$6:$I$80)</f>
        <v>#DIV/0!</v>
      </c>
      <c r="K7" s="230" t="e">
        <f>SUM($J$6:$J7)</f>
        <v>#DIV/0!</v>
      </c>
    </row>
    <row r="8" spans="1:14" x14ac:dyDescent="0.25">
      <c r="A8" s="224"/>
      <c r="B8" s="226"/>
      <c r="C8" s="227"/>
      <c r="D8" s="230" t="e">
        <f t="shared" si="0"/>
        <v>#DIV/0!</v>
      </c>
      <c r="E8" s="230" t="e">
        <f>SUM($D$6:$D8)</f>
        <v>#DIV/0!</v>
      </c>
      <c r="G8" s="231"/>
      <c r="H8" s="235"/>
      <c r="I8" s="227"/>
      <c r="J8" s="230" t="e">
        <f t="shared" si="1"/>
        <v>#DIV/0!</v>
      </c>
      <c r="K8" s="230" t="e">
        <f>SUM($J$6:$J8)</f>
        <v>#DIV/0!</v>
      </c>
    </row>
    <row r="9" spans="1:14" x14ac:dyDescent="0.25">
      <c r="A9" s="224"/>
      <c r="B9" s="226"/>
      <c r="C9" s="227"/>
      <c r="D9" s="230" t="e">
        <f t="shared" si="0"/>
        <v>#DIV/0!</v>
      </c>
      <c r="E9" s="230" t="e">
        <f>SUM($D$6:$D9)</f>
        <v>#DIV/0!</v>
      </c>
      <c r="G9" s="231"/>
      <c r="H9" s="234"/>
      <c r="I9" s="227"/>
      <c r="J9" s="230" t="e">
        <f t="shared" si="1"/>
        <v>#DIV/0!</v>
      </c>
      <c r="K9" s="230" t="e">
        <f>SUM($J$6:$J9)</f>
        <v>#DIV/0!</v>
      </c>
    </row>
    <row r="10" spans="1:14" x14ac:dyDescent="0.25">
      <c r="A10" s="224"/>
      <c r="B10" s="226"/>
      <c r="C10" s="227"/>
      <c r="D10" s="230" t="e">
        <f t="shared" si="0"/>
        <v>#DIV/0!</v>
      </c>
      <c r="E10" s="230" t="e">
        <f>SUM($D$6:$D10)</f>
        <v>#DIV/0!</v>
      </c>
      <c r="G10" s="231"/>
      <c r="H10" s="233"/>
      <c r="I10" s="227"/>
      <c r="J10" s="230" t="e">
        <f t="shared" si="1"/>
        <v>#DIV/0!</v>
      </c>
      <c r="K10" s="230" t="e">
        <f>SUM($J$6:$J10)</f>
        <v>#DIV/0!</v>
      </c>
    </row>
    <row r="11" spans="1:14" x14ac:dyDescent="0.25">
      <c r="A11" s="224"/>
      <c r="B11" s="226"/>
      <c r="C11" s="227"/>
      <c r="D11" s="230" t="e">
        <f t="shared" si="0"/>
        <v>#DIV/0!</v>
      </c>
      <c r="E11" s="230" t="e">
        <f>SUM($D$6:$D11)</f>
        <v>#DIV/0!</v>
      </c>
      <c r="G11" s="231"/>
      <c r="H11" s="233"/>
      <c r="I11" s="227"/>
      <c r="J11" s="230" t="e">
        <f t="shared" si="1"/>
        <v>#DIV/0!</v>
      </c>
      <c r="K11" s="230" t="e">
        <f>SUM($J$6:$J11)</f>
        <v>#DIV/0!</v>
      </c>
    </row>
    <row r="12" spans="1:14" x14ac:dyDescent="0.25">
      <c r="A12" s="224"/>
      <c r="B12" s="226"/>
      <c r="C12" s="227"/>
      <c r="D12" s="230" t="e">
        <f t="shared" si="0"/>
        <v>#DIV/0!</v>
      </c>
      <c r="E12" s="230" t="e">
        <f>SUM($D$6:$D12)</f>
        <v>#DIV/0!</v>
      </c>
      <c r="G12" s="231"/>
      <c r="H12" s="233"/>
      <c r="I12" s="227"/>
      <c r="J12" s="230" t="e">
        <f t="shared" si="1"/>
        <v>#DIV/0!</v>
      </c>
      <c r="K12" s="230" t="e">
        <f>SUM($J$6:$J12)</f>
        <v>#DIV/0!</v>
      </c>
    </row>
    <row r="13" spans="1:14" x14ac:dyDescent="0.25">
      <c r="A13" s="224"/>
      <c r="B13" s="226"/>
      <c r="C13" s="227"/>
      <c r="D13" s="230" t="e">
        <f t="shared" si="0"/>
        <v>#DIV/0!</v>
      </c>
      <c r="E13" s="230" t="e">
        <f>SUM($D$6:$D13)</f>
        <v>#DIV/0!</v>
      </c>
      <c r="G13" s="231"/>
      <c r="H13" s="233"/>
      <c r="I13" s="227"/>
      <c r="J13" s="230" t="e">
        <f t="shared" si="1"/>
        <v>#DIV/0!</v>
      </c>
      <c r="K13" s="230" t="e">
        <f>SUM($J$6:$J13)</f>
        <v>#DIV/0!</v>
      </c>
    </row>
    <row r="14" spans="1:14" x14ac:dyDescent="0.25">
      <c r="A14" s="224"/>
      <c r="B14" s="226"/>
      <c r="C14" s="227"/>
      <c r="D14" s="230" t="e">
        <f t="shared" si="0"/>
        <v>#DIV/0!</v>
      </c>
      <c r="E14" s="230" t="e">
        <f>SUM($D$6:$D14)</f>
        <v>#DIV/0!</v>
      </c>
      <c r="G14" s="231"/>
      <c r="H14" s="236"/>
      <c r="I14" s="227"/>
      <c r="J14" s="230" t="e">
        <f t="shared" si="1"/>
        <v>#DIV/0!</v>
      </c>
      <c r="K14" s="230" t="e">
        <f>SUM($J$6:$J14)</f>
        <v>#DIV/0!</v>
      </c>
    </row>
    <row r="15" spans="1:14" x14ac:dyDescent="0.25">
      <c r="A15" s="224"/>
      <c r="B15" s="226"/>
      <c r="C15" s="227"/>
      <c r="D15" s="230" t="e">
        <f t="shared" si="0"/>
        <v>#DIV/0!</v>
      </c>
      <c r="E15" s="230" t="e">
        <f>SUM($D$6:$D15)</f>
        <v>#DIV/0!</v>
      </c>
      <c r="G15" s="231"/>
      <c r="H15" s="236"/>
      <c r="I15" s="227"/>
      <c r="J15" s="230" t="e">
        <f t="shared" si="1"/>
        <v>#DIV/0!</v>
      </c>
      <c r="K15" s="230" t="e">
        <f>SUM($J$6:$J15)</f>
        <v>#DIV/0!</v>
      </c>
    </row>
    <row r="16" spans="1:14" x14ac:dyDescent="0.25">
      <c r="A16" s="224"/>
      <c r="B16" s="226"/>
      <c r="C16" s="227"/>
      <c r="D16" s="230" t="e">
        <f t="shared" si="0"/>
        <v>#DIV/0!</v>
      </c>
      <c r="E16" s="230" t="e">
        <f>SUM($D$6:$D16)</f>
        <v>#DIV/0!</v>
      </c>
      <c r="G16" s="231"/>
      <c r="H16" s="236"/>
      <c r="I16" s="227"/>
      <c r="J16" s="230" t="e">
        <f t="shared" si="1"/>
        <v>#DIV/0!</v>
      </c>
      <c r="K16" s="230" t="e">
        <f>SUM($J$6:$J16)</f>
        <v>#DIV/0!</v>
      </c>
    </row>
    <row r="17" spans="1:11" x14ac:dyDescent="0.25">
      <c r="A17" s="224"/>
      <c r="B17" s="226"/>
      <c r="C17" s="227"/>
      <c r="D17" s="230" t="e">
        <f t="shared" si="0"/>
        <v>#DIV/0!</v>
      </c>
      <c r="E17" s="230" t="e">
        <f>SUM($D$6:$D17)</f>
        <v>#DIV/0!</v>
      </c>
      <c r="G17" s="231"/>
      <c r="H17" s="233"/>
      <c r="I17" s="227"/>
      <c r="J17" s="230" t="e">
        <f t="shared" si="1"/>
        <v>#DIV/0!</v>
      </c>
      <c r="K17" s="230" t="e">
        <f>SUM($J$6:$J17)</f>
        <v>#DIV/0!</v>
      </c>
    </row>
    <row r="18" spans="1:11" x14ac:dyDescent="0.25">
      <c r="A18" s="224"/>
      <c r="B18" s="226"/>
      <c r="C18" s="227"/>
      <c r="D18" s="230" t="e">
        <f t="shared" si="0"/>
        <v>#DIV/0!</v>
      </c>
      <c r="E18" s="230" t="e">
        <f>SUM($D$6:$D18)</f>
        <v>#DIV/0!</v>
      </c>
      <c r="G18" s="231"/>
      <c r="H18" s="233"/>
      <c r="I18" s="227"/>
      <c r="J18" s="230" t="e">
        <f t="shared" si="1"/>
        <v>#DIV/0!</v>
      </c>
      <c r="K18" s="230" t="e">
        <f>SUM($J$6:$J18)</f>
        <v>#DIV/0!</v>
      </c>
    </row>
    <row r="19" spans="1:11" x14ac:dyDescent="0.25">
      <c r="A19" s="224"/>
      <c r="B19" s="226"/>
      <c r="C19" s="227"/>
      <c r="D19" s="230" t="e">
        <f t="shared" si="0"/>
        <v>#DIV/0!</v>
      </c>
      <c r="E19" s="230" t="e">
        <f>SUM($D$6:$D19)</f>
        <v>#DIV/0!</v>
      </c>
      <c r="G19" s="231"/>
      <c r="H19" s="233"/>
      <c r="I19" s="227"/>
      <c r="J19" s="230" t="e">
        <f t="shared" si="1"/>
        <v>#DIV/0!</v>
      </c>
      <c r="K19" s="230" t="e">
        <f>SUM($J$6:$J19)</f>
        <v>#DIV/0!</v>
      </c>
    </row>
    <row r="20" spans="1:11" x14ac:dyDescent="0.25">
      <c r="A20" s="224"/>
      <c r="B20" s="226"/>
      <c r="C20" s="227"/>
      <c r="D20" s="230" t="e">
        <f t="shared" si="0"/>
        <v>#DIV/0!</v>
      </c>
      <c r="E20" s="230" t="e">
        <f>SUM($D$6:$D20)</f>
        <v>#DIV/0!</v>
      </c>
      <c r="G20" s="231"/>
      <c r="H20" s="233"/>
      <c r="I20" s="227"/>
      <c r="J20" s="230" t="e">
        <f t="shared" si="1"/>
        <v>#DIV/0!</v>
      </c>
      <c r="K20" s="230" t="e">
        <f>SUM($J$6:$J20)</f>
        <v>#DIV/0!</v>
      </c>
    </row>
    <row r="21" spans="1:11" x14ac:dyDescent="0.25">
      <c r="A21" s="224"/>
      <c r="B21" s="226"/>
      <c r="C21" s="227"/>
      <c r="D21" s="230" t="e">
        <f t="shared" si="0"/>
        <v>#DIV/0!</v>
      </c>
      <c r="E21" s="230" t="e">
        <f>SUM($D$6:$D21)</f>
        <v>#DIV/0!</v>
      </c>
      <c r="G21" s="231"/>
      <c r="H21" s="233"/>
      <c r="I21" s="227"/>
      <c r="J21" s="230" t="e">
        <f t="shared" si="1"/>
        <v>#DIV/0!</v>
      </c>
      <c r="K21" s="230" t="e">
        <f>SUM($J$6:$J21)</f>
        <v>#DIV/0!</v>
      </c>
    </row>
    <row r="22" spans="1:11" x14ac:dyDescent="0.25">
      <c r="A22" s="224"/>
      <c r="B22" s="226"/>
      <c r="C22" s="227"/>
      <c r="D22" s="230" t="e">
        <f t="shared" si="0"/>
        <v>#DIV/0!</v>
      </c>
      <c r="E22" s="230" t="e">
        <f>SUM($D$6:$D22)</f>
        <v>#DIV/0!</v>
      </c>
      <c r="G22" s="231"/>
      <c r="H22" s="233"/>
      <c r="I22" s="227"/>
      <c r="J22" s="230" t="e">
        <f t="shared" si="1"/>
        <v>#DIV/0!</v>
      </c>
      <c r="K22" s="230" t="e">
        <f>SUM($J$6:$J22)</f>
        <v>#DIV/0!</v>
      </c>
    </row>
    <row r="23" spans="1:11" x14ac:dyDescent="0.25">
      <c r="A23" s="224"/>
      <c r="B23" s="226"/>
      <c r="C23" s="227"/>
      <c r="D23" s="230" t="e">
        <f t="shared" si="0"/>
        <v>#DIV/0!</v>
      </c>
      <c r="E23" s="230" t="e">
        <f>SUM($D$6:$D23)</f>
        <v>#DIV/0!</v>
      </c>
      <c r="G23" s="231"/>
      <c r="H23" s="236"/>
      <c r="I23" s="227"/>
      <c r="J23" s="230" t="e">
        <f t="shared" si="1"/>
        <v>#DIV/0!</v>
      </c>
      <c r="K23" s="230" t="e">
        <f>SUM($J$6:$J23)</f>
        <v>#DIV/0!</v>
      </c>
    </row>
    <row r="24" spans="1:11" x14ac:dyDescent="0.25">
      <c r="A24" s="224"/>
      <c r="B24" s="226"/>
      <c r="C24" s="227"/>
      <c r="D24" s="230" t="e">
        <f t="shared" si="0"/>
        <v>#DIV/0!</v>
      </c>
      <c r="E24" s="230" t="e">
        <f>SUM($D$6:$D24)</f>
        <v>#DIV/0!</v>
      </c>
      <c r="G24" s="231"/>
      <c r="H24" s="233"/>
      <c r="I24" s="227"/>
      <c r="J24" s="230" t="e">
        <f t="shared" si="1"/>
        <v>#DIV/0!</v>
      </c>
      <c r="K24" s="230" t="e">
        <f>SUM($J$6:$J24)</f>
        <v>#DIV/0!</v>
      </c>
    </row>
    <row r="25" spans="1:11" x14ac:dyDescent="0.25">
      <c r="A25" s="224"/>
      <c r="B25" s="226"/>
      <c r="C25" s="227"/>
      <c r="D25" s="230" t="e">
        <f t="shared" si="0"/>
        <v>#DIV/0!</v>
      </c>
      <c r="E25" s="230" t="e">
        <f>SUM($D$6:$D25)</f>
        <v>#DIV/0!</v>
      </c>
      <c r="G25" s="231"/>
      <c r="H25" s="236"/>
      <c r="I25" s="227"/>
      <c r="J25" s="230" t="e">
        <f t="shared" si="1"/>
        <v>#DIV/0!</v>
      </c>
      <c r="K25" s="230" t="e">
        <f>SUM($J$6:$J25)</f>
        <v>#DIV/0!</v>
      </c>
    </row>
    <row r="26" spans="1:11" x14ac:dyDescent="0.25">
      <c r="A26" s="224"/>
      <c r="B26" s="226"/>
      <c r="C26" s="227"/>
      <c r="D26" s="230" t="e">
        <f t="shared" si="0"/>
        <v>#DIV/0!</v>
      </c>
      <c r="E26" s="230" t="e">
        <f>SUM($D$6:$D26)</f>
        <v>#DIV/0!</v>
      </c>
      <c r="G26" s="231"/>
      <c r="H26" s="226"/>
      <c r="I26" s="227"/>
      <c r="J26" s="230" t="e">
        <f t="shared" si="1"/>
        <v>#DIV/0!</v>
      </c>
      <c r="K26" s="230" t="e">
        <f>SUM($J$6:$J26)</f>
        <v>#DIV/0!</v>
      </c>
    </row>
    <row r="27" spans="1:11" x14ac:dyDescent="0.25">
      <c r="A27" s="224"/>
      <c r="B27" s="226"/>
      <c r="C27" s="227"/>
      <c r="D27" s="230" t="e">
        <f t="shared" si="0"/>
        <v>#DIV/0!</v>
      </c>
      <c r="E27" s="230" t="e">
        <f>SUM($D$6:$D27)</f>
        <v>#DIV/0!</v>
      </c>
      <c r="G27" s="231"/>
      <c r="H27" s="226"/>
      <c r="I27" s="227"/>
      <c r="J27" s="230" t="e">
        <f t="shared" si="1"/>
        <v>#DIV/0!</v>
      </c>
      <c r="K27" s="230" t="e">
        <f>SUM($J$6:$J27)</f>
        <v>#DIV/0!</v>
      </c>
    </row>
    <row r="28" spans="1:11" x14ac:dyDescent="0.25">
      <c r="A28" s="224"/>
      <c r="B28" s="226"/>
      <c r="C28" s="227"/>
      <c r="D28" s="230" t="e">
        <f t="shared" si="0"/>
        <v>#DIV/0!</v>
      </c>
      <c r="E28" s="230" t="e">
        <f>SUM($D$6:$D28)</f>
        <v>#DIV/0!</v>
      </c>
      <c r="G28" s="231"/>
      <c r="H28" s="226"/>
      <c r="I28" s="227"/>
      <c r="J28" s="230" t="e">
        <f t="shared" si="1"/>
        <v>#DIV/0!</v>
      </c>
      <c r="K28" s="230" t="e">
        <f>SUM($J$6:$J28)</f>
        <v>#DIV/0!</v>
      </c>
    </row>
    <row r="29" spans="1:11" x14ac:dyDescent="0.25">
      <c r="A29" s="224"/>
      <c r="B29" s="226"/>
      <c r="C29" s="227"/>
      <c r="D29" s="230" t="e">
        <f t="shared" si="0"/>
        <v>#DIV/0!</v>
      </c>
      <c r="E29" s="230" t="e">
        <f>SUM($D$6:$D29)</f>
        <v>#DIV/0!</v>
      </c>
      <c r="G29" s="231"/>
      <c r="H29" s="226"/>
      <c r="I29" s="227"/>
      <c r="J29" s="230" t="e">
        <f t="shared" si="1"/>
        <v>#DIV/0!</v>
      </c>
      <c r="K29" s="230" t="e">
        <f>SUM($J$6:$J29)</f>
        <v>#DIV/0!</v>
      </c>
    </row>
    <row r="30" spans="1:11" x14ac:dyDescent="0.25">
      <c r="A30" s="224"/>
      <c r="B30" s="226"/>
      <c r="C30" s="227"/>
      <c r="D30" s="230" t="e">
        <f t="shared" si="0"/>
        <v>#DIV/0!</v>
      </c>
      <c r="E30" s="230" t="e">
        <f>SUM($D$6:$D30)</f>
        <v>#DIV/0!</v>
      </c>
      <c r="G30" s="231"/>
      <c r="H30" s="226"/>
      <c r="I30" s="227"/>
      <c r="J30" s="230" t="e">
        <f t="shared" si="1"/>
        <v>#DIV/0!</v>
      </c>
      <c r="K30" s="230" t="e">
        <f>SUM($J$6:$J30)</f>
        <v>#DIV/0!</v>
      </c>
    </row>
    <row r="31" spans="1:11" x14ac:dyDescent="0.25">
      <c r="A31" s="224"/>
      <c r="B31" s="226"/>
      <c r="C31" s="227"/>
      <c r="D31" s="230" t="e">
        <f t="shared" si="0"/>
        <v>#DIV/0!</v>
      </c>
      <c r="E31" s="230" t="e">
        <f>SUM($D$6:$D31)</f>
        <v>#DIV/0!</v>
      </c>
      <c r="G31" s="231"/>
      <c r="H31" s="226"/>
      <c r="I31" s="227"/>
      <c r="J31" s="230" t="e">
        <f t="shared" si="1"/>
        <v>#DIV/0!</v>
      </c>
      <c r="K31" s="230" t="e">
        <f>SUM($J$6:$J31)</f>
        <v>#DIV/0!</v>
      </c>
    </row>
    <row r="32" spans="1:11" x14ac:dyDescent="0.25">
      <c r="A32" s="224"/>
      <c r="B32" s="226"/>
      <c r="C32" s="227"/>
      <c r="D32" s="230" t="e">
        <f t="shared" si="0"/>
        <v>#DIV/0!</v>
      </c>
      <c r="E32" s="230" t="e">
        <f>SUM($D$6:$D32)</f>
        <v>#DIV/0!</v>
      </c>
      <c r="G32" s="231"/>
      <c r="H32" s="226"/>
      <c r="I32" s="227"/>
      <c r="J32" s="230" t="e">
        <f t="shared" si="1"/>
        <v>#DIV/0!</v>
      </c>
      <c r="K32" s="230" t="e">
        <f>SUM($J$6:$J32)</f>
        <v>#DIV/0!</v>
      </c>
    </row>
    <row r="33" spans="1:11" x14ac:dyDescent="0.25">
      <c r="A33" s="224"/>
      <c r="B33" s="226"/>
      <c r="C33" s="227"/>
      <c r="D33" s="230" t="e">
        <f t="shared" si="0"/>
        <v>#DIV/0!</v>
      </c>
      <c r="E33" s="230" t="e">
        <f>SUM($D$6:$D33)</f>
        <v>#DIV/0!</v>
      </c>
      <c r="G33" s="231"/>
      <c r="H33" s="226"/>
      <c r="I33" s="227"/>
      <c r="J33" s="230" t="e">
        <f t="shared" si="1"/>
        <v>#DIV/0!</v>
      </c>
      <c r="K33" s="230" t="e">
        <f>SUM($J$6:$J33)</f>
        <v>#DIV/0!</v>
      </c>
    </row>
    <row r="34" spans="1:11" x14ac:dyDescent="0.25">
      <c r="A34" s="224"/>
      <c r="B34" s="226"/>
      <c r="C34" s="227"/>
      <c r="D34" s="230" t="e">
        <f t="shared" si="0"/>
        <v>#DIV/0!</v>
      </c>
      <c r="E34" s="230" t="e">
        <f>SUM($D$6:$D34)</f>
        <v>#DIV/0!</v>
      </c>
      <c r="G34" s="231"/>
      <c r="H34" s="226"/>
      <c r="I34" s="227"/>
      <c r="J34" s="230" t="e">
        <f t="shared" si="1"/>
        <v>#DIV/0!</v>
      </c>
      <c r="K34" s="230" t="e">
        <f>SUM($J$6:$J34)</f>
        <v>#DIV/0!</v>
      </c>
    </row>
    <row r="35" spans="1:11" x14ac:dyDescent="0.25">
      <c r="A35" s="224"/>
      <c r="B35" s="226"/>
      <c r="C35" s="227"/>
      <c r="D35" s="230" t="e">
        <f t="shared" si="0"/>
        <v>#DIV/0!</v>
      </c>
      <c r="E35" s="230" t="e">
        <f>SUM($D$6:$D35)</f>
        <v>#DIV/0!</v>
      </c>
      <c r="G35" s="231"/>
      <c r="H35" s="226"/>
      <c r="I35" s="227"/>
      <c r="J35" s="230" t="e">
        <f t="shared" si="1"/>
        <v>#DIV/0!</v>
      </c>
      <c r="K35" s="230" t="e">
        <f>SUM($J$6:$J35)</f>
        <v>#DIV/0!</v>
      </c>
    </row>
    <row r="36" spans="1:11" x14ac:dyDescent="0.25">
      <c r="A36" s="224"/>
      <c r="B36" s="226"/>
      <c r="C36" s="227"/>
      <c r="D36" s="230" t="e">
        <f t="shared" si="0"/>
        <v>#DIV/0!</v>
      </c>
      <c r="E36" s="230" t="e">
        <f>SUM($D$6:$D36)</f>
        <v>#DIV/0!</v>
      </c>
      <c r="G36" s="231"/>
      <c r="H36" s="226"/>
      <c r="I36" s="227"/>
      <c r="J36" s="230" t="e">
        <f t="shared" si="1"/>
        <v>#DIV/0!</v>
      </c>
      <c r="K36" s="230" t="e">
        <f>SUM($J$6:$J36)</f>
        <v>#DIV/0!</v>
      </c>
    </row>
    <row r="37" spans="1:11" x14ac:dyDescent="0.25">
      <c r="A37" s="224"/>
      <c r="B37" s="226"/>
      <c r="C37" s="227"/>
      <c r="D37" s="230" t="e">
        <f t="shared" si="0"/>
        <v>#DIV/0!</v>
      </c>
      <c r="E37" s="230" t="e">
        <f>SUM($D$6:$D37)</f>
        <v>#DIV/0!</v>
      </c>
      <c r="G37" s="231"/>
      <c r="H37" s="226"/>
      <c r="I37" s="227"/>
      <c r="J37" s="230" t="e">
        <f t="shared" si="1"/>
        <v>#DIV/0!</v>
      </c>
      <c r="K37" s="230" t="e">
        <f>SUM($J$6:$J37)</f>
        <v>#DIV/0!</v>
      </c>
    </row>
    <row r="38" spans="1:11" x14ac:dyDescent="0.25">
      <c r="A38" s="224"/>
      <c r="B38" s="226"/>
      <c r="C38" s="227"/>
      <c r="D38" s="230" t="e">
        <f t="shared" si="0"/>
        <v>#DIV/0!</v>
      </c>
      <c r="E38" s="230" t="e">
        <f>SUM($D$6:$D38)</f>
        <v>#DIV/0!</v>
      </c>
      <c r="G38" s="231"/>
      <c r="H38" s="226"/>
      <c r="I38" s="227"/>
      <c r="J38" s="230" t="e">
        <f t="shared" si="1"/>
        <v>#DIV/0!</v>
      </c>
      <c r="K38" s="230" t="e">
        <f>SUM($J$6:$J38)</f>
        <v>#DIV/0!</v>
      </c>
    </row>
    <row r="39" spans="1:11" x14ac:dyDescent="0.25">
      <c r="A39" s="224"/>
      <c r="B39" s="226"/>
      <c r="C39" s="227"/>
      <c r="D39" s="230" t="e">
        <f t="shared" si="0"/>
        <v>#DIV/0!</v>
      </c>
      <c r="E39" s="230" t="e">
        <f>SUM($D$6:$D39)</f>
        <v>#DIV/0!</v>
      </c>
      <c r="G39" s="231"/>
      <c r="H39" s="226"/>
      <c r="I39" s="227"/>
      <c r="J39" s="230" t="e">
        <f t="shared" si="1"/>
        <v>#DIV/0!</v>
      </c>
      <c r="K39" s="230" t="e">
        <f>SUM($J$6:$J39)</f>
        <v>#DIV/0!</v>
      </c>
    </row>
    <row r="40" spans="1:11" x14ac:dyDescent="0.25">
      <c r="A40" s="224"/>
      <c r="B40" s="226"/>
      <c r="C40" s="227"/>
      <c r="D40" s="230" t="e">
        <f t="shared" si="0"/>
        <v>#DIV/0!</v>
      </c>
      <c r="E40" s="230" t="e">
        <f>SUM($D$6:$D40)</f>
        <v>#DIV/0!</v>
      </c>
      <c r="G40" s="231"/>
      <c r="H40" s="226"/>
      <c r="I40" s="227"/>
      <c r="J40" s="230" t="e">
        <f t="shared" si="1"/>
        <v>#DIV/0!</v>
      </c>
      <c r="K40" s="230" t="e">
        <f>SUM($J$6:$J40)</f>
        <v>#DIV/0!</v>
      </c>
    </row>
    <row r="41" spans="1:11" x14ac:dyDescent="0.25">
      <c r="A41" s="224"/>
      <c r="B41" s="226"/>
      <c r="C41" s="227"/>
      <c r="D41" s="230" t="e">
        <f t="shared" si="0"/>
        <v>#DIV/0!</v>
      </c>
      <c r="E41" s="230" t="e">
        <f>SUM($D$6:$D41)</f>
        <v>#DIV/0!</v>
      </c>
      <c r="G41" s="231"/>
      <c r="H41" s="226"/>
      <c r="I41" s="227"/>
      <c r="J41" s="230" t="e">
        <f t="shared" si="1"/>
        <v>#DIV/0!</v>
      </c>
      <c r="K41" s="230" t="e">
        <f>SUM($J$6:$J41)</f>
        <v>#DIV/0!</v>
      </c>
    </row>
    <row r="42" spans="1:11" x14ac:dyDescent="0.25">
      <c r="A42" s="224"/>
      <c r="B42" s="226"/>
      <c r="C42" s="227"/>
      <c r="D42" s="230" t="e">
        <f t="shared" si="0"/>
        <v>#DIV/0!</v>
      </c>
      <c r="E42" s="230" t="e">
        <f>SUM($D$6:$D42)</f>
        <v>#DIV/0!</v>
      </c>
      <c r="G42" s="231"/>
      <c r="H42" s="226"/>
      <c r="I42" s="227"/>
      <c r="J42" s="230" t="e">
        <f t="shared" si="1"/>
        <v>#DIV/0!</v>
      </c>
      <c r="K42" s="230" t="e">
        <f>SUM($J$6:$J42)</f>
        <v>#DIV/0!</v>
      </c>
    </row>
    <row r="43" spans="1:11" x14ac:dyDescent="0.25">
      <c r="A43" s="225"/>
      <c r="B43" s="228"/>
      <c r="C43" s="229"/>
      <c r="D43" s="230" t="e">
        <f t="shared" si="0"/>
        <v>#DIV/0!</v>
      </c>
      <c r="E43" s="230" t="e">
        <f>SUM($D$6:$D43)</f>
        <v>#DIV/0!</v>
      </c>
      <c r="G43" s="231"/>
      <c r="H43" s="226"/>
      <c r="I43" s="227"/>
      <c r="J43" s="230" t="e">
        <f t="shared" si="1"/>
        <v>#DIV/0!</v>
      </c>
      <c r="K43" s="230" t="e">
        <f>SUM($J$6:$J43)</f>
        <v>#DIV/0!</v>
      </c>
    </row>
    <row r="44" spans="1:11" x14ac:dyDescent="0.25">
      <c r="G44" s="231"/>
      <c r="H44" s="226"/>
      <c r="I44" s="227"/>
      <c r="J44" s="230" t="e">
        <f t="shared" si="1"/>
        <v>#DIV/0!</v>
      </c>
      <c r="K44" s="230" t="e">
        <f>SUM($J$6:$J44)</f>
        <v>#DIV/0!</v>
      </c>
    </row>
    <row r="45" spans="1:11" x14ac:dyDescent="0.25">
      <c r="G45" s="231"/>
      <c r="H45" s="226"/>
      <c r="I45" s="227"/>
      <c r="J45" s="230" t="e">
        <f t="shared" si="1"/>
        <v>#DIV/0!</v>
      </c>
      <c r="K45" s="230" t="e">
        <f>SUM($J$6:$J45)</f>
        <v>#DIV/0!</v>
      </c>
    </row>
    <row r="46" spans="1:11" x14ac:dyDescent="0.25">
      <c r="G46" s="231"/>
      <c r="H46" s="226"/>
      <c r="I46" s="227"/>
      <c r="J46" s="230" t="e">
        <f t="shared" si="1"/>
        <v>#DIV/0!</v>
      </c>
      <c r="K46" s="230" t="e">
        <f>SUM($J$6:$J46)</f>
        <v>#DIV/0!</v>
      </c>
    </row>
    <row r="47" spans="1:11" x14ac:dyDescent="0.25">
      <c r="G47" s="231"/>
      <c r="H47" s="226"/>
      <c r="I47" s="227"/>
      <c r="J47" s="230" t="e">
        <f t="shared" si="1"/>
        <v>#DIV/0!</v>
      </c>
      <c r="K47" s="230" t="e">
        <f>SUM($J$6:$J47)</f>
        <v>#DIV/0!</v>
      </c>
    </row>
    <row r="48" spans="1:11" x14ac:dyDescent="0.25">
      <c r="G48" s="231"/>
      <c r="H48" s="226"/>
      <c r="I48" s="227"/>
      <c r="J48" s="230" t="e">
        <f t="shared" si="1"/>
        <v>#DIV/0!</v>
      </c>
      <c r="K48" s="230" t="e">
        <f>SUM($J$6:$J48)</f>
        <v>#DIV/0!</v>
      </c>
    </row>
    <row r="49" spans="7:11" x14ac:dyDescent="0.25">
      <c r="G49" s="231"/>
      <c r="H49" s="226"/>
      <c r="I49" s="227"/>
      <c r="J49" s="230" t="e">
        <f t="shared" si="1"/>
        <v>#DIV/0!</v>
      </c>
      <c r="K49" s="230" t="e">
        <f>SUM($J$6:$J49)</f>
        <v>#DIV/0!</v>
      </c>
    </row>
    <row r="50" spans="7:11" x14ac:dyDescent="0.25">
      <c r="G50" s="231"/>
      <c r="H50" s="226"/>
      <c r="I50" s="227"/>
      <c r="J50" s="230" t="e">
        <f t="shared" si="1"/>
        <v>#DIV/0!</v>
      </c>
      <c r="K50" s="230" t="e">
        <f>SUM($J$6:$J50)</f>
        <v>#DIV/0!</v>
      </c>
    </row>
    <row r="51" spans="7:11" x14ac:dyDescent="0.25">
      <c r="G51" s="231"/>
      <c r="H51" s="226"/>
      <c r="I51" s="227"/>
      <c r="J51" s="230" t="e">
        <f t="shared" si="1"/>
        <v>#DIV/0!</v>
      </c>
      <c r="K51" s="230" t="e">
        <f>SUM($J$6:$J51)</f>
        <v>#DIV/0!</v>
      </c>
    </row>
    <row r="52" spans="7:11" x14ac:dyDescent="0.25">
      <c r="G52" s="231"/>
      <c r="H52" s="226"/>
      <c r="I52" s="227"/>
      <c r="J52" s="230" t="e">
        <f t="shared" si="1"/>
        <v>#DIV/0!</v>
      </c>
      <c r="K52" s="230" t="e">
        <f>SUM($J$6:$J52)</f>
        <v>#DIV/0!</v>
      </c>
    </row>
    <row r="53" spans="7:11" x14ac:dyDescent="0.25">
      <c r="G53" s="231"/>
      <c r="H53" s="226"/>
      <c r="I53" s="227"/>
      <c r="J53" s="230" t="e">
        <f t="shared" si="1"/>
        <v>#DIV/0!</v>
      </c>
      <c r="K53" s="230" t="e">
        <f>SUM($J$6:$J53)</f>
        <v>#DIV/0!</v>
      </c>
    </row>
    <row r="54" spans="7:11" x14ac:dyDescent="0.25">
      <c r="G54" s="231"/>
      <c r="H54" s="226"/>
      <c r="I54" s="227"/>
      <c r="J54" s="230" t="e">
        <f t="shared" si="1"/>
        <v>#DIV/0!</v>
      </c>
      <c r="K54" s="230" t="e">
        <f>SUM($J$6:$J54)</f>
        <v>#DIV/0!</v>
      </c>
    </row>
    <row r="55" spans="7:11" x14ac:dyDescent="0.25">
      <c r="G55" s="231"/>
      <c r="H55" s="226"/>
      <c r="I55" s="227"/>
      <c r="J55" s="230" t="e">
        <f t="shared" si="1"/>
        <v>#DIV/0!</v>
      </c>
      <c r="K55" s="230" t="e">
        <f>SUM($J$6:$J55)</f>
        <v>#DIV/0!</v>
      </c>
    </row>
    <row r="56" spans="7:11" x14ac:dyDescent="0.25">
      <c r="G56" s="231"/>
      <c r="H56" s="226"/>
      <c r="I56" s="227"/>
      <c r="J56" s="230" t="e">
        <f t="shared" si="1"/>
        <v>#DIV/0!</v>
      </c>
      <c r="K56" s="230" t="e">
        <f>SUM($J$6:$J56)</f>
        <v>#DIV/0!</v>
      </c>
    </row>
    <row r="57" spans="7:11" x14ac:dyDescent="0.25">
      <c r="G57" s="231"/>
      <c r="H57" s="226"/>
      <c r="I57" s="227"/>
      <c r="J57" s="230" t="e">
        <f t="shared" si="1"/>
        <v>#DIV/0!</v>
      </c>
      <c r="K57" s="230" t="e">
        <f>SUM($J$6:$J57)</f>
        <v>#DIV/0!</v>
      </c>
    </row>
    <row r="58" spans="7:11" x14ac:dyDescent="0.25">
      <c r="G58" s="231"/>
      <c r="H58" s="226"/>
      <c r="I58" s="227"/>
      <c r="J58" s="230" t="e">
        <f t="shared" si="1"/>
        <v>#DIV/0!</v>
      </c>
      <c r="K58" s="230" t="e">
        <f>SUM($J$6:$J58)</f>
        <v>#DIV/0!</v>
      </c>
    </row>
    <row r="59" spans="7:11" x14ac:dyDescent="0.25">
      <c r="G59" s="231"/>
      <c r="H59" s="226"/>
      <c r="I59" s="227"/>
      <c r="J59" s="230" t="e">
        <f t="shared" si="1"/>
        <v>#DIV/0!</v>
      </c>
      <c r="K59" s="230" t="e">
        <f>SUM($J$6:$J59)</f>
        <v>#DIV/0!</v>
      </c>
    </row>
    <row r="60" spans="7:11" x14ac:dyDescent="0.25">
      <c r="G60" s="231"/>
      <c r="H60" s="226"/>
      <c r="I60" s="227"/>
      <c r="J60" s="230" t="e">
        <f t="shared" si="1"/>
        <v>#DIV/0!</v>
      </c>
      <c r="K60" s="230" t="e">
        <f>SUM($J$6:$J60)</f>
        <v>#DIV/0!</v>
      </c>
    </row>
    <row r="61" spans="7:11" x14ac:dyDescent="0.25">
      <c r="G61" s="231"/>
      <c r="H61" s="226"/>
      <c r="I61" s="227"/>
      <c r="J61" s="230" t="e">
        <f t="shared" si="1"/>
        <v>#DIV/0!</v>
      </c>
      <c r="K61" s="230" t="e">
        <f>SUM($J$6:$J61)</f>
        <v>#DIV/0!</v>
      </c>
    </row>
    <row r="62" spans="7:11" x14ac:dyDescent="0.25">
      <c r="G62" s="231"/>
      <c r="H62" s="226"/>
      <c r="I62" s="227"/>
      <c r="J62" s="230" t="e">
        <f t="shared" si="1"/>
        <v>#DIV/0!</v>
      </c>
      <c r="K62" s="230" t="e">
        <f>SUM($J$6:$J62)</f>
        <v>#DIV/0!</v>
      </c>
    </row>
    <row r="63" spans="7:11" x14ac:dyDescent="0.25">
      <c r="G63" s="231"/>
      <c r="H63" s="226"/>
      <c r="I63" s="227"/>
      <c r="J63" s="230" t="e">
        <f t="shared" si="1"/>
        <v>#DIV/0!</v>
      </c>
      <c r="K63" s="230" t="e">
        <f>SUM($J$6:$J63)</f>
        <v>#DIV/0!</v>
      </c>
    </row>
    <row r="64" spans="7:11" x14ac:dyDescent="0.25">
      <c r="G64" s="231"/>
      <c r="H64" s="226"/>
      <c r="I64" s="227"/>
      <c r="J64" s="230" t="e">
        <f t="shared" si="1"/>
        <v>#DIV/0!</v>
      </c>
      <c r="K64" s="230" t="e">
        <f>SUM($J$6:$J64)</f>
        <v>#DIV/0!</v>
      </c>
    </row>
    <row r="65" spans="7:11" x14ac:dyDescent="0.25">
      <c r="G65" s="231"/>
      <c r="H65" s="226"/>
      <c r="I65" s="227"/>
      <c r="J65" s="230" t="e">
        <f t="shared" si="1"/>
        <v>#DIV/0!</v>
      </c>
      <c r="K65" s="230" t="e">
        <f>SUM($J$6:$J65)</f>
        <v>#DIV/0!</v>
      </c>
    </row>
    <row r="66" spans="7:11" x14ac:dyDescent="0.25">
      <c r="G66" s="231"/>
      <c r="H66" s="226"/>
      <c r="I66" s="227"/>
      <c r="J66" s="230" t="e">
        <f t="shared" si="1"/>
        <v>#DIV/0!</v>
      </c>
      <c r="K66" s="230" t="e">
        <f>SUM($J$6:$J66)</f>
        <v>#DIV/0!</v>
      </c>
    </row>
    <row r="67" spans="7:11" x14ac:dyDescent="0.25">
      <c r="G67" s="231"/>
      <c r="H67" s="226"/>
      <c r="I67" s="227"/>
      <c r="J67" s="230" t="e">
        <f t="shared" si="1"/>
        <v>#DIV/0!</v>
      </c>
      <c r="K67" s="230" t="e">
        <f>SUM($J$6:$J67)</f>
        <v>#DIV/0!</v>
      </c>
    </row>
    <row r="68" spans="7:11" x14ac:dyDescent="0.25">
      <c r="G68" s="231"/>
      <c r="H68" s="226"/>
      <c r="I68" s="227"/>
      <c r="J68" s="230" t="e">
        <f t="shared" si="1"/>
        <v>#DIV/0!</v>
      </c>
      <c r="K68" s="230" t="e">
        <f>SUM($J$6:$J68)</f>
        <v>#DIV/0!</v>
      </c>
    </row>
    <row r="69" spans="7:11" x14ac:dyDescent="0.25">
      <c r="G69" s="231"/>
      <c r="H69" s="226"/>
      <c r="I69" s="227"/>
      <c r="J69" s="230" t="e">
        <f t="shared" si="1"/>
        <v>#DIV/0!</v>
      </c>
      <c r="K69" s="230" t="e">
        <f>SUM($J$6:$J69)</f>
        <v>#DIV/0!</v>
      </c>
    </row>
    <row r="70" spans="7:11" x14ac:dyDescent="0.25">
      <c r="G70" s="231"/>
      <c r="H70" s="226"/>
      <c r="I70" s="227"/>
      <c r="J70" s="230" t="e">
        <f t="shared" si="1"/>
        <v>#DIV/0!</v>
      </c>
      <c r="K70" s="230" t="e">
        <f>SUM($J$6:$J70)</f>
        <v>#DIV/0!</v>
      </c>
    </row>
    <row r="71" spans="7:11" x14ac:dyDescent="0.25">
      <c r="G71" s="231"/>
      <c r="H71" s="226"/>
      <c r="I71" s="227"/>
      <c r="J71" s="230" t="e">
        <f t="shared" ref="J71:J80" si="2">$I71/SUM($I$6:$I$80)</f>
        <v>#DIV/0!</v>
      </c>
      <c r="K71" s="230" t="e">
        <f>SUM($J$6:$J71)</f>
        <v>#DIV/0!</v>
      </c>
    </row>
    <row r="72" spans="7:11" x14ac:dyDescent="0.25">
      <c r="G72" s="231"/>
      <c r="H72" s="226"/>
      <c r="I72" s="227"/>
      <c r="J72" s="230" t="e">
        <f t="shared" si="2"/>
        <v>#DIV/0!</v>
      </c>
      <c r="K72" s="230" t="e">
        <f>SUM($J$6:$J72)</f>
        <v>#DIV/0!</v>
      </c>
    </row>
    <row r="73" spans="7:11" x14ac:dyDescent="0.25">
      <c r="G73" s="231"/>
      <c r="H73" s="226"/>
      <c r="I73" s="227"/>
      <c r="J73" s="230" t="e">
        <f t="shared" si="2"/>
        <v>#DIV/0!</v>
      </c>
      <c r="K73" s="230" t="e">
        <f>SUM($J$6:$J73)</f>
        <v>#DIV/0!</v>
      </c>
    </row>
    <row r="74" spans="7:11" x14ac:dyDescent="0.25">
      <c r="G74" s="231"/>
      <c r="H74" s="226"/>
      <c r="I74" s="227"/>
      <c r="J74" s="230" t="e">
        <f t="shared" si="2"/>
        <v>#DIV/0!</v>
      </c>
      <c r="K74" s="230" t="e">
        <f>SUM($J$6:$J74)</f>
        <v>#DIV/0!</v>
      </c>
    </row>
    <row r="75" spans="7:11" x14ac:dyDescent="0.25">
      <c r="G75" s="231"/>
      <c r="H75" s="226"/>
      <c r="I75" s="227"/>
      <c r="J75" s="230" t="e">
        <f t="shared" si="2"/>
        <v>#DIV/0!</v>
      </c>
      <c r="K75" s="230" t="e">
        <f>SUM($J$6:$J75)</f>
        <v>#DIV/0!</v>
      </c>
    </row>
    <row r="76" spans="7:11" x14ac:dyDescent="0.25">
      <c r="G76" s="231"/>
      <c r="H76" s="226"/>
      <c r="I76" s="227"/>
      <c r="J76" s="230" t="e">
        <f t="shared" si="2"/>
        <v>#DIV/0!</v>
      </c>
      <c r="K76" s="230" t="e">
        <f>SUM($J$6:$J76)</f>
        <v>#DIV/0!</v>
      </c>
    </row>
    <row r="77" spans="7:11" x14ac:dyDescent="0.25">
      <c r="G77" s="231"/>
      <c r="H77" s="226"/>
      <c r="I77" s="227"/>
      <c r="J77" s="230" t="e">
        <f t="shared" si="2"/>
        <v>#DIV/0!</v>
      </c>
      <c r="K77" s="230" t="e">
        <f>SUM($J$6:$J77)</f>
        <v>#DIV/0!</v>
      </c>
    </row>
    <row r="78" spans="7:11" x14ac:dyDescent="0.25">
      <c r="G78" s="231"/>
      <c r="H78" s="226"/>
      <c r="I78" s="227"/>
      <c r="J78" s="230" t="e">
        <f t="shared" si="2"/>
        <v>#DIV/0!</v>
      </c>
      <c r="K78" s="230" t="e">
        <f>SUM($J$6:$J78)</f>
        <v>#DIV/0!</v>
      </c>
    </row>
    <row r="79" spans="7:11" x14ac:dyDescent="0.25">
      <c r="G79" s="231"/>
      <c r="H79" s="226"/>
      <c r="I79" s="227"/>
      <c r="J79" s="230" t="e">
        <f t="shared" si="2"/>
        <v>#DIV/0!</v>
      </c>
      <c r="K79" s="230" t="e">
        <f>SUM($J$6:$J79)</f>
        <v>#DIV/0!</v>
      </c>
    </row>
    <row r="80" spans="7:11" x14ac:dyDescent="0.25">
      <c r="G80" s="232"/>
      <c r="H80" s="228"/>
      <c r="I80" s="229"/>
      <c r="J80" s="230" t="e">
        <f t="shared" si="2"/>
        <v>#DIV/0!</v>
      </c>
      <c r="K80" s="230" t="e">
        <f>SUM($J$6:$J80)</f>
        <v>#DIV/0!</v>
      </c>
    </row>
  </sheetData>
  <conditionalFormatting sqref="E1:E1048576">
    <cfRule type="expression" dxfId="4" priority="2">
      <formula>$E1&gt;0.95</formula>
    </cfRule>
  </conditionalFormatting>
  <conditionalFormatting sqref="K1:K5 K81:K1048576">
    <cfRule type="expression" dxfId="3" priority="3">
      <formula>$K1&gt;0.8</formula>
    </cfRule>
  </conditionalFormatting>
  <conditionalFormatting sqref="K6:K80">
    <cfRule type="expression" dxfId="2" priority="1">
      <formula>$E6&gt;0.95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A14"/>
  <sheetViews>
    <sheetView workbookViewId="0"/>
  </sheetViews>
  <sheetFormatPr defaultRowHeight="15" outlineLevelCol="1" x14ac:dyDescent="0.25"/>
  <cols>
    <col min="1" max="1" width="22.7109375" bestFit="1" customWidth="1"/>
    <col min="2" max="2" width="12.140625" customWidth="1"/>
    <col min="3" max="3" width="11.85546875" bestFit="1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27" width="14.7109375" customWidth="1"/>
  </cols>
  <sheetData>
    <row r="1" spans="1:27" ht="18.75" x14ac:dyDescent="0.3">
      <c r="A1" s="192" t="s">
        <v>472</v>
      </c>
      <c r="B1" s="120"/>
      <c r="N1" s="193">
        <f>SUBTOTAL(9,fin[jan/25])</f>
        <v>812640</v>
      </c>
      <c r="O1" s="193">
        <f>SUBTOTAL(9,fin[fev/25])</f>
        <v>0</v>
      </c>
      <c r="P1" s="193">
        <f>SUBTOTAL(9,fin[mar/25])</f>
        <v>0</v>
      </c>
      <c r="Q1" s="193">
        <f>SUBTOTAL(9,fin[abr/25])</f>
        <v>2911033.91</v>
      </c>
      <c r="R1" s="193">
        <f>SUBTOTAL(9,fin[mai/25])</f>
        <v>5935913.0499999998</v>
      </c>
      <c r="S1" s="193">
        <f>SUBTOTAL(9,fin[jun/25])</f>
        <v>2404000</v>
      </c>
      <c r="T1" s="193">
        <f>SUBTOTAL(9,fin[jul/25])</f>
        <v>545906</v>
      </c>
      <c r="U1" s="193">
        <f>SUBTOTAL(9,fin[ago/25])</f>
        <v>12012000</v>
      </c>
      <c r="V1" s="193">
        <f>SUBTOTAL(9,fin[set/25])</f>
        <v>500000</v>
      </c>
      <c r="W1" s="193">
        <f>SUBTOTAL(9,fin[out/25])</f>
        <v>5750378.79</v>
      </c>
      <c r="X1" s="193">
        <f>SUBTOTAL(9,fin[nov/25])</f>
        <v>0</v>
      </c>
      <c r="Y1" s="193">
        <f>SUBTOTAL(9,fin[dez/25])</f>
        <v>0</v>
      </c>
    </row>
    <row r="2" spans="1:27" x14ac:dyDescent="0.25">
      <c r="A2" s="49" t="s">
        <v>473</v>
      </c>
      <c r="B2" s="49" t="s">
        <v>474</v>
      </c>
      <c r="C2" s="194" t="s">
        <v>475</v>
      </c>
      <c r="D2" s="194" t="s">
        <v>476</v>
      </c>
      <c r="E2" s="194" t="s">
        <v>477</v>
      </c>
      <c r="F2" s="194" t="s">
        <v>478</v>
      </c>
      <c r="G2" s="194" t="s">
        <v>479</v>
      </c>
      <c r="H2" s="194" t="s">
        <v>480</v>
      </c>
      <c r="I2" s="194" t="s">
        <v>481</v>
      </c>
      <c r="J2" s="194" t="s">
        <v>482</v>
      </c>
      <c r="K2" s="194" t="s">
        <v>483</v>
      </c>
      <c r="L2" s="194" t="s">
        <v>54</v>
      </c>
      <c r="M2" s="194" t="s">
        <v>484</v>
      </c>
      <c r="N2" s="195" t="s">
        <v>485</v>
      </c>
      <c r="O2" s="195" t="s">
        <v>486</v>
      </c>
      <c r="P2" s="195" t="s">
        <v>487</v>
      </c>
      <c r="Q2" s="195" t="s">
        <v>488</v>
      </c>
      <c r="R2" s="195" t="s">
        <v>489</v>
      </c>
      <c r="S2" s="195" t="s">
        <v>490</v>
      </c>
      <c r="T2" s="195" t="s">
        <v>491</v>
      </c>
      <c r="U2" s="195" t="s">
        <v>492</v>
      </c>
      <c r="V2" s="195" t="s">
        <v>493</v>
      </c>
      <c r="W2" s="195" t="s">
        <v>494</v>
      </c>
      <c r="X2" s="195" t="s">
        <v>495</v>
      </c>
      <c r="Y2" s="195" t="s">
        <v>496</v>
      </c>
      <c r="Z2" s="195" t="s">
        <v>814</v>
      </c>
      <c r="AA2" s="195" t="s">
        <v>822</v>
      </c>
    </row>
    <row r="3" spans="1:27" x14ac:dyDescent="0.25">
      <c r="A3" s="196" t="str">
        <f>fin[[#This Row],[Tomadora]]&amp;"-"&amp;fin[[#This Row],[Agente]]&amp;"-"&amp;LEFT(D3,LEN(D3)-3)</f>
        <v>AMPLA-Blue3-24500</v>
      </c>
      <c r="B3" s="196" t="s">
        <v>497</v>
      </c>
      <c r="C3" s="197" t="s">
        <v>498</v>
      </c>
      <c r="D3" s="198">
        <v>24500000</v>
      </c>
      <c r="E3" s="199">
        <f>SUM(fin[[#This Row],[jan/25]:[dez/25]])</f>
        <v>10540291.84</v>
      </c>
      <c r="F3" s="200" t="s">
        <v>499</v>
      </c>
      <c r="G3" s="201">
        <v>45792</v>
      </c>
      <c r="H3" s="201"/>
      <c r="I3" s="202"/>
      <c r="J3" s="202">
        <v>15000000</v>
      </c>
      <c r="K3" s="203" t="s">
        <v>500</v>
      </c>
      <c r="L3" s="203" t="s">
        <v>501</v>
      </c>
      <c r="M3" s="204"/>
      <c r="N3" s="193"/>
      <c r="O3" s="193"/>
      <c r="P3" s="193"/>
      <c r="Q3" s="193"/>
      <c r="R3" s="193">
        <f>595760.36+840413.25+1749739.44</f>
        <v>3185913.05</v>
      </c>
      <c r="S3" s="193">
        <f>820000+784000</f>
        <v>1604000</v>
      </c>
      <c r="T3" s="193"/>
      <c r="U3" s="193"/>
      <c r="V3" s="193"/>
      <c r="W3" s="193">
        <f>1916792.93*3</f>
        <v>5750378.79</v>
      </c>
      <c r="X3" s="193"/>
      <c r="Y3" s="193"/>
      <c r="Z3" s="193"/>
      <c r="AA3" s="193"/>
    </row>
    <row r="4" spans="1:27" x14ac:dyDescent="0.25">
      <c r="A4" s="196" t="str">
        <f>fin[[#This Row],[Tomadora]]&amp;"-"&amp;fin[[#This Row],[Agente]]&amp;"-"&amp;LEFT(D4,LEN(D4)-3)</f>
        <v>LUC-Eldorado -6000</v>
      </c>
      <c r="B4" s="196" t="s">
        <v>15</v>
      </c>
      <c r="C4" s="197" t="s">
        <v>502</v>
      </c>
      <c r="D4" s="202">
        <v>6000000</v>
      </c>
      <c r="E4" s="202">
        <f>SUM(fin[[#This Row],[jan/25]:[dez/25]])</f>
        <v>6000000</v>
      </c>
      <c r="F4" s="203" t="s">
        <v>503</v>
      </c>
      <c r="G4" s="201">
        <v>45881</v>
      </c>
      <c r="H4" s="201">
        <v>46611</v>
      </c>
      <c r="I4" s="205"/>
      <c r="J4" s="202">
        <v>6000000</v>
      </c>
      <c r="K4" s="203" t="s">
        <v>504</v>
      </c>
      <c r="L4" s="203" t="s">
        <v>505</v>
      </c>
      <c r="M4" s="204"/>
      <c r="N4" s="193"/>
      <c r="O4" s="193"/>
      <c r="P4" s="193"/>
      <c r="Q4" s="193"/>
      <c r="R4" s="193"/>
      <c r="S4" s="193"/>
      <c r="T4" s="193"/>
      <c r="U4" s="193">
        <v>6000000</v>
      </c>
      <c r="V4" s="193"/>
      <c r="W4" s="193"/>
      <c r="X4" s="193"/>
      <c r="Y4" s="193"/>
      <c r="Z4" s="193"/>
      <c r="AA4" s="193"/>
    </row>
    <row r="5" spans="1:27" x14ac:dyDescent="0.25">
      <c r="A5" s="196" t="str">
        <f>fin[[#This Row],[Tomadora]]&amp;"-"&amp;fin[[#This Row],[Agente]]&amp;"-"&amp;LEFT(D5,LEN(D5)-3)</f>
        <v>SN4-Pedro Maria-5000</v>
      </c>
      <c r="B5" s="196" t="s">
        <v>18</v>
      </c>
      <c r="C5" s="197" t="s">
        <v>506</v>
      </c>
      <c r="D5" s="199">
        <v>5000000</v>
      </c>
      <c r="E5" s="199">
        <f>SUM(fin[[#This Row],[jan/25]:[dez/25]])</f>
        <v>5000000</v>
      </c>
      <c r="F5" s="200">
        <v>0.746</v>
      </c>
      <c r="G5" s="201">
        <v>45884</v>
      </c>
      <c r="H5" s="201">
        <v>46675</v>
      </c>
      <c r="I5" s="193"/>
      <c r="J5" s="193"/>
      <c r="K5" s="203"/>
      <c r="L5" s="203" t="s">
        <v>505</v>
      </c>
      <c r="M5" s="204"/>
      <c r="N5" s="193"/>
      <c r="O5" s="193"/>
      <c r="P5" s="193"/>
      <c r="Q5" s="193"/>
      <c r="R5" s="193"/>
      <c r="S5" s="193"/>
      <c r="T5" s="193"/>
      <c r="U5" s="193">
        <v>5000000</v>
      </c>
      <c r="V5" s="193"/>
      <c r="W5" s="193"/>
      <c r="X5" s="193"/>
      <c r="Y5" s="193"/>
      <c r="Z5" s="193"/>
      <c r="AA5" s="193"/>
    </row>
    <row r="6" spans="1:27" x14ac:dyDescent="0.25">
      <c r="A6" s="196" t="str">
        <f>fin[[#This Row],[Tomadora]]&amp;"-"&amp;fin[[#This Row],[Agente]]&amp;"-"&amp;LEFT(D6,LEN(D6)-3)</f>
        <v>SAU-Cy Capital-22000</v>
      </c>
      <c r="B6" s="196" t="s">
        <v>507</v>
      </c>
      <c r="C6" s="197" t="s">
        <v>508</v>
      </c>
      <c r="D6" s="199">
        <v>22000000</v>
      </c>
      <c r="E6" s="199">
        <f>SUM(fin[[#This Row],[jan/25]:[dez/25]])</f>
        <v>2911033.91</v>
      </c>
      <c r="F6" s="200" t="s">
        <v>509</v>
      </c>
      <c r="G6" s="201">
        <v>45762</v>
      </c>
      <c r="H6" s="203"/>
      <c r="I6" s="193"/>
      <c r="J6" s="202">
        <v>5022000</v>
      </c>
      <c r="K6" s="203" t="s">
        <v>510</v>
      </c>
      <c r="L6" s="203" t="s">
        <v>511</v>
      </c>
      <c r="M6" s="204"/>
      <c r="N6" s="193"/>
      <c r="O6" s="193"/>
      <c r="P6" s="193"/>
      <c r="Q6" s="193">
        <v>2911033.91</v>
      </c>
      <c r="R6" s="193"/>
      <c r="S6" s="193"/>
      <c r="T6" s="193"/>
      <c r="U6" s="193"/>
      <c r="V6" s="193"/>
      <c r="W6" s="193"/>
      <c r="X6" s="193"/>
      <c r="Y6" s="193"/>
      <c r="Z6" s="193"/>
      <c r="AA6" s="193"/>
    </row>
    <row r="7" spans="1:27" x14ac:dyDescent="0.25">
      <c r="A7" s="196" t="str">
        <f>fin[[#This Row],[Tomadora]]&amp;"-"&amp;fin[[#This Row],[Agente]]&amp;"-"&amp;LEFT(D7,LEN(D7)-3)</f>
        <v>AMPLA-Safra-2750</v>
      </c>
      <c r="B7" s="196" t="s">
        <v>497</v>
      </c>
      <c r="C7" s="197" t="s">
        <v>512</v>
      </c>
      <c r="D7" s="202">
        <v>2750000</v>
      </c>
      <c r="E7" s="202">
        <f>SUM(fin[[#This Row],[jan/25]:[dez/25]])</f>
        <v>2750000</v>
      </c>
      <c r="F7" s="200" t="s">
        <v>513</v>
      </c>
      <c r="G7" s="201">
        <v>45783</v>
      </c>
      <c r="H7" s="201">
        <v>47399</v>
      </c>
      <c r="I7" s="202">
        <v>93395.933700162612</v>
      </c>
      <c r="J7" s="202">
        <v>4321258</v>
      </c>
      <c r="K7" s="203" t="s">
        <v>514</v>
      </c>
      <c r="L7" s="203"/>
      <c r="M7" s="206" t="s">
        <v>515</v>
      </c>
      <c r="N7" s="193"/>
      <c r="O7" s="193"/>
      <c r="P7" s="193"/>
      <c r="Q7" s="193"/>
      <c r="R7" s="193">
        <v>2750000</v>
      </c>
      <c r="S7" s="193"/>
      <c r="T7" s="193"/>
      <c r="U7" s="193"/>
      <c r="V7" s="193"/>
      <c r="W7" s="193"/>
      <c r="X7" s="193"/>
      <c r="Y7" s="193"/>
      <c r="Z7" s="193"/>
      <c r="AA7" s="193"/>
    </row>
    <row r="8" spans="1:27" x14ac:dyDescent="0.25">
      <c r="A8" s="196" t="str">
        <f>fin[[#This Row],[Tomadora]]&amp;"-"&amp;fin[[#This Row],[Agente]]&amp;"-"&amp;LEFT(D8,LEN(D8)-3)</f>
        <v>AMPLA-CEF-4472</v>
      </c>
      <c r="B8" s="196" t="s">
        <v>497</v>
      </c>
      <c r="C8" s="197" t="s">
        <v>516</v>
      </c>
      <c r="D8" s="202">
        <v>4472640</v>
      </c>
      <c r="E8" s="202">
        <f>SUM(fin[[#This Row],[jan/25]:[dez/25]])</f>
        <v>812640</v>
      </c>
      <c r="F8" s="200">
        <v>0.216</v>
      </c>
      <c r="G8" s="201">
        <v>45687</v>
      </c>
      <c r="H8" s="201">
        <v>47148</v>
      </c>
      <c r="I8" s="202">
        <v>141823.14000000001</v>
      </c>
      <c r="J8" s="202">
        <v>4321258</v>
      </c>
      <c r="K8" s="207"/>
      <c r="L8" s="203"/>
      <c r="M8" s="208" t="s">
        <v>517</v>
      </c>
      <c r="N8" s="209">
        <v>812640</v>
      </c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</row>
    <row r="9" spans="1:27" x14ac:dyDescent="0.25">
      <c r="A9" s="196" t="str">
        <f>fin[[#This Row],[Tomadora]]&amp;"-"&amp;fin[[#This Row],[Agente]]&amp;"-"&amp;LEFT(D9,LEN(D9)-3)</f>
        <v>LUC-URBEME-612</v>
      </c>
      <c r="B9" s="196" t="s">
        <v>15</v>
      </c>
      <c r="C9" s="197" t="s">
        <v>518</v>
      </c>
      <c r="D9" s="198">
        <v>612000</v>
      </c>
      <c r="E9" s="199">
        <f>SUM(fin[[#This Row],[jan/25]:[dez/25]])</f>
        <v>612000</v>
      </c>
      <c r="F9" t="s">
        <v>519</v>
      </c>
      <c r="G9" s="201">
        <v>45870</v>
      </c>
      <c r="H9" s="201">
        <v>46600</v>
      </c>
      <c r="I9" s="202">
        <v>14734</v>
      </c>
      <c r="J9" s="198">
        <v>612000</v>
      </c>
      <c r="K9" s="203" t="s">
        <v>514</v>
      </c>
      <c r="L9" s="203" t="s">
        <v>520</v>
      </c>
      <c r="M9" s="204"/>
      <c r="N9" s="193"/>
      <c r="O9" s="193"/>
      <c r="P9" s="193"/>
      <c r="Q9" s="193"/>
      <c r="R9" s="193"/>
      <c r="S9" s="193"/>
      <c r="T9" s="193"/>
      <c r="U9" s="193">
        <v>612000</v>
      </c>
      <c r="V9" s="193"/>
      <c r="W9" s="193"/>
      <c r="X9" s="193"/>
      <c r="Y9" s="193"/>
      <c r="Z9" s="193"/>
      <c r="AA9" s="193"/>
    </row>
    <row r="10" spans="1:27" x14ac:dyDescent="0.25">
      <c r="A10" s="210" t="str">
        <f>fin[[#This Row],[Tomadora]]&amp;"-"&amp;fin[[#This Row],[Agente]]&amp;"-"&amp;LEFT(D10,LEN(D10)-3)</f>
        <v>ENC-CEF-545</v>
      </c>
      <c r="B10" s="210" t="s">
        <v>521</v>
      </c>
      <c r="C10" s="197" t="s">
        <v>516</v>
      </c>
      <c r="D10" s="198">
        <v>545906</v>
      </c>
      <c r="E10" s="199">
        <f>SUM(fin[[#This Row],[jan/25]:[dez/25]])</f>
        <v>545906</v>
      </c>
      <c r="F10" s="200">
        <v>0.34389999999999998</v>
      </c>
      <c r="G10" s="201">
        <v>45862</v>
      </c>
      <c r="H10" s="201">
        <v>47323</v>
      </c>
      <c r="I10" s="199">
        <v>17116.47</v>
      </c>
      <c r="J10" s="198">
        <v>548528</v>
      </c>
      <c r="K10" s="203"/>
      <c r="L10" s="203" t="s">
        <v>522</v>
      </c>
      <c r="M10" s="204"/>
      <c r="N10" s="193"/>
      <c r="O10" s="193"/>
      <c r="P10" s="193"/>
      <c r="Q10" s="193"/>
      <c r="R10" s="193"/>
      <c r="S10" s="193"/>
      <c r="T10" s="193">
        <v>545906</v>
      </c>
      <c r="U10" s="193"/>
      <c r="V10" s="193"/>
      <c r="W10" s="193"/>
      <c r="X10" s="193"/>
      <c r="Y10" s="193"/>
      <c r="Z10" s="193"/>
      <c r="AA10" s="193"/>
    </row>
    <row r="11" spans="1:27" x14ac:dyDescent="0.25">
      <c r="A11" s="210" t="str">
        <f>fin[[#This Row],[Tomadora]]&amp;"-"&amp;fin[[#This Row],[Agente]]&amp;"-"&amp;LEFT(D11,LEN(D11)-3)</f>
        <v>ENC-CEF-500</v>
      </c>
      <c r="B11" s="210" t="s">
        <v>521</v>
      </c>
      <c r="C11" s="197" t="s">
        <v>516</v>
      </c>
      <c r="D11" s="198">
        <v>500000</v>
      </c>
      <c r="E11" s="199">
        <f>SUM(fin[[#This Row],[jan/25]:[dez/25]])</f>
        <v>500000</v>
      </c>
      <c r="F11" s="200">
        <v>0.2908</v>
      </c>
      <c r="G11" s="201">
        <v>45834</v>
      </c>
      <c r="H11" s="201">
        <v>47629</v>
      </c>
      <c r="I11" s="199">
        <v>11000</v>
      </c>
      <c r="J11" s="198">
        <v>507953</v>
      </c>
      <c r="K11" s="203"/>
      <c r="L11" s="203" t="s">
        <v>522</v>
      </c>
      <c r="M11" s="204"/>
      <c r="N11" s="193"/>
      <c r="O11" s="193"/>
      <c r="P11" s="193"/>
      <c r="Q11" s="193"/>
      <c r="R11" s="193"/>
      <c r="S11" s="193">
        <v>500000</v>
      </c>
      <c r="T11" s="193"/>
      <c r="U11" s="193"/>
      <c r="V11" s="193"/>
      <c r="W11" s="193"/>
      <c r="X11" s="193"/>
      <c r="Y11" s="193"/>
      <c r="Z11" s="193"/>
      <c r="AA11" s="193"/>
    </row>
    <row r="12" spans="1:27" x14ac:dyDescent="0.25">
      <c r="A12" s="196" t="str">
        <f>fin[[#This Row],[Tomadora]]&amp;"-"&amp;fin[[#This Row],[Agente]]&amp;"-"&amp;LEFT(D12,LEN(D12)-3)</f>
        <v>INC-CEF-500</v>
      </c>
      <c r="B12" s="196" t="s">
        <v>523</v>
      </c>
      <c r="C12" s="197" t="s">
        <v>516</v>
      </c>
      <c r="D12" s="199">
        <v>500000</v>
      </c>
      <c r="E12" s="199">
        <f>SUM(fin[[#This Row],[jan/25]:[dez/25]])</f>
        <v>500000</v>
      </c>
      <c r="F12" s="211">
        <v>0.252</v>
      </c>
      <c r="G12" s="201">
        <v>45915</v>
      </c>
      <c r="H12" s="201">
        <v>47741</v>
      </c>
      <c r="I12" s="199">
        <v>15938.2</v>
      </c>
      <c r="J12" s="199">
        <v>500000</v>
      </c>
      <c r="K12" s="203"/>
      <c r="L12" s="203" t="s">
        <v>522</v>
      </c>
      <c r="M12" s="204"/>
      <c r="N12" s="193"/>
      <c r="O12" s="193"/>
      <c r="P12" s="193"/>
      <c r="Q12" s="193"/>
      <c r="R12" s="193"/>
      <c r="S12" s="193"/>
      <c r="T12" s="193"/>
      <c r="U12" s="193"/>
      <c r="V12" s="193">
        <v>500000</v>
      </c>
      <c r="W12" s="193"/>
      <c r="X12" s="193"/>
      <c r="Y12" s="193"/>
      <c r="Z12" s="193"/>
      <c r="AA12" s="193"/>
    </row>
    <row r="13" spans="1:27" x14ac:dyDescent="0.25">
      <c r="A13" s="196" t="str">
        <f>fin[[#This Row],[Tomadora]]&amp;"-"&amp;fin[[#This Row],[Agente]]&amp;"-"&amp;LEFT(D13,LEN(D13)-3)</f>
        <v>LCG-Bradesco-400</v>
      </c>
      <c r="B13" s="196" t="s">
        <v>524</v>
      </c>
      <c r="C13" s="197" t="s">
        <v>525</v>
      </c>
      <c r="D13" s="199">
        <v>400000</v>
      </c>
      <c r="E13" s="199">
        <f>SUM(fin[[#This Row],[jan/25]:[dez/25]])</f>
        <v>400000</v>
      </c>
      <c r="F13" s="211">
        <v>0.47389999999999999</v>
      </c>
      <c r="G13" s="201">
        <v>45895</v>
      </c>
      <c r="H13" s="201">
        <v>47325</v>
      </c>
      <c r="I13" s="199">
        <v>19387.82</v>
      </c>
      <c r="J13" s="193"/>
      <c r="K13" s="203"/>
      <c r="L13" s="203" t="s">
        <v>526</v>
      </c>
      <c r="M13" s="204"/>
      <c r="N13" s="193"/>
      <c r="O13" s="193"/>
      <c r="P13" s="193"/>
      <c r="Q13" s="193"/>
      <c r="R13" s="193"/>
      <c r="S13" s="193"/>
      <c r="T13" s="193"/>
      <c r="U13" s="193">
        <v>400000</v>
      </c>
      <c r="V13" s="193"/>
      <c r="W13" s="193"/>
      <c r="X13" s="193"/>
      <c r="Y13" s="193"/>
      <c r="Z13" s="193"/>
      <c r="AA13" s="193"/>
    </row>
    <row r="14" spans="1:27" x14ac:dyDescent="0.25">
      <c r="A14" s="196" t="str">
        <f>fin[[#This Row],[Tomadora]]&amp;"-"&amp;fin[[#This Row],[Agente]]&amp;"-"&amp;LEFT(D14,LEN(D14)-3)</f>
        <v>AMPLA-CEF-300</v>
      </c>
      <c r="B14" s="196" t="s">
        <v>497</v>
      </c>
      <c r="C14" s="197" t="s">
        <v>516</v>
      </c>
      <c r="D14" s="212">
        <v>300000</v>
      </c>
      <c r="E14" s="202">
        <f>SUM(fin[[#This Row],[jan/25]:[dez/25]])</f>
        <v>300000</v>
      </c>
      <c r="F14" s="200" t="s">
        <v>527</v>
      </c>
      <c r="G14" s="201">
        <v>45828</v>
      </c>
      <c r="H14" s="201">
        <v>46741</v>
      </c>
      <c r="I14" s="202">
        <v>16168.47</v>
      </c>
      <c r="J14" s="202">
        <v>316719.03999999998</v>
      </c>
      <c r="K14" s="203"/>
      <c r="L14" s="203" t="s">
        <v>522</v>
      </c>
      <c r="M14" s="204"/>
      <c r="N14" s="193"/>
      <c r="O14" s="193"/>
      <c r="P14" s="193"/>
      <c r="Q14" s="193"/>
      <c r="R14" s="193"/>
      <c r="S14" s="193">
        <v>300000</v>
      </c>
      <c r="T14" s="193"/>
      <c r="U14" s="193"/>
      <c r="V14" s="193"/>
      <c r="W14" s="193"/>
      <c r="X14" s="193"/>
      <c r="Y14" s="193"/>
      <c r="Z14" s="193"/>
      <c r="AA14" s="193"/>
    </row>
  </sheetData>
  <phoneticPr fontId="2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tabSelected="1" topLeftCell="BJ1" zoomScale="70" zoomScaleNormal="70" workbookViewId="0">
      <selection activeCell="BJ10" sqref="BJ10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132">
        <v>46081</v>
      </c>
      <c r="B1" s="133" t="s">
        <v>0</v>
      </c>
      <c r="C1" s="134"/>
      <c r="D1" s="134"/>
      <c r="E1" s="134"/>
      <c r="F1" s="135"/>
      <c r="G1" s="134"/>
      <c r="H1" s="134"/>
      <c r="I1" s="134"/>
      <c r="J1" s="134"/>
      <c r="K1" s="134"/>
      <c r="L1" s="134"/>
      <c r="M1" s="134"/>
      <c r="N1" s="133" t="s">
        <v>1</v>
      </c>
      <c r="O1" s="134"/>
      <c r="P1" s="134"/>
      <c r="Q1" s="134"/>
      <c r="R1" s="135"/>
      <c r="S1" s="134"/>
      <c r="T1" s="134"/>
      <c r="U1" s="134"/>
      <c r="V1" s="134"/>
      <c r="W1" s="134"/>
      <c r="X1" s="134"/>
      <c r="Y1" s="134"/>
      <c r="Z1" s="133" t="s">
        <v>447</v>
      </c>
      <c r="AA1" s="134"/>
      <c r="AB1" s="134"/>
      <c r="AC1" s="134"/>
      <c r="AD1" s="134"/>
      <c r="AE1" s="134"/>
      <c r="AF1" s="134"/>
      <c r="AG1" s="134"/>
      <c r="AH1" s="134"/>
      <c r="AI1" s="134"/>
      <c r="AJ1" s="133" t="s">
        <v>2</v>
      </c>
      <c r="AK1" s="134"/>
      <c r="AL1" s="134"/>
      <c r="AM1" s="134"/>
      <c r="AN1" s="135"/>
      <c r="AO1" s="134"/>
      <c r="AP1" s="134"/>
      <c r="AQ1" s="134"/>
      <c r="AR1" s="134"/>
      <c r="AS1" s="134"/>
      <c r="AT1" s="134"/>
      <c r="AU1" s="134"/>
      <c r="AV1" s="133" t="s">
        <v>3</v>
      </c>
      <c r="AW1" s="134"/>
      <c r="AX1" s="134"/>
      <c r="AY1" s="134"/>
      <c r="AZ1" s="134"/>
      <c r="BA1" s="134"/>
      <c r="BB1" s="134"/>
      <c r="BC1" s="134"/>
      <c r="BD1" s="134"/>
      <c r="BE1" s="134"/>
      <c r="BF1" s="134"/>
      <c r="BG1" s="134"/>
      <c r="BH1" s="133" t="s">
        <v>4</v>
      </c>
      <c r="BI1" s="134"/>
      <c r="BJ1" s="134"/>
      <c r="BK1" s="134"/>
      <c r="BL1" s="134"/>
      <c r="BM1" s="134"/>
      <c r="BN1" s="134"/>
      <c r="BO1" s="134"/>
      <c r="BP1" s="134"/>
      <c r="BQ1" s="134"/>
      <c r="BR1" s="133" t="s">
        <v>823</v>
      </c>
      <c r="BS1" s="134"/>
      <c r="BT1" s="134"/>
      <c r="BU1" s="134"/>
      <c r="BV1" s="134"/>
      <c r="BW1" s="134"/>
      <c r="BX1" s="134"/>
      <c r="BY1" s="134"/>
      <c r="BZ1" s="134"/>
      <c r="CA1" s="134"/>
      <c r="CB1" s="133" t="s">
        <v>5</v>
      </c>
      <c r="CC1" s="134"/>
      <c r="CD1" s="134"/>
      <c r="CE1" s="134"/>
      <c r="CF1" s="135"/>
      <c r="CG1" s="134"/>
      <c r="CH1" s="134"/>
      <c r="CI1" s="134"/>
      <c r="CJ1" s="134"/>
      <c r="CK1" s="134"/>
      <c r="CL1" s="134"/>
      <c r="CM1" s="134"/>
      <c r="CN1" s="133" t="s">
        <v>6</v>
      </c>
      <c r="CO1" s="134"/>
      <c r="CP1" s="134"/>
      <c r="CQ1" s="134"/>
      <c r="CR1" s="134"/>
      <c r="CS1" s="134"/>
      <c r="CT1" s="134"/>
      <c r="CU1" s="134"/>
      <c r="CV1" s="134"/>
      <c r="CW1" s="134"/>
      <c r="CX1" s="134"/>
      <c r="CY1" s="136"/>
    </row>
    <row r="2" spans="1:103" ht="15.75" customHeight="1" x14ac:dyDescent="0.25">
      <c r="B2" s="137" t="s">
        <v>7</v>
      </c>
      <c r="C2" s="138"/>
      <c r="D2" s="139">
        <f t="array" ref="D2">SUMPRODUCT(
   estq[Preço Tab.] *
   (estq[empresa]=D$6) *
   ((estq[Status]="Disponível") + (estq[Status]="Reservada") + (estq[Status]="Em negociação"))
)</f>
        <v>0</v>
      </c>
      <c r="M2" s="140"/>
      <c r="N2" s="137" t="s">
        <v>7</v>
      </c>
      <c r="O2" s="138"/>
      <c r="P2" s="139">
        <f t="array" ref="P2">SUMPRODUCT(
   estq[Preço Tab.] *
   (estq[empresa]=P$6) *
   ((estq[Status]="Disponível") + (estq[Status]="Reservada") + (estq[Status]="Em negociação"))
)</f>
        <v>0</v>
      </c>
      <c r="Y2" s="140"/>
      <c r="Z2" s="137" t="s">
        <v>7</v>
      </c>
      <c r="AA2" s="141"/>
      <c r="AB2" s="139">
        <f t="array" ref="AB2">SUMPRODUCT(
   estq[Preço Tab.] *
   (estq[empresa]=AB$6) *
   ((estq[Status]="Disponível") + (estq[Status]="Reservada") + (estq[Status]="Em negociação"))
)</f>
        <v>0</v>
      </c>
      <c r="AI2" s="140"/>
      <c r="AJ2" s="137" t="s">
        <v>7</v>
      </c>
      <c r="AK2" s="141"/>
      <c r="AL2" s="139">
        <f t="array" ref="AL2">SUMPRODUCT(
   estq[Preço Tab.] *
   (estq[empresa]=AL$6) *
   ((estq[Status]="Disponível") + (estq[Status]="Reservada") + (estq[Status]="Em negociação"))
)</f>
        <v>0</v>
      </c>
      <c r="AU2" s="140"/>
      <c r="AV2" s="137" t="s">
        <v>7</v>
      </c>
      <c r="AW2" s="141"/>
      <c r="AX2" s="139">
        <f t="array" ref="AX2">SUMPRODUCT(
   estq[Preço Tab.] *
   (estq[empresa]=BA$6) *
   ((estq[Status]="Disponível") + (estq[Status]="Reservada") + (estq[Status]="Em negociação"))
)</f>
        <v>0</v>
      </c>
      <c r="BG2" s="140"/>
      <c r="BH2" s="137" t="s">
        <v>7</v>
      </c>
      <c r="BI2" s="141"/>
      <c r="BJ2" s="139">
        <f t="array" ref="BJ2">SUMPRODUCT(
   estq[Preço Tab.] *
   (estq[empresa]=BJ$6) *
   ((estq[Status]="Disponível") + (estq[Status]="Reservada") + (estq[Status]="Em negociação"))
)</f>
        <v>0</v>
      </c>
      <c r="BQ2" s="140"/>
      <c r="BR2" s="137" t="s">
        <v>7</v>
      </c>
      <c r="BS2" s="141"/>
      <c r="BT2" s="139">
        <f t="array" ref="BT2">SUMPRODUCT(
   estq[Preço Tab.] *
   (estq[empresa]=BT$6) *
   ((estq[Status]="Disponível") + (estq[Status]="Reservada") + (estq[Status]="Em negociação"))
)</f>
        <v>0</v>
      </c>
      <c r="CA2" s="140"/>
      <c r="CB2" s="137" t="s">
        <v>7</v>
      </c>
      <c r="CC2" s="141"/>
      <c r="CD2" s="139">
        <f t="array" ref="CD2">SUMPRODUCT(
   estq[Preço Tab.] *
   (estq[empresa]=CD$6) *
   ((estq[Status]="Disponível") + (estq[Status]="Reservada") + (estq[Status]="Em negociação"))
)</f>
        <v>0</v>
      </c>
      <c r="CM2" s="140"/>
      <c r="CN2" s="137" t="s">
        <v>7</v>
      </c>
      <c r="CO2" s="141"/>
      <c r="CP2" s="139">
        <f t="array" ref="CP2">SUMPRODUCT(
   estq[Preço Tab.] *
   (estq[empresa]=CS$6) *
   ((estq[Status]="Disponível") + (estq[Status]="Reservada") + (estq[Status]="Em negociação"))
)</f>
        <v>0</v>
      </c>
      <c r="CY2" s="142"/>
    </row>
    <row r="3" spans="1:103" ht="15.75" customHeight="1" x14ac:dyDescent="0.25">
      <c r="B3" s="143" t="s">
        <v>8</v>
      </c>
      <c r="C3" s="144"/>
      <c r="D3" s="145">
        <f>COUNTIFS(estq[empresa], D$6, estq[Status], "Disponível")
+
COUNTIFS(estq[empresa], D$6, estq[Status], "Reservada")
+
COUNTIFS(estq[empresa], D$6, estq[Status], "Em negociação")</f>
        <v>0</v>
      </c>
      <c r="M3" s="140"/>
      <c r="N3" s="143" t="s">
        <v>8</v>
      </c>
      <c r="O3" s="144"/>
      <c r="P3" s="145">
        <f>COUNTIFS(estq[empresa], P$6, estq[Status], "Disponível")
+
COUNTIFS(estq[empresa], P$6, estq[Status], "Reservada")
+
COUNTIFS(estq[empresa], P$6, estq[Status], "Em negociação")</f>
        <v>0</v>
      </c>
      <c r="Y3" s="140"/>
      <c r="Z3" s="143" t="s">
        <v>8</v>
      </c>
      <c r="AA3" s="146"/>
      <c r="AB3" s="145">
        <f>COUNTIFS(estq[empresa], AB$6, estq[Status], "Disponível")
+
COUNTIFS(estq[empresa], AB$6, estq[Status], "Reservada")
+
COUNTIFS(estq[empresa], AB$6, estq[Status], "Em negociação")</f>
        <v>0</v>
      </c>
      <c r="AI3" s="140"/>
      <c r="AJ3" s="143" t="s">
        <v>8</v>
      </c>
      <c r="AK3" s="146"/>
      <c r="AL3" s="145">
        <f>COUNTIFS(estq[empresa], AL$6, estq[Status], "Disponível")
+
COUNTIFS(estq[empresa], AL$6, estq[Status], "Reservada")
+
COUNTIFS(estq[empresa], AL$6, estq[Status], "Em negociação")</f>
        <v>0</v>
      </c>
      <c r="AU3" s="140"/>
      <c r="AV3" s="143" t="s">
        <v>8</v>
      </c>
      <c r="AW3" s="146"/>
      <c r="AX3" s="145">
        <f>COUNTIFS(estq[empresa], BA$6, estq[Status], "Disponível")
+
COUNTIFS(estq[empresa], BA$6, estq[Status], "Reservada")
+
COUNTIFS(estq[empresa], BA$6, estq[Status], "Em negociação")</f>
        <v>0</v>
      </c>
      <c r="BG3" s="140"/>
      <c r="BH3" s="143" t="s">
        <v>8</v>
      </c>
      <c r="BI3" s="146"/>
      <c r="BJ3" s="145">
        <f>COUNTIFS(estq[empresa], BJ$6, estq[Status], "Disponível")
+
COUNTIFS(estq[empresa], BJ$6, estq[Status], "Reservada")
+
COUNTIFS(estq[empresa], BJ$6, estq[Status], "Em negociação")</f>
        <v>0</v>
      </c>
      <c r="BQ3" s="140"/>
      <c r="BR3" s="143" t="s">
        <v>8</v>
      </c>
      <c r="BS3" s="146"/>
      <c r="BT3" s="145">
        <f>COUNTIFS(estq[empresa], BT$6, estq[Status], "Disponível")
+
COUNTIFS(estq[empresa], BT$6, estq[Status], "Reservada")
+
COUNTIFS(estq[empresa], BT$6, estq[Status], "Em negociação")</f>
        <v>0</v>
      </c>
      <c r="CA3" s="140"/>
      <c r="CB3" s="143" t="s">
        <v>8</v>
      </c>
      <c r="CC3" s="146"/>
      <c r="CD3" s="145">
        <f>COUNTIFS(estq[empresa], CD$6, estq[Status], "Disponível")
+
COUNTIFS(estq[empresa], CD$6, estq[Status], "Reservada")
+
COUNTIFS(estq[empresa], CD$6, estq[Status], "Em negociação")</f>
        <v>0</v>
      </c>
      <c r="CM3" s="140"/>
      <c r="CN3" s="143" t="s">
        <v>8</v>
      </c>
      <c r="CO3" s="146"/>
      <c r="CP3" s="145">
        <f>COUNTIFS(estq[empresa], CS$6, estq[Status], "Disponível")
+
COUNTIFS(estq[empresa], CS$6, estq[Status], "Reservada")
+
COUNTIFS(estq[empresa], CS$6, estq[Status], "Em negociação")</f>
        <v>0</v>
      </c>
      <c r="CY3" s="142"/>
    </row>
    <row r="4" spans="1:103" ht="15.75" customHeight="1" x14ac:dyDescent="0.25">
      <c r="B4" s="137" t="s">
        <v>9</v>
      </c>
      <c r="C4" s="138"/>
      <c r="D4" s="139">
        <f ca="1">SUMIFS(rec.uni[soma.meses],
INDIRECT("rec.uni[natureza]"),"parcela.cef.assinar",
INDIRECT("rec.uni[empresa]"),D$6)</f>
        <v>0</v>
      </c>
      <c r="M4" s="140"/>
      <c r="N4" s="137" t="s">
        <v>9</v>
      </c>
      <c r="O4" s="138"/>
      <c r="P4" s="139">
        <f ca="1">SUMIFS(rec.uni[soma.meses],
INDIRECT("rec.uni[natureza]"),"parcela.cef.assinar",
INDIRECT("rec.uni[empresa]"),P$6)</f>
        <v>0</v>
      </c>
      <c r="Y4" s="140"/>
      <c r="Z4" s="147"/>
      <c r="AI4" s="140"/>
      <c r="AJ4" s="137" t="s">
        <v>9</v>
      </c>
      <c r="AK4" s="141"/>
      <c r="AL4" s="139">
        <f ca="1">SUMIFS(rec.uni[soma.meses],
INDIRECT("rec.uni[natureza]"),"parcela.cef.assinar",
INDIRECT("rec.uni[empresa]"),AL$6)</f>
        <v>0</v>
      </c>
      <c r="AU4" s="140"/>
      <c r="AV4" s="137" t="s">
        <v>9</v>
      </c>
      <c r="AW4" s="141"/>
      <c r="AX4" s="139">
        <f ca="1">SUMIFS(rec.uni[soma.meses],
INDIRECT("rec.uni[natureza]"),"parcela.cef.assinar",
INDIRECT("rec.uni[empresa]"),BA$6)</f>
        <v>0</v>
      </c>
      <c r="BG4" s="140"/>
      <c r="BH4" s="147"/>
      <c r="BQ4" s="140"/>
      <c r="BR4" s="147"/>
      <c r="CA4" s="140"/>
      <c r="CB4" s="137" t="s">
        <v>9</v>
      </c>
      <c r="CC4" s="141"/>
      <c r="CD4" s="139">
        <f ca="1">SUMIFS(rec.uni[soma.meses],
INDIRECT("rec.uni[natureza]"),"parcela.cef.assinar",
INDIRECT("rec.uni[empresa]"),CD$6)</f>
        <v>0</v>
      </c>
      <c r="CM4" s="140"/>
      <c r="CN4" s="137" t="s">
        <v>9</v>
      </c>
      <c r="CO4" s="141"/>
      <c r="CP4" s="139">
        <f ca="1">SUMIFS(rec.uni[soma.meses],
INDIRECT("rec.uni[natureza]"),"parcela.cef.assinar",
INDIRECT("rec.uni[empresa]"),CS$6)</f>
        <v>0</v>
      </c>
      <c r="CY4" s="142"/>
    </row>
    <row r="5" spans="1:103" ht="15.75" customHeight="1" x14ac:dyDescent="0.25">
      <c r="B5" s="148" t="s">
        <v>10</v>
      </c>
      <c r="C5" s="149"/>
      <c r="D5" s="150">
        <f>COUNTIFS(
   rec.uni[empresa],D$6,
   rec.uni[natureza],"parcela.cef.assinar"
)</f>
        <v>0</v>
      </c>
      <c r="M5" s="151"/>
      <c r="N5" s="148" t="s">
        <v>10</v>
      </c>
      <c r="O5" s="149"/>
      <c r="P5" s="150">
        <f>COUNTIFS(
   rec.uni[empresa],P$6,
   rec.uni[natureza],"parcela.cef.assinar"
)</f>
        <v>0</v>
      </c>
      <c r="Y5" s="151"/>
      <c r="Z5" s="153"/>
      <c r="AA5" s="151"/>
      <c r="AB5" s="293"/>
      <c r="AI5" s="151"/>
      <c r="AJ5" s="148" t="s">
        <v>10</v>
      </c>
      <c r="AK5" s="152"/>
      <c r="AL5" s="150">
        <f>COUNTIFS(
   rec.uni[empresa],AL$6,
   rec.uni[natureza],"parcela.cef.assinar"
)</f>
        <v>0</v>
      </c>
      <c r="AU5" s="151"/>
      <c r="AV5" s="148" t="s">
        <v>10</v>
      </c>
      <c r="AW5" s="152"/>
      <c r="AX5" s="150">
        <f>COUNTIFS(
   rec.uni[empresa],BA$6,
   rec.uni[natureza],"parcela.cef.assinar"
)</f>
        <v>0</v>
      </c>
      <c r="BG5" s="151"/>
      <c r="BH5" s="153"/>
      <c r="BI5" s="151"/>
      <c r="BJ5" s="293"/>
      <c r="BQ5" s="151"/>
      <c r="BR5" s="153"/>
      <c r="BS5" s="151"/>
      <c r="BT5" s="293"/>
      <c r="CA5" s="151"/>
      <c r="CB5" s="148" t="s">
        <v>10</v>
      </c>
      <c r="CC5" s="152"/>
      <c r="CD5" s="150">
        <f>COUNTIFS(
   rec.uni[empresa],CD$6,
   rec.uni[natureza],"parcela.cef.assinar"
)</f>
        <v>0</v>
      </c>
      <c r="CM5" s="151"/>
      <c r="CN5" s="148" t="s">
        <v>10</v>
      </c>
      <c r="CO5" s="152"/>
      <c r="CP5" s="150">
        <f>COUNTIFS(
   rec.uni[empresa],CS$6,
   rec.uni[natureza],"parcela.cef.assinar"
)</f>
        <v>0</v>
      </c>
      <c r="CY5" s="154"/>
    </row>
    <row r="6" spans="1:103" ht="15.75" customHeight="1" x14ac:dyDescent="0.25">
      <c r="A6" s="155" t="s">
        <v>11</v>
      </c>
      <c r="B6" s="156" t="s">
        <v>12</v>
      </c>
      <c r="C6" s="157" t="s">
        <v>12</v>
      </c>
      <c r="D6" s="157" t="s">
        <v>12</v>
      </c>
      <c r="E6" s="157" t="s">
        <v>12</v>
      </c>
      <c r="F6" s="157" t="s">
        <v>12</v>
      </c>
      <c r="G6" s="157" t="s">
        <v>12</v>
      </c>
      <c r="H6" s="157" t="s">
        <v>12</v>
      </c>
      <c r="I6" s="157" t="s">
        <v>12</v>
      </c>
      <c r="J6" s="157" t="s">
        <v>12</v>
      </c>
      <c r="K6" s="157" t="s">
        <v>12</v>
      </c>
      <c r="L6" s="157" t="s">
        <v>12</v>
      </c>
      <c r="M6" s="158" t="s">
        <v>12</v>
      </c>
      <c r="N6" s="156" t="s">
        <v>13</v>
      </c>
      <c r="O6" s="157" t="s">
        <v>13</v>
      </c>
      <c r="P6" s="157" t="s">
        <v>13</v>
      </c>
      <c r="Q6" s="157" t="s">
        <v>13</v>
      </c>
      <c r="R6" s="159" t="s">
        <v>13</v>
      </c>
      <c r="S6" s="157" t="s">
        <v>13</v>
      </c>
      <c r="T6" s="157" t="s">
        <v>13</v>
      </c>
      <c r="U6" s="157" t="s">
        <v>13</v>
      </c>
      <c r="V6" s="157" t="s">
        <v>13</v>
      </c>
      <c r="W6" s="157" t="s">
        <v>13</v>
      </c>
      <c r="X6" s="157" t="s">
        <v>13</v>
      </c>
      <c r="Y6" s="158" t="s">
        <v>13</v>
      </c>
      <c r="Z6" s="156" t="s">
        <v>821</v>
      </c>
      <c r="AA6" s="157" t="s">
        <v>821</v>
      </c>
      <c r="AB6" s="157" t="s">
        <v>821</v>
      </c>
      <c r="AC6" s="157" t="s">
        <v>821</v>
      </c>
      <c r="AD6" s="157" t="s">
        <v>821</v>
      </c>
      <c r="AE6" s="157" t="s">
        <v>821</v>
      </c>
      <c r="AF6" s="157" t="s">
        <v>821</v>
      </c>
      <c r="AG6" s="157" t="s">
        <v>821</v>
      </c>
      <c r="AH6" s="157" t="s">
        <v>821</v>
      </c>
      <c r="AI6" s="158" t="s">
        <v>821</v>
      </c>
      <c r="AJ6" s="156" t="s">
        <v>14</v>
      </c>
      <c r="AK6" s="157" t="s">
        <v>14</v>
      </c>
      <c r="AL6" s="157" t="s">
        <v>14</v>
      </c>
      <c r="AM6" s="157" t="s">
        <v>14</v>
      </c>
      <c r="AN6" s="157" t="s">
        <v>14</v>
      </c>
      <c r="AO6" s="157" t="s">
        <v>14</v>
      </c>
      <c r="AP6" s="157" t="s">
        <v>14</v>
      </c>
      <c r="AQ6" s="157" t="s">
        <v>14</v>
      </c>
      <c r="AR6" s="157" t="s">
        <v>14</v>
      </c>
      <c r="AS6" s="157" t="s">
        <v>14</v>
      </c>
      <c r="AT6" s="157" t="s">
        <v>14</v>
      </c>
      <c r="AU6" s="158" t="s">
        <v>14</v>
      </c>
      <c r="AV6" s="156" t="s">
        <v>15</v>
      </c>
      <c r="AW6" s="157" t="s">
        <v>15</v>
      </c>
      <c r="AX6" s="157" t="s">
        <v>15</v>
      </c>
      <c r="AY6" s="157" t="s">
        <v>15</v>
      </c>
      <c r="AZ6" s="157" t="s">
        <v>15</v>
      </c>
      <c r="BA6" s="157" t="s">
        <v>15</v>
      </c>
      <c r="BB6" s="157" t="s">
        <v>15</v>
      </c>
      <c r="BC6" s="157" t="s">
        <v>15</v>
      </c>
      <c r="BD6" s="157" t="s">
        <v>15</v>
      </c>
      <c r="BE6" s="157" t="s">
        <v>15</v>
      </c>
      <c r="BF6" s="157" t="s">
        <v>15</v>
      </c>
      <c r="BG6" s="158" t="s">
        <v>15</v>
      </c>
      <c r="BH6" s="156" t="s">
        <v>16</v>
      </c>
      <c r="BI6" s="292" t="s">
        <v>16</v>
      </c>
      <c r="BJ6" s="292" t="s">
        <v>16</v>
      </c>
      <c r="BK6" s="157" t="s">
        <v>16</v>
      </c>
      <c r="BL6" s="157" t="s">
        <v>16</v>
      </c>
      <c r="BM6" s="157" t="s">
        <v>16</v>
      </c>
      <c r="BN6" s="157" t="s">
        <v>16</v>
      </c>
      <c r="BO6" s="157" t="s">
        <v>16</v>
      </c>
      <c r="BP6" s="157" t="s">
        <v>16</v>
      </c>
      <c r="BQ6" s="158" t="s">
        <v>16</v>
      </c>
      <c r="BR6" s="156" t="s">
        <v>507</v>
      </c>
      <c r="BS6" s="157" t="s">
        <v>507</v>
      </c>
      <c r="BT6" s="157" t="s">
        <v>507</v>
      </c>
      <c r="BU6" s="157" t="s">
        <v>507</v>
      </c>
      <c r="BV6" s="157" t="s">
        <v>507</v>
      </c>
      <c r="BW6" s="157" t="s">
        <v>507</v>
      </c>
      <c r="BX6" s="157" t="s">
        <v>507</v>
      </c>
      <c r="BY6" s="157" t="s">
        <v>507</v>
      </c>
      <c r="BZ6" s="157" t="s">
        <v>507</v>
      </c>
      <c r="CA6" s="158" t="s">
        <v>507</v>
      </c>
      <c r="CB6" s="156" t="s">
        <v>17</v>
      </c>
      <c r="CC6" s="157" t="s">
        <v>17</v>
      </c>
      <c r="CD6" s="157" t="s">
        <v>17</v>
      </c>
      <c r="CE6" s="157" t="s">
        <v>17</v>
      </c>
      <c r="CF6" s="157" t="s">
        <v>17</v>
      </c>
      <c r="CG6" s="157" t="s">
        <v>17</v>
      </c>
      <c r="CH6" s="157" t="s">
        <v>17</v>
      </c>
      <c r="CI6" s="157" t="s">
        <v>17</v>
      </c>
      <c r="CJ6" s="157" t="s">
        <v>17</v>
      </c>
      <c r="CK6" s="157" t="s">
        <v>17</v>
      </c>
      <c r="CL6" s="157" t="s">
        <v>17</v>
      </c>
      <c r="CM6" s="158" t="s">
        <v>17</v>
      </c>
      <c r="CN6" s="156" t="s">
        <v>18</v>
      </c>
      <c r="CO6" s="157" t="s">
        <v>18</v>
      </c>
      <c r="CP6" s="157" t="s">
        <v>18</v>
      </c>
      <c r="CQ6" s="157" t="s">
        <v>18</v>
      </c>
      <c r="CR6" s="157" t="s">
        <v>18</v>
      </c>
      <c r="CS6" s="157" t="s">
        <v>18</v>
      </c>
      <c r="CT6" s="157" t="s">
        <v>18</v>
      </c>
      <c r="CU6" s="157" t="s">
        <v>18</v>
      </c>
      <c r="CV6" s="157" t="s">
        <v>18</v>
      </c>
      <c r="CW6" s="157" t="s">
        <v>18</v>
      </c>
      <c r="CX6" s="157" t="s">
        <v>18</v>
      </c>
      <c r="CY6" s="158" t="s">
        <v>18</v>
      </c>
    </row>
    <row r="7" spans="1:103" ht="30" customHeight="1" x14ac:dyDescent="0.25">
      <c r="A7" s="155" t="s">
        <v>19</v>
      </c>
      <c r="B7" s="160" t="s">
        <v>20</v>
      </c>
      <c r="C7" s="161" t="s">
        <v>21</v>
      </c>
      <c r="D7" s="161" t="s">
        <v>22</v>
      </c>
      <c r="E7" s="161" t="s">
        <v>23</v>
      </c>
      <c r="F7" s="162" t="s">
        <v>24</v>
      </c>
      <c r="G7" s="161" t="s">
        <v>25</v>
      </c>
      <c r="H7" s="161" t="s">
        <v>26</v>
      </c>
      <c r="I7" s="163" t="s">
        <v>471</v>
      </c>
      <c r="J7" s="163" t="s">
        <v>401</v>
      </c>
      <c r="K7" s="163" t="s">
        <v>393</v>
      </c>
      <c r="L7" s="163" t="s">
        <v>20</v>
      </c>
      <c r="M7" s="164" t="s">
        <v>431</v>
      </c>
      <c r="N7" s="160" t="s">
        <v>20</v>
      </c>
      <c r="O7" s="161" t="s">
        <v>21</v>
      </c>
      <c r="P7" s="161" t="s">
        <v>22</v>
      </c>
      <c r="Q7" s="161" t="s">
        <v>23</v>
      </c>
      <c r="R7" s="162" t="s">
        <v>24</v>
      </c>
      <c r="S7" s="161" t="s">
        <v>25</v>
      </c>
      <c r="T7" s="161" t="s">
        <v>26</v>
      </c>
      <c r="U7" s="163" t="s">
        <v>471</v>
      </c>
      <c r="V7" s="163" t="s">
        <v>401</v>
      </c>
      <c r="W7" s="163" t="s">
        <v>393</v>
      </c>
      <c r="X7" s="163" t="s">
        <v>20</v>
      </c>
      <c r="Y7" s="164" t="s">
        <v>431</v>
      </c>
      <c r="Z7" s="160" t="s">
        <v>20</v>
      </c>
      <c r="AA7" s="161" t="s">
        <v>21</v>
      </c>
      <c r="AB7" s="291" t="s">
        <v>44</v>
      </c>
      <c r="AC7" s="161" t="s">
        <v>25</v>
      </c>
      <c r="AD7" s="161" t="s">
        <v>26</v>
      </c>
      <c r="AE7" s="163" t="s">
        <v>471</v>
      </c>
      <c r="AF7" s="163" t="s">
        <v>401</v>
      </c>
      <c r="AG7" s="163" t="s">
        <v>393</v>
      </c>
      <c r="AH7" s="163" t="s">
        <v>20</v>
      </c>
      <c r="AI7" s="164" t="s">
        <v>431</v>
      </c>
      <c r="AJ7" s="160" t="s">
        <v>20</v>
      </c>
      <c r="AK7" s="161" t="s">
        <v>21</v>
      </c>
      <c r="AL7" s="161" t="s">
        <v>22</v>
      </c>
      <c r="AM7" s="161" t="s">
        <v>23</v>
      </c>
      <c r="AN7" s="162" t="s">
        <v>24</v>
      </c>
      <c r="AO7" s="161" t="s">
        <v>25</v>
      </c>
      <c r="AP7" s="161" t="s">
        <v>26</v>
      </c>
      <c r="AQ7" s="163" t="s">
        <v>471</v>
      </c>
      <c r="AR7" s="163" t="s">
        <v>401</v>
      </c>
      <c r="AS7" s="163" t="s">
        <v>393</v>
      </c>
      <c r="AT7" s="163" t="s">
        <v>20</v>
      </c>
      <c r="AU7" s="164" t="s">
        <v>431</v>
      </c>
      <c r="AV7" s="160" t="s">
        <v>20</v>
      </c>
      <c r="AW7" s="161" t="s">
        <v>21</v>
      </c>
      <c r="AX7" s="161" t="s">
        <v>22</v>
      </c>
      <c r="AY7" s="161" t="s">
        <v>23</v>
      </c>
      <c r="AZ7" s="162" t="s">
        <v>24</v>
      </c>
      <c r="BA7" s="161" t="s">
        <v>25</v>
      </c>
      <c r="BB7" s="161" t="s">
        <v>26</v>
      </c>
      <c r="BC7" s="163" t="s">
        <v>471</v>
      </c>
      <c r="BD7" s="163" t="s">
        <v>401</v>
      </c>
      <c r="BE7" s="163" t="s">
        <v>393</v>
      </c>
      <c r="BF7" s="163" t="s">
        <v>20</v>
      </c>
      <c r="BG7" s="164" t="s">
        <v>431</v>
      </c>
      <c r="BH7" s="160" t="s">
        <v>20</v>
      </c>
      <c r="BI7" s="161" t="s">
        <v>21</v>
      </c>
      <c r="BJ7" s="161" t="s">
        <v>27</v>
      </c>
      <c r="BK7" s="161" t="s">
        <v>25</v>
      </c>
      <c r="BL7" s="161" t="s">
        <v>26</v>
      </c>
      <c r="BM7" s="163" t="s">
        <v>471</v>
      </c>
      <c r="BN7" s="163" t="s">
        <v>401</v>
      </c>
      <c r="BO7" s="163" t="s">
        <v>393</v>
      </c>
      <c r="BP7" s="163" t="s">
        <v>20</v>
      </c>
      <c r="BQ7" s="164" t="s">
        <v>431</v>
      </c>
      <c r="BR7" s="160" t="s">
        <v>20</v>
      </c>
      <c r="BS7" s="161" t="s">
        <v>21</v>
      </c>
      <c r="BT7" s="291" t="s">
        <v>44</v>
      </c>
      <c r="BU7" s="161" t="s">
        <v>25</v>
      </c>
      <c r="BV7" s="161" t="s">
        <v>26</v>
      </c>
      <c r="BW7" s="163" t="s">
        <v>471</v>
      </c>
      <c r="BX7" s="163" t="s">
        <v>401</v>
      </c>
      <c r="BY7" s="163" t="s">
        <v>393</v>
      </c>
      <c r="BZ7" s="163" t="s">
        <v>20</v>
      </c>
      <c r="CA7" s="164" t="s">
        <v>431</v>
      </c>
      <c r="CB7" s="160" t="s">
        <v>20</v>
      </c>
      <c r="CC7" s="161" t="s">
        <v>21</v>
      </c>
      <c r="CD7" s="161" t="s">
        <v>22</v>
      </c>
      <c r="CE7" s="161" t="s">
        <v>23</v>
      </c>
      <c r="CF7" s="162" t="s">
        <v>24</v>
      </c>
      <c r="CG7" s="161" t="s">
        <v>25</v>
      </c>
      <c r="CH7" s="161" t="s">
        <v>26</v>
      </c>
      <c r="CI7" s="163" t="s">
        <v>471</v>
      </c>
      <c r="CJ7" s="163" t="s">
        <v>401</v>
      </c>
      <c r="CK7" s="163" t="s">
        <v>393</v>
      </c>
      <c r="CL7" s="163" t="s">
        <v>20</v>
      </c>
      <c r="CM7" s="164" t="s">
        <v>431</v>
      </c>
      <c r="CN7" s="160" t="s">
        <v>20</v>
      </c>
      <c r="CO7" s="161" t="s">
        <v>21</v>
      </c>
      <c r="CP7" s="161" t="s">
        <v>22</v>
      </c>
      <c r="CQ7" s="161" t="s">
        <v>23</v>
      </c>
      <c r="CR7" s="162" t="s">
        <v>24</v>
      </c>
      <c r="CS7" s="161" t="s">
        <v>25</v>
      </c>
      <c r="CT7" s="161" t="s">
        <v>26</v>
      </c>
      <c r="CU7" s="163" t="s">
        <v>471</v>
      </c>
      <c r="CV7" s="163" t="s">
        <v>401</v>
      </c>
      <c r="CW7" s="163" t="s">
        <v>393</v>
      </c>
      <c r="CX7" s="163" t="s">
        <v>20</v>
      </c>
      <c r="CY7" s="165" t="s">
        <v>431</v>
      </c>
    </row>
    <row r="8" spans="1:103" ht="15.75" customHeight="1" x14ac:dyDescent="0.25">
      <c r="A8" s="166" t="s">
        <v>28</v>
      </c>
      <c r="B8" s="167">
        <f t="shared" ref="B8:AI8" si="0">SUMIF($A$11:$A$122,"&lt;="&amp;$A$1,B$11:B$122)</f>
        <v>0</v>
      </c>
      <c r="C8" s="168">
        <f t="shared" ca="1" si="0"/>
        <v>0</v>
      </c>
      <c r="D8" s="168">
        <f t="shared" ca="1" si="0"/>
        <v>0</v>
      </c>
      <c r="E8" s="168">
        <f t="shared" ca="1" si="0"/>
        <v>0</v>
      </c>
      <c r="F8" s="169">
        <f t="shared" si="0"/>
        <v>5141779.45</v>
      </c>
      <c r="G8" s="168">
        <f t="shared" ca="1" si="0"/>
        <v>0</v>
      </c>
      <c r="H8" s="168">
        <f>SUMIF($A$11:$A$122,"&lt;="&amp;$A$1,H$11:H$122)</f>
        <v>0</v>
      </c>
      <c r="I8" s="168">
        <f t="shared" si="0"/>
        <v>0</v>
      </c>
      <c r="J8" s="168">
        <f t="shared" si="0"/>
        <v>0</v>
      </c>
      <c r="K8" s="168">
        <f t="shared" si="0"/>
        <v>0</v>
      </c>
      <c r="L8" s="168">
        <f t="shared" si="0"/>
        <v>0</v>
      </c>
      <c r="M8" s="169">
        <f t="shared" si="0"/>
        <v>0</v>
      </c>
      <c r="N8" s="167">
        <f t="shared" si="0"/>
        <v>0</v>
      </c>
      <c r="O8" s="168">
        <f t="shared" ca="1" si="0"/>
        <v>0</v>
      </c>
      <c r="P8" s="168">
        <f t="shared" ca="1" si="0"/>
        <v>0</v>
      </c>
      <c r="Q8" s="168">
        <f t="shared" ca="1" si="0"/>
        <v>0</v>
      </c>
      <c r="R8" s="169">
        <f t="shared" si="0"/>
        <v>5133141.9800000004</v>
      </c>
      <c r="S8" s="168">
        <f t="shared" ca="1" si="0"/>
        <v>0</v>
      </c>
      <c r="T8" s="168">
        <f>SUMIF($A$11:$A$122,"&lt;="&amp;$A$1,T$11:T$122)</f>
        <v>0</v>
      </c>
      <c r="U8" s="168">
        <f t="shared" si="0"/>
        <v>0</v>
      </c>
      <c r="V8" s="168">
        <f t="shared" si="0"/>
        <v>0</v>
      </c>
      <c r="W8" s="168">
        <f t="shared" si="0"/>
        <v>0</v>
      </c>
      <c r="X8" s="168">
        <f t="shared" si="0"/>
        <v>0</v>
      </c>
      <c r="Y8" s="169">
        <f t="shared" si="0"/>
        <v>0</v>
      </c>
      <c r="Z8" s="167">
        <f t="shared" si="0"/>
        <v>0</v>
      </c>
      <c r="AA8" s="168">
        <f t="shared" ca="1" si="0"/>
        <v>0</v>
      </c>
      <c r="AB8" s="170">
        <f t="shared" ca="1" si="0"/>
        <v>0</v>
      </c>
      <c r="AC8" s="168">
        <f t="shared" ca="1" si="0"/>
        <v>0</v>
      </c>
      <c r="AD8" s="168">
        <f t="shared" si="0"/>
        <v>0</v>
      </c>
      <c r="AE8" s="168">
        <f t="shared" si="0"/>
        <v>0</v>
      </c>
      <c r="AF8" s="168">
        <f t="shared" si="0"/>
        <v>0</v>
      </c>
      <c r="AG8" s="168">
        <f t="shared" si="0"/>
        <v>0</v>
      </c>
      <c r="AH8" s="168">
        <f t="shared" si="0"/>
        <v>0</v>
      </c>
      <c r="AI8" s="169">
        <f t="shared" si="0"/>
        <v>0</v>
      </c>
      <c r="AJ8" s="167">
        <f>SUMIF($A$11:$A$122,"&lt;="&amp;$A$1,AJ$11:AJ$122)</f>
        <v>0</v>
      </c>
      <c r="AK8" s="168">
        <f ca="1">SUMIF($A$11:$A$122,"&lt;="&amp;$A$1,AK$11:AK$122)</f>
        <v>0</v>
      </c>
      <c r="AL8" s="168">
        <f ca="1">SUMIF($A$11:$A$122,"&lt;="&amp;$A$1,AL$11:AL$122)</f>
        <v>0</v>
      </c>
      <c r="AM8" s="168">
        <f ca="1">SUMIF($A$11:$A$122,"&lt;="&amp;$A$1,AM$11:AM$122)</f>
        <v>0</v>
      </c>
      <c r="AN8" s="169">
        <f t="shared" ref="AN8:CY8" si="1">SUMIF($A$11:$A$122,"&lt;="&amp;$A$1,AN$11:AN$122)</f>
        <v>2560331.5299999998</v>
      </c>
      <c r="AO8" s="168">
        <f t="shared" ca="1" si="1"/>
        <v>0</v>
      </c>
      <c r="AP8" s="168">
        <f t="shared" si="1"/>
        <v>0</v>
      </c>
      <c r="AQ8" s="168">
        <f t="shared" si="1"/>
        <v>0</v>
      </c>
      <c r="AR8" s="168">
        <f t="shared" si="1"/>
        <v>0</v>
      </c>
      <c r="AS8" s="168">
        <f t="shared" si="1"/>
        <v>0</v>
      </c>
      <c r="AT8" s="168">
        <f t="shared" si="1"/>
        <v>0</v>
      </c>
      <c r="AU8" s="169">
        <f t="shared" si="1"/>
        <v>0</v>
      </c>
      <c r="AV8" s="167">
        <f t="shared" si="1"/>
        <v>0</v>
      </c>
      <c r="AW8" s="168">
        <f t="shared" ca="1" si="1"/>
        <v>0</v>
      </c>
      <c r="AX8" s="168">
        <f ca="1">SUMIF($A$11:$A$122,"&lt;="&amp;$A$1,AX$11:AX$122)</f>
        <v>0</v>
      </c>
      <c r="AY8" s="168">
        <f ca="1">SUMIF($A$11:$A$122,"&lt;="&amp;$A$1,AY$11:AY$122)</f>
        <v>0</v>
      </c>
      <c r="AZ8" s="169">
        <f t="shared" si="1"/>
        <v>786239.66</v>
      </c>
      <c r="BA8" s="168">
        <f ca="1">SUMIF($A$11:$A$122,"&lt;="&amp;$A$1,BA$11:BA$122)</f>
        <v>0</v>
      </c>
      <c r="BB8" s="168">
        <f t="shared" si="1"/>
        <v>0</v>
      </c>
      <c r="BC8" s="168">
        <f t="shared" si="1"/>
        <v>0</v>
      </c>
      <c r="BD8" s="168">
        <f t="shared" si="1"/>
        <v>0</v>
      </c>
      <c r="BE8" s="168">
        <f t="shared" si="1"/>
        <v>0</v>
      </c>
      <c r="BF8" s="168">
        <f t="shared" si="1"/>
        <v>0</v>
      </c>
      <c r="BG8" s="169">
        <f t="shared" si="1"/>
        <v>0</v>
      </c>
      <c r="BH8" s="167">
        <f t="shared" si="1"/>
        <v>0</v>
      </c>
      <c r="BI8" s="168">
        <f t="shared" ca="1" si="1"/>
        <v>0</v>
      </c>
      <c r="BJ8" s="170">
        <f t="shared" ca="1" si="1"/>
        <v>6181524.0000000019</v>
      </c>
      <c r="BK8" s="168">
        <f t="shared" ca="1" si="1"/>
        <v>0</v>
      </c>
      <c r="BL8" s="168">
        <f t="shared" si="1"/>
        <v>0</v>
      </c>
      <c r="BM8" s="168">
        <f t="shared" si="1"/>
        <v>0</v>
      </c>
      <c r="BN8" s="168">
        <f t="shared" si="1"/>
        <v>0</v>
      </c>
      <c r="BO8" s="168">
        <f t="shared" si="1"/>
        <v>0</v>
      </c>
      <c r="BP8" s="168">
        <f t="shared" si="1"/>
        <v>0</v>
      </c>
      <c r="BQ8" s="169">
        <f t="shared" si="1"/>
        <v>0</v>
      </c>
      <c r="BR8" s="167">
        <f t="shared" si="1"/>
        <v>0</v>
      </c>
      <c r="BS8" s="168">
        <f t="shared" ca="1" si="1"/>
        <v>0</v>
      </c>
      <c r="BT8" s="170">
        <f t="shared" ca="1" si="1"/>
        <v>0</v>
      </c>
      <c r="BU8" s="168">
        <f t="shared" ca="1" si="1"/>
        <v>0</v>
      </c>
      <c r="BV8" s="168">
        <f t="shared" si="1"/>
        <v>0</v>
      </c>
      <c r="BW8" s="168">
        <f t="shared" si="1"/>
        <v>0</v>
      </c>
      <c r="BX8" s="168">
        <f t="shared" si="1"/>
        <v>0</v>
      </c>
      <c r="BY8" s="168">
        <f t="shared" si="1"/>
        <v>0</v>
      </c>
      <c r="BZ8" s="168">
        <f t="shared" si="1"/>
        <v>0</v>
      </c>
      <c r="CA8" s="169">
        <f t="shared" si="1"/>
        <v>0</v>
      </c>
      <c r="CB8" s="167">
        <f t="shared" si="1"/>
        <v>0</v>
      </c>
      <c r="CC8" s="168">
        <f t="shared" ca="1" si="1"/>
        <v>0</v>
      </c>
      <c r="CD8" s="168">
        <f t="shared" ca="1" si="1"/>
        <v>0</v>
      </c>
      <c r="CE8" s="168">
        <f t="shared" ca="1" si="1"/>
        <v>0</v>
      </c>
      <c r="CF8" s="169">
        <f t="shared" si="1"/>
        <v>3563916.6500000004</v>
      </c>
      <c r="CG8" s="168">
        <f t="shared" ca="1" si="1"/>
        <v>0</v>
      </c>
      <c r="CH8" s="168">
        <f t="shared" si="1"/>
        <v>0</v>
      </c>
      <c r="CI8" s="168">
        <f t="shared" si="1"/>
        <v>0</v>
      </c>
      <c r="CJ8" s="168">
        <f t="shared" si="1"/>
        <v>0</v>
      </c>
      <c r="CK8" s="168">
        <f t="shared" si="1"/>
        <v>0</v>
      </c>
      <c r="CL8" s="168">
        <f t="shared" si="1"/>
        <v>0</v>
      </c>
      <c r="CM8" s="169">
        <f t="shared" si="1"/>
        <v>0</v>
      </c>
      <c r="CN8" s="167">
        <f t="shared" si="1"/>
        <v>0</v>
      </c>
      <c r="CO8" s="168">
        <f t="shared" ca="1" si="1"/>
        <v>0</v>
      </c>
      <c r="CP8" s="168">
        <f ca="1">SUMIF($A$11:$A$122,"&lt;="&amp;$A$1,CP$11:CP$122)</f>
        <v>0</v>
      </c>
      <c r="CQ8" s="168">
        <f t="shared" ca="1" si="1"/>
        <v>0</v>
      </c>
      <c r="CR8" s="169">
        <f t="shared" si="1"/>
        <v>0</v>
      </c>
      <c r="CS8" s="168">
        <f ca="1">SUMIF($A$11:$A$122,"&lt;="&amp;$A$1,CS$11:CS$122)</f>
        <v>0</v>
      </c>
      <c r="CT8" s="168">
        <f t="shared" si="1"/>
        <v>0</v>
      </c>
      <c r="CU8" s="168">
        <f t="shared" si="1"/>
        <v>0</v>
      </c>
      <c r="CV8" s="168">
        <f t="shared" si="1"/>
        <v>0</v>
      </c>
      <c r="CW8" s="168">
        <f t="shared" si="1"/>
        <v>0</v>
      </c>
      <c r="CX8" s="168">
        <f t="shared" si="1"/>
        <v>0</v>
      </c>
      <c r="CY8" s="171">
        <f t="shared" si="1"/>
        <v>0</v>
      </c>
    </row>
    <row r="9" spans="1:103" ht="15.75" customHeight="1" x14ac:dyDescent="0.25">
      <c r="A9" s="166" t="s">
        <v>29</v>
      </c>
      <c r="B9" s="172">
        <f>B$10-B$8</f>
        <v>0</v>
      </c>
      <c r="C9" s="168">
        <f ca="1">SUMIF($A$11:$A$122,"&gt;"&amp;$A$1,C$11:C$122)</f>
        <v>0</v>
      </c>
      <c r="D9" s="173">
        <f ca="1">IFERROR(SUMIF(ecns[empresa], D$6,ecns[repasse.cef.total])
-E$8
-E$9
-D$8,0)</f>
        <v>0</v>
      </c>
      <c r="E9" s="173">
        <v>0</v>
      </c>
      <c r="F9" s="174">
        <f>SUMIF($A$11:$A$122,"&gt;"&amp;$A$1,F$11:F$122)</f>
        <v>0</v>
      </c>
      <c r="G9" s="168">
        <f ca="1">SUMIF($A$11:$A$122,"&gt;"&amp;$A$1,G$11:G$122)</f>
        <v>0</v>
      </c>
      <c r="H9" s="170">
        <f>SUMIF($A$11:$A$122,"&gt;"&amp;$A$1,H$11:H$122)</f>
        <v>0</v>
      </c>
      <c r="I9" s="170">
        <f>SUMIF($A$11:$A$122,"&gt;"&amp;$A$1,I$11:I$122)</f>
        <v>0</v>
      </c>
      <c r="J9" s="170">
        <f>SUMIF($A$11:$A$122,"&gt;"&amp;$A$1,J$11:J$122)</f>
        <v>0</v>
      </c>
      <c r="K9" s="170">
        <f t="shared" ref="K9:M9" si="2">SUMIF($A$11:$A$122,"&gt;"&amp;$A$1,K$11:K$122)</f>
        <v>0</v>
      </c>
      <c r="L9" s="170">
        <f t="shared" si="2"/>
        <v>0</v>
      </c>
      <c r="M9" s="174">
        <f t="shared" si="2"/>
        <v>0</v>
      </c>
      <c r="N9" s="172">
        <f>N$10-N$8</f>
        <v>0</v>
      </c>
      <c r="O9" s="168">
        <f ca="1">SUMIF($A$11:$A$122,"&gt;"&amp;$A$1,O$11:O$122)</f>
        <v>0</v>
      </c>
      <c r="P9" s="173">
        <v>0</v>
      </c>
      <c r="Q9" s="173">
        <v>0</v>
      </c>
      <c r="R9" s="174">
        <f>SUMIF($A$11:$A$122,"&gt;"&amp;$A$1,R$11:R$122)</f>
        <v>0</v>
      </c>
      <c r="S9" s="168">
        <f ca="1">SUMIF($A$11:$A$122,"&gt;"&amp;$A$1,S$11:S$122)</f>
        <v>0</v>
      </c>
      <c r="T9" s="170">
        <f>SUMIF($A$11:$A$122,"&gt;"&amp;$A$1,T$11:T$122)</f>
        <v>0</v>
      </c>
      <c r="U9" s="170">
        <f>SUMIF($A$11:$A$122,"&gt;"&amp;$A$1,U$11:U$122)</f>
        <v>0</v>
      </c>
      <c r="V9" s="170">
        <f>SUMIF($A$11:$A$122,"&gt;"&amp;$A$1,V$11:V$122)</f>
        <v>0</v>
      </c>
      <c r="W9" s="170">
        <f t="shared" ref="W9:Y9" si="3">SUMIF($A$11:$A$122,"&gt;"&amp;$A$1,W$11:W$122)</f>
        <v>0</v>
      </c>
      <c r="X9" s="170">
        <f t="shared" si="3"/>
        <v>0</v>
      </c>
      <c r="Y9" s="174">
        <f t="shared" si="3"/>
        <v>0</v>
      </c>
      <c r="Z9" s="172" t="e">
        <f>Z$10-Z$8</f>
        <v>#REF!</v>
      </c>
      <c r="AA9" s="168">
        <f t="shared" ref="AA9:AI9" ca="1" si="4">SUMIF($A$11:$A$122,"&gt;"&amp;$A$1,AA$11:AA$122)</f>
        <v>0</v>
      </c>
      <c r="AB9" s="173">
        <f ca="1">SUMIFS(rec.uni[soma.meses],
INDIRECT("rec.uni[natureza]"),"parcela.fin.total.ik",
INDIRECT("rec.uni[empresa]"),AB$6)-AB8</f>
        <v>0</v>
      </c>
      <c r="AC9" s="168">
        <f t="shared" ca="1" si="4"/>
        <v>0</v>
      </c>
      <c r="AD9" s="170">
        <f t="shared" si="4"/>
        <v>0</v>
      </c>
      <c r="AE9" s="170">
        <f t="shared" si="4"/>
        <v>0</v>
      </c>
      <c r="AF9" s="170">
        <f t="shared" si="4"/>
        <v>0</v>
      </c>
      <c r="AG9" s="170">
        <f t="shared" si="4"/>
        <v>0</v>
      </c>
      <c r="AH9" s="170">
        <f t="shared" si="4"/>
        <v>0</v>
      </c>
      <c r="AI9" s="174">
        <f t="shared" si="4"/>
        <v>0</v>
      </c>
      <c r="AJ9" s="172">
        <f>AJ$10-AJ$8</f>
        <v>0</v>
      </c>
      <c r="AK9" s="168">
        <f ca="1">SUMIF($A$11:$A$122,"&gt;"&amp;$A$1,AK$11:AK$122)</f>
        <v>0</v>
      </c>
      <c r="AL9" s="173">
        <f ca="1">IFERROR(SUMIF(ecns[empresa], AL$6,ecns[repasse.cef.total])
-AM$8
-AM$9
-AL$8,0)</f>
        <v>0</v>
      </c>
      <c r="AM9" s="173">
        <v>0</v>
      </c>
      <c r="AN9" s="174">
        <f>SUMIF($A$11:$A$122,"&gt;"&amp;$A$1,AN$11:AN$122)</f>
        <v>0</v>
      </c>
      <c r="AO9" s="168">
        <f ca="1">SUMIF($A$11:$A$122,"&gt;"&amp;$A$1,AO$11:AO$122)</f>
        <v>0</v>
      </c>
      <c r="AP9" s="170">
        <f>SUMIF($A$11:$A$122,"&gt;"&amp;$A$1,AP$11:AP$122)</f>
        <v>0</v>
      </c>
      <c r="AQ9" s="170">
        <f>SUMIF($A$11:$A$122,"&gt;"&amp;$A$1,AQ$11:AQ$122)</f>
        <v>0</v>
      </c>
      <c r="AR9" s="170">
        <f>SUMIF($A$11:$A$122,"&gt;"&amp;$A$1,AR$11:AR$122)</f>
        <v>0</v>
      </c>
      <c r="AS9" s="170">
        <f t="shared" ref="AS9:AU9" si="5">SUMIF($A$11:$A$122,"&gt;"&amp;$A$1,AS$11:AS$122)</f>
        <v>0</v>
      </c>
      <c r="AT9" s="170">
        <f t="shared" si="5"/>
        <v>0</v>
      </c>
      <c r="AU9" s="174">
        <f t="shared" si="5"/>
        <v>0</v>
      </c>
      <c r="AV9" s="172">
        <f>AV$10-AV$8</f>
        <v>0</v>
      </c>
      <c r="AW9" s="168">
        <f ca="1">SUMIF($A$11:$A$122,"&gt;"&amp;$A$1,AW$11:AW$122)</f>
        <v>0</v>
      </c>
      <c r="AX9" s="173">
        <f ca="1">IFERROR(SUMIF(ecns[empresa], AX$6,ecns[repasse.cef.total])
-AY$8
-AY$9
-AX$8,0)</f>
        <v>0</v>
      </c>
      <c r="AY9" s="173">
        <v>0</v>
      </c>
      <c r="AZ9" s="174">
        <f>SUMIF($A$11:$A$122,"&gt;"&amp;$A$1,AZ$11:AZ$122)</f>
        <v>0</v>
      </c>
      <c r="BA9" s="168">
        <f ca="1">SUMIF($A$11:$A$122,"&gt;"&amp;$A$1,BA$11:BA$122)</f>
        <v>0</v>
      </c>
      <c r="BB9" s="170">
        <f>SUMIF($A$11:$A$122,"&gt;"&amp;$A$1,BB$11:BB$122)</f>
        <v>0</v>
      </c>
      <c r="BC9" s="170">
        <f>SUMIF($A$11:$A$122,"&gt;"&amp;$A$1,BC$11:BC$122)</f>
        <v>0</v>
      </c>
      <c r="BD9" s="170">
        <f>SUMIF($A$11:$A$122,"&gt;"&amp;$A$1,BD$11:BD$122)</f>
        <v>0</v>
      </c>
      <c r="BE9" s="170">
        <f t="shared" ref="BE9:BG9" si="6">SUMIF($A$11:$A$122,"&gt;"&amp;$A$1,BE$11:BE$122)</f>
        <v>0</v>
      </c>
      <c r="BF9" s="170">
        <f t="shared" si="6"/>
        <v>0</v>
      </c>
      <c r="BG9" s="174">
        <f t="shared" si="6"/>
        <v>0</v>
      </c>
      <c r="BH9" s="172">
        <f>BH$10-BH$8</f>
        <v>0</v>
      </c>
      <c r="BI9" s="168">
        <f t="shared" ref="BI9:CA9" ca="1" si="7">SUMIF($A$11:$A$122,"&gt;"&amp;$A$1,BI$11:BI$122)</f>
        <v>0</v>
      </c>
      <c r="BJ9" s="173">
        <f ca="1">SUMIFS(rec.uni[soma.meses],
INDIRECT("rec.uni[natureza]"),"parcela.fin.total.ik",
INDIRECT("rec.uni[empresa]"),BJ$6)-BJ8</f>
        <v>-6181524.0000000019</v>
      </c>
      <c r="BK9" s="168">
        <f t="shared" ca="1" si="7"/>
        <v>0</v>
      </c>
      <c r="BL9" s="170">
        <f t="shared" si="7"/>
        <v>0</v>
      </c>
      <c r="BM9" s="170">
        <f t="shared" si="7"/>
        <v>0</v>
      </c>
      <c r="BN9" s="170">
        <f t="shared" si="7"/>
        <v>0</v>
      </c>
      <c r="BO9" s="170">
        <f t="shared" si="7"/>
        <v>0</v>
      </c>
      <c r="BP9" s="170">
        <f t="shared" si="7"/>
        <v>0</v>
      </c>
      <c r="BQ9" s="174">
        <f t="shared" si="7"/>
        <v>0</v>
      </c>
      <c r="BR9" s="172">
        <f>BR$10-BR$8</f>
        <v>0</v>
      </c>
      <c r="BS9" s="168">
        <f t="shared" ca="1" si="7"/>
        <v>0</v>
      </c>
      <c r="BT9" s="173">
        <f ca="1">SUMIFS(rec.uni[soma.meses],
INDIRECT("rec.uni[natureza]"),"parcela.fin.total.ik",
INDIRECT("rec.uni[empresa]"),BT$6)-BT8</f>
        <v>0</v>
      </c>
      <c r="BU9" s="168">
        <f t="shared" ca="1" si="7"/>
        <v>0</v>
      </c>
      <c r="BV9" s="170">
        <f t="shared" si="7"/>
        <v>0</v>
      </c>
      <c r="BW9" s="170">
        <f t="shared" si="7"/>
        <v>0</v>
      </c>
      <c r="BX9" s="170">
        <f t="shared" si="7"/>
        <v>0</v>
      </c>
      <c r="BY9" s="170">
        <f t="shared" si="7"/>
        <v>0</v>
      </c>
      <c r="BZ9" s="170">
        <f t="shared" si="7"/>
        <v>0</v>
      </c>
      <c r="CA9" s="174">
        <f t="shared" si="7"/>
        <v>0</v>
      </c>
      <c r="CB9" s="172">
        <f>CB$10-CB$8</f>
        <v>0</v>
      </c>
      <c r="CC9" s="168">
        <f ca="1">SUMIF($A$11:$A$122,"&gt;"&amp;$A$1,CC$11:CC$122)</f>
        <v>0</v>
      </c>
      <c r="CD9" s="173">
        <f ca="1">IFERROR(SUMIF(ecns[empresa], CD$6,ecns[repasse.cef.total])
-CE$8
-CE$9
-CD$8,0)</f>
        <v>0</v>
      </c>
      <c r="CE9" s="173">
        <v>0</v>
      </c>
      <c r="CF9" s="174">
        <f>SUMIF($A$11:$A$122,"&gt;"&amp;$A$1,CF$11:CF$122)</f>
        <v>0</v>
      </c>
      <c r="CG9" s="168">
        <f ca="1">SUMIF($A$11:$A$122,"&gt;"&amp;$A$1,CG$11:CG$122)</f>
        <v>0</v>
      </c>
      <c r="CH9" s="170">
        <f>SUMIF($A$11:$A$122,"&gt;"&amp;$A$1,CH$11:CH$122)</f>
        <v>0</v>
      </c>
      <c r="CI9" s="170">
        <f>SUMIF($A$11:$A$122,"&gt;"&amp;$A$1,CI$11:CI$122)</f>
        <v>0</v>
      </c>
      <c r="CJ9" s="170">
        <f>SUMIF($A$11:$A$122,"&gt;"&amp;$A$1,CJ$11:CJ$122)</f>
        <v>0</v>
      </c>
      <c r="CK9" s="170">
        <f t="shared" ref="CK9:CM9" si="8">SUMIF($A$11:$A$122,"&gt;"&amp;$A$1,CK$11:CK$122)</f>
        <v>0</v>
      </c>
      <c r="CL9" s="170">
        <f t="shared" si="8"/>
        <v>0</v>
      </c>
      <c r="CM9" s="174">
        <f t="shared" si="8"/>
        <v>0</v>
      </c>
      <c r="CN9" s="172">
        <f>CN$10-CN$8</f>
        <v>0</v>
      </c>
      <c r="CO9" s="168">
        <f ca="1">SUMIF($A$11:$A$122,"&gt;"&amp;$A$1,CO$11:CO$122)</f>
        <v>0</v>
      </c>
      <c r="CP9" s="173">
        <f ca="1">IFERROR(SUMIF(ecns[empresa], CP$6,ecns[repasse.cef.total])
-CQ$8
-CQ$9
-CP$8,0)</f>
        <v>0</v>
      </c>
      <c r="CQ9" s="173">
        <v>0</v>
      </c>
      <c r="CR9" s="174">
        <f>SUMIF($A$11:$A$122,"&gt;"&amp;$A$1,CR$11:CR$122)</f>
        <v>0</v>
      </c>
      <c r="CS9" s="168">
        <f ca="1">SUMIF($A$11:$A$122,"&gt;"&amp;$A$1,CS$11:CS$122)</f>
        <v>0</v>
      </c>
      <c r="CT9" s="170">
        <f>SUMIF($A$11:$A$122,"&gt;"&amp;$A$1,CT$11:CT$122)</f>
        <v>0</v>
      </c>
      <c r="CU9" s="170">
        <f>SUMIF($A$11:$A$122,"&gt;"&amp;$A$1,CU$11:CU$122)</f>
        <v>0</v>
      </c>
      <c r="CV9" s="170">
        <f>SUMIF($A$11:$A$122,"&gt;"&amp;$A$1,CV$11:CV$122)</f>
        <v>0</v>
      </c>
      <c r="CW9" s="170">
        <f t="shared" ref="CW9:CY9" si="9">SUMIF($A$11:$A$122,"&gt;"&amp;$A$1,CW$11:CW$122)</f>
        <v>0</v>
      </c>
      <c r="CX9" s="170">
        <f t="shared" si="9"/>
        <v>0</v>
      </c>
      <c r="CY9" s="175">
        <f t="shared" si="9"/>
        <v>0</v>
      </c>
    </row>
    <row r="10" spans="1:103" ht="15.75" customHeight="1" x14ac:dyDescent="0.25">
      <c r="A10" s="176" t="s">
        <v>30</v>
      </c>
      <c r="B10" s="172">
        <f>status.unis!H4</f>
        <v>0</v>
      </c>
      <c r="C10" s="177">
        <f t="shared" ref="C10:I10" ca="1" si="10">SUM(C8:C9)</f>
        <v>0</v>
      </c>
      <c r="D10" s="177">
        <f t="shared" ca="1" si="10"/>
        <v>0</v>
      </c>
      <c r="E10" s="177">
        <f t="shared" ca="1" si="10"/>
        <v>0</v>
      </c>
      <c r="F10" s="178">
        <f t="shared" si="10"/>
        <v>5141779.45</v>
      </c>
      <c r="G10" s="177">
        <f t="shared" ca="1" si="10"/>
        <v>0</v>
      </c>
      <c r="H10" s="177">
        <f t="shared" si="10"/>
        <v>0</v>
      </c>
      <c r="I10" s="177">
        <f t="shared" si="10"/>
        <v>0</v>
      </c>
      <c r="J10" s="177">
        <f t="shared" ref="J10:M10" si="11">SUM(J8:J9)</f>
        <v>0</v>
      </c>
      <c r="K10" s="177">
        <f t="shared" si="11"/>
        <v>0</v>
      </c>
      <c r="L10" s="177">
        <f t="shared" si="11"/>
        <v>0</v>
      </c>
      <c r="M10" s="178">
        <f t="shared" si="11"/>
        <v>0</v>
      </c>
      <c r="N10" s="172">
        <f>status.unis!H8</f>
        <v>0</v>
      </c>
      <c r="O10" s="177">
        <f t="shared" ref="O10:Y10" ca="1" si="12">SUM(O8:O9)</f>
        <v>0</v>
      </c>
      <c r="P10" s="177">
        <f t="shared" ca="1" si="12"/>
        <v>0</v>
      </c>
      <c r="Q10" s="177">
        <f t="shared" ca="1" si="12"/>
        <v>0</v>
      </c>
      <c r="R10" s="178">
        <f t="shared" si="12"/>
        <v>5133141.9800000004</v>
      </c>
      <c r="S10" s="177">
        <f t="shared" ca="1" si="12"/>
        <v>0</v>
      </c>
      <c r="T10" s="177">
        <f t="shared" si="12"/>
        <v>0</v>
      </c>
      <c r="U10" s="177">
        <f t="shared" si="12"/>
        <v>0</v>
      </c>
      <c r="V10" s="177">
        <f t="shared" si="12"/>
        <v>0</v>
      </c>
      <c r="W10" s="177">
        <f t="shared" si="12"/>
        <v>0</v>
      </c>
      <c r="X10" s="177">
        <f t="shared" si="12"/>
        <v>0</v>
      </c>
      <c r="Y10" s="178">
        <f t="shared" si="12"/>
        <v>0</v>
      </c>
      <c r="Z10" s="172" t="e">
        <f>status.unis!#REF!</f>
        <v>#REF!</v>
      </c>
      <c r="AA10" s="177">
        <f ca="1">SUM(AA8:AA9)</f>
        <v>0</v>
      </c>
      <c r="AB10" s="177">
        <f ca="1">SUM(AB8:AB9)</f>
        <v>0</v>
      </c>
      <c r="AC10" s="177">
        <f ca="1">SUM(AC8:AC9)</f>
        <v>0</v>
      </c>
      <c r="AD10" s="177">
        <f>SUM(AD8:AD9)</f>
        <v>0</v>
      </c>
      <c r="AE10" s="177">
        <f t="shared" ref="AE10:AI10" si="13">SUM(AE8:AE9)</f>
        <v>0</v>
      </c>
      <c r="AF10" s="177">
        <f t="shared" si="13"/>
        <v>0</v>
      </c>
      <c r="AG10" s="177">
        <f t="shared" si="13"/>
        <v>0</v>
      </c>
      <c r="AH10" s="177">
        <f t="shared" si="13"/>
        <v>0</v>
      </c>
      <c r="AI10" s="178">
        <f t="shared" si="13"/>
        <v>0</v>
      </c>
      <c r="AJ10" s="172">
        <f>status.unis!H16</f>
        <v>0</v>
      </c>
      <c r="AK10" s="177">
        <f t="shared" ref="AK10:AU10" ca="1" si="14">SUM(AK8:AK9)</f>
        <v>0</v>
      </c>
      <c r="AL10" s="177">
        <f t="shared" ca="1" si="14"/>
        <v>0</v>
      </c>
      <c r="AM10" s="177">
        <f t="shared" ca="1" si="14"/>
        <v>0</v>
      </c>
      <c r="AN10" s="178">
        <f t="shared" si="14"/>
        <v>2560331.5299999998</v>
      </c>
      <c r="AO10" s="177">
        <f t="shared" ca="1" si="14"/>
        <v>0</v>
      </c>
      <c r="AP10" s="177">
        <f t="shared" si="14"/>
        <v>0</v>
      </c>
      <c r="AQ10" s="177">
        <f t="shared" si="14"/>
        <v>0</v>
      </c>
      <c r="AR10" s="177">
        <f t="shared" si="14"/>
        <v>0</v>
      </c>
      <c r="AS10" s="177">
        <f t="shared" si="14"/>
        <v>0</v>
      </c>
      <c r="AT10" s="177">
        <f t="shared" si="14"/>
        <v>0</v>
      </c>
      <c r="AU10" s="178">
        <f t="shared" si="14"/>
        <v>0</v>
      </c>
      <c r="AV10" s="172">
        <f>status.unis!H20</f>
        <v>0</v>
      </c>
      <c r="AW10" s="177">
        <f ca="1">SUM(AW8:AW9)</f>
        <v>0</v>
      </c>
      <c r="AX10" s="177">
        <f t="shared" ref="AX10:AZ10" ca="1" si="15">SUM(AX8:AX9)</f>
        <v>0</v>
      </c>
      <c r="AY10" s="177">
        <f t="shared" ca="1" si="15"/>
        <v>0</v>
      </c>
      <c r="AZ10" s="178">
        <f t="shared" si="15"/>
        <v>786239.66</v>
      </c>
      <c r="BA10" s="177">
        <f ca="1">SUM(BA8:BA9)</f>
        <v>0</v>
      </c>
      <c r="BB10" s="177">
        <f>SUM(BB8:BB9)</f>
        <v>0</v>
      </c>
      <c r="BC10" s="177">
        <f t="shared" ref="BC10:BG10" si="16">SUM(BC8:BC9)</f>
        <v>0</v>
      </c>
      <c r="BD10" s="177">
        <f t="shared" si="16"/>
        <v>0</v>
      </c>
      <c r="BE10" s="177">
        <f t="shared" si="16"/>
        <v>0</v>
      </c>
      <c r="BF10" s="177">
        <f t="shared" si="16"/>
        <v>0</v>
      </c>
      <c r="BG10" s="178">
        <f t="shared" si="16"/>
        <v>0</v>
      </c>
      <c r="BH10" s="172">
        <f>status.unis!H24</f>
        <v>0</v>
      </c>
      <c r="BI10" s="177">
        <f ca="1">SUM(BI8:BI9)</f>
        <v>0</v>
      </c>
      <c r="BJ10" s="177">
        <f ca="1">SUM(BJ8:BJ9)</f>
        <v>0</v>
      </c>
      <c r="BK10" s="177">
        <f ca="1">SUM(BK8:BK9)</f>
        <v>0</v>
      </c>
      <c r="BL10" s="177">
        <f>SUM(BL8:BL9)</f>
        <v>0</v>
      </c>
      <c r="BM10" s="177">
        <f t="shared" ref="BM10:BQ10" si="17">SUM(BM8:BM9)</f>
        <v>0</v>
      </c>
      <c r="BN10" s="177">
        <f t="shared" si="17"/>
        <v>0</v>
      </c>
      <c r="BO10" s="177">
        <f t="shared" si="17"/>
        <v>0</v>
      </c>
      <c r="BP10" s="177">
        <f t="shared" si="17"/>
        <v>0</v>
      </c>
      <c r="BQ10" s="178">
        <f t="shared" si="17"/>
        <v>0</v>
      </c>
      <c r="BR10" s="172">
        <f>status.unis!S20</f>
        <v>0</v>
      </c>
      <c r="BS10" s="177">
        <f ca="1">SUM(BS8:BS9)</f>
        <v>0</v>
      </c>
      <c r="BT10" s="177">
        <f ca="1">SUM(BT8:BT9)</f>
        <v>0</v>
      </c>
      <c r="BU10" s="177">
        <f ca="1">SUM(BU8:BU9)</f>
        <v>0</v>
      </c>
      <c r="BV10" s="177">
        <f>SUM(BV8:BV9)</f>
        <v>0</v>
      </c>
      <c r="BW10" s="177">
        <f t="shared" ref="BW10:CA10" si="18">SUM(BW8:BW9)</f>
        <v>0</v>
      </c>
      <c r="BX10" s="177">
        <f t="shared" si="18"/>
        <v>0</v>
      </c>
      <c r="BY10" s="177">
        <f t="shared" si="18"/>
        <v>0</v>
      </c>
      <c r="BZ10" s="177">
        <f t="shared" si="18"/>
        <v>0</v>
      </c>
      <c r="CA10" s="178">
        <f t="shared" si="18"/>
        <v>0</v>
      </c>
      <c r="CB10" s="172">
        <f>status.unis!H32</f>
        <v>0</v>
      </c>
      <c r="CC10" s="177">
        <f t="shared" ref="CC10:CM10" ca="1" si="19">SUM(CC8:CC9)</f>
        <v>0</v>
      </c>
      <c r="CD10" s="177">
        <f t="shared" ca="1" si="19"/>
        <v>0</v>
      </c>
      <c r="CE10" s="177">
        <f t="shared" ca="1" si="19"/>
        <v>0</v>
      </c>
      <c r="CF10" s="178">
        <f t="shared" si="19"/>
        <v>3563916.6500000004</v>
      </c>
      <c r="CG10" s="177">
        <f t="shared" ca="1" si="19"/>
        <v>0</v>
      </c>
      <c r="CH10" s="177">
        <f t="shared" si="19"/>
        <v>0</v>
      </c>
      <c r="CI10" s="177">
        <f t="shared" si="19"/>
        <v>0</v>
      </c>
      <c r="CJ10" s="177">
        <f t="shared" si="19"/>
        <v>0</v>
      </c>
      <c r="CK10" s="177">
        <f t="shared" si="19"/>
        <v>0</v>
      </c>
      <c r="CL10" s="177">
        <f t="shared" si="19"/>
        <v>0</v>
      </c>
      <c r="CM10" s="178">
        <f t="shared" si="19"/>
        <v>0</v>
      </c>
      <c r="CN10" s="172">
        <f>status.unis!H36</f>
        <v>0</v>
      </c>
      <c r="CO10" s="177">
        <f ca="1">SUM(CO8:CO9)</f>
        <v>0</v>
      </c>
      <c r="CP10" s="177">
        <f t="shared" ref="CP10:CR10" ca="1" si="20">SUM(CP8:CP9)</f>
        <v>0</v>
      </c>
      <c r="CQ10" s="177">
        <f t="shared" ca="1" si="20"/>
        <v>0</v>
      </c>
      <c r="CR10" s="178">
        <f t="shared" si="20"/>
        <v>0</v>
      </c>
      <c r="CS10" s="177">
        <f ca="1">SUM(CS8:CS9)</f>
        <v>0</v>
      </c>
      <c r="CT10" s="177">
        <f>SUM(CT8:CT9)</f>
        <v>0</v>
      </c>
      <c r="CU10" s="177">
        <f t="shared" ref="CU10:CY10" si="21">SUM(CU8:CU9)</f>
        <v>0</v>
      </c>
      <c r="CV10" s="177">
        <f t="shared" si="21"/>
        <v>0</v>
      </c>
      <c r="CW10" s="177">
        <f t="shared" si="21"/>
        <v>0</v>
      </c>
      <c r="CX10" s="177">
        <f t="shared" si="21"/>
        <v>0</v>
      </c>
      <c r="CY10" s="179">
        <f t="shared" si="21"/>
        <v>0</v>
      </c>
    </row>
    <row r="11" spans="1:103" x14ac:dyDescent="0.25">
      <c r="A11" s="180">
        <v>44440</v>
      </c>
      <c r="B11" s="181">
        <f>COUNTIFS(
    estq[empresa], B$6,
    estq[Data da venda / reserva], "&gt;=" &amp; $A11,
    estq[Data da venda / reserva], "&lt;"  &amp; EOMONTH($A11,0) + 1
)</f>
        <v>0</v>
      </c>
      <c r="C11" s="182">
        <v>0</v>
      </c>
      <c r="D11" s="182">
        <v>0</v>
      </c>
      <c r="E11" s="182">
        <v>0</v>
      </c>
      <c r="F11" s="182">
        <v>0</v>
      </c>
      <c r="G11" s="182">
        <v>0</v>
      </c>
      <c r="H11" s="170"/>
      <c r="I11" s="182" cm="1">
        <f t="array" ref="I1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J11" s="182" cm="1">
        <f t="array" ref="J1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K11" s="182" cm="1">
        <f t="array" ref="K1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L11" s="182" cm="1">
        <f t="array" ref="L1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M11" s="183" cm="1">
        <f t="array" ref="M1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N11" s="181">
        <f>COUNTIFS(
    estq[empresa], N$6,
    estq[Data da venda / reserva], "&gt;=" &amp; $A11,
    estq[Data da venda / reserva], "&lt;"  &amp; EOMONTH($A11,0) + 1
)</f>
        <v>0</v>
      </c>
      <c r="O11" s="182">
        <v>0</v>
      </c>
      <c r="P11" s="182">
        <v>0</v>
      </c>
      <c r="Q11" s="182">
        <v>0</v>
      </c>
      <c r="R11" s="182">
        <v>0</v>
      </c>
      <c r="S11" s="182">
        <v>0</v>
      </c>
      <c r="T11" s="170"/>
      <c r="U11" s="182" cm="1">
        <f t="array" ref="U1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V11" s="182" cm="1">
        <f t="array" ref="V1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W11" s="182" cm="1">
        <f t="array" ref="W1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X11" s="182" cm="1">
        <f t="array" ref="X1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Y11" s="183" cm="1">
        <f t="array" ref="Y1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Z11" s="181">
        <f>COUNTIFS(
    estq[empresa], Z$6,
    estq[Data da venda / reserva], "&gt;=" &amp; $A11,
    estq[Data da venda / reserva], "&lt;"  &amp; EOMONTH($A11,0) + 1
)</f>
        <v>0</v>
      </c>
      <c r="AA11" s="182">
        <v>0</v>
      </c>
      <c r="AB11" s="182">
        <v>0</v>
      </c>
      <c r="AC11" s="182">
        <v>0</v>
      </c>
      <c r="AD11" s="170"/>
      <c r="AE11" s="182" cm="1">
        <f t="array" ref="AE1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F11" s="182" cm="1">
        <f t="array" ref="AF1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G11" s="182" cm="1">
        <f t="array" ref="AG1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H11" s="182" cm="1">
        <f t="array" ref="AH1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I11" s="183" cm="1">
        <f t="array" ref="AI1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(desp[data.pagamento]&gt;=$A11)*
    (desp[data.pagamento]&lt;EOMONTH($A11,0)+1)
  )
)</f>
        <v>0</v>
      </c>
      <c r="AJ11" s="181">
        <f>COUNTIFS(
    estq[empresa], AJ$6,
    estq[Data da venda / reserva], "&gt;=" &amp; $A11,
    estq[Data da venda / reserva], "&lt;"  &amp; EOMONTH($A11,0) + 1
)</f>
        <v>0</v>
      </c>
      <c r="AK11" s="182">
        <v>0</v>
      </c>
      <c r="AL11" s="182">
        <v>0</v>
      </c>
      <c r="AM11" s="182">
        <v>0</v>
      </c>
      <c r="AN11" s="182">
        <v>0</v>
      </c>
      <c r="AO11" s="182">
        <v>0</v>
      </c>
      <c r="AP11" s="170"/>
      <c r="AQ11" s="182" cm="1">
        <f t="array" ref="AQ1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R11" s="182" cm="1">
        <f t="array" ref="AR1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S11" s="182" cm="1">
        <f t="array" ref="AS1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T11" s="182" cm="1">
        <f t="array" ref="AT1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U11" s="183" cm="1">
        <f t="array" ref="AU1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V11" s="181">
        <f>COUNTIFS(
    estq[empresa], AV$6,
    estq[Data da venda / reserva], "&gt;=" &amp; $A11,
    estq[Data da venda / reserva], "&lt;"  &amp; EOMONTH($A11,0) + 1
)</f>
        <v>0</v>
      </c>
      <c r="AW11" s="182">
        <v>0</v>
      </c>
      <c r="AX11" s="182">
        <v>0</v>
      </c>
      <c r="AY11" s="182">
        <v>0</v>
      </c>
      <c r="AZ11" s="182">
        <v>0</v>
      </c>
      <c r="BA11" s="182">
        <v>0</v>
      </c>
      <c r="BB11" s="170"/>
      <c r="BC11" s="182" cm="1">
        <f t="array" ref="BC1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D11" s="182" cm="1">
        <f t="array" ref="BD1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E11" s="182" cm="1">
        <f t="array" ref="BE1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F11" s="182" cm="1">
        <f t="array" ref="BF1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G11" s="183" cm="1">
        <f t="array" ref="BG1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BH11" s="181">
        <f>COUNTIFS(
    estq[empresa], BH$6,
    estq[Data da venda / reserva], "&gt;=" &amp; $A11,
    estq[Data da venda / reserva], "&lt;"  &amp; EOMONTH($A11,0) + 1
)</f>
        <v>0</v>
      </c>
      <c r="BI11" s="182">
        <v>0</v>
      </c>
      <c r="BJ11" s="170">
        <v>0</v>
      </c>
      <c r="BK11" s="182">
        <v>0</v>
      </c>
      <c r="BL11" s="170"/>
      <c r="BM11" s="182" cm="1">
        <f t="array" ref="BM1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N11" s="182" cm="1">
        <f t="array" ref="BN1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O11" s="182" cm="1">
        <f t="array" ref="BO1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P11" s="182" cm="1">
        <f t="array" ref="BP1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Q11" s="183" cm="1">
        <f t="array" ref="BQ1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R11" s="181">
        <f>COUNTIFS(
    estq[empresa], BR$6,
    estq[Data da venda / reserva], "&gt;=" &amp; $A11,
    estq[Data da venda / reserva], "&lt;"  &amp; EOMONTH($A11,0) + 1
)</f>
        <v>0</v>
      </c>
      <c r="BS11" s="182">
        <v>0</v>
      </c>
      <c r="BT11" s="182">
        <v>0</v>
      </c>
      <c r="BU11" s="182">
        <v>0</v>
      </c>
      <c r="BV11" s="170"/>
      <c r="BW11" s="182" cm="1">
        <f t="array" ref="BW1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BX11" s="182" cm="1">
        <f t="array" ref="BX1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BY11" s="182" cm="1">
        <f t="array" ref="BY1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BZ11" s="182" cm="1">
        <f t="array" ref="BZ1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CA11" s="183" cm="1">
        <f t="array" ref="CA1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(desp[data.pagamento]&gt;=$A11)*
    (desp[data.pagamento]&lt;EOMONTH($A11,0)+1)
  )
)</f>
        <v>0</v>
      </c>
      <c r="CB11" s="181">
        <f>COUNTIFS(
    estq[empresa], CB$6,
    estq[Data da venda / reserva], "&gt;=" &amp; $A11,
    estq[Data da venda / reserva], "&lt;"  &amp; EOMONTH($A11,0) + 1
)</f>
        <v>0</v>
      </c>
      <c r="CC11" s="182">
        <v>0</v>
      </c>
      <c r="CD11" s="182">
        <v>0</v>
      </c>
      <c r="CE11" s="182">
        <v>0</v>
      </c>
      <c r="CF11" s="182">
        <v>0</v>
      </c>
      <c r="CG11" s="182">
        <v>0</v>
      </c>
      <c r="CH11" s="170"/>
      <c r="CI11" s="182" cm="1">
        <f t="array" ref="CI1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J11" s="182" cm="1">
        <f t="array" ref="CJ1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K11" s="182" cm="1">
        <f t="array" ref="CK1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L11" s="182" cm="1">
        <f t="array" ref="CL1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M11" s="183" cm="1">
        <f t="array" ref="CM1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CN11" s="181">
        <f>COUNTIFS(
    estq[empresa], CN$6,
    estq[Data da venda / reserva], "&gt;=" &amp; $A11,
    estq[Data da venda / reserva], "&lt;"  &amp; EOMONTH($A11,0) + 1
)</f>
        <v>0</v>
      </c>
      <c r="CO11" s="182">
        <v>0</v>
      </c>
      <c r="CP11" s="182">
        <v>0</v>
      </c>
      <c r="CQ11" s="182">
        <v>0</v>
      </c>
      <c r="CR11" s="182">
        <v>0</v>
      </c>
      <c r="CS11" s="182">
        <v>0</v>
      </c>
      <c r="CT11" s="170"/>
      <c r="CU11" s="182" cm="1">
        <f t="array" ref="CU1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V11" s="182" cm="1">
        <f t="array" ref="CV1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W11" s="182" cm="1">
        <f t="array" ref="CW1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X11" s="182" cm="1">
        <f t="array" ref="CX1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Y11" s="184" cm="1">
        <f t="array" ref="CY1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</row>
    <row r="12" spans="1:103" x14ac:dyDescent="0.25">
      <c r="A12" s="180">
        <v>44470</v>
      </c>
      <c r="B12" s="181">
        <f>COUNTIFS(
    estq[empresa], B$6,
    estq[Data da venda / reserva], "&gt;=" &amp; $A12,
    estq[Data da venda / reserva], "&lt;"  &amp; EOMONTH($A12,0) + 1
)</f>
        <v>0</v>
      </c>
      <c r="C12" s="182">
        <v>0</v>
      </c>
      <c r="D12" s="182">
        <v>0</v>
      </c>
      <c r="E12" s="182">
        <v>0</v>
      </c>
      <c r="F12" s="182">
        <v>0</v>
      </c>
      <c r="G12" s="182">
        <v>0</v>
      </c>
      <c r="H12" s="170"/>
      <c r="I12" s="182" cm="1">
        <f t="array" ref="I1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J12" s="182" cm="1">
        <f t="array" ref="J1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K12" s="182" cm="1">
        <f t="array" ref="K1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L12" s="182" cm="1">
        <f t="array" ref="L1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M12" s="183" cm="1">
        <f t="array" ref="M1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N12" s="181">
        <f>COUNTIFS(
    estq[empresa], N$6,
    estq[Data da venda / reserva], "&gt;=" &amp; $A12,
    estq[Data da venda / reserva], "&lt;"  &amp; EOMONTH($A12,0) + 1
)</f>
        <v>0</v>
      </c>
      <c r="O12" s="182">
        <v>0</v>
      </c>
      <c r="P12" s="182">
        <v>0</v>
      </c>
      <c r="Q12" s="182">
        <v>0</v>
      </c>
      <c r="R12" s="182">
        <v>0</v>
      </c>
      <c r="S12" s="182">
        <v>0</v>
      </c>
      <c r="T12" s="170"/>
      <c r="U12" s="182" cm="1">
        <f t="array" ref="U1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V12" s="182" cm="1">
        <f t="array" ref="V1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W12" s="182" cm="1">
        <f t="array" ref="W1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X12" s="182" cm="1">
        <f t="array" ref="X1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Y12" s="183" cm="1">
        <f t="array" ref="Y1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Z12" s="181">
        <f>COUNTIFS(
    estq[empresa], Z$6,
    estq[Data da venda / reserva], "&gt;=" &amp; $A12,
    estq[Data da venda / reserva], "&lt;"  &amp; EOMONTH($A12,0) + 1
)</f>
        <v>0</v>
      </c>
      <c r="AA12" s="182">
        <v>0</v>
      </c>
      <c r="AB12" s="182">
        <v>0</v>
      </c>
      <c r="AC12" s="182">
        <v>0</v>
      </c>
      <c r="AD12" s="170"/>
      <c r="AE12" s="182" cm="1">
        <f t="array" ref="AE1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F12" s="182" cm="1">
        <f t="array" ref="AF1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G12" s="182" cm="1">
        <f t="array" ref="AG1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H12" s="182" cm="1">
        <f t="array" ref="AH1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I12" s="183" cm="1">
        <f t="array" ref="AI1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(desp[data.pagamento]&gt;=$A12)*
    (desp[data.pagamento]&lt;EOMONTH($A12,0)+1)
  )
)</f>
        <v>0</v>
      </c>
      <c r="AJ12" s="181">
        <f>COUNTIFS(
    estq[empresa], AJ$6,
    estq[Data da venda / reserva], "&gt;=" &amp; $A12,
    estq[Data da venda / reserva], "&lt;"  &amp; EOMONTH($A12,0) + 1
)</f>
        <v>0</v>
      </c>
      <c r="AK12" s="182">
        <v>0</v>
      </c>
      <c r="AL12" s="182">
        <v>0</v>
      </c>
      <c r="AM12" s="182">
        <v>0</v>
      </c>
      <c r="AN12" s="182">
        <v>0</v>
      </c>
      <c r="AO12" s="182">
        <v>0</v>
      </c>
      <c r="AP12" s="170"/>
      <c r="AQ12" s="182" cm="1">
        <f t="array" ref="AQ1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R12" s="182" cm="1">
        <f t="array" ref="AR1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S12" s="182" cm="1">
        <f t="array" ref="AS1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T12" s="182" cm="1">
        <f t="array" ref="AT1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U12" s="183" cm="1">
        <f t="array" ref="AU1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V12" s="181">
        <f>COUNTIFS(
    estq[empresa], AV$6,
    estq[Data da venda / reserva], "&gt;=" &amp; $A12,
    estq[Data da venda / reserva], "&lt;"  &amp; EOMONTH($A12,0) + 1
)</f>
        <v>0</v>
      </c>
      <c r="AW12" s="182">
        <v>0</v>
      </c>
      <c r="AX12" s="182">
        <v>0</v>
      </c>
      <c r="AY12" s="182">
        <v>0</v>
      </c>
      <c r="AZ12" s="182">
        <v>0</v>
      </c>
      <c r="BA12" s="182">
        <v>0</v>
      </c>
      <c r="BB12" s="170"/>
      <c r="BC12" s="182" cm="1">
        <f t="array" ref="BC1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D12" s="182" cm="1">
        <f t="array" ref="BD1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E12" s="182" cm="1">
        <f t="array" ref="BE1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F12" s="182" cm="1">
        <f t="array" ref="BF1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G12" s="183" cm="1">
        <f t="array" ref="BG1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BH12" s="181">
        <f>COUNTIFS(
    estq[empresa], BH$6,
    estq[Data da venda / reserva], "&gt;=" &amp; $A12,
    estq[Data da venda / reserva], "&lt;"  &amp; EOMONTH($A12,0) + 1
)</f>
        <v>0</v>
      </c>
      <c r="BI12" s="182">
        <v>0</v>
      </c>
      <c r="BJ12" s="170">
        <v>0</v>
      </c>
      <c r="BK12" s="182">
        <v>0</v>
      </c>
      <c r="BL12" s="170"/>
      <c r="BM12" s="182" cm="1">
        <f t="array" ref="BM1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N12" s="182" cm="1">
        <f t="array" ref="BN1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O12" s="182" cm="1">
        <f t="array" ref="BO1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P12" s="182" cm="1">
        <f t="array" ref="BP1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Q12" s="183" cm="1">
        <f t="array" ref="BQ1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R12" s="181">
        <f>COUNTIFS(
    estq[empresa], BR$6,
    estq[Data da venda / reserva], "&gt;=" &amp; $A12,
    estq[Data da venda / reserva], "&lt;"  &amp; EOMONTH($A12,0) + 1
)</f>
        <v>0</v>
      </c>
      <c r="BS12" s="182">
        <v>0</v>
      </c>
      <c r="BT12" s="182">
        <v>0</v>
      </c>
      <c r="BU12" s="182">
        <v>0</v>
      </c>
      <c r="BV12" s="170"/>
      <c r="BW12" s="182" cm="1">
        <f t="array" ref="BW1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BX12" s="182" cm="1">
        <f t="array" ref="BX1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BY12" s="182" cm="1">
        <f t="array" ref="BY1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BZ12" s="182" cm="1">
        <f t="array" ref="BZ1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CA12" s="183" cm="1">
        <f t="array" ref="CA1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(desp[data.pagamento]&gt;=$A12)*
    (desp[data.pagamento]&lt;EOMONTH($A12,0)+1)
  )
)</f>
        <v>0</v>
      </c>
      <c r="CB12" s="181">
        <f>COUNTIFS(
    estq[empresa], CB$6,
    estq[Data da venda / reserva], "&gt;=" &amp; $A12,
    estq[Data da venda / reserva], "&lt;"  &amp; EOMONTH($A12,0) + 1
)</f>
        <v>0</v>
      </c>
      <c r="CC12" s="182">
        <v>0</v>
      </c>
      <c r="CD12" s="182">
        <v>0</v>
      </c>
      <c r="CE12" s="182">
        <v>0</v>
      </c>
      <c r="CF12" s="182">
        <v>0</v>
      </c>
      <c r="CG12" s="182">
        <v>0</v>
      </c>
      <c r="CH12" s="170"/>
      <c r="CI12" s="182" cm="1">
        <f t="array" ref="CI1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J12" s="182" cm="1">
        <f t="array" ref="CJ1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K12" s="182" cm="1">
        <f t="array" ref="CK1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L12" s="182" cm="1">
        <f t="array" ref="CL1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M12" s="183" cm="1">
        <f t="array" ref="CM1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CN12" s="181">
        <f>COUNTIFS(
    estq[empresa], CN$6,
    estq[Data da venda / reserva], "&gt;=" &amp; $A12,
    estq[Data da venda / reserva], "&lt;"  &amp; EOMONTH($A12,0) + 1
)</f>
        <v>0</v>
      </c>
      <c r="CO12" s="182">
        <v>0</v>
      </c>
      <c r="CP12" s="182">
        <v>0</v>
      </c>
      <c r="CQ12" s="182">
        <v>0</v>
      </c>
      <c r="CR12" s="182">
        <v>0</v>
      </c>
      <c r="CS12" s="182">
        <v>0</v>
      </c>
      <c r="CT12" s="170"/>
      <c r="CU12" s="182" cm="1">
        <f t="array" ref="CU1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V12" s="182" cm="1">
        <f t="array" ref="CV1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W12" s="182" cm="1">
        <f t="array" ref="CW1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X12" s="182" cm="1">
        <f t="array" ref="CX1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Y12" s="184" cm="1">
        <f t="array" ref="CY1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</row>
    <row r="13" spans="1:103" x14ac:dyDescent="0.25">
      <c r="A13" s="180">
        <v>44501</v>
      </c>
      <c r="B13" s="181">
        <f>COUNTIFS(
    estq[empresa], B$6,
    estq[Data da venda / reserva], "&gt;=" &amp; $A13,
    estq[Data da venda / reserva], "&lt;"  &amp; EOMONTH($A13,0) + 1
)</f>
        <v>0</v>
      </c>
      <c r="C13" s="182">
        <v>0</v>
      </c>
      <c r="D13" s="182">
        <v>0</v>
      </c>
      <c r="E13" s="182">
        <v>0</v>
      </c>
      <c r="F13" s="182">
        <v>0</v>
      </c>
      <c r="G13" s="182">
        <v>0</v>
      </c>
      <c r="H13" s="170"/>
      <c r="I13" s="182" cm="1">
        <f t="array" ref="I1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J13" s="182" cm="1">
        <f t="array" ref="J1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K13" s="182" cm="1">
        <f t="array" ref="K1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L13" s="182" cm="1">
        <f t="array" ref="L1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M13" s="183" cm="1">
        <f t="array" ref="M1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N13" s="181">
        <f>COUNTIFS(
    estq[empresa], N$6,
    estq[Data da venda / reserva], "&gt;=" &amp; $A13,
    estq[Data da venda / reserva], "&lt;"  &amp; EOMONTH($A13,0) + 1
)</f>
        <v>0</v>
      </c>
      <c r="O13" s="182">
        <v>0</v>
      </c>
      <c r="P13" s="182">
        <v>0</v>
      </c>
      <c r="Q13" s="182">
        <v>0</v>
      </c>
      <c r="R13" s="182">
        <v>0</v>
      </c>
      <c r="S13" s="182">
        <v>0</v>
      </c>
      <c r="T13" s="170"/>
      <c r="U13" s="182" cm="1">
        <f t="array" ref="U1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V13" s="182" cm="1">
        <f t="array" ref="V1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W13" s="182" cm="1">
        <f t="array" ref="W1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X13" s="182" cm="1">
        <f t="array" ref="X1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Y13" s="183" cm="1">
        <f t="array" ref="Y1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Z13" s="181">
        <f>COUNTIFS(
    estq[empresa], Z$6,
    estq[Data da venda / reserva], "&gt;=" &amp; $A13,
    estq[Data da venda / reserva], "&lt;"  &amp; EOMONTH($A13,0) + 1
)</f>
        <v>0</v>
      </c>
      <c r="AA13" s="182">
        <v>0</v>
      </c>
      <c r="AB13" s="182">
        <v>0</v>
      </c>
      <c r="AC13" s="182">
        <v>0</v>
      </c>
      <c r="AD13" s="170"/>
      <c r="AE13" s="182" cm="1">
        <f t="array" ref="AE1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F13" s="182" cm="1">
        <f t="array" ref="AF1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G13" s="182" cm="1">
        <f t="array" ref="AG1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H13" s="182" cm="1">
        <f t="array" ref="AH1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I13" s="183" cm="1">
        <f t="array" ref="AI1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(desp[data.pagamento]&gt;=$A13)*
    (desp[data.pagamento]&lt;EOMONTH($A13,0)+1)
  )
)</f>
        <v>0</v>
      </c>
      <c r="AJ13" s="181">
        <f>COUNTIFS(
    estq[empresa], AJ$6,
    estq[Data da venda / reserva], "&gt;=" &amp; $A13,
    estq[Data da venda / reserva], "&lt;"  &amp; EOMONTH($A13,0) + 1
)</f>
        <v>0</v>
      </c>
      <c r="AK13" s="182">
        <v>0</v>
      </c>
      <c r="AL13" s="182">
        <v>0</v>
      </c>
      <c r="AM13" s="182">
        <v>0</v>
      </c>
      <c r="AN13" s="182">
        <v>0</v>
      </c>
      <c r="AO13" s="182">
        <v>0</v>
      </c>
      <c r="AP13" s="170"/>
      <c r="AQ13" s="182" cm="1">
        <f t="array" ref="AQ1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R13" s="182" cm="1">
        <f t="array" ref="AR1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S13" s="182" cm="1">
        <f t="array" ref="AS1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T13" s="182" cm="1">
        <f t="array" ref="AT1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U13" s="183" cm="1">
        <f t="array" ref="AU1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V13" s="181">
        <f>COUNTIFS(
    estq[empresa], AV$6,
    estq[Data da venda / reserva], "&gt;=" &amp; $A13,
    estq[Data da venda / reserva], "&lt;"  &amp; EOMONTH($A13,0) + 1
)</f>
        <v>0</v>
      </c>
      <c r="AW13" s="182">
        <v>0</v>
      </c>
      <c r="AX13" s="182">
        <v>0</v>
      </c>
      <c r="AY13" s="182">
        <v>0</v>
      </c>
      <c r="AZ13" s="182">
        <v>0</v>
      </c>
      <c r="BA13" s="182">
        <v>0</v>
      </c>
      <c r="BB13" s="170"/>
      <c r="BC13" s="182" cm="1">
        <f t="array" ref="BC1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D13" s="182" cm="1">
        <f t="array" ref="BD1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E13" s="182" cm="1">
        <f t="array" ref="BE1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F13" s="182" cm="1">
        <f t="array" ref="BF1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G13" s="183" cm="1">
        <f t="array" ref="BG1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BH13" s="181">
        <f>COUNTIFS(
    estq[empresa], BH$6,
    estq[Data da venda / reserva], "&gt;=" &amp; $A13,
    estq[Data da venda / reserva], "&lt;"  &amp; EOMONTH($A13,0) + 1
)</f>
        <v>0</v>
      </c>
      <c r="BI13" s="182">
        <v>0</v>
      </c>
      <c r="BJ13" s="170">
        <v>0</v>
      </c>
      <c r="BK13" s="182">
        <v>0</v>
      </c>
      <c r="BL13" s="170"/>
      <c r="BM13" s="182" cm="1">
        <f t="array" ref="BM1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N13" s="182" cm="1">
        <f t="array" ref="BN1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O13" s="182" cm="1">
        <f t="array" ref="BO1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P13" s="182" cm="1">
        <f t="array" ref="BP1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Q13" s="183" cm="1">
        <f t="array" ref="BQ1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R13" s="181">
        <f>COUNTIFS(
    estq[empresa], BR$6,
    estq[Data da venda / reserva], "&gt;=" &amp; $A13,
    estq[Data da venda / reserva], "&lt;"  &amp; EOMONTH($A13,0) + 1
)</f>
        <v>0</v>
      </c>
      <c r="BS13" s="182">
        <v>0</v>
      </c>
      <c r="BT13" s="182">
        <v>0</v>
      </c>
      <c r="BU13" s="182">
        <v>0</v>
      </c>
      <c r="BV13" s="170"/>
      <c r="BW13" s="182" cm="1">
        <f t="array" ref="BW1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BX13" s="182" cm="1">
        <f t="array" ref="BX1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BY13" s="182" cm="1">
        <f t="array" ref="BY1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BZ13" s="182" cm="1">
        <f t="array" ref="BZ1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CA13" s="183" cm="1">
        <f t="array" ref="CA1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(desp[data.pagamento]&gt;=$A13)*
    (desp[data.pagamento]&lt;EOMONTH($A13,0)+1)
  )
)</f>
        <v>0</v>
      </c>
      <c r="CB13" s="181">
        <f>COUNTIFS(
    estq[empresa], CB$6,
    estq[Data da venda / reserva], "&gt;=" &amp; $A13,
    estq[Data da venda / reserva], "&lt;"  &amp; EOMONTH($A13,0) + 1
)</f>
        <v>0</v>
      </c>
      <c r="CC13" s="182">
        <v>0</v>
      </c>
      <c r="CD13" s="182">
        <v>0</v>
      </c>
      <c r="CE13" s="182">
        <v>0</v>
      </c>
      <c r="CF13" s="182">
        <v>0</v>
      </c>
      <c r="CG13" s="182">
        <v>0</v>
      </c>
      <c r="CH13" s="170"/>
      <c r="CI13" s="182" cm="1">
        <f t="array" ref="CI1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J13" s="182" cm="1">
        <f t="array" ref="CJ1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K13" s="182" cm="1">
        <f t="array" ref="CK1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L13" s="182" cm="1">
        <f t="array" ref="CL1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M13" s="183" cm="1">
        <f t="array" ref="CM1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CN13" s="181">
        <f>COUNTIFS(
    estq[empresa], CN$6,
    estq[Data da venda / reserva], "&gt;=" &amp; $A13,
    estq[Data da venda / reserva], "&lt;"  &amp; EOMONTH($A13,0) + 1
)</f>
        <v>0</v>
      </c>
      <c r="CO13" s="182">
        <v>0</v>
      </c>
      <c r="CP13" s="182">
        <v>0</v>
      </c>
      <c r="CQ13" s="182">
        <v>0</v>
      </c>
      <c r="CR13" s="182">
        <v>0</v>
      </c>
      <c r="CS13" s="182">
        <v>0</v>
      </c>
      <c r="CT13" s="170"/>
      <c r="CU13" s="182" cm="1">
        <f t="array" ref="CU1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V13" s="182" cm="1">
        <f t="array" ref="CV1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W13" s="182" cm="1">
        <f t="array" ref="CW1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X13" s="182" cm="1">
        <f t="array" ref="CX1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Y13" s="184" cm="1">
        <f t="array" ref="CY1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</row>
    <row r="14" spans="1:103" x14ac:dyDescent="0.25">
      <c r="A14" s="180">
        <v>44531</v>
      </c>
      <c r="B14" s="181">
        <f>COUNTIFS(
    estq[empresa], B$6,
    estq[Data da venda / reserva], "&gt;=" &amp; $A14,
    estq[Data da venda / reserva], "&lt;"  &amp; EOMONTH($A14,0) + 1
)</f>
        <v>0</v>
      </c>
      <c r="C14" s="182">
        <v>0</v>
      </c>
      <c r="D14" s="182">
        <v>0</v>
      </c>
      <c r="E14" s="182">
        <v>0</v>
      </c>
      <c r="F14" s="182">
        <v>0</v>
      </c>
      <c r="G14" s="182">
        <v>0</v>
      </c>
      <c r="H14" s="170"/>
      <c r="I14" s="182" cm="1">
        <f t="array" ref="I1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J14" s="182" cm="1">
        <f t="array" ref="J1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K14" s="182" cm="1">
        <f t="array" ref="K1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L14" s="182" cm="1">
        <f t="array" ref="L1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M14" s="183" cm="1">
        <f t="array" ref="M1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N14" s="181">
        <f>COUNTIFS(
    estq[empresa], N$6,
    estq[Data da venda / reserva], "&gt;=" &amp; $A14,
    estq[Data da venda / reserva], "&lt;"  &amp; EOMONTH($A14,0) + 1
)</f>
        <v>0</v>
      </c>
      <c r="O14" s="182">
        <v>0</v>
      </c>
      <c r="P14" s="182">
        <v>0</v>
      </c>
      <c r="Q14" s="182">
        <v>0</v>
      </c>
      <c r="R14" s="182">
        <v>0</v>
      </c>
      <c r="S14" s="182">
        <v>0</v>
      </c>
      <c r="T14" s="170"/>
      <c r="U14" s="182" cm="1">
        <f t="array" ref="U1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V14" s="182" cm="1">
        <f t="array" ref="V1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W14" s="182" cm="1">
        <f t="array" ref="W1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X14" s="182" cm="1">
        <f t="array" ref="X1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Y14" s="183" cm="1">
        <f t="array" ref="Y1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Z14" s="181">
        <f>COUNTIFS(
    estq[empresa], Z$6,
    estq[Data da venda / reserva], "&gt;=" &amp; $A14,
    estq[Data da venda / reserva], "&lt;"  &amp; EOMONTH($A14,0) + 1
)</f>
        <v>0</v>
      </c>
      <c r="AA14" s="182">
        <v>0</v>
      </c>
      <c r="AB14" s="182">
        <v>0</v>
      </c>
      <c r="AC14" s="182">
        <v>0</v>
      </c>
      <c r="AD14" s="170"/>
      <c r="AE14" s="182" cm="1">
        <f t="array" ref="AE1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F14" s="182" cm="1">
        <f t="array" ref="AF1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G14" s="182" cm="1">
        <f t="array" ref="AG1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H14" s="182" cm="1">
        <f t="array" ref="AH1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I14" s="183" cm="1">
        <f t="array" ref="AI1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(desp[data.pagamento]&gt;=$A14)*
    (desp[data.pagamento]&lt;EOMONTH($A14,0)+1)
  )
)</f>
        <v>0</v>
      </c>
      <c r="AJ14" s="181">
        <f>COUNTIFS(
    estq[empresa], AJ$6,
    estq[Data da venda / reserva], "&gt;=" &amp; $A14,
    estq[Data da venda / reserva], "&lt;"  &amp; EOMONTH($A14,0) + 1
)</f>
        <v>0</v>
      </c>
      <c r="AK14" s="182">
        <v>0</v>
      </c>
      <c r="AL14" s="182">
        <v>0</v>
      </c>
      <c r="AM14" s="182">
        <v>0</v>
      </c>
      <c r="AN14" s="182">
        <v>0</v>
      </c>
      <c r="AO14" s="182">
        <v>0</v>
      </c>
      <c r="AP14" s="170"/>
      <c r="AQ14" s="182" cm="1">
        <f t="array" ref="AQ1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R14" s="182" cm="1">
        <f t="array" ref="AR1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S14" s="182" cm="1">
        <f t="array" ref="AS1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T14" s="182" cm="1">
        <f t="array" ref="AT1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U14" s="183" cm="1">
        <f t="array" ref="AU1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V14" s="181">
        <f>COUNTIFS(
    estq[empresa], AV$6,
    estq[Data da venda / reserva], "&gt;=" &amp; $A14,
    estq[Data da venda / reserva], "&lt;"  &amp; EOMONTH($A14,0) + 1
)</f>
        <v>0</v>
      </c>
      <c r="AW14" s="182">
        <v>0</v>
      </c>
      <c r="AX14" s="182">
        <v>0</v>
      </c>
      <c r="AY14" s="182">
        <v>0</v>
      </c>
      <c r="AZ14" s="182">
        <v>0</v>
      </c>
      <c r="BA14" s="182">
        <v>0</v>
      </c>
      <c r="BB14" s="170"/>
      <c r="BC14" s="182" cm="1">
        <f t="array" ref="BC1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D14" s="182" cm="1">
        <f t="array" ref="BD1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E14" s="182" cm="1">
        <f t="array" ref="BE1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F14" s="182" cm="1">
        <f t="array" ref="BF1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G14" s="183" cm="1">
        <f t="array" ref="BG1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BH14" s="181">
        <f>COUNTIFS(
    estq[empresa], BH$6,
    estq[Data da venda / reserva], "&gt;=" &amp; $A14,
    estq[Data da venda / reserva], "&lt;"  &amp; EOMONTH($A14,0) + 1
)</f>
        <v>0</v>
      </c>
      <c r="BI14" s="182">
        <v>0</v>
      </c>
      <c r="BJ14" s="170">
        <v>0</v>
      </c>
      <c r="BK14" s="182">
        <v>0</v>
      </c>
      <c r="BL14" s="170"/>
      <c r="BM14" s="182" cm="1">
        <f t="array" ref="BM1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N14" s="182" cm="1">
        <f t="array" ref="BN1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O14" s="182" cm="1">
        <f t="array" ref="BO1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P14" s="182" cm="1">
        <f t="array" ref="BP1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Q14" s="183" cm="1">
        <f t="array" ref="BQ1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R14" s="181">
        <f>COUNTIFS(
    estq[empresa], BR$6,
    estq[Data da venda / reserva], "&gt;=" &amp; $A14,
    estq[Data da venda / reserva], "&lt;"  &amp; EOMONTH($A14,0) + 1
)</f>
        <v>0</v>
      </c>
      <c r="BS14" s="182">
        <v>0</v>
      </c>
      <c r="BT14" s="182">
        <v>0</v>
      </c>
      <c r="BU14" s="182">
        <v>0</v>
      </c>
      <c r="BV14" s="170"/>
      <c r="BW14" s="182" cm="1">
        <f t="array" ref="BW1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BX14" s="182" cm="1">
        <f t="array" ref="BX1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BY14" s="182" cm="1">
        <f t="array" ref="BY1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BZ14" s="182" cm="1">
        <f t="array" ref="BZ1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CA14" s="183" cm="1">
        <f t="array" ref="CA1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(desp[data.pagamento]&gt;=$A14)*
    (desp[data.pagamento]&lt;EOMONTH($A14,0)+1)
  )
)</f>
        <v>0</v>
      </c>
      <c r="CB14" s="181">
        <f>COUNTIFS(
    estq[empresa], CB$6,
    estq[Data da venda / reserva], "&gt;=" &amp; $A14,
    estq[Data da venda / reserva], "&lt;"  &amp; EOMONTH($A14,0) + 1
)</f>
        <v>0</v>
      </c>
      <c r="CC14" s="182">
        <v>0</v>
      </c>
      <c r="CD14" s="182">
        <v>0</v>
      </c>
      <c r="CE14" s="182">
        <v>0</v>
      </c>
      <c r="CF14" s="182">
        <v>0</v>
      </c>
      <c r="CG14" s="182">
        <v>0</v>
      </c>
      <c r="CH14" s="170"/>
      <c r="CI14" s="182" cm="1">
        <f t="array" ref="CI1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J14" s="182" cm="1">
        <f t="array" ref="CJ1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K14" s="182" cm="1">
        <f t="array" ref="CK1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L14" s="182" cm="1">
        <f t="array" ref="CL1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M14" s="183" cm="1">
        <f t="array" ref="CM1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CN14" s="181">
        <f>COUNTIFS(
    estq[empresa], CN$6,
    estq[Data da venda / reserva], "&gt;=" &amp; $A14,
    estq[Data da venda / reserva], "&lt;"  &amp; EOMONTH($A14,0) + 1
)</f>
        <v>0</v>
      </c>
      <c r="CO14" s="182">
        <v>0</v>
      </c>
      <c r="CP14" s="182">
        <v>0</v>
      </c>
      <c r="CQ14" s="182">
        <v>0</v>
      </c>
      <c r="CR14" s="182">
        <v>0</v>
      </c>
      <c r="CS14" s="182">
        <v>0</v>
      </c>
      <c r="CT14" s="170"/>
      <c r="CU14" s="182" cm="1">
        <f t="array" ref="CU1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V14" s="182" cm="1">
        <f t="array" ref="CV1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W14" s="182" cm="1">
        <f t="array" ref="CW1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X14" s="182" cm="1">
        <f t="array" ref="CX1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Y14" s="184" cm="1">
        <f t="array" ref="CY1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</row>
    <row r="15" spans="1:103" x14ac:dyDescent="0.25">
      <c r="A15" s="180">
        <v>44562</v>
      </c>
      <c r="B15" s="181">
        <f>COUNTIFS(
    estq[empresa], B$6,
    estq[Data da venda / reserva], "&gt;=" &amp; $A15,
    estq[Data da venda / reserva], "&lt;"  &amp; EOMONTH($A15,0) + 1
)</f>
        <v>0</v>
      </c>
      <c r="C15" s="182">
        <f ca="1">SUMIFS(rec.uni[2022-01-01],
INDIRECT("rec.uni[natureza]"),"pro.soluto",
INDIRECT("rec.uni[empresa]"),C$6)</f>
        <v>0</v>
      </c>
      <c r="D15" s="182">
        <f ca="1">SUMIFS(rec.uni[2022-01-01],
INDIRECT("rec.uni[natureza]"),"repasse.cef.obra",
INDIRECT("rec.uni[empresa]"),D$6)</f>
        <v>0</v>
      </c>
      <c r="E15" s="182">
        <f ca="1">SUMIFS(rec.uni[2022-01-01],
INDIRECT("rec.uni[natureza]"),"repasse.cef.terreno",
INDIRECT("rec.uni[empresa]"),E$6)</f>
        <v>0</v>
      </c>
      <c r="F15" s="182">
        <v>0</v>
      </c>
      <c r="G15" s="182">
        <f ca="1">SUMIFS(rec.uni[2022-01-01],
INDIRECT("rec.uni[natureza]"),"taxa.extra",
INDIRECT("rec.uni[empresa]"),G$6)</f>
        <v>0</v>
      </c>
      <c r="H15" s="170"/>
      <c r="I15" s="182" cm="1">
        <f t="array" ref="I1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J15" s="182" cm="1">
        <f t="array" ref="J1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K15" s="182" cm="1">
        <f t="array" ref="K1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L15" s="182" cm="1">
        <f t="array" ref="L1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M15" s="183" cm="1">
        <f t="array" ref="M1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N15" s="181">
        <f>COUNTIFS(
    estq[empresa], N$6,
    estq[Data da venda / reserva], "&gt;=" &amp; $A15,
    estq[Data da venda / reserva], "&lt;"  &amp; EOMONTH($A15,0) + 1
)</f>
        <v>0</v>
      </c>
      <c r="O15" s="182">
        <f ca="1">SUMIFS(rec.uni[2022-01-01],
INDIRECT("rec.uni[natureza]"),"pro.soluto",
INDIRECT("rec.uni[empresa]"),O$6)</f>
        <v>0</v>
      </c>
      <c r="P15" s="182">
        <f ca="1">SUMIFS(rec.uni[2022-01-01],
INDIRECT("rec.uni[natureza]"),"repasse.cef.obra",
INDIRECT("rec.uni[empresa]"),P$6)</f>
        <v>0</v>
      </c>
      <c r="Q15" s="182">
        <f ca="1">SUMIFS(rec.uni[2022-01-01],
INDIRECT("rec.uni[natureza]"),"repasse.cef.terreno",
INDIRECT("rec.uni[empresa]"),Q$6)</f>
        <v>0</v>
      </c>
      <c r="R15" s="182">
        <v>0</v>
      </c>
      <c r="S15" s="182">
        <f ca="1">SUMIFS(rec.uni[2022-01-01],
INDIRECT("rec.uni[natureza]"),"taxa.extra",
INDIRECT("rec.uni[empresa]"),S$6)</f>
        <v>0</v>
      </c>
      <c r="T15" s="170"/>
      <c r="U15" s="182" cm="1">
        <f t="array" ref="U1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V15" s="182" cm="1">
        <f t="array" ref="V1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W15" s="182" cm="1">
        <f t="array" ref="W1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X15" s="182" cm="1">
        <f t="array" ref="X1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Y15" s="183" cm="1">
        <f t="array" ref="Y1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Z15" s="181">
        <f>COUNTIFS(
    estq[empresa], Z$6,
    estq[Data da venda / reserva], "&gt;=" &amp; $A15,
    estq[Data da venda / reserva], "&lt;"  &amp; EOMONTH($A15,0) + 1
)</f>
        <v>0</v>
      </c>
      <c r="AA15" s="182">
        <f ca="1">SUMIFS(rec.uni[2022-01-01],
INDIRECT("rec.uni[natureza]"),"pro.soluto",
INDIRECT("rec.uni[empresa]"),AA$6)</f>
        <v>0</v>
      </c>
      <c r="AB15" s="182">
        <f ca="1">SUMIFS(rec.uni[2022-01-01],
INDIRECT("rec.uni[natureza]"),"pro.soluto",
INDIRECT("rec.uni[empresa]"),AB$6)</f>
        <v>0</v>
      </c>
      <c r="AC15" s="182">
        <f ca="1">SUMIFS(rec.uni[2022-01-01],
INDIRECT("rec.uni[natureza]"),"taxa.extra",
INDIRECT("rec.uni[empresa]"),AC$6)</f>
        <v>0</v>
      </c>
      <c r="AD15" s="170"/>
      <c r="AE15" s="182" cm="1">
        <f t="array" ref="AE1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F15" s="182" cm="1">
        <f t="array" ref="AF1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G15" s="182" cm="1">
        <f t="array" ref="AG1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H15" s="182" cm="1">
        <f t="array" ref="AH1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I15" s="183" cm="1">
        <f t="array" ref="AI1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(desp[data.pagamento]&gt;=$A15)*
    (desp[data.pagamento]&lt;EOMONTH($A15,0)+1)
  )
)</f>
        <v>0</v>
      </c>
      <c r="AJ15" s="181">
        <f>COUNTIFS(
    estq[empresa], AJ$6,
    estq[Data da venda / reserva], "&gt;=" &amp; $A15,
    estq[Data da venda / reserva], "&lt;"  &amp; EOMONTH($A15,0) + 1
)</f>
        <v>0</v>
      </c>
      <c r="AK15" s="182">
        <f ca="1">SUMIFS(rec.uni[2022-01-01],
INDIRECT("rec.uni[natureza]"),"pro.soluto",
INDIRECT("rec.uni[empresa]"),AK$6)</f>
        <v>0</v>
      </c>
      <c r="AL15" s="182">
        <f ca="1">SUMIFS(rec.uni[2022-01-01],
INDIRECT("rec.uni[natureza]"),"repasse.cef.obra",
INDIRECT("rec.uni[empresa]"),AL$6)</f>
        <v>0</v>
      </c>
      <c r="AM15" s="182">
        <f ca="1">SUMIFS(rec.uni[2022-01-01],
INDIRECT("rec.uni[natureza]"),"repasse.cef.terreno",
INDIRECT("rec.uni[empresa]"),AM$6)</f>
        <v>0</v>
      </c>
      <c r="AN15" s="182">
        <v>0</v>
      </c>
      <c r="AO15" s="182">
        <f ca="1">SUMIFS(rec.uni[2022-01-01],
INDIRECT("rec.uni[natureza]"),"taxa.extra",
INDIRECT("rec.uni[empresa]"),AO$6)</f>
        <v>0</v>
      </c>
      <c r="AP15" s="170"/>
      <c r="AQ15" s="182" cm="1">
        <f t="array" ref="AQ1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R15" s="182" cm="1">
        <f t="array" ref="AR1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S15" s="182" cm="1">
        <f t="array" ref="AS1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T15" s="182" cm="1">
        <f t="array" ref="AT1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U15" s="183" cm="1">
        <f t="array" ref="AU1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V15" s="181">
        <f>COUNTIFS(
    estq[empresa], AV$6,
    estq[Data da venda / reserva], "&gt;=" &amp; $A15,
    estq[Data da venda / reserva], "&lt;"  &amp; EOMONTH($A15,0) + 1
)</f>
        <v>0</v>
      </c>
      <c r="AW15" s="182">
        <f ca="1">SUMIFS(rec.uni[2022-01-01],
INDIRECT("rec.uni[natureza]"),"pro.soluto",
INDIRECT("rec.uni[empresa]"),AW$6)</f>
        <v>0</v>
      </c>
      <c r="AX15" s="182">
        <f ca="1">SUMIFS(rec.uni[2022-01-01],
INDIRECT("rec.uni[natureza]"),"repasse.cef.obra",
INDIRECT("rec.uni[empresa]"),AX$6)</f>
        <v>0</v>
      </c>
      <c r="AY15" s="182">
        <f ca="1">SUMIFS(rec.uni[2022-01-01],
INDIRECT("rec.uni[natureza]"),"repasse.cef.terreno",
INDIRECT("rec.uni[empresa]"),AY$6)</f>
        <v>0</v>
      </c>
      <c r="AZ15" s="182">
        <v>0</v>
      </c>
      <c r="BA15" s="182">
        <f ca="1">SUMIFS(rec.uni[2022-01-01],
INDIRECT("rec.uni[natureza]"),"taxa.extra",
INDIRECT("rec.uni[empresa]"),BA$6)</f>
        <v>0</v>
      </c>
      <c r="BB15" s="170"/>
      <c r="BC15" s="182" cm="1">
        <f t="array" ref="BC1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D15" s="182" cm="1">
        <f t="array" ref="BD1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E15" s="182" cm="1">
        <f t="array" ref="BE1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F15" s="182" cm="1">
        <f t="array" ref="BF1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G15" s="183" cm="1">
        <f t="array" ref="BG1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BH15" s="181">
        <f>COUNTIFS(
    estq[empresa], BH$6,
    estq[Data da venda / reserva], "&gt;=" &amp; $A15,
    estq[Data da venda / reserva], "&lt;"  &amp; EOMONTH($A15,0) + 1
)</f>
        <v>0</v>
      </c>
      <c r="BI15" s="182">
        <f ca="1">SUMIFS(rec.uni[2022-01-01],
INDIRECT("rec.uni[natureza]"),"pro.soluto",
INDIRECT("rec.uni[empresa]"),BI$6)</f>
        <v>0</v>
      </c>
      <c r="BJ15" s="170">
        <v>0</v>
      </c>
      <c r="BK15" s="182">
        <f ca="1">SUMIFS(rec.uni[2022-01-01],
INDIRECT("rec.uni[natureza]"),"taxa.extra",
INDIRECT("rec.uni[empresa]"),BK$6)</f>
        <v>0</v>
      </c>
      <c r="BL15" s="170"/>
      <c r="BM15" s="182" cm="1">
        <f t="array" ref="BM1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N15" s="182" cm="1">
        <f t="array" ref="BN1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O15" s="182" cm="1">
        <f t="array" ref="BO1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P15" s="182" cm="1">
        <f t="array" ref="BP1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Q15" s="183" cm="1">
        <f t="array" ref="BQ1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R15" s="181">
        <f>COUNTIFS(
    estq[empresa], BR$6,
    estq[Data da venda / reserva], "&gt;=" &amp; $A15,
    estq[Data da venda / reserva], "&lt;"  &amp; EOMONTH($A15,0) + 1
)</f>
        <v>0</v>
      </c>
      <c r="BS15" s="182">
        <f ca="1">SUMIFS(rec.uni[2022-01-01],
INDIRECT("rec.uni[natureza]"),"pro.soluto",
INDIRECT("rec.uni[empresa]"),BS$6)</f>
        <v>0</v>
      </c>
      <c r="BT15" s="182">
        <f ca="1">SUMIFS(rec.uni[2022-01-01],
INDIRECT("rec.uni[natureza]"),"pro.soluto",
INDIRECT("rec.uni[empresa]"),BT$6)</f>
        <v>0</v>
      </c>
      <c r="BU15" s="182">
        <f ca="1">SUMIFS(rec.uni[2022-01-01],
INDIRECT("rec.uni[natureza]"),"taxa.extra",
INDIRECT("rec.uni[empresa]"),BU$6)</f>
        <v>0</v>
      </c>
      <c r="BV15" s="170"/>
      <c r="BW15" s="182" cm="1">
        <f t="array" ref="BW1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BX15" s="182" cm="1">
        <f t="array" ref="BX1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BY15" s="182" cm="1">
        <f t="array" ref="BY1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BZ15" s="182" cm="1">
        <f t="array" ref="BZ1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CA15" s="183" cm="1">
        <f t="array" ref="CA1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(desp[data.pagamento]&gt;=$A15)*
    (desp[data.pagamento]&lt;EOMONTH($A15,0)+1)
  )
)</f>
        <v>0</v>
      </c>
      <c r="CB15" s="181">
        <f>COUNTIFS(
    estq[empresa], CB$6,
    estq[Data da venda / reserva], "&gt;=" &amp; $A15,
    estq[Data da venda / reserva], "&lt;"  &amp; EOMONTH($A15,0) + 1
)</f>
        <v>0</v>
      </c>
      <c r="CC15" s="182">
        <f ca="1">SUMIFS(rec.uni[2022-01-01],
INDIRECT("rec.uni[natureza]"),"pro.soluto",
INDIRECT("rec.uni[empresa]"),CC$6)</f>
        <v>0</v>
      </c>
      <c r="CD15" s="182">
        <f ca="1">SUMIFS(rec.uni[2022-01-01],
INDIRECT("rec.uni[natureza]"),"repasse.cef.obra",
INDIRECT("rec.uni[empresa]"),CD$6)</f>
        <v>0</v>
      </c>
      <c r="CE15" s="182">
        <f ca="1">SUMIFS(rec.uni[2022-01-01],
INDIRECT("rec.uni[natureza]"),"repasse.cef.terreno",
INDIRECT("rec.uni[empresa]"),CE$6)</f>
        <v>0</v>
      </c>
      <c r="CF15" s="182">
        <v>0</v>
      </c>
      <c r="CG15" s="182">
        <f ca="1">SUMIFS(rec.uni[2022-01-01],
INDIRECT("rec.uni[natureza]"),"taxa.extra",
INDIRECT("rec.uni[empresa]"),CG$6)</f>
        <v>0</v>
      </c>
      <c r="CH15" s="170"/>
      <c r="CI15" s="182" cm="1">
        <f t="array" ref="CI1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J15" s="182" cm="1">
        <f t="array" ref="CJ1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K15" s="182" cm="1">
        <f t="array" ref="CK1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L15" s="182" cm="1">
        <f t="array" ref="CL1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M15" s="183" cm="1">
        <f t="array" ref="CM1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CN15" s="181">
        <f>COUNTIFS(
    estq[empresa], CN$6,
    estq[Data da venda / reserva], "&gt;=" &amp; $A15,
    estq[Data da venda / reserva], "&lt;"  &amp; EOMONTH($A15,0) + 1
)</f>
        <v>0</v>
      </c>
      <c r="CO15" s="182">
        <f ca="1">SUMIFS(rec.uni[2022-01-01],
INDIRECT("rec.uni[natureza]"),"pro.soluto",
INDIRECT("rec.uni[empresa]"),CO$6)</f>
        <v>0</v>
      </c>
      <c r="CP15" s="182">
        <f ca="1">SUMIFS(rec.uni[2022-01-01],
INDIRECT("rec.uni[natureza]"),"repasse.cef.obra",
INDIRECT("rec.uni[empresa]"),CP$6)</f>
        <v>0</v>
      </c>
      <c r="CQ15" s="182">
        <f ca="1">SUMIFS(rec.uni[2022-01-01],
INDIRECT("rec.uni[natureza]"),"repasse.cef.terreno",
INDIRECT("rec.uni[empresa]"),CQ$6)</f>
        <v>0</v>
      </c>
      <c r="CR15" s="182">
        <v>0</v>
      </c>
      <c r="CS15" s="182">
        <f ca="1">SUMIFS(rec.uni[2022-01-01],
INDIRECT("rec.uni[natureza]"),"taxa.extra",
INDIRECT("rec.uni[empresa]"),CS$6)</f>
        <v>0</v>
      </c>
      <c r="CT15" s="170"/>
      <c r="CU15" s="182" cm="1">
        <f t="array" ref="CU1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V15" s="182" cm="1">
        <f t="array" ref="CV1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W15" s="182" cm="1">
        <f t="array" ref="CW1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X15" s="182" cm="1">
        <f t="array" ref="CX1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Y15" s="184" cm="1">
        <f t="array" ref="CY1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</row>
    <row r="16" spans="1:103" x14ac:dyDescent="0.25">
      <c r="A16" s="180">
        <v>44593</v>
      </c>
      <c r="B16" s="181">
        <f>COUNTIFS(
    estq[empresa], B$6,
    estq[Data da venda / reserva], "&gt;=" &amp; $A16,
    estq[Data da venda / reserva], "&lt;"  &amp; EOMONTH($A16,0) + 1
)</f>
        <v>0</v>
      </c>
      <c r="C16" s="182">
        <f ca="1">SUMIFS(rec.uni[2022-02-01],
INDIRECT("rec.uni[natureza]"),"pro.soluto",
INDIRECT("rec.uni[empresa]"),C$6)</f>
        <v>0</v>
      </c>
      <c r="D16" s="182">
        <f ca="1">SUMIFS(rec.uni[2022-02-01],
INDIRECT("rec.uni[natureza]"),"repasse.cef.obra",
INDIRECT("rec.uni[empresa]"),D$6)</f>
        <v>0</v>
      </c>
      <c r="E16" s="182">
        <f ca="1">SUMIFS(rec.uni[2022-02-01],
INDIRECT("rec.uni[natureza]"),"repasse.cef.terreno",
INDIRECT("rec.uni[empresa]"),E$6)</f>
        <v>0</v>
      </c>
      <c r="F16" s="182">
        <v>0</v>
      </c>
      <c r="G16" s="182">
        <f ca="1">SUMIFS(rec.uni[2022-02-01],
INDIRECT("rec.uni[natureza]"),"taxa.extra",
INDIRECT("rec.uni[empresa]"),G$6)</f>
        <v>0</v>
      </c>
      <c r="H16" s="170"/>
      <c r="I16" s="182" cm="1">
        <f t="array" ref="I1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J16" s="182" cm="1">
        <f t="array" ref="J1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K16" s="182" cm="1">
        <f t="array" ref="K1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L16" s="182" cm="1">
        <f t="array" ref="L1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M16" s="183" cm="1">
        <f t="array" ref="M1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N16" s="181">
        <f>COUNTIFS(
    estq[empresa], N$6,
    estq[Data da venda / reserva], "&gt;=" &amp; $A16,
    estq[Data da venda / reserva], "&lt;"  &amp; EOMONTH($A16,0) + 1
)</f>
        <v>0</v>
      </c>
      <c r="O16" s="182">
        <f ca="1">SUMIFS(rec.uni[2022-02-01],
INDIRECT("rec.uni[natureza]"),"pro.soluto",
INDIRECT("rec.uni[empresa]"),O$6)</f>
        <v>0</v>
      </c>
      <c r="P16" s="182">
        <f ca="1">SUMIFS(rec.uni[2022-02-01],
INDIRECT("rec.uni[natureza]"),"repasse.cef.obra",
INDIRECT("rec.uni[empresa]"),P$6)</f>
        <v>0</v>
      </c>
      <c r="Q16" s="182">
        <f ca="1">SUMIFS(rec.uni[2022-02-01],
INDIRECT("rec.uni[natureza]"),"repasse.cef.terreno",
INDIRECT("rec.uni[empresa]"),Q$6)</f>
        <v>0</v>
      </c>
      <c r="R16" s="182">
        <v>0</v>
      </c>
      <c r="S16" s="182">
        <f ca="1">SUMIFS(rec.uni[2022-02-01],
INDIRECT("rec.uni[natureza]"),"taxa.extra",
INDIRECT("rec.uni[empresa]"),S$6)</f>
        <v>0</v>
      </c>
      <c r="T16" s="170"/>
      <c r="U16" s="182" cm="1">
        <f t="array" ref="U1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V16" s="182" cm="1">
        <f t="array" ref="V1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W16" s="182" cm="1">
        <f t="array" ref="W1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X16" s="182" cm="1">
        <f t="array" ref="X1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Y16" s="183" cm="1">
        <f t="array" ref="Y1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Z16" s="181">
        <f>COUNTIFS(
    estq[empresa], Z$6,
    estq[Data da venda / reserva], "&gt;=" &amp; $A16,
    estq[Data da venda / reserva], "&lt;"  &amp; EOMONTH($A16,0) + 1
)</f>
        <v>0</v>
      </c>
      <c r="AA16" s="182">
        <f ca="1">SUMIFS(rec.uni[2022-02-01],
INDIRECT("rec.uni[natureza]"),"pro.soluto",
INDIRECT("rec.uni[empresa]"),AA$6)</f>
        <v>0</v>
      </c>
      <c r="AB16" s="182">
        <f ca="1">SUMIFS(rec.uni[2022-02-01],
INDIRECT("rec.uni[natureza]"),"pro.soluto",
INDIRECT("rec.uni[empresa]"),AB$6)</f>
        <v>0</v>
      </c>
      <c r="AC16" s="182">
        <f ca="1">SUMIFS(rec.uni[2022-02-01],
INDIRECT("rec.uni[natureza]"),"taxa.extra",
INDIRECT("rec.uni[empresa]"),AC$6)</f>
        <v>0</v>
      </c>
      <c r="AD16" s="170"/>
      <c r="AE16" s="182" cm="1">
        <f t="array" ref="AE1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F16" s="182" cm="1">
        <f t="array" ref="AF1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G16" s="182" cm="1">
        <f t="array" ref="AG1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H16" s="182" cm="1">
        <f t="array" ref="AH1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I16" s="183" cm="1">
        <f t="array" ref="AI1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(desp[data.pagamento]&gt;=$A16)*
    (desp[data.pagamento]&lt;EOMONTH($A16,0)+1)
  )
)</f>
        <v>0</v>
      </c>
      <c r="AJ16" s="181">
        <f>COUNTIFS(
    estq[empresa], AJ$6,
    estq[Data da venda / reserva], "&gt;=" &amp; $A16,
    estq[Data da venda / reserva], "&lt;"  &amp; EOMONTH($A16,0) + 1
)</f>
        <v>0</v>
      </c>
      <c r="AK16" s="182">
        <f ca="1">SUMIFS(rec.uni[2022-02-01],
INDIRECT("rec.uni[natureza]"),"pro.soluto",
INDIRECT("rec.uni[empresa]"),AK$6)</f>
        <v>0</v>
      </c>
      <c r="AL16" s="182">
        <f ca="1">SUMIFS(rec.uni[2022-02-01],
INDIRECT("rec.uni[natureza]"),"repasse.cef.obra",
INDIRECT("rec.uni[empresa]"),AL$6)</f>
        <v>0</v>
      </c>
      <c r="AM16" s="182">
        <f ca="1">SUMIFS(rec.uni[2022-02-01],
INDIRECT("rec.uni[natureza]"),"repasse.cef.terreno",
INDIRECT("rec.uni[empresa]"),AM$6)</f>
        <v>0</v>
      </c>
      <c r="AN16" s="182">
        <v>0</v>
      </c>
      <c r="AO16" s="182">
        <f ca="1">SUMIFS(rec.uni[2022-02-01],
INDIRECT("rec.uni[natureza]"),"taxa.extra",
INDIRECT("rec.uni[empresa]"),AO$6)</f>
        <v>0</v>
      </c>
      <c r="AP16" s="170"/>
      <c r="AQ16" s="182" cm="1">
        <f t="array" ref="AQ1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R16" s="182" cm="1">
        <f t="array" ref="AR1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S16" s="182" cm="1">
        <f t="array" ref="AS1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T16" s="182" cm="1">
        <f t="array" ref="AT1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U16" s="183" cm="1">
        <f t="array" ref="AU1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V16" s="181">
        <f>COUNTIFS(
    estq[empresa], AV$6,
    estq[Data da venda / reserva], "&gt;=" &amp; $A16,
    estq[Data da venda / reserva], "&lt;"  &amp; EOMONTH($A16,0) + 1
)</f>
        <v>0</v>
      </c>
      <c r="AW16" s="182">
        <f ca="1">SUMIFS(rec.uni[2022-02-01],
INDIRECT("rec.uni[natureza]"),"pro.soluto",
INDIRECT("rec.uni[empresa]"),AW$6)</f>
        <v>0</v>
      </c>
      <c r="AX16" s="182">
        <f ca="1">SUMIFS(rec.uni[2022-02-01],
INDIRECT("rec.uni[natureza]"),"repasse.cef.obra",
INDIRECT("rec.uni[empresa]"),AX$6)</f>
        <v>0</v>
      </c>
      <c r="AY16" s="182">
        <f ca="1">SUMIFS(rec.uni[2022-02-01],
INDIRECT("rec.uni[natureza]"),"repasse.cef.terreno",
INDIRECT("rec.uni[empresa]"),AY$6)</f>
        <v>0</v>
      </c>
      <c r="AZ16" s="182">
        <v>0</v>
      </c>
      <c r="BA16" s="182">
        <f ca="1">SUMIFS(rec.uni[2022-02-01],
INDIRECT("rec.uni[natureza]"),"taxa.extra",
INDIRECT("rec.uni[empresa]"),BA$6)</f>
        <v>0</v>
      </c>
      <c r="BB16" s="170"/>
      <c r="BC16" s="182" cm="1">
        <f t="array" ref="BC1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D16" s="182" cm="1">
        <f t="array" ref="BD1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E16" s="182" cm="1">
        <f t="array" ref="BE1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F16" s="182" cm="1">
        <f t="array" ref="BF1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G16" s="183" cm="1">
        <f t="array" ref="BG1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BH16" s="181">
        <f>COUNTIFS(
    estq[empresa], BH$6,
    estq[Data da venda / reserva], "&gt;=" &amp; $A16,
    estq[Data da venda / reserva], "&lt;"  &amp; EOMONTH($A16,0) + 1
)</f>
        <v>0</v>
      </c>
      <c r="BI16" s="182">
        <f ca="1">SUMIFS(rec.uni[2022-02-01],
INDIRECT("rec.uni[natureza]"),"pro.soluto",
INDIRECT("rec.uni[empresa]"),BI$6)</f>
        <v>0</v>
      </c>
      <c r="BJ16" s="170">
        <v>0</v>
      </c>
      <c r="BK16" s="182">
        <f ca="1">SUMIFS(rec.uni[2022-02-01],
INDIRECT("rec.uni[natureza]"),"taxa.extra",
INDIRECT("rec.uni[empresa]"),BK$6)</f>
        <v>0</v>
      </c>
      <c r="BL16" s="170"/>
      <c r="BM16" s="182" cm="1">
        <f t="array" ref="BM1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N16" s="182" cm="1">
        <f t="array" ref="BN1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O16" s="182" cm="1">
        <f t="array" ref="BO1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P16" s="182" cm="1">
        <f t="array" ref="BP1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Q16" s="183" cm="1">
        <f t="array" ref="BQ1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R16" s="181">
        <f>COUNTIFS(
    estq[empresa], BR$6,
    estq[Data da venda / reserva], "&gt;=" &amp; $A16,
    estq[Data da venda / reserva], "&lt;"  &amp; EOMONTH($A16,0) + 1
)</f>
        <v>0</v>
      </c>
      <c r="BS16" s="182">
        <f ca="1">SUMIFS(rec.uni[2022-02-01],
INDIRECT("rec.uni[natureza]"),"pro.soluto",
INDIRECT("rec.uni[empresa]"),BS$6)</f>
        <v>0</v>
      </c>
      <c r="BT16" s="182">
        <f ca="1">SUMIFS(rec.uni[2022-02-01],
INDIRECT("rec.uni[natureza]"),"pro.soluto",
INDIRECT("rec.uni[empresa]"),BT$6)</f>
        <v>0</v>
      </c>
      <c r="BU16" s="182">
        <f ca="1">SUMIFS(rec.uni[2022-02-01],
INDIRECT("rec.uni[natureza]"),"taxa.extra",
INDIRECT("rec.uni[empresa]"),BU$6)</f>
        <v>0</v>
      </c>
      <c r="BV16" s="170"/>
      <c r="BW16" s="182" cm="1">
        <f t="array" ref="BW1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BX16" s="182" cm="1">
        <f t="array" ref="BX1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BY16" s="182" cm="1">
        <f t="array" ref="BY1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BZ16" s="182" cm="1">
        <f t="array" ref="BZ1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CA16" s="183" cm="1">
        <f t="array" ref="CA1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(desp[data.pagamento]&gt;=$A16)*
    (desp[data.pagamento]&lt;EOMONTH($A16,0)+1)
  )
)</f>
        <v>0</v>
      </c>
      <c r="CB16" s="181">
        <f>COUNTIFS(
    estq[empresa], CB$6,
    estq[Data da venda / reserva], "&gt;=" &amp; $A16,
    estq[Data da venda / reserva], "&lt;"  &amp; EOMONTH($A16,0) + 1
)</f>
        <v>0</v>
      </c>
      <c r="CC16" s="182">
        <f ca="1">SUMIFS(rec.uni[2022-02-01],
INDIRECT("rec.uni[natureza]"),"pro.soluto",
INDIRECT("rec.uni[empresa]"),CC$6)</f>
        <v>0</v>
      </c>
      <c r="CD16" s="182">
        <f ca="1">SUMIFS(rec.uni[2022-02-01],
INDIRECT("rec.uni[natureza]"),"repasse.cef.obra",
INDIRECT("rec.uni[empresa]"),CD$6)</f>
        <v>0</v>
      </c>
      <c r="CE16" s="182">
        <f ca="1">SUMIFS(rec.uni[2022-02-01],
INDIRECT("rec.uni[natureza]"),"repasse.cef.terreno",
INDIRECT("rec.uni[empresa]"),CE$6)</f>
        <v>0</v>
      </c>
      <c r="CF16" s="182">
        <v>0</v>
      </c>
      <c r="CG16" s="182">
        <f ca="1">SUMIFS(rec.uni[2022-02-01],
INDIRECT("rec.uni[natureza]"),"taxa.extra",
INDIRECT("rec.uni[empresa]"),CG$6)</f>
        <v>0</v>
      </c>
      <c r="CH16" s="170"/>
      <c r="CI16" s="182" cm="1">
        <f t="array" ref="CI1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J16" s="182" cm="1">
        <f t="array" ref="CJ1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K16" s="182" cm="1">
        <f t="array" ref="CK1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L16" s="182" cm="1">
        <f t="array" ref="CL1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M16" s="183" cm="1">
        <f t="array" ref="CM1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CN16" s="181">
        <f>COUNTIFS(
    estq[empresa], CN$6,
    estq[Data da venda / reserva], "&gt;=" &amp; $A16,
    estq[Data da venda / reserva], "&lt;"  &amp; EOMONTH($A16,0) + 1
)</f>
        <v>0</v>
      </c>
      <c r="CO16" s="182">
        <f ca="1">SUMIFS(rec.uni[2022-02-01],
INDIRECT("rec.uni[natureza]"),"pro.soluto",
INDIRECT("rec.uni[empresa]"),CO$6)</f>
        <v>0</v>
      </c>
      <c r="CP16" s="182">
        <f ca="1">SUMIFS(rec.uni[2022-02-01],
INDIRECT("rec.uni[natureza]"),"repasse.cef.obra",
INDIRECT("rec.uni[empresa]"),CP$6)</f>
        <v>0</v>
      </c>
      <c r="CQ16" s="182">
        <f ca="1">SUMIFS(rec.uni[2022-02-01],
INDIRECT("rec.uni[natureza]"),"repasse.cef.terreno",
INDIRECT("rec.uni[empresa]"),CQ$6)</f>
        <v>0</v>
      </c>
      <c r="CR16" s="182">
        <v>0</v>
      </c>
      <c r="CS16" s="182">
        <f ca="1">SUMIFS(rec.uni[2022-02-01],
INDIRECT("rec.uni[natureza]"),"taxa.extra",
INDIRECT("rec.uni[empresa]"),CS$6)</f>
        <v>0</v>
      </c>
      <c r="CT16" s="170"/>
      <c r="CU16" s="182" cm="1">
        <f t="array" ref="CU1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V16" s="182" cm="1">
        <f t="array" ref="CV1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W16" s="182" cm="1">
        <f t="array" ref="CW1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X16" s="182" cm="1">
        <f t="array" ref="CX1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Y16" s="184" cm="1">
        <f t="array" ref="CY1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</row>
    <row r="17" spans="1:103" x14ac:dyDescent="0.25">
      <c r="A17" s="180">
        <v>44621</v>
      </c>
      <c r="B17" s="181">
        <f>COUNTIFS(
    estq[empresa], B$6,
    estq[Data da venda / reserva], "&gt;=" &amp; $A17,
    estq[Data da venda / reserva], "&lt;"  &amp; EOMONTH($A17,0) + 1
)</f>
        <v>0</v>
      </c>
      <c r="C17" s="182">
        <f ca="1">SUMIFS(rec.uni[2022-03-01],
INDIRECT("rec.uni[natureza]"),"pro.soluto",
INDIRECT("rec.uni[empresa]"),C$6)</f>
        <v>0</v>
      </c>
      <c r="D17" s="182">
        <f ca="1">SUMIFS(rec.uni[2022-03-01],
INDIRECT("rec.uni[natureza]"),"repasse.cef.obra",
INDIRECT("rec.uni[empresa]"),D$6)</f>
        <v>0</v>
      </c>
      <c r="E17" s="182">
        <f ca="1">SUMIFS(rec.uni[2022-03-01],
INDIRECT("rec.uni[natureza]"),"repasse.cef.terreno",
INDIRECT("rec.uni[empresa]"),E$6)</f>
        <v>0</v>
      </c>
      <c r="F17" s="182">
        <v>0</v>
      </c>
      <c r="G17" s="182">
        <f ca="1">SUMIFS(rec.uni[2022-03-01],
INDIRECT("rec.uni[natureza]"),"taxa.extra",
INDIRECT("rec.uni[empresa]"),G$6)</f>
        <v>0</v>
      </c>
      <c r="H17" s="170"/>
      <c r="I17" s="182" cm="1">
        <f t="array" ref="I1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J17" s="182" cm="1">
        <f t="array" ref="J1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K17" s="182" cm="1">
        <f t="array" ref="K1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L17" s="182" cm="1">
        <f t="array" ref="L1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M17" s="183" cm="1">
        <f t="array" ref="M1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N17" s="181">
        <f>COUNTIFS(
    estq[empresa], N$6,
    estq[Data da venda / reserva], "&gt;=" &amp; $A17,
    estq[Data da venda / reserva], "&lt;"  &amp; EOMONTH($A17,0) + 1
)</f>
        <v>0</v>
      </c>
      <c r="O17" s="182">
        <f ca="1">SUMIFS(rec.uni[2022-03-01],
INDIRECT("rec.uni[natureza]"),"pro.soluto",
INDIRECT("rec.uni[empresa]"),O$6)</f>
        <v>0</v>
      </c>
      <c r="P17" s="182">
        <f ca="1">SUMIFS(rec.uni[2022-03-01],
INDIRECT("rec.uni[natureza]"),"repasse.cef.obra",
INDIRECT("rec.uni[empresa]"),P$6)</f>
        <v>0</v>
      </c>
      <c r="Q17" s="182">
        <f ca="1">SUMIFS(rec.uni[2022-03-01],
INDIRECT("rec.uni[natureza]"),"repasse.cef.terreno",
INDIRECT("rec.uni[empresa]"),Q$6)</f>
        <v>0</v>
      </c>
      <c r="R17" s="182">
        <v>0</v>
      </c>
      <c r="S17" s="182">
        <f ca="1">SUMIFS(rec.uni[2022-03-01],
INDIRECT("rec.uni[natureza]"),"taxa.extra",
INDIRECT("rec.uni[empresa]"),S$6)</f>
        <v>0</v>
      </c>
      <c r="T17" s="170"/>
      <c r="U17" s="182" cm="1">
        <f t="array" ref="U1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V17" s="182" cm="1">
        <f t="array" ref="V1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W17" s="182" cm="1">
        <f t="array" ref="W1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X17" s="182" cm="1">
        <f t="array" ref="X1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Y17" s="183" cm="1">
        <f t="array" ref="Y1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Z17" s="181">
        <f>COUNTIFS(
    estq[empresa], Z$6,
    estq[Data da venda / reserva], "&gt;=" &amp; $A17,
    estq[Data da venda / reserva], "&lt;"  &amp; EOMONTH($A17,0) + 1
)</f>
        <v>0</v>
      </c>
      <c r="AA17" s="182">
        <f ca="1">SUMIFS(rec.uni[2022-03-01],
INDIRECT("rec.uni[natureza]"),"pro.soluto",
INDIRECT("rec.uni[empresa]"),AA$6)</f>
        <v>0</v>
      </c>
      <c r="AB17" s="182">
        <f ca="1">SUMIFS(rec.uni[2022-03-01],
INDIRECT("rec.uni[natureza]"),"pro.soluto",
INDIRECT("rec.uni[empresa]"),AB$6)</f>
        <v>0</v>
      </c>
      <c r="AC17" s="182">
        <f ca="1">SUMIFS(rec.uni[2022-03-01],
INDIRECT("rec.uni[natureza]"),"taxa.extra",
INDIRECT("rec.uni[empresa]"),AC$6)</f>
        <v>0</v>
      </c>
      <c r="AD17" s="170"/>
      <c r="AE17" s="182" cm="1">
        <f t="array" ref="AE1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F17" s="182" cm="1">
        <f t="array" ref="AF1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G17" s="182" cm="1">
        <f t="array" ref="AG1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H17" s="182" cm="1">
        <f t="array" ref="AH1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I17" s="183" cm="1">
        <f t="array" ref="AI1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(desp[data.pagamento]&gt;=$A17)*
    (desp[data.pagamento]&lt;EOMONTH($A17,0)+1)
  )
)</f>
        <v>0</v>
      </c>
      <c r="AJ17" s="181">
        <f>COUNTIFS(
    estq[empresa], AJ$6,
    estq[Data da venda / reserva], "&gt;=" &amp; $A17,
    estq[Data da venda / reserva], "&lt;"  &amp; EOMONTH($A17,0) + 1
)</f>
        <v>0</v>
      </c>
      <c r="AK17" s="182">
        <f ca="1">SUMIFS(rec.uni[2022-03-01],
INDIRECT("rec.uni[natureza]"),"pro.soluto",
INDIRECT("rec.uni[empresa]"),AK$6)</f>
        <v>0</v>
      </c>
      <c r="AL17" s="182">
        <f ca="1">SUMIFS(rec.uni[2022-03-01],
INDIRECT("rec.uni[natureza]"),"repasse.cef.obra",
INDIRECT("rec.uni[empresa]"),AL$6)</f>
        <v>0</v>
      </c>
      <c r="AM17" s="182">
        <f ca="1">SUMIFS(rec.uni[2022-03-01],
INDIRECT("rec.uni[natureza]"),"repasse.cef.terreno",
INDIRECT("rec.uni[empresa]"),AM$6)</f>
        <v>0</v>
      </c>
      <c r="AN17" s="182">
        <v>0</v>
      </c>
      <c r="AO17" s="182">
        <f ca="1">SUMIFS(rec.uni[2022-03-01],
INDIRECT("rec.uni[natureza]"),"taxa.extra",
INDIRECT("rec.uni[empresa]"),AO$6)</f>
        <v>0</v>
      </c>
      <c r="AP17" s="170"/>
      <c r="AQ17" s="182" cm="1">
        <f t="array" ref="AQ1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R17" s="182" cm="1">
        <f t="array" ref="AR1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S17" s="182" cm="1">
        <f t="array" ref="AS1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T17" s="182" cm="1">
        <f t="array" ref="AT1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U17" s="183" cm="1">
        <f t="array" ref="AU1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V17" s="181">
        <f>COUNTIFS(
    estq[empresa], AV$6,
    estq[Data da venda / reserva], "&gt;=" &amp; $A17,
    estq[Data da venda / reserva], "&lt;"  &amp; EOMONTH($A17,0) + 1
)</f>
        <v>0</v>
      </c>
      <c r="AW17" s="182">
        <f ca="1">SUMIFS(rec.uni[2022-03-01],
INDIRECT("rec.uni[natureza]"),"pro.soluto",
INDIRECT("rec.uni[empresa]"),AW$6)</f>
        <v>0</v>
      </c>
      <c r="AX17" s="182">
        <f ca="1">SUMIFS(rec.uni[2022-03-01],
INDIRECT("rec.uni[natureza]"),"repasse.cef.obra",
INDIRECT("rec.uni[empresa]"),AX$6)</f>
        <v>0</v>
      </c>
      <c r="AY17" s="182">
        <f ca="1">SUMIFS(rec.uni[2022-03-01],
INDIRECT("rec.uni[natureza]"),"repasse.cef.terreno",
INDIRECT("rec.uni[empresa]"),AY$6)</f>
        <v>0</v>
      </c>
      <c r="AZ17" s="182">
        <v>0</v>
      </c>
      <c r="BA17" s="182">
        <f ca="1">SUMIFS(rec.uni[2022-03-01],
INDIRECT("rec.uni[natureza]"),"taxa.extra",
INDIRECT("rec.uni[empresa]"),BA$6)</f>
        <v>0</v>
      </c>
      <c r="BB17" s="170"/>
      <c r="BC17" s="182" cm="1">
        <f t="array" ref="BC1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D17" s="182" cm="1">
        <f t="array" ref="BD1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E17" s="182" cm="1">
        <f t="array" ref="BE1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F17" s="182" cm="1">
        <f t="array" ref="BF1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G17" s="183" cm="1">
        <f t="array" ref="BG1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BH17" s="181">
        <f>COUNTIFS(
    estq[empresa], BH$6,
    estq[Data da venda / reserva], "&gt;=" &amp; $A17,
    estq[Data da venda / reserva], "&lt;"  &amp; EOMONTH($A17,0) + 1
)</f>
        <v>0</v>
      </c>
      <c r="BI17" s="182">
        <f ca="1">SUMIFS(rec.uni[2022-03-01],
INDIRECT("rec.uni[natureza]"),"pro.soluto",
INDIRECT("rec.uni[empresa]"),BI$6)</f>
        <v>0</v>
      </c>
      <c r="BJ17" s="170">
        <v>0</v>
      </c>
      <c r="BK17" s="182">
        <f ca="1">SUMIFS(rec.uni[2022-03-01],
INDIRECT("rec.uni[natureza]"),"taxa.extra",
INDIRECT("rec.uni[empresa]"),BK$6)</f>
        <v>0</v>
      </c>
      <c r="BL17" s="170"/>
      <c r="BM17" s="182" cm="1">
        <f t="array" ref="BM1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N17" s="182" cm="1">
        <f t="array" ref="BN1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O17" s="182" cm="1">
        <f t="array" ref="BO1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P17" s="182" cm="1">
        <f t="array" ref="BP1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Q17" s="183" cm="1">
        <f t="array" ref="BQ1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R17" s="181">
        <f>COUNTIFS(
    estq[empresa], BR$6,
    estq[Data da venda / reserva], "&gt;=" &amp; $A17,
    estq[Data da venda / reserva], "&lt;"  &amp; EOMONTH($A17,0) + 1
)</f>
        <v>0</v>
      </c>
      <c r="BS17" s="182">
        <f ca="1">SUMIFS(rec.uni[2022-03-01],
INDIRECT("rec.uni[natureza]"),"pro.soluto",
INDIRECT("rec.uni[empresa]"),BS$6)</f>
        <v>0</v>
      </c>
      <c r="BT17" s="182">
        <f ca="1">SUMIFS(rec.uni[2022-03-01],
INDIRECT("rec.uni[natureza]"),"pro.soluto",
INDIRECT("rec.uni[empresa]"),BT$6)</f>
        <v>0</v>
      </c>
      <c r="BU17" s="182">
        <f ca="1">SUMIFS(rec.uni[2022-03-01],
INDIRECT("rec.uni[natureza]"),"taxa.extra",
INDIRECT("rec.uni[empresa]"),BU$6)</f>
        <v>0</v>
      </c>
      <c r="BV17" s="170"/>
      <c r="BW17" s="182" cm="1">
        <f t="array" ref="BW1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BX17" s="182" cm="1">
        <f t="array" ref="BX1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BY17" s="182" cm="1">
        <f t="array" ref="BY1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BZ17" s="182" cm="1">
        <f t="array" ref="BZ1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CA17" s="183" cm="1">
        <f t="array" ref="CA1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(desp[data.pagamento]&gt;=$A17)*
    (desp[data.pagamento]&lt;EOMONTH($A17,0)+1)
  )
)</f>
        <v>0</v>
      </c>
      <c r="CB17" s="181">
        <f>COUNTIFS(
    estq[empresa], CB$6,
    estq[Data da venda / reserva], "&gt;=" &amp; $A17,
    estq[Data da venda / reserva], "&lt;"  &amp; EOMONTH($A17,0) + 1
)</f>
        <v>0</v>
      </c>
      <c r="CC17" s="182">
        <f ca="1">SUMIFS(rec.uni[2022-03-01],
INDIRECT("rec.uni[natureza]"),"pro.soluto",
INDIRECT("rec.uni[empresa]"),CC$6)</f>
        <v>0</v>
      </c>
      <c r="CD17" s="182">
        <f ca="1">SUMIFS(rec.uni[2022-03-01],
INDIRECT("rec.uni[natureza]"),"repasse.cef.obra",
INDIRECT("rec.uni[empresa]"),CD$6)</f>
        <v>0</v>
      </c>
      <c r="CE17" s="182">
        <f ca="1">SUMIFS(rec.uni[2022-03-01],
INDIRECT("rec.uni[natureza]"),"repasse.cef.terreno",
INDIRECT("rec.uni[empresa]"),CE$6)</f>
        <v>0</v>
      </c>
      <c r="CF17" s="182">
        <v>0</v>
      </c>
      <c r="CG17" s="182">
        <f ca="1">SUMIFS(rec.uni[2022-03-01],
INDIRECT("rec.uni[natureza]"),"taxa.extra",
INDIRECT("rec.uni[empresa]"),CG$6)</f>
        <v>0</v>
      </c>
      <c r="CH17" s="170"/>
      <c r="CI17" s="182" cm="1">
        <f t="array" ref="CI1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J17" s="182" cm="1">
        <f t="array" ref="CJ1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K17" s="182" cm="1">
        <f t="array" ref="CK1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L17" s="182" cm="1">
        <f t="array" ref="CL1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M17" s="183" cm="1">
        <f t="array" ref="CM1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CN17" s="181">
        <f>COUNTIFS(
    estq[empresa], CN$6,
    estq[Data da venda / reserva], "&gt;=" &amp; $A17,
    estq[Data da venda / reserva], "&lt;"  &amp; EOMONTH($A17,0) + 1
)</f>
        <v>0</v>
      </c>
      <c r="CO17" s="182">
        <f ca="1">SUMIFS(rec.uni[2022-03-01],
INDIRECT("rec.uni[natureza]"),"pro.soluto",
INDIRECT("rec.uni[empresa]"),CO$6)</f>
        <v>0</v>
      </c>
      <c r="CP17" s="182">
        <f ca="1">SUMIFS(rec.uni[2022-03-01],
INDIRECT("rec.uni[natureza]"),"repasse.cef.obra",
INDIRECT("rec.uni[empresa]"),CP$6)</f>
        <v>0</v>
      </c>
      <c r="CQ17" s="182">
        <f ca="1">SUMIFS(rec.uni[2022-03-01],
INDIRECT("rec.uni[natureza]"),"repasse.cef.terreno",
INDIRECT("rec.uni[empresa]"),CQ$6)</f>
        <v>0</v>
      </c>
      <c r="CR17" s="182">
        <v>0</v>
      </c>
      <c r="CS17" s="182">
        <f ca="1">SUMIFS(rec.uni[2022-03-01],
INDIRECT("rec.uni[natureza]"),"taxa.extra",
INDIRECT("rec.uni[empresa]"),CS$6)</f>
        <v>0</v>
      </c>
      <c r="CT17" s="170"/>
      <c r="CU17" s="182" cm="1">
        <f t="array" ref="CU1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V17" s="182" cm="1">
        <f t="array" ref="CV1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W17" s="182" cm="1">
        <f t="array" ref="CW1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X17" s="182" cm="1">
        <f t="array" ref="CX1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Y17" s="184" cm="1">
        <f t="array" ref="CY1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</row>
    <row r="18" spans="1:103" x14ac:dyDescent="0.25">
      <c r="A18" s="180">
        <v>44652</v>
      </c>
      <c r="B18" s="181">
        <f>COUNTIFS(
    estq[empresa], B$6,
    estq[Data da venda / reserva], "&gt;=" &amp; $A18,
    estq[Data da venda / reserva], "&lt;"  &amp; EOMONTH($A18,0) + 1
)</f>
        <v>0</v>
      </c>
      <c r="C18" s="182">
        <f ca="1">SUMIFS(rec.uni[2022-04-01],
INDIRECT("rec.uni[natureza]"),"pro.soluto",
INDIRECT("rec.uni[empresa]"),C$6)</f>
        <v>0</v>
      </c>
      <c r="D18" s="182">
        <f ca="1">SUMIFS(rec.uni[2022-04-01],
INDIRECT("rec.uni[natureza]"),"repasse.cef.obra",
INDIRECT("rec.uni[empresa]"),D$6)</f>
        <v>0</v>
      </c>
      <c r="E18" s="182">
        <f ca="1">SUMIFS(rec.uni[2022-04-01],
INDIRECT("rec.uni[natureza]"),"repasse.cef.terreno",
INDIRECT("rec.uni[empresa]"),E$6)</f>
        <v>0</v>
      </c>
      <c r="F18" s="182">
        <v>0</v>
      </c>
      <c r="G18" s="182">
        <f ca="1">SUMIFS(rec.uni[2022-04-01],
INDIRECT("rec.uni[natureza]"),"taxa.extra",
INDIRECT("rec.uni[empresa]"),G$6)</f>
        <v>0</v>
      </c>
      <c r="H18" s="170"/>
      <c r="I18" s="182" cm="1">
        <f t="array" ref="I1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J18" s="182" cm="1">
        <f t="array" ref="J1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K18" s="182" cm="1">
        <f t="array" ref="K1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L18" s="182" cm="1">
        <f t="array" ref="L1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M18" s="183" cm="1">
        <f t="array" ref="M1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N18" s="181">
        <f>COUNTIFS(
    estq[empresa], N$6,
    estq[Data da venda / reserva], "&gt;=" &amp; $A18,
    estq[Data da venda / reserva], "&lt;"  &amp; EOMONTH($A18,0) + 1
)</f>
        <v>0</v>
      </c>
      <c r="O18" s="182">
        <f ca="1">SUMIFS(rec.uni[2022-04-01],
INDIRECT("rec.uni[natureza]"),"pro.soluto",
INDIRECT("rec.uni[empresa]"),O$6)</f>
        <v>0</v>
      </c>
      <c r="P18" s="182">
        <f ca="1">SUMIFS(rec.uni[2022-04-01],
INDIRECT("rec.uni[natureza]"),"repasse.cef.obra",
INDIRECT("rec.uni[empresa]"),P$6)</f>
        <v>0</v>
      </c>
      <c r="Q18" s="182">
        <f ca="1">SUMIFS(rec.uni[2022-04-01],
INDIRECT("rec.uni[natureza]"),"repasse.cef.terreno",
INDIRECT("rec.uni[empresa]"),Q$6)</f>
        <v>0</v>
      </c>
      <c r="R18" s="182">
        <v>0</v>
      </c>
      <c r="S18" s="182">
        <f ca="1">SUMIFS(rec.uni[2022-04-01],
INDIRECT("rec.uni[natureza]"),"taxa.extra",
INDIRECT("rec.uni[empresa]"),S$6)</f>
        <v>0</v>
      </c>
      <c r="T18" s="170"/>
      <c r="U18" s="182" cm="1">
        <f t="array" ref="U1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V18" s="182" cm="1">
        <f t="array" ref="V1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W18" s="182" cm="1">
        <f t="array" ref="W1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X18" s="182" cm="1">
        <f t="array" ref="X1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Y18" s="183" cm="1">
        <f t="array" ref="Y1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Z18" s="181">
        <f>COUNTIFS(
    estq[empresa], Z$6,
    estq[Data da venda / reserva], "&gt;=" &amp; $A18,
    estq[Data da venda / reserva], "&lt;"  &amp; EOMONTH($A18,0) + 1
)</f>
        <v>0</v>
      </c>
      <c r="AA18" s="182">
        <f ca="1">SUMIFS(rec.uni[2022-04-01],
INDIRECT("rec.uni[natureza]"),"pro.soluto",
INDIRECT("rec.uni[empresa]"),AA$6)</f>
        <v>0</v>
      </c>
      <c r="AB18" s="182">
        <f ca="1">SUMIFS(rec.uni[2022-04-01],
INDIRECT("rec.uni[natureza]"),"pro.soluto",
INDIRECT("rec.uni[empresa]"),AB$6)</f>
        <v>0</v>
      </c>
      <c r="AC18" s="182">
        <f ca="1">SUMIFS(rec.uni[2022-04-01],
INDIRECT("rec.uni[natureza]"),"taxa.extra",
INDIRECT("rec.uni[empresa]"),AC$6)</f>
        <v>0</v>
      </c>
      <c r="AD18" s="170"/>
      <c r="AE18" s="182" cm="1">
        <f t="array" ref="AE1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F18" s="182" cm="1">
        <f t="array" ref="AF1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G18" s="182" cm="1">
        <f t="array" ref="AG1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H18" s="182" cm="1">
        <f t="array" ref="AH1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I18" s="183" cm="1">
        <f t="array" ref="AI1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(desp[data.pagamento]&gt;=$A18)*
    (desp[data.pagamento]&lt;EOMONTH($A18,0)+1)
  )
)</f>
        <v>0</v>
      </c>
      <c r="AJ18" s="181">
        <f>COUNTIFS(
    estq[empresa], AJ$6,
    estq[Data da venda / reserva], "&gt;=" &amp; $A18,
    estq[Data da venda / reserva], "&lt;"  &amp; EOMONTH($A18,0) + 1
)</f>
        <v>0</v>
      </c>
      <c r="AK18" s="182">
        <f ca="1">SUMIFS(rec.uni[2022-04-01],
INDIRECT("rec.uni[natureza]"),"pro.soluto",
INDIRECT("rec.uni[empresa]"),AK$6)</f>
        <v>0</v>
      </c>
      <c r="AL18" s="182">
        <f ca="1">SUMIFS(rec.uni[2022-04-01],
INDIRECT("rec.uni[natureza]"),"repasse.cef.obra",
INDIRECT("rec.uni[empresa]"),AL$6)</f>
        <v>0</v>
      </c>
      <c r="AM18" s="182">
        <f ca="1">SUMIFS(rec.uni[2022-04-01],
INDIRECT("rec.uni[natureza]"),"repasse.cef.terreno",
INDIRECT("rec.uni[empresa]"),AM$6)</f>
        <v>0</v>
      </c>
      <c r="AN18" s="182">
        <v>0</v>
      </c>
      <c r="AO18" s="182">
        <f ca="1">SUMIFS(rec.uni[2022-04-01],
INDIRECT("rec.uni[natureza]"),"taxa.extra",
INDIRECT("rec.uni[empresa]"),AO$6)</f>
        <v>0</v>
      </c>
      <c r="AP18" s="170"/>
      <c r="AQ18" s="182" cm="1">
        <f t="array" ref="AQ1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R18" s="182" cm="1">
        <f t="array" ref="AR1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S18" s="182" cm="1">
        <f t="array" ref="AS1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T18" s="182" cm="1">
        <f t="array" ref="AT1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U18" s="183" cm="1">
        <f t="array" ref="AU1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V18" s="181">
        <f>COUNTIFS(
    estq[empresa], AV$6,
    estq[Data da venda / reserva], "&gt;=" &amp; $A18,
    estq[Data da venda / reserva], "&lt;"  &amp; EOMONTH($A18,0) + 1
)</f>
        <v>0</v>
      </c>
      <c r="AW18" s="182">
        <f ca="1">SUMIFS(rec.uni[2022-04-01],
INDIRECT("rec.uni[natureza]"),"pro.soluto",
INDIRECT("rec.uni[empresa]"),AW$6)</f>
        <v>0</v>
      </c>
      <c r="AX18" s="182">
        <f ca="1">SUMIFS(rec.uni[2022-04-01],
INDIRECT("rec.uni[natureza]"),"repasse.cef.obra",
INDIRECT("rec.uni[empresa]"),AX$6)</f>
        <v>0</v>
      </c>
      <c r="AY18" s="182">
        <f ca="1">SUMIFS(rec.uni[2022-04-01],
INDIRECT("rec.uni[natureza]"),"repasse.cef.terreno",
INDIRECT("rec.uni[empresa]"),AY$6)</f>
        <v>0</v>
      </c>
      <c r="AZ18" s="182">
        <v>0</v>
      </c>
      <c r="BA18" s="182">
        <f ca="1">SUMIFS(rec.uni[2022-04-01],
INDIRECT("rec.uni[natureza]"),"taxa.extra",
INDIRECT("rec.uni[empresa]"),BA$6)</f>
        <v>0</v>
      </c>
      <c r="BB18" s="170"/>
      <c r="BC18" s="182" cm="1">
        <f t="array" ref="BC1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D18" s="182" cm="1">
        <f t="array" ref="BD1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E18" s="182" cm="1">
        <f t="array" ref="BE1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F18" s="182" cm="1">
        <f t="array" ref="BF1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G18" s="183" cm="1">
        <f t="array" ref="BG1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BH18" s="181">
        <f>COUNTIFS(
    estq[empresa], BH$6,
    estq[Data da venda / reserva], "&gt;=" &amp; $A18,
    estq[Data da venda / reserva], "&lt;"  &amp; EOMONTH($A18,0) + 1
)</f>
        <v>0</v>
      </c>
      <c r="BI18" s="182">
        <f ca="1">SUMIFS(rec.uni[2022-04-01],
INDIRECT("rec.uni[natureza]"),"pro.soluto",
INDIRECT("rec.uni[empresa]"),BI$6)</f>
        <v>0</v>
      </c>
      <c r="BJ18" s="170">
        <v>0</v>
      </c>
      <c r="BK18" s="182">
        <f ca="1">SUMIFS(rec.uni[2022-04-01],
INDIRECT("rec.uni[natureza]"),"taxa.extra",
INDIRECT("rec.uni[empresa]"),BK$6)</f>
        <v>0</v>
      </c>
      <c r="BL18" s="170"/>
      <c r="BM18" s="182" cm="1">
        <f t="array" ref="BM1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N18" s="182" cm="1">
        <f t="array" ref="BN1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O18" s="182" cm="1">
        <f t="array" ref="BO1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P18" s="182" cm="1">
        <f t="array" ref="BP1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Q18" s="183" cm="1">
        <f t="array" ref="BQ1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R18" s="181">
        <f>COUNTIFS(
    estq[empresa], BR$6,
    estq[Data da venda / reserva], "&gt;=" &amp; $A18,
    estq[Data da venda / reserva], "&lt;"  &amp; EOMONTH($A18,0) + 1
)</f>
        <v>0</v>
      </c>
      <c r="BS18" s="182">
        <f ca="1">SUMIFS(rec.uni[2022-04-01],
INDIRECT("rec.uni[natureza]"),"pro.soluto",
INDIRECT("rec.uni[empresa]"),BS$6)</f>
        <v>0</v>
      </c>
      <c r="BT18" s="182">
        <f ca="1">SUMIFS(rec.uni[2022-04-01],
INDIRECT("rec.uni[natureza]"),"pro.soluto",
INDIRECT("rec.uni[empresa]"),BT$6)</f>
        <v>0</v>
      </c>
      <c r="BU18" s="182">
        <f ca="1">SUMIFS(rec.uni[2022-04-01],
INDIRECT("rec.uni[natureza]"),"taxa.extra",
INDIRECT("rec.uni[empresa]"),BU$6)</f>
        <v>0</v>
      </c>
      <c r="BV18" s="170"/>
      <c r="BW18" s="182" cm="1">
        <f t="array" ref="BW1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BX18" s="182" cm="1">
        <f t="array" ref="BX1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BY18" s="182" cm="1">
        <f t="array" ref="BY1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BZ18" s="182" cm="1">
        <f t="array" ref="BZ1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CA18" s="183" cm="1">
        <f t="array" ref="CA1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(desp[data.pagamento]&gt;=$A18)*
    (desp[data.pagamento]&lt;EOMONTH($A18,0)+1)
  )
)</f>
        <v>0</v>
      </c>
      <c r="CB18" s="181">
        <f>COUNTIFS(
    estq[empresa], CB$6,
    estq[Data da venda / reserva], "&gt;=" &amp; $A18,
    estq[Data da venda / reserva], "&lt;"  &amp; EOMONTH($A18,0) + 1
)</f>
        <v>0</v>
      </c>
      <c r="CC18" s="182">
        <f ca="1">SUMIFS(rec.uni[2022-04-01],
INDIRECT("rec.uni[natureza]"),"pro.soluto",
INDIRECT("rec.uni[empresa]"),CC$6)</f>
        <v>0</v>
      </c>
      <c r="CD18" s="182">
        <f ca="1">SUMIFS(rec.uni[2022-04-01],
INDIRECT("rec.uni[natureza]"),"repasse.cef.obra",
INDIRECT("rec.uni[empresa]"),CD$6)</f>
        <v>0</v>
      </c>
      <c r="CE18" s="182">
        <f ca="1">SUMIFS(rec.uni[2022-04-01],
INDIRECT("rec.uni[natureza]"),"repasse.cef.terreno",
INDIRECT("rec.uni[empresa]"),CE$6)</f>
        <v>0</v>
      </c>
      <c r="CF18" s="182">
        <v>0</v>
      </c>
      <c r="CG18" s="182">
        <f ca="1">SUMIFS(rec.uni[2022-04-01],
INDIRECT("rec.uni[natureza]"),"taxa.extra",
INDIRECT("rec.uni[empresa]"),CG$6)</f>
        <v>0</v>
      </c>
      <c r="CH18" s="170"/>
      <c r="CI18" s="182" cm="1">
        <f t="array" ref="CI1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J18" s="182" cm="1">
        <f t="array" ref="CJ1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K18" s="182" cm="1">
        <f t="array" ref="CK1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L18" s="182" cm="1">
        <f t="array" ref="CL1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M18" s="183" cm="1">
        <f t="array" ref="CM1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CN18" s="181">
        <f>COUNTIFS(
    estq[empresa], CN$6,
    estq[Data da venda / reserva], "&gt;=" &amp; $A18,
    estq[Data da venda / reserva], "&lt;"  &amp; EOMONTH($A18,0) + 1
)</f>
        <v>0</v>
      </c>
      <c r="CO18" s="182">
        <f ca="1">SUMIFS(rec.uni[2022-04-01],
INDIRECT("rec.uni[natureza]"),"pro.soluto",
INDIRECT("rec.uni[empresa]"),CO$6)</f>
        <v>0</v>
      </c>
      <c r="CP18" s="182">
        <f ca="1">SUMIFS(rec.uni[2022-04-01],
INDIRECT("rec.uni[natureza]"),"repasse.cef.obra",
INDIRECT("rec.uni[empresa]"),CP$6)</f>
        <v>0</v>
      </c>
      <c r="CQ18" s="182">
        <f ca="1">SUMIFS(rec.uni[2022-04-01],
INDIRECT("rec.uni[natureza]"),"repasse.cef.terreno",
INDIRECT("rec.uni[empresa]"),CQ$6)</f>
        <v>0</v>
      </c>
      <c r="CR18" s="182">
        <v>0</v>
      </c>
      <c r="CS18" s="182">
        <f ca="1">SUMIFS(rec.uni[2022-04-01],
INDIRECT("rec.uni[natureza]"),"taxa.extra",
INDIRECT("rec.uni[empresa]"),CS$6)</f>
        <v>0</v>
      </c>
      <c r="CT18" s="170"/>
      <c r="CU18" s="182" cm="1">
        <f t="array" ref="CU1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V18" s="182" cm="1">
        <f t="array" ref="CV1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W18" s="182" cm="1">
        <f t="array" ref="CW1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X18" s="182" cm="1">
        <f t="array" ref="CX1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Y18" s="184" cm="1">
        <f t="array" ref="CY1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</row>
    <row r="19" spans="1:103" x14ac:dyDescent="0.25">
      <c r="A19" s="180">
        <v>44682</v>
      </c>
      <c r="B19" s="181">
        <f>COUNTIFS(
    estq[empresa], B$6,
    estq[Data da venda / reserva], "&gt;=" &amp; $A19,
    estq[Data da venda / reserva], "&lt;"  &amp; EOMONTH($A19,0) + 1
)</f>
        <v>0</v>
      </c>
      <c r="C19" s="182">
        <f ca="1">SUMIFS(rec.uni[2022-05-01],
INDIRECT("rec.uni[natureza]"),"pro.soluto",
INDIRECT("rec.uni[empresa]"),C$6)</f>
        <v>0</v>
      </c>
      <c r="D19" s="182">
        <f ca="1">SUMIFS(rec.uni[2022-05-01],
INDIRECT("rec.uni[natureza]"),"repasse.cef.obra",
INDIRECT("rec.uni[empresa]"),D$6)</f>
        <v>0</v>
      </c>
      <c r="E19" s="182">
        <f ca="1">SUMIFS(rec.uni[2022-05-01],
INDIRECT("rec.uni[natureza]"),"repasse.cef.terreno",
INDIRECT("rec.uni[empresa]"),E$6)</f>
        <v>0</v>
      </c>
      <c r="F19" s="182">
        <v>0</v>
      </c>
      <c r="G19" s="182">
        <f ca="1">SUMIFS(rec.uni[2022-05-01],
INDIRECT("rec.uni[natureza]"),"taxa.extra",
INDIRECT("rec.uni[empresa]"),G$6)</f>
        <v>0</v>
      </c>
      <c r="H19" s="170"/>
      <c r="I19" s="182" cm="1">
        <f t="array" ref="I1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J19" s="182" cm="1">
        <f t="array" ref="J1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K19" s="182" cm="1">
        <f t="array" ref="K1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L19" s="182" cm="1">
        <f t="array" ref="L1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M19" s="183" cm="1">
        <f t="array" ref="M1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N19" s="181">
        <f>COUNTIFS(
    estq[empresa], N$6,
    estq[Data da venda / reserva], "&gt;=" &amp; $A19,
    estq[Data da venda / reserva], "&lt;"  &amp; EOMONTH($A19,0) + 1
)</f>
        <v>0</v>
      </c>
      <c r="O19" s="182">
        <f ca="1">SUMIFS(rec.uni[2022-05-01],
INDIRECT("rec.uni[natureza]"),"pro.soluto",
INDIRECT("rec.uni[empresa]"),O$6)</f>
        <v>0</v>
      </c>
      <c r="P19" s="182">
        <f ca="1">SUMIFS(rec.uni[2022-05-01],
INDIRECT("rec.uni[natureza]"),"repasse.cef.obra",
INDIRECT("rec.uni[empresa]"),P$6)</f>
        <v>0</v>
      </c>
      <c r="Q19" s="182">
        <f ca="1">SUMIFS(rec.uni[2022-05-01],
INDIRECT("rec.uni[natureza]"),"repasse.cef.terreno",
INDIRECT("rec.uni[empresa]"),Q$6)</f>
        <v>0</v>
      </c>
      <c r="R19" s="182">
        <v>0</v>
      </c>
      <c r="S19" s="182">
        <f ca="1">SUMIFS(rec.uni[2022-05-01],
INDIRECT("rec.uni[natureza]"),"taxa.extra",
INDIRECT("rec.uni[empresa]"),S$6)</f>
        <v>0</v>
      </c>
      <c r="T19" s="170"/>
      <c r="U19" s="182" cm="1">
        <f t="array" ref="U1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V19" s="182" cm="1">
        <f t="array" ref="V1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W19" s="182" cm="1">
        <f t="array" ref="W1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X19" s="182" cm="1">
        <f t="array" ref="X1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Y19" s="183" cm="1">
        <f t="array" ref="Y1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Z19" s="181">
        <f>COUNTIFS(
    estq[empresa], Z$6,
    estq[Data da venda / reserva], "&gt;=" &amp; $A19,
    estq[Data da venda / reserva], "&lt;"  &amp; EOMONTH($A19,0) + 1
)</f>
        <v>0</v>
      </c>
      <c r="AA19" s="182">
        <f ca="1">SUMIFS(rec.uni[2022-05-01],
INDIRECT("rec.uni[natureza]"),"pro.soluto",
INDIRECT("rec.uni[empresa]"),AA$6)</f>
        <v>0</v>
      </c>
      <c r="AB19" s="182">
        <f ca="1">SUMIFS(rec.uni[2022-05-01],
INDIRECT("rec.uni[natureza]"),"pro.soluto",
INDIRECT("rec.uni[empresa]"),AB$6)</f>
        <v>0</v>
      </c>
      <c r="AC19" s="182">
        <f ca="1">SUMIFS(rec.uni[2022-05-01],
INDIRECT("rec.uni[natureza]"),"taxa.extra",
INDIRECT("rec.uni[empresa]"),AC$6)</f>
        <v>0</v>
      </c>
      <c r="AD19" s="170"/>
      <c r="AE19" s="182" cm="1">
        <f t="array" ref="AE1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F19" s="182" cm="1">
        <f t="array" ref="AF1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G19" s="182" cm="1">
        <f t="array" ref="AG1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H19" s="182" cm="1">
        <f t="array" ref="AH1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I19" s="183" cm="1">
        <f t="array" ref="AI1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(desp[data.pagamento]&gt;=$A19)*
    (desp[data.pagamento]&lt;EOMONTH($A19,0)+1)
  )
)</f>
        <v>0</v>
      </c>
      <c r="AJ19" s="181">
        <f>COUNTIFS(
    estq[empresa], AJ$6,
    estq[Data da venda / reserva], "&gt;=" &amp; $A19,
    estq[Data da venda / reserva], "&lt;"  &amp; EOMONTH($A19,0) + 1
)</f>
        <v>0</v>
      </c>
      <c r="AK19" s="182">
        <f ca="1">SUMIFS(rec.uni[2022-05-01],
INDIRECT("rec.uni[natureza]"),"pro.soluto",
INDIRECT("rec.uni[empresa]"),AK$6)</f>
        <v>0</v>
      </c>
      <c r="AL19" s="182">
        <f ca="1">SUMIFS(rec.uni[2022-05-01],
INDIRECT("rec.uni[natureza]"),"repasse.cef.obra",
INDIRECT("rec.uni[empresa]"),AL$6)</f>
        <v>0</v>
      </c>
      <c r="AM19" s="182">
        <f ca="1">SUMIFS(rec.uni[2022-05-01],
INDIRECT("rec.uni[natureza]"),"repasse.cef.terreno",
INDIRECT("rec.uni[empresa]"),AM$6)</f>
        <v>0</v>
      </c>
      <c r="AN19" s="182">
        <v>0</v>
      </c>
      <c r="AO19" s="182">
        <f ca="1">SUMIFS(rec.uni[2022-05-01],
INDIRECT("rec.uni[natureza]"),"taxa.extra",
INDIRECT("rec.uni[empresa]"),AO$6)</f>
        <v>0</v>
      </c>
      <c r="AP19" s="170"/>
      <c r="AQ19" s="182" cm="1">
        <f t="array" ref="AQ1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R19" s="182" cm="1">
        <f t="array" ref="AR1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S19" s="182" cm="1">
        <f t="array" ref="AS1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T19" s="182" cm="1">
        <f t="array" ref="AT1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U19" s="183" cm="1">
        <f t="array" ref="AU1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V19" s="181">
        <f>COUNTIFS(
    estq[empresa], AV$6,
    estq[Data da venda / reserva], "&gt;=" &amp; $A19,
    estq[Data da venda / reserva], "&lt;"  &amp; EOMONTH($A19,0) + 1
)</f>
        <v>0</v>
      </c>
      <c r="AW19" s="182">
        <f ca="1">SUMIFS(rec.uni[2022-05-01],
INDIRECT("rec.uni[natureza]"),"pro.soluto",
INDIRECT("rec.uni[empresa]"),AW$6)</f>
        <v>0</v>
      </c>
      <c r="AX19" s="182">
        <f ca="1">SUMIFS(rec.uni[2022-05-01],
INDIRECT("rec.uni[natureza]"),"repasse.cef.obra",
INDIRECT("rec.uni[empresa]"),AX$6)</f>
        <v>0</v>
      </c>
      <c r="AY19" s="182">
        <f ca="1">SUMIFS(rec.uni[2022-05-01],
INDIRECT("rec.uni[natureza]"),"repasse.cef.terreno",
INDIRECT("rec.uni[empresa]"),AY$6)</f>
        <v>0</v>
      </c>
      <c r="AZ19" s="182">
        <v>0</v>
      </c>
      <c r="BA19" s="182">
        <f ca="1">SUMIFS(rec.uni[2022-05-01],
INDIRECT("rec.uni[natureza]"),"taxa.extra",
INDIRECT("rec.uni[empresa]"),BA$6)</f>
        <v>0</v>
      </c>
      <c r="BB19" s="170"/>
      <c r="BC19" s="182" cm="1">
        <f t="array" ref="BC1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D19" s="182" cm="1">
        <f t="array" ref="BD1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E19" s="182" cm="1">
        <f t="array" ref="BE1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F19" s="182" cm="1">
        <f t="array" ref="BF1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G19" s="183" cm="1">
        <f t="array" ref="BG1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BH19" s="181">
        <f>COUNTIFS(
    estq[empresa], BH$6,
    estq[Data da venda / reserva], "&gt;=" &amp; $A19,
    estq[Data da venda / reserva], "&lt;"  &amp; EOMONTH($A19,0) + 1
)</f>
        <v>0</v>
      </c>
      <c r="BI19" s="182">
        <f ca="1">SUMIFS(rec.uni[2022-05-01],
INDIRECT("rec.uni[natureza]"),"pro.soluto",
INDIRECT("rec.uni[empresa]"),BI$6)</f>
        <v>0</v>
      </c>
      <c r="BJ19" s="170">
        <v>0</v>
      </c>
      <c r="BK19" s="182">
        <f ca="1">SUMIFS(rec.uni[2022-05-01],
INDIRECT("rec.uni[natureza]"),"taxa.extra",
INDIRECT("rec.uni[empresa]"),BK$6)</f>
        <v>0</v>
      </c>
      <c r="BL19" s="170"/>
      <c r="BM19" s="182" cm="1">
        <f t="array" ref="BM1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N19" s="182" cm="1">
        <f t="array" ref="BN1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O19" s="182" cm="1">
        <f t="array" ref="BO1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P19" s="182" cm="1">
        <f t="array" ref="BP1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Q19" s="183" cm="1">
        <f t="array" ref="BQ1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R19" s="181">
        <f>COUNTIFS(
    estq[empresa], BR$6,
    estq[Data da venda / reserva], "&gt;=" &amp; $A19,
    estq[Data da venda / reserva], "&lt;"  &amp; EOMONTH($A19,0) + 1
)</f>
        <v>0</v>
      </c>
      <c r="BS19" s="182">
        <f ca="1">SUMIFS(rec.uni[2022-05-01],
INDIRECT("rec.uni[natureza]"),"pro.soluto",
INDIRECT("rec.uni[empresa]"),BS$6)</f>
        <v>0</v>
      </c>
      <c r="BT19" s="182">
        <f ca="1">SUMIFS(rec.uni[2022-05-01],
INDIRECT("rec.uni[natureza]"),"pro.soluto",
INDIRECT("rec.uni[empresa]"),BT$6)</f>
        <v>0</v>
      </c>
      <c r="BU19" s="182">
        <f ca="1">SUMIFS(rec.uni[2022-05-01],
INDIRECT("rec.uni[natureza]"),"taxa.extra",
INDIRECT("rec.uni[empresa]"),BU$6)</f>
        <v>0</v>
      </c>
      <c r="BV19" s="170"/>
      <c r="BW19" s="182" cm="1">
        <f t="array" ref="BW1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BX19" s="182" cm="1">
        <f t="array" ref="BX1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BY19" s="182" cm="1">
        <f t="array" ref="BY1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BZ19" s="182" cm="1">
        <f t="array" ref="BZ1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CA19" s="183" cm="1">
        <f t="array" ref="CA1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(desp[data.pagamento]&gt;=$A19)*
    (desp[data.pagamento]&lt;EOMONTH($A19,0)+1)
  )
)</f>
        <v>0</v>
      </c>
      <c r="CB19" s="181">
        <f>COUNTIFS(
    estq[empresa], CB$6,
    estq[Data da venda / reserva], "&gt;=" &amp; $A19,
    estq[Data da venda / reserva], "&lt;"  &amp; EOMONTH($A19,0) + 1
)</f>
        <v>0</v>
      </c>
      <c r="CC19" s="182">
        <f ca="1">SUMIFS(rec.uni[2022-05-01],
INDIRECT("rec.uni[natureza]"),"pro.soluto",
INDIRECT("rec.uni[empresa]"),CC$6)</f>
        <v>0</v>
      </c>
      <c r="CD19" s="182">
        <f ca="1">SUMIFS(rec.uni[2022-05-01],
INDIRECT("rec.uni[natureza]"),"repasse.cef.obra",
INDIRECT("rec.uni[empresa]"),CD$6)</f>
        <v>0</v>
      </c>
      <c r="CE19" s="182">
        <f ca="1">SUMIFS(rec.uni[2022-05-01],
INDIRECT("rec.uni[natureza]"),"repasse.cef.terreno",
INDIRECT("rec.uni[empresa]"),CE$6)</f>
        <v>0</v>
      </c>
      <c r="CF19" s="182">
        <v>0</v>
      </c>
      <c r="CG19" s="182">
        <f ca="1">SUMIFS(rec.uni[2022-05-01],
INDIRECT("rec.uni[natureza]"),"taxa.extra",
INDIRECT("rec.uni[empresa]"),CG$6)</f>
        <v>0</v>
      </c>
      <c r="CH19" s="170"/>
      <c r="CI19" s="182" cm="1">
        <f t="array" ref="CI1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J19" s="182" cm="1">
        <f t="array" ref="CJ1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K19" s="182" cm="1">
        <f t="array" ref="CK1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L19" s="182" cm="1">
        <f t="array" ref="CL1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M19" s="183" cm="1">
        <f t="array" ref="CM1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CN19" s="181">
        <f>COUNTIFS(
    estq[empresa], CN$6,
    estq[Data da venda / reserva], "&gt;=" &amp; $A19,
    estq[Data da venda / reserva], "&lt;"  &amp; EOMONTH($A19,0) + 1
)</f>
        <v>0</v>
      </c>
      <c r="CO19" s="182">
        <f ca="1">SUMIFS(rec.uni[2022-05-01],
INDIRECT("rec.uni[natureza]"),"pro.soluto",
INDIRECT("rec.uni[empresa]"),CO$6)</f>
        <v>0</v>
      </c>
      <c r="CP19" s="182">
        <f ca="1">SUMIFS(rec.uni[2022-05-01],
INDIRECT("rec.uni[natureza]"),"repasse.cef.obra",
INDIRECT("rec.uni[empresa]"),CP$6)</f>
        <v>0</v>
      </c>
      <c r="CQ19" s="182">
        <f ca="1">SUMIFS(rec.uni[2022-05-01],
INDIRECT("rec.uni[natureza]"),"repasse.cef.terreno",
INDIRECT("rec.uni[empresa]"),CQ$6)</f>
        <v>0</v>
      </c>
      <c r="CR19" s="182">
        <v>0</v>
      </c>
      <c r="CS19" s="182">
        <f ca="1">SUMIFS(rec.uni[2022-05-01],
INDIRECT("rec.uni[natureza]"),"taxa.extra",
INDIRECT("rec.uni[empresa]"),CS$6)</f>
        <v>0</v>
      </c>
      <c r="CT19" s="170"/>
      <c r="CU19" s="182" cm="1">
        <f t="array" ref="CU1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V19" s="182" cm="1">
        <f t="array" ref="CV1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W19" s="182" cm="1">
        <f t="array" ref="CW1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X19" s="182" cm="1">
        <f t="array" ref="CX1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Y19" s="184" cm="1">
        <f t="array" ref="CY1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</row>
    <row r="20" spans="1:103" x14ac:dyDescent="0.25">
      <c r="A20" s="180">
        <v>44713</v>
      </c>
      <c r="B20" s="181">
        <f>COUNTIFS(
    estq[empresa], B$6,
    estq[Data da venda / reserva], "&gt;=" &amp; $A20,
    estq[Data da venda / reserva], "&lt;"  &amp; EOMONTH($A20,0) + 1
)</f>
        <v>0</v>
      </c>
      <c r="C20" s="182">
        <f ca="1">SUMIFS(rec.uni[2022-06-01],
INDIRECT("rec.uni[natureza]"),"pro.soluto",
INDIRECT("rec.uni[empresa]"),C$6)</f>
        <v>0</v>
      </c>
      <c r="D20" s="182">
        <f ca="1">SUMIFS(rec.uni[2022-06-01],
INDIRECT("rec.uni[natureza]"),"repasse.cef.obra",
INDIRECT("rec.uni[empresa]"),D$6)</f>
        <v>0</v>
      </c>
      <c r="E20" s="182">
        <f ca="1">SUMIFS(rec.uni[2022-06-01],
INDIRECT("rec.uni[natureza]"),"repasse.cef.terreno",
INDIRECT("rec.uni[empresa]"),E$6)</f>
        <v>0</v>
      </c>
      <c r="F20" s="182">
        <v>0</v>
      </c>
      <c r="G20" s="182">
        <f ca="1">SUMIFS(rec.uni[2022-06-01],
INDIRECT("rec.uni[natureza]"),"taxa.extra",
INDIRECT("rec.uni[empresa]"),G$6)</f>
        <v>0</v>
      </c>
      <c r="H20" s="170"/>
      <c r="I20" s="182" cm="1">
        <f t="array" ref="I2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J20" s="182" cm="1">
        <f t="array" ref="J2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K20" s="182" cm="1">
        <f t="array" ref="K2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L20" s="182" cm="1">
        <f t="array" ref="L2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M20" s="183" cm="1">
        <f t="array" ref="M2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N20" s="181">
        <f>COUNTIFS(
    estq[empresa], N$6,
    estq[Data da venda / reserva], "&gt;=" &amp; $A20,
    estq[Data da venda / reserva], "&lt;"  &amp; EOMONTH($A20,0) + 1
)</f>
        <v>0</v>
      </c>
      <c r="O20" s="182">
        <f ca="1">SUMIFS(rec.uni[2022-06-01],
INDIRECT("rec.uni[natureza]"),"pro.soluto",
INDIRECT("rec.uni[empresa]"),O$6)</f>
        <v>0</v>
      </c>
      <c r="P20" s="182">
        <f ca="1">SUMIFS(rec.uni[2022-06-01],
INDIRECT("rec.uni[natureza]"),"repasse.cef.obra",
INDIRECT("rec.uni[empresa]"),P$6)</f>
        <v>0</v>
      </c>
      <c r="Q20" s="182">
        <f ca="1">SUMIFS(rec.uni[2022-06-01],
INDIRECT("rec.uni[natureza]"),"repasse.cef.terreno",
INDIRECT("rec.uni[empresa]"),Q$6)</f>
        <v>0</v>
      </c>
      <c r="R20" s="182">
        <v>0</v>
      </c>
      <c r="S20" s="182">
        <f ca="1">SUMIFS(rec.uni[2022-06-01],
INDIRECT("rec.uni[natureza]"),"taxa.extra",
INDIRECT("rec.uni[empresa]"),S$6)</f>
        <v>0</v>
      </c>
      <c r="T20" s="170"/>
      <c r="U20" s="182" cm="1">
        <f t="array" ref="U2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V20" s="182" cm="1">
        <f t="array" ref="V2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W20" s="182" cm="1">
        <f t="array" ref="W2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X20" s="182" cm="1">
        <f t="array" ref="X2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Y20" s="183" cm="1">
        <f t="array" ref="Y2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Z20" s="181">
        <f>COUNTIFS(
    estq[empresa], Z$6,
    estq[Data da venda / reserva], "&gt;=" &amp; $A20,
    estq[Data da venda / reserva], "&lt;"  &amp; EOMONTH($A20,0) + 1
)</f>
        <v>0</v>
      </c>
      <c r="AA20" s="182">
        <f ca="1">SUMIFS(rec.uni[2022-06-01],
INDIRECT("rec.uni[natureza]"),"pro.soluto",
INDIRECT("rec.uni[empresa]"),AA$6)</f>
        <v>0</v>
      </c>
      <c r="AB20" s="182">
        <f ca="1">SUMIFS(rec.uni[2022-06-01],
INDIRECT("rec.uni[natureza]"),"pro.soluto",
INDIRECT("rec.uni[empresa]"),AB$6)</f>
        <v>0</v>
      </c>
      <c r="AC20" s="182">
        <f ca="1">SUMIFS(rec.uni[2022-06-01],
INDIRECT("rec.uni[natureza]"),"taxa.extra",
INDIRECT("rec.uni[empresa]"),AC$6)</f>
        <v>0</v>
      </c>
      <c r="AD20" s="170"/>
      <c r="AE20" s="182" cm="1">
        <f t="array" ref="AE2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F20" s="182" cm="1">
        <f t="array" ref="AF2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G20" s="182" cm="1">
        <f t="array" ref="AG2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H20" s="182" cm="1">
        <f t="array" ref="AH2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I20" s="183" cm="1">
        <f t="array" ref="AI2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(desp[data.pagamento]&gt;=$A20)*
    (desp[data.pagamento]&lt;EOMONTH($A20,0)+1)
  )
)</f>
        <v>0</v>
      </c>
      <c r="AJ20" s="181">
        <f>COUNTIFS(
    estq[empresa], AJ$6,
    estq[Data da venda / reserva], "&gt;=" &amp; $A20,
    estq[Data da venda / reserva], "&lt;"  &amp; EOMONTH($A20,0) + 1
)</f>
        <v>0</v>
      </c>
      <c r="AK20" s="182">
        <f ca="1">SUMIFS(rec.uni[2022-06-01],
INDIRECT("rec.uni[natureza]"),"pro.soluto",
INDIRECT("rec.uni[empresa]"),AK$6)</f>
        <v>0</v>
      </c>
      <c r="AL20" s="182">
        <f ca="1">SUMIFS(rec.uni[2022-06-01],
INDIRECT("rec.uni[natureza]"),"repasse.cef.obra",
INDIRECT("rec.uni[empresa]"),AL$6)</f>
        <v>0</v>
      </c>
      <c r="AM20" s="182">
        <f ca="1">SUMIFS(rec.uni[2022-06-01],
INDIRECT("rec.uni[natureza]"),"repasse.cef.terreno",
INDIRECT("rec.uni[empresa]"),AM$6)</f>
        <v>0</v>
      </c>
      <c r="AN20" s="182">
        <v>0</v>
      </c>
      <c r="AO20" s="182">
        <f ca="1">SUMIFS(rec.uni[2022-06-01],
INDIRECT("rec.uni[natureza]"),"taxa.extra",
INDIRECT("rec.uni[empresa]"),AO$6)</f>
        <v>0</v>
      </c>
      <c r="AP20" s="170"/>
      <c r="AQ20" s="182" cm="1">
        <f t="array" ref="AQ2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R20" s="182" cm="1">
        <f t="array" ref="AR2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S20" s="182" cm="1">
        <f t="array" ref="AS2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T20" s="182" cm="1">
        <f t="array" ref="AT2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U20" s="183" cm="1">
        <f t="array" ref="AU2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V20" s="181">
        <f>COUNTIFS(
    estq[empresa], AV$6,
    estq[Data da venda / reserva], "&gt;=" &amp; $A20,
    estq[Data da venda / reserva], "&lt;"  &amp; EOMONTH($A20,0) + 1
)</f>
        <v>0</v>
      </c>
      <c r="AW20" s="182">
        <f ca="1">SUMIFS(rec.uni[2022-06-01],
INDIRECT("rec.uni[natureza]"),"pro.soluto",
INDIRECT("rec.uni[empresa]"),AW$6)</f>
        <v>0</v>
      </c>
      <c r="AX20" s="182">
        <f ca="1">SUMIFS(rec.uni[2022-06-01],
INDIRECT("rec.uni[natureza]"),"repasse.cef.obra",
INDIRECT("rec.uni[empresa]"),AX$6)</f>
        <v>0</v>
      </c>
      <c r="AY20" s="182">
        <f ca="1">SUMIFS(rec.uni[2022-06-01],
INDIRECT("rec.uni[natureza]"),"repasse.cef.terreno",
INDIRECT("rec.uni[empresa]"),AY$6)</f>
        <v>0</v>
      </c>
      <c r="AZ20" s="182">
        <v>0</v>
      </c>
      <c r="BA20" s="182">
        <f ca="1">SUMIFS(rec.uni[2022-06-01],
INDIRECT("rec.uni[natureza]"),"taxa.extra",
INDIRECT("rec.uni[empresa]"),BA$6)</f>
        <v>0</v>
      </c>
      <c r="BB20" s="170"/>
      <c r="BC20" s="182" cm="1">
        <f t="array" ref="BC2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D20" s="182" cm="1">
        <f t="array" ref="BD2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E20" s="182" cm="1">
        <f t="array" ref="BE2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F20" s="182" cm="1">
        <f t="array" ref="BF2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G20" s="183" cm="1">
        <f t="array" ref="BG2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BH20" s="181">
        <f>COUNTIFS(
    estq[empresa], BH$6,
    estq[Data da venda / reserva], "&gt;=" &amp; $A20,
    estq[Data da venda / reserva], "&lt;"  &amp; EOMONTH($A20,0) + 1
)</f>
        <v>0</v>
      </c>
      <c r="BI20" s="182">
        <f ca="1">SUMIFS(rec.uni[2022-06-01],
INDIRECT("rec.uni[natureza]"),"pro.soluto",
INDIRECT("rec.uni[empresa]"),BI$6)</f>
        <v>0</v>
      </c>
      <c r="BJ20" s="170">
        <v>0</v>
      </c>
      <c r="BK20" s="182">
        <f ca="1">SUMIFS(rec.uni[2022-06-01],
INDIRECT("rec.uni[natureza]"),"taxa.extra",
INDIRECT("rec.uni[empresa]"),BK$6)</f>
        <v>0</v>
      </c>
      <c r="BL20" s="170"/>
      <c r="BM20" s="182" cm="1">
        <f t="array" ref="BM2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N20" s="182" cm="1">
        <f t="array" ref="BN2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O20" s="182" cm="1">
        <f t="array" ref="BO2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P20" s="182" cm="1">
        <f t="array" ref="BP2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Q20" s="183" cm="1">
        <f t="array" ref="BQ2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R20" s="181">
        <f>COUNTIFS(
    estq[empresa], BR$6,
    estq[Data da venda / reserva], "&gt;=" &amp; $A20,
    estq[Data da venda / reserva], "&lt;"  &amp; EOMONTH($A20,0) + 1
)</f>
        <v>0</v>
      </c>
      <c r="BS20" s="182">
        <f ca="1">SUMIFS(rec.uni[2022-06-01],
INDIRECT("rec.uni[natureza]"),"pro.soluto",
INDIRECT("rec.uni[empresa]"),BS$6)</f>
        <v>0</v>
      </c>
      <c r="BT20" s="182">
        <f ca="1">SUMIFS(rec.uni[2022-06-01],
INDIRECT("rec.uni[natureza]"),"pro.soluto",
INDIRECT("rec.uni[empresa]"),BT$6)</f>
        <v>0</v>
      </c>
      <c r="BU20" s="182">
        <f ca="1">SUMIFS(rec.uni[2022-06-01],
INDIRECT("rec.uni[natureza]"),"taxa.extra",
INDIRECT("rec.uni[empresa]"),BU$6)</f>
        <v>0</v>
      </c>
      <c r="BV20" s="170"/>
      <c r="BW20" s="182" cm="1">
        <f t="array" ref="BW2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BX20" s="182" cm="1">
        <f t="array" ref="BX2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BY20" s="182" cm="1">
        <f t="array" ref="BY2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BZ20" s="182" cm="1">
        <f t="array" ref="BZ2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CA20" s="183" cm="1">
        <f t="array" ref="CA2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(desp[data.pagamento]&gt;=$A20)*
    (desp[data.pagamento]&lt;EOMONTH($A20,0)+1)
  )
)</f>
        <v>0</v>
      </c>
      <c r="CB20" s="181">
        <f>COUNTIFS(
    estq[empresa], CB$6,
    estq[Data da venda / reserva], "&gt;=" &amp; $A20,
    estq[Data da venda / reserva], "&lt;"  &amp; EOMONTH($A20,0) + 1
)</f>
        <v>0</v>
      </c>
      <c r="CC20" s="182">
        <f ca="1">SUMIFS(rec.uni[2022-06-01],
INDIRECT("rec.uni[natureza]"),"pro.soluto",
INDIRECT("rec.uni[empresa]"),CC$6)</f>
        <v>0</v>
      </c>
      <c r="CD20" s="182">
        <f ca="1">SUMIFS(rec.uni[2022-06-01],
INDIRECT("rec.uni[natureza]"),"repasse.cef.obra",
INDIRECT("rec.uni[empresa]"),CD$6)</f>
        <v>0</v>
      </c>
      <c r="CE20" s="182">
        <f ca="1">SUMIFS(rec.uni[2022-06-01],
INDIRECT("rec.uni[natureza]"),"repasse.cef.terreno",
INDIRECT("rec.uni[empresa]"),CE$6)</f>
        <v>0</v>
      </c>
      <c r="CF20" s="182">
        <v>0</v>
      </c>
      <c r="CG20" s="182">
        <f ca="1">SUMIFS(rec.uni[2022-06-01],
INDIRECT("rec.uni[natureza]"),"taxa.extra",
INDIRECT("rec.uni[empresa]"),CG$6)</f>
        <v>0</v>
      </c>
      <c r="CH20" s="170"/>
      <c r="CI20" s="182" cm="1">
        <f t="array" ref="CI2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J20" s="182" cm="1">
        <f t="array" ref="CJ2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K20" s="182" cm="1">
        <f t="array" ref="CK2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L20" s="182" cm="1">
        <f t="array" ref="CL2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M20" s="183" cm="1">
        <f t="array" ref="CM2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CN20" s="181">
        <f>COUNTIFS(
    estq[empresa], CN$6,
    estq[Data da venda / reserva], "&gt;=" &amp; $A20,
    estq[Data da venda / reserva], "&lt;"  &amp; EOMONTH($A20,0) + 1
)</f>
        <v>0</v>
      </c>
      <c r="CO20" s="182">
        <f ca="1">SUMIFS(rec.uni[2022-06-01],
INDIRECT("rec.uni[natureza]"),"pro.soluto",
INDIRECT("rec.uni[empresa]"),CO$6)</f>
        <v>0</v>
      </c>
      <c r="CP20" s="182">
        <f ca="1">SUMIFS(rec.uni[2022-06-01],
INDIRECT("rec.uni[natureza]"),"repasse.cef.obra",
INDIRECT("rec.uni[empresa]"),CP$6)</f>
        <v>0</v>
      </c>
      <c r="CQ20" s="182">
        <f ca="1">SUMIFS(rec.uni[2022-06-01],
INDIRECT("rec.uni[natureza]"),"repasse.cef.terreno",
INDIRECT("rec.uni[empresa]"),CQ$6)</f>
        <v>0</v>
      </c>
      <c r="CR20" s="182">
        <v>0</v>
      </c>
      <c r="CS20" s="182">
        <f ca="1">SUMIFS(rec.uni[2022-06-01],
INDIRECT("rec.uni[natureza]"),"taxa.extra",
INDIRECT("rec.uni[empresa]"),CS$6)</f>
        <v>0</v>
      </c>
      <c r="CT20" s="170"/>
      <c r="CU20" s="182" cm="1">
        <f t="array" ref="CU2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V20" s="182" cm="1">
        <f t="array" ref="CV2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W20" s="182" cm="1">
        <f t="array" ref="CW2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X20" s="182" cm="1">
        <f t="array" ref="CX2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Y20" s="184" cm="1">
        <f t="array" ref="CY2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</row>
    <row r="21" spans="1:103" x14ac:dyDescent="0.25">
      <c r="A21" s="180">
        <v>44743</v>
      </c>
      <c r="B21" s="181">
        <f>COUNTIFS(
    estq[empresa], B$6,
    estq[Data da venda / reserva], "&gt;=" &amp; $A21,
    estq[Data da venda / reserva], "&lt;"  &amp; EOMONTH($A21,0) + 1
)</f>
        <v>0</v>
      </c>
      <c r="C21" s="182">
        <f ca="1">SUMIFS(rec.uni[2022-07-01],
INDIRECT("rec.uni[natureza]"),"pro.soluto",
INDIRECT("rec.uni[empresa]"),C$6)</f>
        <v>0</v>
      </c>
      <c r="D21" s="182">
        <f ca="1">SUMIFS(rec.uni[2022-07-01],
INDIRECT("rec.uni[natureza]"),"repasse.cef.obra",
INDIRECT("rec.uni[empresa]"),D$6)</f>
        <v>0</v>
      </c>
      <c r="E21" s="182">
        <f ca="1">SUMIFS(rec.uni[2022-07-01],
INDIRECT("rec.uni[natureza]"),"repasse.cef.terreno",
INDIRECT("rec.uni[empresa]"),E$6)</f>
        <v>0</v>
      </c>
      <c r="F21" s="182">
        <v>0</v>
      </c>
      <c r="G21" s="182">
        <f ca="1">SUMIFS(rec.uni[2022-07-01],
INDIRECT("rec.uni[natureza]"),"taxa.extra",
INDIRECT("rec.uni[empresa]"),G$6)</f>
        <v>0</v>
      </c>
      <c r="H21" s="170"/>
      <c r="I21" s="182" cm="1">
        <f t="array" ref="I2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J21" s="182" cm="1">
        <f t="array" ref="J2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K21" s="182" cm="1">
        <f t="array" ref="K2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L21" s="182" cm="1">
        <f t="array" ref="L2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M21" s="183" cm="1">
        <f t="array" ref="M2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N21" s="181">
        <f>COUNTIFS(
    estq[empresa], N$6,
    estq[Data da venda / reserva], "&gt;=" &amp; $A21,
    estq[Data da venda / reserva], "&lt;"  &amp; EOMONTH($A21,0) + 1
)</f>
        <v>0</v>
      </c>
      <c r="O21" s="182">
        <f ca="1">SUMIFS(rec.uni[2022-07-01],
INDIRECT("rec.uni[natureza]"),"pro.soluto",
INDIRECT("rec.uni[empresa]"),O$6)</f>
        <v>0</v>
      </c>
      <c r="P21" s="182">
        <f ca="1">SUMIFS(rec.uni[2022-07-01],
INDIRECT("rec.uni[natureza]"),"repasse.cef.obra",
INDIRECT("rec.uni[empresa]"),P$6)</f>
        <v>0</v>
      </c>
      <c r="Q21" s="182">
        <f ca="1">SUMIFS(rec.uni[2022-07-01],
INDIRECT("rec.uni[natureza]"),"repasse.cef.terreno",
INDIRECT("rec.uni[empresa]"),Q$6)</f>
        <v>0</v>
      </c>
      <c r="R21" s="182">
        <v>0</v>
      </c>
      <c r="S21" s="182">
        <f ca="1">SUMIFS(rec.uni[2022-07-01],
INDIRECT("rec.uni[natureza]"),"taxa.extra",
INDIRECT("rec.uni[empresa]"),S$6)</f>
        <v>0</v>
      </c>
      <c r="T21" s="170"/>
      <c r="U21" s="182" cm="1">
        <f t="array" ref="U2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V21" s="182" cm="1">
        <f t="array" ref="V2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W21" s="182" cm="1">
        <f t="array" ref="W2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X21" s="182" cm="1">
        <f t="array" ref="X2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Y21" s="183" cm="1">
        <f t="array" ref="Y2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Z21" s="181">
        <f>COUNTIFS(
    estq[empresa], Z$6,
    estq[Data da venda / reserva], "&gt;=" &amp; $A21,
    estq[Data da venda / reserva], "&lt;"  &amp; EOMONTH($A21,0) + 1
)</f>
        <v>0</v>
      </c>
      <c r="AA21" s="182">
        <f ca="1">SUMIFS(rec.uni[2022-07-01],
INDIRECT("rec.uni[natureza]"),"pro.soluto",
INDIRECT("rec.uni[empresa]"),AA$6)</f>
        <v>0</v>
      </c>
      <c r="AB21" s="182">
        <f ca="1">SUMIFS(rec.uni[2022-07-01],
INDIRECT("rec.uni[natureza]"),"pro.soluto",
INDIRECT("rec.uni[empresa]"),AB$6)</f>
        <v>0</v>
      </c>
      <c r="AC21" s="182">
        <f ca="1">SUMIFS(rec.uni[2022-07-01],
INDIRECT("rec.uni[natureza]"),"taxa.extra",
INDIRECT("rec.uni[empresa]"),AC$6)</f>
        <v>0</v>
      </c>
      <c r="AD21" s="170"/>
      <c r="AE21" s="182" cm="1">
        <f t="array" ref="AE2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F21" s="182" cm="1">
        <f t="array" ref="AF2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G21" s="182" cm="1">
        <f t="array" ref="AG2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H21" s="182" cm="1">
        <f t="array" ref="AH2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I21" s="183" cm="1">
        <f t="array" ref="AI2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(desp[data.pagamento]&gt;=$A21)*
    (desp[data.pagamento]&lt;EOMONTH($A21,0)+1)
  )
)</f>
        <v>0</v>
      </c>
      <c r="AJ21" s="181">
        <f>COUNTIFS(
    estq[empresa], AJ$6,
    estq[Data da venda / reserva], "&gt;=" &amp; $A21,
    estq[Data da venda / reserva], "&lt;"  &amp; EOMONTH($A21,0) + 1
)</f>
        <v>0</v>
      </c>
      <c r="AK21" s="182">
        <f ca="1">SUMIFS(rec.uni[2022-07-01],
INDIRECT("rec.uni[natureza]"),"pro.soluto",
INDIRECT("rec.uni[empresa]"),AK$6)</f>
        <v>0</v>
      </c>
      <c r="AL21" s="182">
        <f ca="1">SUMIFS(rec.uni[2022-07-01],
INDIRECT("rec.uni[natureza]"),"repasse.cef.obra",
INDIRECT("rec.uni[empresa]"),AL$6)</f>
        <v>0</v>
      </c>
      <c r="AM21" s="182">
        <f ca="1">SUMIFS(rec.uni[2022-07-01],
INDIRECT("rec.uni[natureza]"),"repasse.cef.terreno",
INDIRECT("rec.uni[empresa]"),AM$6)</f>
        <v>0</v>
      </c>
      <c r="AN21" s="182">
        <v>0</v>
      </c>
      <c r="AO21" s="182">
        <f ca="1">SUMIFS(rec.uni[2022-07-01],
INDIRECT("rec.uni[natureza]"),"taxa.extra",
INDIRECT("rec.uni[empresa]"),AO$6)</f>
        <v>0</v>
      </c>
      <c r="AP21" s="170"/>
      <c r="AQ21" s="182" cm="1">
        <f t="array" ref="AQ2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R21" s="182" cm="1">
        <f t="array" ref="AR2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S21" s="182" cm="1">
        <f t="array" ref="AS2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T21" s="182" cm="1">
        <f t="array" ref="AT2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U21" s="183" cm="1">
        <f t="array" ref="AU2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V21" s="181">
        <f>COUNTIFS(
    estq[empresa], AV$6,
    estq[Data da venda / reserva], "&gt;=" &amp; $A21,
    estq[Data da venda / reserva], "&lt;"  &amp; EOMONTH($A21,0) + 1
)</f>
        <v>0</v>
      </c>
      <c r="AW21" s="182">
        <f ca="1">SUMIFS(rec.uni[2022-07-01],
INDIRECT("rec.uni[natureza]"),"pro.soluto",
INDIRECT("rec.uni[empresa]"),AW$6)</f>
        <v>0</v>
      </c>
      <c r="AX21" s="182">
        <f ca="1">SUMIFS(rec.uni[2022-07-01],
INDIRECT("rec.uni[natureza]"),"repasse.cef.obra",
INDIRECT("rec.uni[empresa]"),AX$6)</f>
        <v>0</v>
      </c>
      <c r="AY21" s="182">
        <f ca="1">SUMIFS(rec.uni[2022-07-01],
INDIRECT("rec.uni[natureza]"),"repasse.cef.terreno",
INDIRECT("rec.uni[empresa]"),AY$6)</f>
        <v>0</v>
      </c>
      <c r="AZ21" s="182">
        <v>0</v>
      </c>
      <c r="BA21" s="182">
        <f ca="1">SUMIFS(rec.uni[2022-07-01],
INDIRECT("rec.uni[natureza]"),"taxa.extra",
INDIRECT("rec.uni[empresa]"),BA$6)</f>
        <v>0</v>
      </c>
      <c r="BB21" s="170"/>
      <c r="BC21" s="182" cm="1">
        <f t="array" ref="BC2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D21" s="182" cm="1">
        <f t="array" ref="BD2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E21" s="182" cm="1">
        <f t="array" ref="BE2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F21" s="182" cm="1">
        <f t="array" ref="BF2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G21" s="183" cm="1">
        <f t="array" ref="BG2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BH21" s="181">
        <f>COUNTIFS(
    estq[empresa], BH$6,
    estq[Data da venda / reserva], "&gt;=" &amp; $A21,
    estq[Data da venda / reserva], "&lt;"  &amp; EOMONTH($A21,0) + 1
)</f>
        <v>0</v>
      </c>
      <c r="BI21" s="182">
        <f ca="1">SUMIFS(rec.uni[2022-07-01],
INDIRECT("rec.uni[natureza]"),"pro.soluto",
INDIRECT("rec.uni[empresa]"),BI$6)</f>
        <v>0</v>
      </c>
      <c r="BJ21" s="170">
        <v>0</v>
      </c>
      <c r="BK21" s="182">
        <f ca="1">SUMIFS(rec.uni[2022-07-01],
INDIRECT("rec.uni[natureza]"),"taxa.extra",
INDIRECT("rec.uni[empresa]"),BK$6)</f>
        <v>0</v>
      </c>
      <c r="BL21" s="170"/>
      <c r="BM21" s="182" cm="1">
        <f t="array" ref="BM2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N21" s="182" cm="1">
        <f t="array" ref="BN2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O21" s="182" cm="1">
        <f t="array" ref="BO2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P21" s="182" cm="1">
        <f t="array" ref="BP2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Q21" s="183" cm="1">
        <f t="array" ref="BQ2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R21" s="181">
        <f>COUNTIFS(
    estq[empresa], BR$6,
    estq[Data da venda / reserva], "&gt;=" &amp; $A21,
    estq[Data da venda / reserva], "&lt;"  &amp; EOMONTH($A21,0) + 1
)</f>
        <v>0</v>
      </c>
      <c r="BS21" s="182">
        <f ca="1">SUMIFS(rec.uni[2022-07-01],
INDIRECT("rec.uni[natureza]"),"pro.soluto",
INDIRECT("rec.uni[empresa]"),BS$6)</f>
        <v>0</v>
      </c>
      <c r="BT21" s="182">
        <f ca="1">SUMIFS(rec.uni[2022-07-01],
INDIRECT("rec.uni[natureza]"),"pro.soluto",
INDIRECT("rec.uni[empresa]"),BT$6)</f>
        <v>0</v>
      </c>
      <c r="BU21" s="182">
        <f ca="1">SUMIFS(rec.uni[2022-07-01],
INDIRECT("rec.uni[natureza]"),"taxa.extra",
INDIRECT("rec.uni[empresa]"),BU$6)</f>
        <v>0</v>
      </c>
      <c r="BV21" s="170"/>
      <c r="BW21" s="182" cm="1">
        <f t="array" ref="BW2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BX21" s="182" cm="1">
        <f t="array" ref="BX2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BY21" s="182" cm="1">
        <f t="array" ref="BY2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BZ21" s="182" cm="1">
        <f t="array" ref="BZ2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CA21" s="183" cm="1">
        <f t="array" ref="CA2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(desp[data.pagamento]&gt;=$A21)*
    (desp[data.pagamento]&lt;EOMONTH($A21,0)+1)
  )
)</f>
        <v>0</v>
      </c>
      <c r="CB21" s="181">
        <f>COUNTIFS(
    estq[empresa], CB$6,
    estq[Data da venda / reserva], "&gt;=" &amp; $A21,
    estq[Data da venda / reserva], "&lt;"  &amp; EOMONTH($A21,0) + 1
)</f>
        <v>0</v>
      </c>
      <c r="CC21" s="182">
        <f ca="1">SUMIFS(rec.uni[2022-07-01],
INDIRECT("rec.uni[natureza]"),"pro.soluto",
INDIRECT("rec.uni[empresa]"),CC$6)</f>
        <v>0</v>
      </c>
      <c r="CD21" s="182">
        <f ca="1">SUMIFS(rec.uni[2022-07-01],
INDIRECT("rec.uni[natureza]"),"repasse.cef.obra",
INDIRECT("rec.uni[empresa]"),CD$6)</f>
        <v>0</v>
      </c>
      <c r="CE21" s="182">
        <f ca="1">SUMIFS(rec.uni[2022-07-01],
INDIRECT("rec.uni[natureza]"),"repasse.cef.terreno",
INDIRECT("rec.uni[empresa]"),CE$6)</f>
        <v>0</v>
      </c>
      <c r="CF21" s="182">
        <v>0</v>
      </c>
      <c r="CG21" s="182">
        <f ca="1">SUMIFS(rec.uni[2022-07-01],
INDIRECT("rec.uni[natureza]"),"taxa.extra",
INDIRECT("rec.uni[empresa]"),CG$6)</f>
        <v>0</v>
      </c>
      <c r="CH21" s="170"/>
      <c r="CI21" s="182" cm="1">
        <f t="array" ref="CI2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J21" s="182" cm="1">
        <f t="array" ref="CJ2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K21" s="182" cm="1">
        <f t="array" ref="CK2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L21" s="182" cm="1">
        <f t="array" ref="CL2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M21" s="183" cm="1">
        <f t="array" ref="CM2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CN21" s="181">
        <f>COUNTIFS(
    estq[empresa], CN$6,
    estq[Data da venda / reserva], "&gt;=" &amp; $A21,
    estq[Data da venda / reserva], "&lt;"  &amp; EOMONTH($A21,0) + 1
)</f>
        <v>0</v>
      </c>
      <c r="CO21" s="182">
        <f ca="1">SUMIFS(rec.uni[2022-07-01],
INDIRECT("rec.uni[natureza]"),"pro.soluto",
INDIRECT("rec.uni[empresa]"),CO$6)</f>
        <v>0</v>
      </c>
      <c r="CP21" s="182">
        <f ca="1">SUMIFS(rec.uni[2022-07-01],
INDIRECT("rec.uni[natureza]"),"repasse.cef.obra",
INDIRECT("rec.uni[empresa]"),CP$6)</f>
        <v>0</v>
      </c>
      <c r="CQ21" s="182">
        <f ca="1">SUMIFS(rec.uni[2022-07-01],
INDIRECT("rec.uni[natureza]"),"repasse.cef.terreno",
INDIRECT("rec.uni[empresa]"),CQ$6)</f>
        <v>0</v>
      </c>
      <c r="CR21" s="182">
        <v>0</v>
      </c>
      <c r="CS21" s="182">
        <f ca="1">SUMIFS(rec.uni[2022-07-01],
INDIRECT("rec.uni[natureza]"),"taxa.extra",
INDIRECT("rec.uni[empresa]"),CS$6)</f>
        <v>0</v>
      </c>
      <c r="CT21" s="170"/>
      <c r="CU21" s="182" cm="1">
        <f t="array" ref="CU2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V21" s="182" cm="1">
        <f t="array" ref="CV2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W21" s="182" cm="1">
        <f t="array" ref="CW2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X21" s="182" cm="1">
        <f t="array" ref="CX2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Y21" s="184" cm="1">
        <f t="array" ref="CY2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</row>
    <row r="22" spans="1:103" x14ac:dyDescent="0.25">
      <c r="A22" s="180">
        <v>44774</v>
      </c>
      <c r="B22" s="181">
        <f>COUNTIFS(
    estq[empresa], B$6,
    estq[Data da venda / reserva], "&gt;=" &amp; $A22,
    estq[Data da venda / reserva], "&lt;"  &amp; EOMONTH($A22,0) + 1
)</f>
        <v>0</v>
      </c>
      <c r="C22" s="182">
        <f ca="1">SUMIFS(rec.uni[2022-08-01],
INDIRECT("rec.uni[natureza]"),"pro.soluto",
INDIRECT("rec.uni[empresa]"),C$6)</f>
        <v>0</v>
      </c>
      <c r="D22" s="182">
        <f ca="1">SUMIFS(rec.uni[2022-08-01],
INDIRECT("rec.uni[natureza]"),"repasse.cef.obra",
INDIRECT("rec.uni[empresa]"),D$6)</f>
        <v>0</v>
      </c>
      <c r="E22" s="182">
        <f ca="1">SUMIFS(rec.uni[2022-08-01],
INDIRECT("rec.uni[natureza]"),"repasse.cef.terreno",
INDIRECT("rec.uni[empresa]"),E$6)</f>
        <v>0</v>
      </c>
      <c r="F22" s="182">
        <v>0</v>
      </c>
      <c r="G22" s="182">
        <f ca="1">SUMIFS(rec.uni[2022-08-01],
INDIRECT("rec.uni[natureza]"),"taxa.extra",
INDIRECT("rec.uni[empresa]"),G$6)</f>
        <v>0</v>
      </c>
      <c r="H22" s="170"/>
      <c r="I22" s="182" cm="1">
        <f t="array" ref="I2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J22" s="182" cm="1">
        <f t="array" ref="J2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K22" s="182" cm="1">
        <f t="array" ref="K2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L22" s="182" cm="1">
        <f t="array" ref="L2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M22" s="183" cm="1">
        <f t="array" ref="M2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N22" s="181">
        <f>COUNTIFS(
    estq[empresa], N$6,
    estq[Data da venda / reserva], "&gt;=" &amp; $A22,
    estq[Data da venda / reserva], "&lt;"  &amp; EOMONTH($A22,0) + 1
)</f>
        <v>0</v>
      </c>
      <c r="O22" s="182">
        <f ca="1">SUMIFS(rec.uni[2022-08-01],
INDIRECT("rec.uni[natureza]"),"pro.soluto",
INDIRECT("rec.uni[empresa]"),O$6)</f>
        <v>0</v>
      </c>
      <c r="P22" s="182">
        <f ca="1">SUMIFS(rec.uni[2022-08-01],
INDIRECT("rec.uni[natureza]"),"repasse.cef.obra",
INDIRECT("rec.uni[empresa]"),P$6)</f>
        <v>0</v>
      </c>
      <c r="Q22" s="182">
        <f ca="1">SUMIFS(rec.uni[2022-08-01],
INDIRECT("rec.uni[natureza]"),"repasse.cef.terreno",
INDIRECT("rec.uni[empresa]"),Q$6)</f>
        <v>0</v>
      </c>
      <c r="R22" s="182">
        <v>0</v>
      </c>
      <c r="S22" s="182">
        <f ca="1">SUMIFS(rec.uni[2022-08-01],
INDIRECT("rec.uni[natureza]"),"taxa.extra",
INDIRECT("rec.uni[empresa]"),S$6)</f>
        <v>0</v>
      </c>
      <c r="T22" s="170"/>
      <c r="U22" s="182" cm="1">
        <f t="array" ref="U2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V22" s="182" cm="1">
        <f t="array" ref="V2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W22" s="182" cm="1">
        <f t="array" ref="W2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X22" s="182" cm="1">
        <f t="array" ref="X2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Y22" s="183" cm="1">
        <f t="array" ref="Y2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Z22" s="181">
        <f>COUNTIFS(
    estq[empresa], Z$6,
    estq[Data da venda / reserva], "&gt;=" &amp; $A22,
    estq[Data da venda / reserva], "&lt;"  &amp; EOMONTH($A22,0) + 1
)</f>
        <v>0</v>
      </c>
      <c r="AA22" s="182">
        <f ca="1">SUMIFS(rec.uni[2022-08-01],
INDIRECT("rec.uni[natureza]"),"pro.soluto",
INDIRECT("rec.uni[empresa]"),AA$6)</f>
        <v>0</v>
      </c>
      <c r="AB22" s="182">
        <f ca="1">SUMIFS(rec.uni[2022-08-01],
INDIRECT("rec.uni[natureza]"),"pro.soluto",
INDIRECT("rec.uni[empresa]"),AB$6)</f>
        <v>0</v>
      </c>
      <c r="AC22" s="182">
        <f ca="1">SUMIFS(rec.uni[2022-08-01],
INDIRECT("rec.uni[natureza]"),"taxa.extra",
INDIRECT("rec.uni[empresa]"),AC$6)</f>
        <v>0</v>
      </c>
      <c r="AD22" s="170"/>
      <c r="AE22" s="182" cm="1">
        <f t="array" ref="AE2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F22" s="182" cm="1">
        <f t="array" ref="AF2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G22" s="182" cm="1">
        <f t="array" ref="AG2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H22" s="182" cm="1">
        <f t="array" ref="AH2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I22" s="183" cm="1">
        <f t="array" ref="AI2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(desp[data.pagamento]&gt;=$A22)*
    (desp[data.pagamento]&lt;EOMONTH($A22,0)+1)
  )
)</f>
        <v>0</v>
      </c>
      <c r="AJ22" s="181">
        <f>COUNTIFS(
    estq[empresa], AJ$6,
    estq[Data da venda / reserva], "&gt;=" &amp; $A22,
    estq[Data da venda / reserva], "&lt;"  &amp; EOMONTH($A22,0) + 1
)</f>
        <v>0</v>
      </c>
      <c r="AK22" s="182">
        <f ca="1">SUMIFS(rec.uni[2022-08-01],
INDIRECT("rec.uni[natureza]"),"pro.soluto",
INDIRECT("rec.uni[empresa]"),AK$6)</f>
        <v>0</v>
      </c>
      <c r="AL22" s="182">
        <f ca="1">SUMIFS(rec.uni[2022-08-01],
INDIRECT("rec.uni[natureza]"),"repasse.cef.obra",
INDIRECT("rec.uni[empresa]"),AL$6)</f>
        <v>0</v>
      </c>
      <c r="AM22" s="182">
        <f ca="1">SUMIFS(rec.uni[2022-08-01],
INDIRECT("rec.uni[natureza]"),"repasse.cef.terreno",
INDIRECT("rec.uni[empresa]"),AM$6)</f>
        <v>0</v>
      </c>
      <c r="AN22" s="182">
        <v>0</v>
      </c>
      <c r="AO22" s="182">
        <f ca="1">SUMIFS(rec.uni[2022-08-01],
INDIRECT("rec.uni[natureza]"),"taxa.extra",
INDIRECT("rec.uni[empresa]"),AO$6)</f>
        <v>0</v>
      </c>
      <c r="AP22" s="170"/>
      <c r="AQ22" s="182" cm="1">
        <f t="array" ref="AQ2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R22" s="182" cm="1">
        <f t="array" ref="AR2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S22" s="182" cm="1">
        <f t="array" ref="AS2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T22" s="182" cm="1">
        <f t="array" ref="AT2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U22" s="183" cm="1">
        <f t="array" ref="AU2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V22" s="181">
        <f>COUNTIFS(
    estq[empresa], AV$6,
    estq[Data da venda / reserva], "&gt;=" &amp; $A22,
    estq[Data da venda / reserva], "&lt;"  &amp; EOMONTH($A22,0) + 1
)</f>
        <v>0</v>
      </c>
      <c r="AW22" s="182">
        <f ca="1">SUMIFS(rec.uni[2022-08-01],
INDIRECT("rec.uni[natureza]"),"pro.soluto",
INDIRECT("rec.uni[empresa]"),AW$6)</f>
        <v>0</v>
      </c>
      <c r="AX22" s="182">
        <f ca="1">SUMIFS(rec.uni[2022-08-01],
INDIRECT("rec.uni[natureza]"),"repasse.cef.obra",
INDIRECT("rec.uni[empresa]"),AX$6)</f>
        <v>0</v>
      </c>
      <c r="AY22" s="182">
        <f ca="1">SUMIFS(rec.uni[2022-08-01],
INDIRECT("rec.uni[natureza]"),"repasse.cef.terreno",
INDIRECT("rec.uni[empresa]"),AY$6)</f>
        <v>0</v>
      </c>
      <c r="AZ22" s="182">
        <v>0</v>
      </c>
      <c r="BA22" s="182">
        <f ca="1">SUMIFS(rec.uni[2022-08-01],
INDIRECT("rec.uni[natureza]"),"taxa.extra",
INDIRECT("rec.uni[empresa]"),BA$6)</f>
        <v>0</v>
      </c>
      <c r="BB22" s="170"/>
      <c r="BC22" s="182" cm="1">
        <f t="array" ref="BC2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D22" s="182" cm="1">
        <f t="array" ref="BD2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E22" s="182" cm="1">
        <f t="array" ref="BE2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F22" s="182" cm="1">
        <f t="array" ref="BF2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G22" s="183" cm="1">
        <f t="array" ref="BG2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BH22" s="181">
        <f>COUNTIFS(
    estq[empresa], BH$6,
    estq[Data da venda / reserva], "&gt;=" &amp; $A22,
    estq[Data da venda / reserva], "&lt;"  &amp; EOMONTH($A22,0) + 1
)</f>
        <v>0</v>
      </c>
      <c r="BI22" s="182">
        <f ca="1">SUMIFS(rec.uni[2022-08-01],
INDIRECT("rec.uni[natureza]"),"pro.soluto",
INDIRECT("rec.uni[empresa]"),BI$6)</f>
        <v>0</v>
      </c>
      <c r="BJ22" s="170">
        <v>0</v>
      </c>
      <c r="BK22" s="182">
        <f ca="1">SUMIFS(rec.uni[2022-08-01],
INDIRECT("rec.uni[natureza]"),"taxa.extra",
INDIRECT("rec.uni[empresa]"),BK$6)</f>
        <v>0</v>
      </c>
      <c r="BL22" s="170"/>
      <c r="BM22" s="182" cm="1">
        <f t="array" ref="BM2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N22" s="182" cm="1">
        <f t="array" ref="BN2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O22" s="182" cm="1">
        <f t="array" ref="BO2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P22" s="182" cm="1">
        <f t="array" ref="BP2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Q22" s="183" cm="1">
        <f t="array" ref="BQ2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R22" s="181">
        <f>COUNTIFS(
    estq[empresa], BR$6,
    estq[Data da venda / reserva], "&gt;=" &amp; $A22,
    estq[Data da venda / reserva], "&lt;"  &amp; EOMONTH($A22,0) + 1
)</f>
        <v>0</v>
      </c>
      <c r="BS22" s="182">
        <f ca="1">SUMIFS(rec.uni[2022-08-01],
INDIRECT("rec.uni[natureza]"),"pro.soluto",
INDIRECT("rec.uni[empresa]"),BS$6)</f>
        <v>0</v>
      </c>
      <c r="BT22" s="182">
        <f ca="1">SUMIFS(rec.uni[2022-08-01],
INDIRECT("rec.uni[natureza]"),"pro.soluto",
INDIRECT("rec.uni[empresa]"),BT$6)</f>
        <v>0</v>
      </c>
      <c r="BU22" s="182">
        <f ca="1">SUMIFS(rec.uni[2022-08-01],
INDIRECT("rec.uni[natureza]"),"taxa.extra",
INDIRECT("rec.uni[empresa]"),BU$6)</f>
        <v>0</v>
      </c>
      <c r="BV22" s="170"/>
      <c r="BW22" s="182" cm="1">
        <f t="array" ref="BW2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BX22" s="182" cm="1">
        <f t="array" ref="BX2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BY22" s="182" cm="1">
        <f t="array" ref="BY2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BZ22" s="182" cm="1">
        <f t="array" ref="BZ2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CA22" s="183" cm="1">
        <f t="array" ref="CA2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(desp[data.pagamento]&gt;=$A22)*
    (desp[data.pagamento]&lt;EOMONTH($A22,0)+1)
  )
)</f>
        <v>0</v>
      </c>
      <c r="CB22" s="181">
        <f>COUNTIFS(
    estq[empresa], CB$6,
    estq[Data da venda / reserva], "&gt;=" &amp; $A22,
    estq[Data da venda / reserva], "&lt;"  &amp; EOMONTH($A22,0) + 1
)</f>
        <v>0</v>
      </c>
      <c r="CC22" s="182">
        <f ca="1">SUMIFS(rec.uni[2022-08-01],
INDIRECT("rec.uni[natureza]"),"pro.soluto",
INDIRECT("rec.uni[empresa]"),CC$6)</f>
        <v>0</v>
      </c>
      <c r="CD22" s="182">
        <f ca="1">SUMIFS(rec.uni[2022-08-01],
INDIRECT("rec.uni[natureza]"),"repasse.cef.obra",
INDIRECT("rec.uni[empresa]"),CD$6)</f>
        <v>0</v>
      </c>
      <c r="CE22" s="182">
        <f ca="1">SUMIFS(rec.uni[2022-08-01],
INDIRECT("rec.uni[natureza]"),"repasse.cef.terreno",
INDIRECT("rec.uni[empresa]"),CE$6)</f>
        <v>0</v>
      </c>
      <c r="CF22" s="182">
        <v>0</v>
      </c>
      <c r="CG22" s="182">
        <f ca="1">SUMIFS(rec.uni[2022-08-01],
INDIRECT("rec.uni[natureza]"),"taxa.extra",
INDIRECT("rec.uni[empresa]"),CG$6)</f>
        <v>0</v>
      </c>
      <c r="CH22" s="170"/>
      <c r="CI22" s="182" cm="1">
        <f t="array" ref="CI2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J22" s="182" cm="1">
        <f t="array" ref="CJ2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K22" s="182" cm="1">
        <f t="array" ref="CK2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L22" s="182" cm="1">
        <f t="array" ref="CL2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M22" s="183" cm="1">
        <f t="array" ref="CM2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CN22" s="181">
        <f>COUNTIFS(
    estq[empresa], CN$6,
    estq[Data da venda / reserva], "&gt;=" &amp; $A22,
    estq[Data da venda / reserva], "&lt;"  &amp; EOMONTH($A22,0) + 1
)</f>
        <v>0</v>
      </c>
      <c r="CO22" s="182">
        <f ca="1">SUMIFS(rec.uni[2022-08-01],
INDIRECT("rec.uni[natureza]"),"pro.soluto",
INDIRECT("rec.uni[empresa]"),CO$6)</f>
        <v>0</v>
      </c>
      <c r="CP22" s="182">
        <f ca="1">SUMIFS(rec.uni[2022-08-01],
INDIRECT("rec.uni[natureza]"),"repasse.cef.obra",
INDIRECT("rec.uni[empresa]"),CP$6)</f>
        <v>0</v>
      </c>
      <c r="CQ22" s="182">
        <f ca="1">SUMIFS(rec.uni[2022-08-01],
INDIRECT("rec.uni[natureza]"),"repasse.cef.terreno",
INDIRECT("rec.uni[empresa]"),CQ$6)</f>
        <v>0</v>
      </c>
      <c r="CR22" s="182">
        <v>0</v>
      </c>
      <c r="CS22" s="182">
        <f ca="1">SUMIFS(rec.uni[2022-08-01],
INDIRECT("rec.uni[natureza]"),"taxa.extra",
INDIRECT("rec.uni[empresa]"),CS$6)</f>
        <v>0</v>
      </c>
      <c r="CT22" s="170"/>
      <c r="CU22" s="182" cm="1">
        <f t="array" ref="CU2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V22" s="182" cm="1">
        <f t="array" ref="CV2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W22" s="182" cm="1">
        <f t="array" ref="CW2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X22" s="182" cm="1">
        <f t="array" ref="CX2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Y22" s="184" cm="1">
        <f t="array" ref="CY2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</row>
    <row r="23" spans="1:103" x14ac:dyDescent="0.25">
      <c r="A23" s="180">
        <v>44805</v>
      </c>
      <c r="B23" s="181">
        <f>COUNTIFS(
    estq[empresa], B$6,
    estq[Data da venda / reserva], "&gt;=" &amp; $A23,
    estq[Data da venda / reserva], "&lt;"  &amp; EOMONTH($A23,0) + 1
)</f>
        <v>0</v>
      </c>
      <c r="C23" s="182">
        <f ca="1">SUMIFS(rec.uni[2022-09-01],
INDIRECT("rec.uni[natureza]"),"pro.soluto",
INDIRECT("rec.uni[empresa]"),C$6)</f>
        <v>0</v>
      </c>
      <c r="D23" s="182">
        <f ca="1">SUMIFS(rec.uni[2022-09-01],
INDIRECT("rec.uni[natureza]"),"repasse.cef.obra",
INDIRECT("rec.uni[empresa]"),D$6)</f>
        <v>0</v>
      </c>
      <c r="E23" s="182">
        <f ca="1">SUMIFS(rec.uni[2022-09-01],
INDIRECT("rec.uni[natureza]"),"repasse.cef.terreno",
INDIRECT("rec.uni[empresa]"),E$6)</f>
        <v>0</v>
      </c>
      <c r="F23" s="182">
        <v>0</v>
      </c>
      <c r="G23" s="182">
        <f ca="1">SUMIFS(rec.uni[2022-09-01],
INDIRECT("rec.uni[natureza]"),"taxa.extra",
INDIRECT("rec.uni[empresa]"),G$6)</f>
        <v>0</v>
      </c>
      <c r="H23" s="170"/>
      <c r="I23" s="182" cm="1">
        <f t="array" ref="I2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J23" s="182" cm="1">
        <f t="array" ref="J2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K23" s="182" cm="1">
        <f t="array" ref="K2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L23" s="182" cm="1">
        <f t="array" ref="L2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M23" s="183" cm="1">
        <f t="array" ref="M2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N23" s="181">
        <f>COUNTIFS(
    estq[empresa], N$6,
    estq[Data da venda / reserva], "&gt;=" &amp; $A23,
    estq[Data da venda / reserva], "&lt;"  &amp; EOMONTH($A23,0) + 1
)</f>
        <v>0</v>
      </c>
      <c r="O23" s="182">
        <f ca="1">SUMIFS(rec.uni[2022-09-01],
INDIRECT("rec.uni[natureza]"),"pro.soluto",
INDIRECT("rec.uni[empresa]"),O$6)</f>
        <v>0</v>
      </c>
      <c r="P23" s="182">
        <f ca="1">SUMIFS(rec.uni[2022-09-01],
INDIRECT("rec.uni[natureza]"),"repasse.cef.obra",
INDIRECT("rec.uni[empresa]"),P$6)</f>
        <v>0</v>
      </c>
      <c r="Q23" s="182">
        <f ca="1">SUMIFS(rec.uni[2022-09-01],
INDIRECT("rec.uni[natureza]"),"repasse.cef.terreno",
INDIRECT("rec.uni[empresa]"),Q$6)</f>
        <v>0</v>
      </c>
      <c r="R23" s="182">
        <v>0</v>
      </c>
      <c r="S23" s="182">
        <f ca="1">SUMIFS(rec.uni[2022-09-01],
INDIRECT("rec.uni[natureza]"),"taxa.extra",
INDIRECT("rec.uni[empresa]"),S$6)</f>
        <v>0</v>
      </c>
      <c r="T23" s="170"/>
      <c r="U23" s="182" cm="1">
        <f t="array" ref="U2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V23" s="182" cm="1">
        <f t="array" ref="V2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W23" s="182" cm="1">
        <f t="array" ref="W2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X23" s="182" cm="1">
        <f t="array" ref="X2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Y23" s="183" cm="1">
        <f t="array" ref="Y2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Z23" s="181">
        <f>COUNTIFS(
    estq[empresa], Z$6,
    estq[Data da venda / reserva], "&gt;=" &amp; $A23,
    estq[Data da venda / reserva], "&lt;"  &amp; EOMONTH($A23,0) + 1
)</f>
        <v>0</v>
      </c>
      <c r="AA23" s="182">
        <f ca="1">SUMIFS(rec.uni[2022-09-01],
INDIRECT("rec.uni[natureza]"),"pro.soluto",
INDIRECT("rec.uni[empresa]"),AA$6)</f>
        <v>0</v>
      </c>
      <c r="AB23" s="182">
        <f ca="1">SUMIFS(rec.uni[2022-09-01],
INDIRECT("rec.uni[natureza]"),"pro.soluto",
INDIRECT("rec.uni[empresa]"),AB$6)</f>
        <v>0</v>
      </c>
      <c r="AC23" s="182">
        <f ca="1">SUMIFS(rec.uni[2022-09-01],
INDIRECT("rec.uni[natureza]"),"taxa.extra",
INDIRECT("rec.uni[empresa]"),AC$6)</f>
        <v>0</v>
      </c>
      <c r="AD23" s="170"/>
      <c r="AE23" s="182" cm="1">
        <f t="array" ref="AE2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F23" s="182" cm="1">
        <f t="array" ref="AF2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G23" s="182" cm="1">
        <f t="array" ref="AG2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H23" s="182" cm="1">
        <f t="array" ref="AH2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I23" s="183" cm="1">
        <f t="array" ref="AI2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(desp[data.pagamento]&gt;=$A23)*
    (desp[data.pagamento]&lt;EOMONTH($A23,0)+1)
  )
)</f>
        <v>0</v>
      </c>
      <c r="AJ23" s="181">
        <f>COUNTIFS(
    estq[empresa], AJ$6,
    estq[Data da venda / reserva], "&gt;=" &amp; $A23,
    estq[Data da venda / reserva], "&lt;"  &amp; EOMONTH($A23,0) + 1
)</f>
        <v>0</v>
      </c>
      <c r="AK23" s="182">
        <f ca="1">SUMIFS(rec.uni[2022-09-01],
INDIRECT("rec.uni[natureza]"),"pro.soluto",
INDIRECT("rec.uni[empresa]"),AK$6)</f>
        <v>0</v>
      </c>
      <c r="AL23" s="182">
        <f ca="1">SUMIFS(rec.uni[2022-09-01],
INDIRECT("rec.uni[natureza]"),"repasse.cef.obra",
INDIRECT("rec.uni[empresa]"),AL$6)</f>
        <v>0</v>
      </c>
      <c r="AM23" s="182">
        <f ca="1">SUMIFS(rec.uni[2022-09-01],
INDIRECT("rec.uni[natureza]"),"repasse.cef.terreno",
INDIRECT("rec.uni[empresa]"),AM$6)</f>
        <v>0</v>
      </c>
      <c r="AN23" s="182">
        <v>0</v>
      </c>
      <c r="AO23" s="182">
        <f ca="1">SUMIFS(rec.uni[2022-09-01],
INDIRECT("rec.uni[natureza]"),"taxa.extra",
INDIRECT("rec.uni[empresa]"),AO$6)</f>
        <v>0</v>
      </c>
      <c r="AP23" s="170"/>
      <c r="AQ23" s="182" cm="1">
        <f t="array" ref="AQ2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R23" s="182" cm="1">
        <f t="array" ref="AR2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S23" s="182" cm="1">
        <f t="array" ref="AS2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T23" s="182" cm="1">
        <f t="array" ref="AT2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U23" s="183" cm="1">
        <f t="array" ref="AU2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V23" s="181">
        <f>COUNTIFS(
    estq[empresa], AV$6,
    estq[Data da venda / reserva], "&gt;=" &amp; $A23,
    estq[Data da venda / reserva], "&lt;"  &amp; EOMONTH($A23,0) + 1
)</f>
        <v>0</v>
      </c>
      <c r="AW23" s="182">
        <f ca="1">SUMIFS(rec.uni[2022-09-01],
INDIRECT("rec.uni[natureza]"),"pro.soluto",
INDIRECT("rec.uni[empresa]"),AW$6)</f>
        <v>0</v>
      </c>
      <c r="AX23" s="182">
        <f ca="1">SUMIFS(rec.uni[2022-09-01],
INDIRECT("rec.uni[natureza]"),"repasse.cef.obra",
INDIRECT("rec.uni[empresa]"),AX$6)</f>
        <v>0</v>
      </c>
      <c r="AY23" s="182">
        <f ca="1">SUMIFS(rec.uni[2022-09-01],
INDIRECT("rec.uni[natureza]"),"repasse.cef.terreno",
INDIRECT("rec.uni[empresa]"),AY$6)</f>
        <v>0</v>
      </c>
      <c r="AZ23" s="182">
        <v>0</v>
      </c>
      <c r="BA23" s="182">
        <f ca="1">SUMIFS(rec.uni[2022-09-01],
INDIRECT("rec.uni[natureza]"),"taxa.extra",
INDIRECT("rec.uni[empresa]"),BA$6)</f>
        <v>0</v>
      </c>
      <c r="BB23" s="170"/>
      <c r="BC23" s="182" cm="1">
        <f t="array" ref="BC2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D23" s="182" cm="1">
        <f t="array" ref="BD2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E23" s="182" cm="1">
        <f t="array" ref="BE2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F23" s="182" cm="1">
        <f t="array" ref="BF2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G23" s="183" cm="1">
        <f t="array" ref="BG2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BH23" s="181">
        <f>COUNTIFS(
    estq[empresa], BH$6,
    estq[Data da venda / reserva], "&gt;=" &amp; $A23,
    estq[Data da venda / reserva], "&lt;"  &amp; EOMONTH($A23,0) + 1
)</f>
        <v>0</v>
      </c>
      <c r="BI23" s="182">
        <f ca="1">SUMIFS(rec.uni[2022-09-01],
INDIRECT("rec.uni[natureza]"),"pro.soluto",
INDIRECT("rec.uni[empresa]"),BI$6)</f>
        <v>0</v>
      </c>
      <c r="BJ23" s="170">
        <v>0</v>
      </c>
      <c r="BK23" s="182">
        <f ca="1">SUMIFS(rec.uni[2022-09-01],
INDIRECT("rec.uni[natureza]"),"taxa.extra",
INDIRECT("rec.uni[empresa]"),BK$6)</f>
        <v>0</v>
      </c>
      <c r="BL23" s="170"/>
      <c r="BM23" s="182" cm="1">
        <f t="array" ref="BM2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N23" s="182" cm="1">
        <f t="array" ref="BN2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O23" s="182" cm="1">
        <f t="array" ref="BO2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P23" s="182" cm="1">
        <f t="array" ref="BP2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Q23" s="183" cm="1">
        <f t="array" ref="BQ2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R23" s="181">
        <f>COUNTIFS(
    estq[empresa], BR$6,
    estq[Data da venda / reserva], "&gt;=" &amp; $A23,
    estq[Data da venda / reserva], "&lt;"  &amp; EOMONTH($A23,0) + 1
)</f>
        <v>0</v>
      </c>
      <c r="BS23" s="182">
        <f ca="1">SUMIFS(rec.uni[2022-09-01],
INDIRECT("rec.uni[natureza]"),"pro.soluto",
INDIRECT("rec.uni[empresa]"),BS$6)</f>
        <v>0</v>
      </c>
      <c r="BT23" s="182">
        <f ca="1">SUMIFS(rec.uni[2022-09-01],
INDIRECT("rec.uni[natureza]"),"pro.soluto",
INDIRECT("rec.uni[empresa]"),BT$6)</f>
        <v>0</v>
      </c>
      <c r="BU23" s="182">
        <f ca="1">SUMIFS(rec.uni[2022-09-01],
INDIRECT("rec.uni[natureza]"),"taxa.extra",
INDIRECT("rec.uni[empresa]"),BU$6)</f>
        <v>0</v>
      </c>
      <c r="BV23" s="170"/>
      <c r="BW23" s="182" cm="1">
        <f t="array" ref="BW2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BX23" s="182" cm="1">
        <f t="array" ref="BX2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BY23" s="182" cm="1">
        <f t="array" ref="BY2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BZ23" s="182" cm="1">
        <f t="array" ref="BZ2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CA23" s="183" cm="1">
        <f t="array" ref="CA2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(desp[data.pagamento]&gt;=$A23)*
    (desp[data.pagamento]&lt;EOMONTH($A23,0)+1)
  )
)</f>
        <v>0</v>
      </c>
      <c r="CB23" s="181">
        <f>COUNTIFS(
    estq[empresa], CB$6,
    estq[Data da venda / reserva], "&gt;=" &amp; $A23,
    estq[Data da venda / reserva], "&lt;"  &amp; EOMONTH($A23,0) + 1
)</f>
        <v>0</v>
      </c>
      <c r="CC23" s="182">
        <f ca="1">SUMIFS(rec.uni[2022-09-01],
INDIRECT("rec.uni[natureza]"),"pro.soluto",
INDIRECT("rec.uni[empresa]"),CC$6)</f>
        <v>0</v>
      </c>
      <c r="CD23" s="182">
        <f ca="1">SUMIFS(rec.uni[2022-09-01],
INDIRECT("rec.uni[natureza]"),"repasse.cef.obra",
INDIRECT("rec.uni[empresa]"),CD$6)</f>
        <v>0</v>
      </c>
      <c r="CE23" s="182">
        <f ca="1">SUMIFS(rec.uni[2022-09-01],
INDIRECT("rec.uni[natureza]"),"repasse.cef.terreno",
INDIRECT("rec.uni[empresa]"),CE$6)</f>
        <v>0</v>
      </c>
      <c r="CF23" s="182">
        <v>0</v>
      </c>
      <c r="CG23" s="182">
        <f ca="1">SUMIFS(rec.uni[2022-09-01],
INDIRECT("rec.uni[natureza]"),"taxa.extra",
INDIRECT("rec.uni[empresa]"),CG$6)</f>
        <v>0</v>
      </c>
      <c r="CH23" s="170"/>
      <c r="CI23" s="182" cm="1">
        <f t="array" ref="CI2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J23" s="182" cm="1">
        <f t="array" ref="CJ2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K23" s="182" cm="1">
        <f t="array" ref="CK2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L23" s="182" cm="1">
        <f t="array" ref="CL2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M23" s="183" cm="1">
        <f t="array" ref="CM2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CN23" s="181">
        <f>COUNTIFS(
    estq[empresa], CN$6,
    estq[Data da venda / reserva], "&gt;=" &amp; $A23,
    estq[Data da venda / reserva], "&lt;"  &amp; EOMONTH($A23,0) + 1
)</f>
        <v>0</v>
      </c>
      <c r="CO23" s="182">
        <f ca="1">SUMIFS(rec.uni[2022-09-01],
INDIRECT("rec.uni[natureza]"),"pro.soluto",
INDIRECT("rec.uni[empresa]"),CO$6)</f>
        <v>0</v>
      </c>
      <c r="CP23" s="182">
        <f ca="1">SUMIFS(rec.uni[2022-09-01],
INDIRECT("rec.uni[natureza]"),"repasse.cef.obra",
INDIRECT("rec.uni[empresa]"),CP$6)</f>
        <v>0</v>
      </c>
      <c r="CQ23" s="182">
        <f ca="1">SUMIFS(rec.uni[2022-09-01],
INDIRECT("rec.uni[natureza]"),"repasse.cef.terreno",
INDIRECT("rec.uni[empresa]"),CQ$6)</f>
        <v>0</v>
      </c>
      <c r="CR23" s="182">
        <v>0</v>
      </c>
      <c r="CS23" s="182">
        <f ca="1">SUMIFS(rec.uni[2022-09-01],
INDIRECT("rec.uni[natureza]"),"taxa.extra",
INDIRECT("rec.uni[empresa]"),CS$6)</f>
        <v>0</v>
      </c>
      <c r="CT23" s="170"/>
      <c r="CU23" s="182" cm="1">
        <f t="array" ref="CU2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V23" s="182" cm="1">
        <f t="array" ref="CV2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W23" s="182" cm="1">
        <f t="array" ref="CW2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X23" s="182" cm="1">
        <f t="array" ref="CX2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Y23" s="184" cm="1">
        <f t="array" ref="CY2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</row>
    <row r="24" spans="1:103" x14ac:dyDescent="0.25">
      <c r="A24" s="180">
        <v>44835</v>
      </c>
      <c r="B24" s="181">
        <f>COUNTIFS(
    estq[empresa], B$6,
    estq[Data da venda / reserva], "&gt;=" &amp; $A24,
    estq[Data da venda / reserva], "&lt;"  &amp; EOMONTH($A24,0) + 1
)</f>
        <v>0</v>
      </c>
      <c r="C24" s="182">
        <f ca="1">SUMIFS(rec.uni[2022-10-01],
INDIRECT("rec.uni[natureza]"),"pro.soluto",
INDIRECT("rec.uni[empresa]"),C$6)</f>
        <v>0</v>
      </c>
      <c r="D24" s="182">
        <f ca="1">SUMIFS(rec.uni[2022-10-01],
INDIRECT("rec.uni[natureza]"),"repasse.cef.obra",
INDIRECT("rec.uni[empresa]"),D$6)</f>
        <v>0</v>
      </c>
      <c r="E24" s="182">
        <f ca="1">SUMIFS(rec.uni[2022-10-01],
INDIRECT("rec.uni[natureza]"),"repasse.cef.terreno",
INDIRECT("rec.uni[empresa]"),E$6)</f>
        <v>0</v>
      </c>
      <c r="F24" s="182">
        <v>0</v>
      </c>
      <c r="G24" s="182">
        <f ca="1">SUMIFS(rec.uni[2022-10-01],
INDIRECT("rec.uni[natureza]"),"taxa.extra",
INDIRECT("rec.uni[empresa]"),G$6)</f>
        <v>0</v>
      </c>
      <c r="H24" s="170"/>
      <c r="I24" s="182" cm="1">
        <f t="array" ref="I2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J24" s="182" cm="1">
        <f t="array" ref="J2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K24" s="182" cm="1">
        <f t="array" ref="K2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L24" s="182" cm="1">
        <f t="array" ref="L2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M24" s="183" cm="1">
        <f t="array" ref="M2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N24" s="181">
        <f>COUNTIFS(
    estq[empresa], N$6,
    estq[Data da venda / reserva], "&gt;=" &amp; $A24,
    estq[Data da venda / reserva], "&lt;"  &amp; EOMONTH($A24,0) + 1
)</f>
        <v>0</v>
      </c>
      <c r="O24" s="182">
        <f ca="1">SUMIFS(rec.uni[2022-10-01],
INDIRECT("rec.uni[natureza]"),"pro.soluto",
INDIRECT("rec.uni[empresa]"),O$6)</f>
        <v>0</v>
      </c>
      <c r="P24" s="182">
        <f ca="1">SUMIFS(rec.uni[2022-10-01],
INDIRECT("rec.uni[natureza]"),"repasse.cef.obra",
INDIRECT("rec.uni[empresa]"),P$6)</f>
        <v>0</v>
      </c>
      <c r="Q24" s="182">
        <f ca="1">SUMIFS(rec.uni[2022-10-01],
INDIRECT("rec.uni[natureza]"),"repasse.cef.terreno",
INDIRECT("rec.uni[empresa]"),Q$6)</f>
        <v>0</v>
      </c>
      <c r="R24" s="182">
        <v>0</v>
      </c>
      <c r="S24" s="182">
        <f ca="1">SUMIFS(rec.uni[2022-10-01],
INDIRECT("rec.uni[natureza]"),"taxa.extra",
INDIRECT("rec.uni[empresa]"),S$6)</f>
        <v>0</v>
      </c>
      <c r="T24" s="170"/>
      <c r="U24" s="182" cm="1">
        <f t="array" ref="U2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V24" s="182" cm="1">
        <f t="array" ref="V2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W24" s="182" cm="1">
        <f t="array" ref="W2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X24" s="182" cm="1">
        <f t="array" ref="X2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Y24" s="183" cm="1">
        <f t="array" ref="Y2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Z24" s="181">
        <f>COUNTIFS(
    estq[empresa], Z$6,
    estq[Data da venda / reserva], "&gt;=" &amp; $A24,
    estq[Data da venda / reserva], "&lt;"  &amp; EOMONTH($A24,0) + 1
)</f>
        <v>0</v>
      </c>
      <c r="AA24" s="182">
        <f ca="1">SUMIFS(rec.uni[2022-10-01],
INDIRECT("rec.uni[natureza]"),"pro.soluto",
INDIRECT("rec.uni[empresa]"),AA$6)</f>
        <v>0</v>
      </c>
      <c r="AB24" s="182">
        <f ca="1">SUMIFS(rec.uni[2022-10-01],
INDIRECT("rec.uni[natureza]"),"pro.soluto",
INDIRECT("rec.uni[empresa]"),AB$6)</f>
        <v>0</v>
      </c>
      <c r="AC24" s="182">
        <f ca="1">SUMIFS(rec.uni[2022-10-01],
INDIRECT("rec.uni[natureza]"),"taxa.extra",
INDIRECT("rec.uni[empresa]"),AC$6)</f>
        <v>0</v>
      </c>
      <c r="AD24" s="170"/>
      <c r="AE24" s="182" cm="1">
        <f t="array" ref="AE2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F24" s="182" cm="1">
        <f t="array" ref="AF2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G24" s="182" cm="1">
        <f t="array" ref="AG2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H24" s="182" cm="1">
        <f t="array" ref="AH2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I24" s="183" cm="1">
        <f t="array" ref="AI2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(desp[data.pagamento]&gt;=$A24)*
    (desp[data.pagamento]&lt;EOMONTH($A24,0)+1)
  )
)</f>
        <v>0</v>
      </c>
      <c r="AJ24" s="181">
        <f>COUNTIFS(
    estq[empresa], AJ$6,
    estq[Data da venda / reserva], "&gt;=" &amp; $A24,
    estq[Data da venda / reserva], "&lt;"  &amp; EOMONTH($A24,0) + 1
)</f>
        <v>0</v>
      </c>
      <c r="AK24" s="182">
        <f ca="1">SUMIFS(rec.uni[2022-10-01],
INDIRECT("rec.uni[natureza]"),"pro.soluto",
INDIRECT("rec.uni[empresa]"),AK$6)</f>
        <v>0</v>
      </c>
      <c r="AL24" s="182">
        <f ca="1">SUMIFS(rec.uni[2022-10-01],
INDIRECT("rec.uni[natureza]"),"repasse.cef.obra",
INDIRECT("rec.uni[empresa]"),AL$6)</f>
        <v>0</v>
      </c>
      <c r="AM24" s="182">
        <f ca="1">SUMIFS(rec.uni[2022-10-01],
INDIRECT("rec.uni[natureza]"),"repasse.cef.terreno",
INDIRECT("rec.uni[empresa]"),AM$6)</f>
        <v>0</v>
      </c>
      <c r="AN24" s="182">
        <v>0</v>
      </c>
      <c r="AO24" s="182">
        <f ca="1">SUMIFS(rec.uni[2022-10-01],
INDIRECT("rec.uni[natureza]"),"taxa.extra",
INDIRECT("rec.uni[empresa]"),AO$6)</f>
        <v>0</v>
      </c>
      <c r="AP24" s="170"/>
      <c r="AQ24" s="182" cm="1">
        <f t="array" ref="AQ2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R24" s="182" cm="1">
        <f t="array" ref="AR2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S24" s="182" cm="1">
        <f t="array" ref="AS2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T24" s="182" cm="1">
        <f t="array" ref="AT2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U24" s="183" cm="1">
        <f t="array" ref="AU2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V24" s="181">
        <f>COUNTIFS(
    estq[empresa], AV$6,
    estq[Data da venda / reserva], "&gt;=" &amp; $A24,
    estq[Data da venda / reserva], "&lt;"  &amp; EOMONTH($A24,0) + 1
)</f>
        <v>0</v>
      </c>
      <c r="AW24" s="182">
        <f ca="1">SUMIFS(rec.uni[2022-10-01],
INDIRECT("rec.uni[natureza]"),"pro.soluto",
INDIRECT("rec.uni[empresa]"),AW$6)</f>
        <v>0</v>
      </c>
      <c r="AX24" s="182">
        <f ca="1">SUMIFS(rec.uni[2022-10-01],
INDIRECT("rec.uni[natureza]"),"repasse.cef.obra",
INDIRECT("rec.uni[empresa]"),AX$6)</f>
        <v>0</v>
      </c>
      <c r="AY24" s="182">
        <f ca="1">SUMIFS(rec.uni[2022-10-01],
INDIRECT("rec.uni[natureza]"),"repasse.cef.terreno",
INDIRECT("rec.uni[empresa]"),AY$6)</f>
        <v>0</v>
      </c>
      <c r="AZ24" s="182">
        <v>0</v>
      </c>
      <c r="BA24" s="182">
        <f ca="1">SUMIFS(rec.uni[2022-10-01],
INDIRECT("rec.uni[natureza]"),"taxa.extra",
INDIRECT("rec.uni[empresa]"),BA$6)</f>
        <v>0</v>
      </c>
      <c r="BB24" s="170"/>
      <c r="BC24" s="182" cm="1">
        <f t="array" ref="BC2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D24" s="182" cm="1">
        <f t="array" ref="BD2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E24" s="182" cm="1">
        <f t="array" ref="BE2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F24" s="182" cm="1">
        <f t="array" ref="BF2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G24" s="183" cm="1">
        <f t="array" ref="BG2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BH24" s="181">
        <f>COUNTIFS(
    estq[empresa], BH$6,
    estq[Data da venda / reserva], "&gt;=" &amp; $A24,
    estq[Data da venda / reserva], "&lt;"  &amp; EOMONTH($A24,0) + 1
)</f>
        <v>0</v>
      </c>
      <c r="BI24" s="182">
        <f ca="1">SUMIFS(rec.uni[2022-10-01],
INDIRECT("rec.uni[natureza]"),"pro.soluto",
INDIRECT("rec.uni[empresa]"),BI$6)</f>
        <v>0</v>
      </c>
      <c r="BJ24" s="170">
        <v>0</v>
      </c>
      <c r="BK24" s="182">
        <f ca="1">SUMIFS(rec.uni[2022-10-01],
INDIRECT("rec.uni[natureza]"),"taxa.extra",
INDIRECT("rec.uni[empresa]"),BK$6)</f>
        <v>0</v>
      </c>
      <c r="BL24" s="170"/>
      <c r="BM24" s="182" cm="1">
        <f t="array" ref="BM2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N24" s="182" cm="1">
        <f t="array" ref="BN2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O24" s="182" cm="1">
        <f t="array" ref="BO2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P24" s="182" cm="1">
        <f t="array" ref="BP2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Q24" s="183" cm="1">
        <f t="array" ref="BQ2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R24" s="181">
        <f>COUNTIFS(
    estq[empresa], BR$6,
    estq[Data da venda / reserva], "&gt;=" &amp; $A24,
    estq[Data da venda / reserva], "&lt;"  &amp; EOMONTH($A24,0) + 1
)</f>
        <v>0</v>
      </c>
      <c r="BS24" s="182">
        <f ca="1">SUMIFS(rec.uni[2022-10-01],
INDIRECT("rec.uni[natureza]"),"pro.soluto",
INDIRECT("rec.uni[empresa]"),BS$6)</f>
        <v>0</v>
      </c>
      <c r="BT24" s="182">
        <f ca="1">SUMIFS(rec.uni[2022-10-01],
INDIRECT("rec.uni[natureza]"),"pro.soluto",
INDIRECT("rec.uni[empresa]"),BT$6)</f>
        <v>0</v>
      </c>
      <c r="BU24" s="182">
        <f ca="1">SUMIFS(rec.uni[2022-10-01],
INDIRECT("rec.uni[natureza]"),"taxa.extra",
INDIRECT("rec.uni[empresa]"),BU$6)</f>
        <v>0</v>
      </c>
      <c r="BV24" s="170"/>
      <c r="BW24" s="182" cm="1">
        <f t="array" ref="BW2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BX24" s="182" cm="1">
        <f t="array" ref="BX2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BY24" s="182" cm="1">
        <f t="array" ref="BY2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BZ24" s="182" cm="1">
        <f t="array" ref="BZ2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CA24" s="183" cm="1">
        <f t="array" ref="CA2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(desp[data.pagamento]&gt;=$A24)*
    (desp[data.pagamento]&lt;EOMONTH($A24,0)+1)
  )
)</f>
        <v>0</v>
      </c>
      <c r="CB24" s="181">
        <f>COUNTIFS(
    estq[empresa], CB$6,
    estq[Data da venda / reserva], "&gt;=" &amp; $A24,
    estq[Data da venda / reserva], "&lt;"  &amp; EOMONTH($A24,0) + 1
)</f>
        <v>0</v>
      </c>
      <c r="CC24" s="182">
        <f ca="1">SUMIFS(rec.uni[2022-10-01],
INDIRECT("rec.uni[natureza]"),"pro.soluto",
INDIRECT("rec.uni[empresa]"),CC$6)</f>
        <v>0</v>
      </c>
      <c r="CD24" s="182">
        <f ca="1">SUMIFS(rec.uni[2022-10-01],
INDIRECT("rec.uni[natureza]"),"repasse.cef.obra",
INDIRECT("rec.uni[empresa]"),CD$6)</f>
        <v>0</v>
      </c>
      <c r="CE24" s="182">
        <f ca="1">SUMIFS(rec.uni[2022-10-01],
INDIRECT("rec.uni[natureza]"),"repasse.cef.terreno",
INDIRECT("rec.uni[empresa]"),CE$6)</f>
        <v>0</v>
      </c>
      <c r="CF24" s="182">
        <v>0</v>
      </c>
      <c r="CG24" s="182">
        <f ca="1">SUMIFS(rec.uni[2022-10-01],
INDIRECT("rec.uni[natureza]"),"taxa.extra",
INDIRECT("rec.uni[empresa]"),CG$6)</f>
        <v>0</v>
      </c>
      <c r="CH24" s="170"/>
      <c r="CI24" s="182" cm="1">
        <f t="array" ref="CI2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J24" s="182" cm="1">
        <f t="array" ref="CJ2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K24" s="182" cm="1">
        <f t="array" ref="CK2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L24" s="182" cm="1">
        <f t="array" ref="CL2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M24" s="183" cm="1">
        <f t="array" ref="CM2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CN24" s="181">
        <f>COUNTIFS(
    estq[empresa], CN$6,
    estq[Data da venda / reserva], "&gt;=" &amp; $A24,
    estq[Data da venda / reserva], "&lt;"  &amp; EOMONTH($A24,0) + 1
)</f>
        <v>0</v>
      </c>
      <c r="CO24" s="182">
        <f ca="1">SUMIFS(rec.uni[2022-10-01],
INDIRECT("rec.uni[natureza]"),"pro.soluto",
INDIRECT("rec.uni[empresa]"),CO$6)</f>
        <v>0</v>
      </c>
      <c r="CP24" s="182">
        <f ca="1">SUMIFS(rec.uni[2022-10-01],
INDIRECT("rec.uni[natureza]"),"repasse.cef.obra",
INDIRECT("rec.uni[empresa]"),CP$6)</f>
        <v>0</v>
      </c>
      <c r="CQ24" s="182">
        <f ca="1">SUMIFS(rec.uni[2022-10-01],
INDIRECT("rec.uni[natureza]"),"repasse.cef.terreno",
INDIRECT("rec.uni[empresa]"),CQ$6)</f>
        <v>0</v>
      </c>
      <c r="CR24" s="182">
        <v>0</v>
      </c>
      <c r="CS24" s="182">
        <f ca="1">SUMIFS(rec.uni[2022-10-01],
INDIRECT("rec.uni[natureza]"),"taxa.extra",
INDIRECT("rec.uni[empresa]"),CS$6)</f>
        <v>0</v>
      </c>
      <c r="CT24" s="170"/>
      <c r="CU24" s="182" cm="1">
        <f t="array" ref="CU2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V24" s="182" cm="1">
        <f t="array" ref="CV2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W24" s="182" cm="1">
        <f t="array" ref="CW2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X24" s="182" cm="1">
        <f t="array" ref="CX2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Y24" s="184" cm="1">
        <f t="array" ref="CY2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</row>
    <row r="25" spans="1:103" x14ac:dyDescent="0.25">
      <c r="A25" s="180">
        <v>44866</v>
      </c>
      <c r="B25" s="181">
        <f>COUNTIFS(
    estq[empresa], B$6,
    estq[Data da venda / reserva], "&gt;=" &amp; $A25,
    estq[Data da venda / reserva], "&lt;"  &amp; EOMONTH($A25,0) + 1
)</f>
        <v>0</v>
      </c>
      <c r="C25" s="182">
        <f ca="1">SUMIFS(rec.uni[2022-11-01],
INDIRECT("rec.uni[natureza]"),"pro.soluto",
INDIRECT("rec.uni[empresa]"),C$6)</f>
        <v>0</v>
      </c>
      <c r="D25" s="182">
        <f ca="1">SUMIFS(rec.uni[2022-11-01],
INDIRECT("rec.uni[natureza]"),"repasse.cef.obra",
INDIRECT("rec.uni[empresa]"),D$6)</f>
        <v>0</v>
      </c>
      <c r="E25" s="182">
        <f ca="1">SUMIFS(rec.uni[2022-11-01],
INDIRECT("rec.uni[natureza]"),"repasse.cef.terreno",
INDIRECT("rec.uni[empresa]"),E$6)</f>
        <v>0</v>
      </c>
      <c r="F25" s="182">
        <v>0</v>
      </c>
      <c r="G25" s="182">
        <f ca="1">SUMIFS(rec.uni[2022-11-01],
INDIRECT("rec.uni[natureza]"),"taxa.extra",
INDIRECT("rec.uni[empresa]"),G$6)</f>
        <v>0</v>
      </c>
      <c r="H25" s="170"/>
      <c r="I25" s="182" cm="1">
        <f t="array" ref="I2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J25" s="182" cm="1">
        <f t="array" ref="J2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K25" s="182" cm="1">
        <f t="array" ref="K2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L25" s="182" cm="1">
        <f t="array" ref="L2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M25" s="183" cm="1">
        <f t="array" ref="M2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N25" s="181">
        <f>COUNTIFS(
    estq[empresa], N$6,
    estq[Data da venda / reserva], "&gt;=" &amp; $A25,
    estq[Data da venda / reserva], "&lt;"  &amp; EOMONTH($A25,0) + 1
)</f>
        <v>0</v>
      </c>
      <c r="O25" s="182">
        <f ca="1">SUMIFS(rec.uni[2022-11-01],
INDIRECT("rec.uni[natureza]"),"pro.soluto",
INDIRECT("rec.uni[empresa]"),O$6)</f>
        <v>0</v>
      </c>
      <c r="P25" s="182">
        <f ca="1">SUMIFS(rec.uni[2022-11-01],
INDIRECT("rec.uni[natureza]"),"repasse.cef.obra",
INDIRECT("rec.uni[empresa]"),P$6)</f>
        <v>0</v>
      </c>
      <c r="Q25" s="182">
        <f ca="1">SUMIFS(rec.uni[2022-11-01],
INDIRECT("rec.uni[natureza]"),"repasse.cef.terreno",
INDIRECT("rec.uni[empresa]"),Q$6)</f>
        <v>0</v>
      </c>
      <c r="R25" s="182">
        <v>0</v>
      </c>
      <c r="S25" s="182">
        <f ca="1">SUMIFS(rec.uni[2022-11-01],
INDIRECT("rec.uni[natureza]"),"taxa.extra",
INDIRECT("rec.uni[empresa]"),S$6)</f>
        <v>0</v>
      </c>
      <c r="T25" s="170"/>
      <c r="U25" s="182" cm="1">
        <f t="array" ref="U2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V25" s="182" cm="1">
        <f t="array" ref="V2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W25" s="182" cm="1">
        <f t="array" ref="W2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X25" s="182" cm="1">
        <f t="array" ref="X2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Y25" s="183" cm="1">
        <f t="array" ref="Y2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Z25" s="181">
        <f>COUNTIFS(
    estq[empresa], Z$6,
    estq[Data da venda / reserva], "&gt;=" &amp; $A25,
    estq[Data da venda / reserva], "&lt;"  &amp; EOMONTH($A25,0) + 1
)</f>
        <v>0</v>
      </c>
      <c r="AA25" s="182">
        <f ca="1">SUMIFS(rec.uni[2022-11-01],
INDIRECT("rec.uni[natureza]"),"pro.soluto",
INDIRECT("rec.uni[empresa]"),AA$6)</f>
        <v>0</v>
      </c>
      <c r="AB25" s="182">
        <f ca="1">SUMIFS(rec.uni[2022-11-01],
INDIRECT("rec.uni[natureza]"),"pro.soluto",
INDIRECT("rec.uni[empresa]"),AB$6)</f>
        <v>0</v>
      </c>
      <c r="AC25" s="182">
        <f ca="1">SUMIFS(rec.uni[2022-11-01],
INDIRECT("rec.uni[natureza]"),"taxa.extra",
INDIRECT("rec.uni[empresa]"),AC$6)</f>
        <v>0</v>
      </c>
      <c r="AD25" s="170"/>
      <c r="AE25" s="182" cm="1">
        <f t="array" ref="AE2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F25" s="182" cm="1">
        <f t="array" ref="AF2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G25" s="182" cm="1">
        <f t="array" ref="AG2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H25" s="182" cm="1">
        <f t="array" ref="AH2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I25" s="183" cm="1">
        <f t="array" ref="AI2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(desp[data.pagamento]&gt;=$A25)*
    (desp[data.pagamento]&lt;EOMONTH($A25,0)+1)
  )
)</f>
        <v>0</v>
      </c>
      <c r="AJ25" s="181">
        <f>COUNTIFS(
    estq[empresa], AJ$6,
    estq[Data da venda / reserva], "&gt;=" &amp; $A25,
    estq[Data da venda / reserva], "&lt;"  &amp; EOMONTH($A25,0) + 1
)</f>
        <v>0</v>
      </c>
      <c r="AK25" s="182">
        <f ca="1">SUMIFS(rec.uni[2022-11-01],
INDIRECT("rec.uni[natureza]"),"pro.soluto",
INDIRECT("rec.uni[empresa]"),AK$6)</f>
        <v>0</v>
      </c>
      <c r="AL25" s="182">
        <f ca="1">SUMIFS(rec.uni[2022-11-01],
INDIRECT("rec.uni[natureza]"),"repasse.cef.obra",
INDIRECT("rec.uni[empresa]"),AL$6)</f>
        <v>0</v>
      </c>
      <c r="AM25" s="182">
        <f ca="1">SUMIFS(rec.uni[2022-11-01],
INDIRECT("rec.uni[natureza]"),"repasse.cef.terreno",
INDIRECT("rec.uni[empresa]"),AM$6)</f>
        <v>0</v>
      </c>
      <c r="AN25" s="182">
        <v>0</v>
      </c>
      <c r="AO25" s="182">
        <f ca="1">SUMIFS(rec.uni[2022-11-01],
INDIRECT("rec.uni[natureza]"),"taxa.extra",
INDIRECT("rec.uni[empresa]"),AO$6)</f>
        <v>0</v>
      </c>
      <c r="AP25" s="170"/>
      <c r="AQ25" s="182" cm="1">
        <f t="array" ref="AQ2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R25" s="182" cm="1">
        <f t="array" ref="AR2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S25" s="182" cm="1">
        <f t="array" ref="AS2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T25" s="182" cm="1">
        <f t="array" ref="AT2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U25" s="183" cm="1">
        <f t="array" ref="AU2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V25" s="181">
        <f>COUNTIFS(
    estq[empresa], AV$6,
    estq[Data da venda / reserva], "&gt;=" &amp; $A25,
    estq[Data da venda / reserva], "&lt;"  &amp; EOMONTH($A25,0) + 1
)</f>
        <v>0</v>
      </c>
      <c r="AW25" s="182">
        <f ca="1">SUMIFS(rec.uni[2022-11-01],
INDIRECT("rec.uni[natureza]"),"pro.soluto",
INDIRECT("rec.uni[empresa]"),AW$6)</f>
        <v>0</v>
      </c>
      <c r="AX25" s="182">
        <f ca="1">SUMIFS(rec.uni[2022-11-01],
INDIRECT("rec.uni[natureza]"),"repasse.cef.obra",
INDIRECT("rec.uni[empresa]"),AX$6)</f>
        <v>0</v>
      </c>
      <c r="AY25" s="182">
        <f ca="1">SUMIFS(rec.uni[2022-11-01],
INDIRECT("rec.uni[natureza]"),"repasse.cef.terreno",
INDIRECT("rec.uni[empresa]"),AY$6)</f>
        <v>0</v>
      </c>
      <c r="AZ25" s="182">
        <v>0</v>
      </c>
      <c r="BA25" s="182">
        <f ca="1">SUMIFS(rec.uni[2022-11-01],
INDIRECT("rec.uni[natureza]"),"taxa.extra",
INDIRECT("rec.uni[empresa]"),BA$6)</f>
        <v>0</v>
      </c>
      <c r="BB25" s="170"/>
      <c r="BC25" s="182" cm="1">
        <f t="array" ref="BC2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D25" s="182" cm="1">
        <f t="array" ref="BD2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E25" s="182" cm="1">
        <f t="array" ref="BE2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F25" s="182" cm="1">
        <f t="array" ref="BF2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G25" s="183" cm="1">
        <f t="array" ref="BG2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BH25" s="181">
        <f>COUNTIFS(
    estq[empresa], BH$6,
    estq[Data da venda / reserva], "&gt;=" &amp; $A25,
    estq[Data da venda / reserva], "&lt;"  &amp; EOMONTH($A25,0) + 1
)</f>
        <v>0</v>
      </c>
      <c r="BI25" s="182">
        <f ca="1">SUMIFS(rec.uni[2022-11-01],
INDIRECT("rec.uni[natureza]"),"pro.soluto",
INDIRECT("rec.uni[empresa]"),BI$6)</f>
        <v>0</v>
      </c>
      <c r="BJ25" s="170">
        <v>0</v>
      </c>
      <c r="BK25" s="182">
        <f ca="1">SUMIFS(rec.uni[2022-11-01],
INDIRECT("rec.uni[natureza]"),"taxa.extra",
INDIRECT("rec.uni[empresa]"),BK$6)</f>
        <v>0</v>
      </c>
      <c r="BL25" s="170"/>
      <c r="BM25" s="182" cm="1">
        <f t="array" ref="BM2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N25" s="182" cm="1">
        <f t="array" ref="BN2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O25" s="182" cm="1">
        <f t="array" ref="BO2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P25" s="182" cm="1">
        <f t="array" ref="BP2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Q25" s="183" cm="1">
        <f t="array" ref="BQ2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R25" s="181">
        <f>COUNTIFS(
    estq[empresa], BR$6,
    estq[Data da venda / reserva], "&gt;=" &amp; $A25,
    estq[Data da venda / reserva], "&lt;"  &amp; EOMONTH($A25,0) + 1
)</f>
        <v>0</v>
      </c>
      <c r="BS25" s="182">
        <f ca="1">SUMIFS(rec.uni[2022-11-01],
INDIRECT("rec.uni[natureza]"),"pro.soluto",
INDIRECT("rec.uni[empresa]"),BS$6)</f>
        <v>0</v>
      </c>
      <c r="BT25" s="182">
        <f ca="1">SUMIFS(rec.uni[2022-11-01],
INDIRECT("rec.uni[natureza]"),"pro.soluto",
INDIRECT("rec.uni[empresa]"),BT$6)</f>
        <v>0</v>
      </c>
      <c r="BU25" s="182">
        <f ca="1">SUMIFS(rec.uni[2022-11-01],
INDIRECT("rec.uni[natureza]"),"taxa.extra",
INDIRECT("rec.uni[empresa]"),BU$6)</f>
        <v>0</v>
      </c>
      <c r="BV25" s="170"/>
      <c r="BW25" s="182" cm="1">
        <f t="array" ref="BW2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BX25" s="182" cm="1">
        <f t="array" ref="BX2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BY25" s="182" cm="1">
        <f t="array" ref="BY2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BZ25" s="182" cm="1">
        <f t="array" ref="BZ2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CA25" s="183" cm="1">
        <f t="array" ref="CA2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(desp[data.pagamento]&gt;=$A25)*
    (desp[data.pagamento]&lt;EOMONTH($A25,0)+1)
  )
)</f>
        <v>0</v>
      </c>
      <c r="CB25" s="181">
        <f>COUNTIFS(
    estq[empresa], CB$6,
    estq[Data da venda / reserva], "&gt;=" &amp; $A25,
    estq[Data da venda / reserva], "&lt;"  &amp; EOMONTH($A25,0) + 1
)</f>
        <v>0</v>
      </c>
      <c r="CC25" s="182">
        <f ca="1">SUMIFS(rec.uni[2022-11-01],
INDIRECT("rec.uni[natureza]"),"pro.soluto",
INDIRECT("rec.uni[empresa]"),CC$6)</f>
        <v>0</v>
      </c>
      <c r="CD25" s="182">
        <f ca="1">SUMIFS(rec.uni[2022-11-01],
INDIRECT("rec.uni[natureza]"),"repasse.cef.obra",
INDIRECT("rec.uni[empresa]"),CD$6)</f>
        <v>0</v>
      </c>
      <c r="CE25" s="182">
        <f ca="1">SUMIFS(rec.uni[2022-11-01],
INDIRECT("rec.uni[natureza]"),"repasse.cef.terreno",
INDIRECT("rec.uni[empresa]"),CE$6)</f>
        <v>0</v>
      </c>
      <c r="CF25" s="182">
        <v>0</v>
      </c>
      <c r="CG25" s="182">
        <f ca="1">SUMIFS(rec.uni[2022-11-01],
INDIRECT("rec.uni[natureza]"),"taxa.extra",
INDIRECT("rec.uni[empresa]"),CG$6)</f>
        <v>0</v>
      </c>
      <c r="CH25" s="170"/>
      <c r="CI25" s="182" cm="1">
        <f t="array" ref="CI2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J25" s="182" cm="1">
        <f t="array" ref="CJ2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K25" s="182" cm="1">
        <f t="array" ref="CK2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L25" s="182" cm="1">
        <f t="array" ref="CL2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M25" s="183" cm="1">
        <f t="array" ref="CM2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CN25" s="181">
        <f>COUNTIFS(
    estq[empresa], CN$6,
    estq[Data da venda / reserva], "&gt;=" &amp; $A25,
    estq[Data da venda / reserva], "&lt;"  &amp; EOMONTH($A25,0) + 1
)</f>
        <v>0</v>
      </c>
      <c r="CO25" s="182">
        <f ca="1">SUMIFS(rec.uni[2022-11-01],
INDIRECT("rec.uni[natureza]"),"pro.soluto",
INDIRECT("rec.uni[empresa]"),CO$6)</f>
        <v>0</v>
      </c>
      <c r="CP25" s="182">
        <f ca="1">SUMIFS(rec.uni[2022-11-01],
INDIRECT("rec.uni[natureza]"),"repasse.cef.obra",
INDIRECT("rec.uni[empresa]"),CP$6)</f>
        <v>0</v>
      </c>
      <c r="CQ25" s="182">
        <f ca="1">SUMIFS(rec.uni[2022-11-01],
INDIRECT("rec.uni[natureza]"),"repasse.cef.terreno",
INDIRECT("rec.uni[empresa]"),CQ$6)</f>
        <v>0</v>
      </c>
      <c r="CR25" s="182">
        <v>0</v>
      </c>
      <c r="CS25" s="182">
        <f ca="1">SUMIFS(rec.uni[2022-11-01],
INDIRECT("rec.uni[natureza]"),"taxa.extra",
INDIRECT("rec.uni[empresa]"),CS$6)</f>
        <v>0</v>
      </c>
      <c r="CT25" s="170"/>
      <c r="CU25" s="182" cm="1">
        <f t="array" ref="CU2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V25" s="182" cm="1">
        <f t="array" ref="CV2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W25" s="182" cm="1">
        <f t="array" ref="CW2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X25" s="182" cm="1">
        <f t="array" ref="CX2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Y25" s="184" cm="1">
        <f t="array" ref="CY2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</row>
    <row r="26" spans="1:103" x14ac:dyDescent="0.25">
      <c r="A26" s="180">
        <v>44896</v>
      </c>
      <c r="B26" s="181">
        <f>COUNTIFS(
    estq[empresa], B$6,
    estq[Data da venda / reserva], "&gt;=" &amp; $A26,
    estq[Data da venda / reserva], "&lt;"  &amp; EOMONTH($A26,0) + 1
)</f>
        <v>0</v>
      </c>
      <c r="C26" s="182">
        <f ca="1">SUMIFS(rec.uni[2022-12-01],
INDIRECT("rec.uni[natureza]"),"pro.soluto",
INDIRECT("rec.uni[empresa]"),C$6)</f>
        <v>0</v>
      </c>
      <c r="D26" s="182">
        <f ca="1">SUMIFS(rec.uni[2022-12-01],
INDIRECT("rec.uni[natureza]"),"repasse.cef.obra",
INDIRECT("rec.uni[empresa]"),D$6)</f>
        <v>0</v>
      </c>
      <c r="E26" s="182">
        <f ca="1">SUMIFS(rec.uni[2022-12-01],
INDIRECT("rec.uni[natureza]"),"repasse.cef.terreno",
INDIRECT("rec.uni[empresa]"),E$6)</f>
        <v>0</v>
      </c>
      <c r="F26" s="182">
        <v>0</v>
      </c>
      <c r="G26" s="182">
        <f ca="1">SUMIFS(rec.uni[2022-12-01],
INDIRECT("rec.uni[natureza]"),"taxa.extra",
INDIRECT("rec.uni[empresa]"),G$6)</f>
        <v>0</v>
      </c>
      <c r="H26" s="170"/>
      <c r="I26" s="182" cm="1">
        <f t="array" ref="I2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J26" s="182" cm="1">
        <f t="array" ref="J2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K26" s="182" cm="1">
        <f t="array" ref="K2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L26" s="182" cm="1">
        <f t="array" ref="L2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M26" s="183" cm="1">
        <f t="array" ref="M2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N26" s="181">
        <f>COUNTIFS(
    estq[empresa], N$6,
    estq[Data da venda / reserva], "&gt;=" &amp; $A26,
    estq[Data da venda / reserva], "&lt;"  &amp; EOMONTH($A26,0) + 1
)</f>
        <v>0</v>
      </c>
      <c r="O26" s="182">
        <f ca="1">SUMIFS(rec.uni[2022-12-01],
INDIRECT("rec.uni[natureza]"),"pro.soluto",
INDIRECT("rec.uni[empresa]"),O$6)</f>
        <v>0</v>
      </c>
      <c r="P26" s="182">
        <f ca="1">SUMIFS(rec.uni[2022-12-01],
INDIRECT("rec.uni[natureza]"),"repasse.cef.obra",
INDIRECT("rec.uni[empresa]"),P$6)</f>
        <v>0</v>
      </c>
      <c r="Q26" s="182">
        <f ca="1">SUMIFS(rec.uni[2022-12-01],
INDIRECT("rec.uni[natureza]"),"repasse.cef.terreno",
INDIRECT("rec.uni[empresa]"),Q$6)</f>
        <v>0</v>
      </c>
      <c r="R26" s="182">
        <v>0</v>
      </c>
      <c r="S26" s="182">
        <f ca="1">SUMIFS(rec.uni[2022-12-01],
INDIRECT("rec.uni[natureza]"),"taxa.extra",
INDIRECT("rec.uni[empresa]"),S$6)</f>
        <v>0</v>
      </c>
      <c r="T26" s="170"/>
      <c r="U26" s="182" cm="1">
        <f t="array" ref="U2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V26" s="182" cm="1">
        <f t="array" ref="V2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W26" s="182" cm="1">
        <f t="array" ref="W2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X26" s="182" cm="1">
        <f t="array" ref="X2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Y26" s="183" cm="1">
        <f t="array" ref="Y2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Z26" s="181">
        <f>COUNTIFS(
    estq[empresa], Z$6,
    estq[Data da venda / reserva], "&gt;=" &amp; $A26,
    estq[Data da venda / reserva], "&lt;"  &amp; EOMONTH($A26,0) + 1
)</f>
        <v>0</v>
      </c>
      <c r="AA26" s="182">
        <f ca="1">SUMIFS(rec.uni[2022-12-01],
INDIRECT("rec.uni[natureza]"),"pro.soluto",
INDIRECT("rec.uni[empresa]"),AA$6)</f>
        <v>0</v>
      </c>
      <c r="AB26" s="182">
        <f ca="1">SUMIFS(rec.uni[2022-12-01],
INDIRECT("rec.uni[natureza]"),"pro.soluto",
INDIRECT("rec.uni[empresa]"),AB$6)</f>
        <v>0</v>
      </c>
      <c r="AC26" s="182">
        <f ca="1">SUMIFS(rec.uni[2022-12-01],
INDIRECT("rec.uni[natureza]"),"taxa.extra",
INDIRECT("rec.uni[empresa]"),AC$6)</f>
        <v>0</v>
      </c>
      <c r="AD26" s="170"/>
      <c r="AE26" s="182" cm="1">
        <f t="array" ref="AE2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F26" s="182" cm="1">
        <f t="array" ref="AF2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G26" s="182" cm="1">
        <f t="array" ref="AG2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H26" s="182" cm="1">
        <f t="array" ref="AH2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I26" s="183" cm="1">
        <f t="array" ref="AI2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(desp[data.pagamento]&gt;=$A26)*
    (desp[data.pagamento]&lt;EOMONTH($A26,0)+1)
  )
)</f>
        <v>0</v>
      </c>
      <c r="AJ26" s="181">
        <f>COUNTIFS(
    estq[empresa], AJ$6,
    estq[Data da venda / reserva], "&gt;=" &amp; $A26,
    estq[Data da venda / reserva], "&lt;"  &amp; EOMONTH($A26,0) + 1
)</f>
        <v>0</v>
      </c>
      <c r="AK26" s="182">
        <f ca="1">SUMIFS(rec.uni[2022-12-01],
INDIRECT("rec.uni[natureza]"),"pro.soluto",
INDIRECT("rec.uni[empresa]"),AK$6)</f>
        <v>0</v>
      </c>
      <c r="AL26" s="182">
        <f ca="1">SUMIFS(rec.uni[2022-12-01],
INDIRECT("rec.uni[natureza]"),"repasse.cef.obra",
INDIRECT("rec.uni[empresa]"),AL$6)</f>
        <v>0</v>
      </c>
      <c r="AM26" s="182">
        <f ca="1">SUMIFS(rec.uni[2022-12-01],
INDIRECT("rec.uni[natureza]"),"repasse.cef.terreno",
INDIRECT("rec.uni[empresa]"),AM$6)</f>
        <v>0</v>
      </c>
      <c r="AN26" s="182">
        <v>0</v>
      </c>
      <c r="AO26" s="182">
        <f ca="1">SUMIFS(rec.uni[2022-12-01],
INDIRECT("rec.uni[natureza]"),"taxa.extra",
INDIRECT("rec.uni[empresa]"),AO$6)</f>
        <v>0</v>
      </c>
      <c r="AP26" s="170"/>
      <c r="AQ26" s="182" cm="1">
        <f t="array" ref="AQ2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R26" s="182" cm="1">
        <f t="array" ref="AR2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S26" s="182" cm="1">
        <f t="array" ref="AS2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T26" s="182" cm="1">
        <f t="array" ref="AT2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U26" s="183" cm="1">
        <f t="array" ref="AU2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V26" s="181">
        <f>COUNTIFS(
    estq[empresa], AV$6,
    estq[Data da venda / reserva], "&gt;=" &amp; $A26,
    estq[Data da venda / reserva], "&lt;"  &amp; EOMONTH($A26,0) + 1
)</f>
        <v>0</v>
      </c>
      <c r="AW26" s="182">
        <f ca="1">SUMIFS(rec.uni[2022-12-01],
INDIRECT("rec.uni[natureza]"),"pro.soluto",
INDIRECT("rec.uni[empresa]"),AW$6)</f>
        <v>0</v>
      </c>
      <c r="AX26" s="182">
        <f ca="1">SUMIFS(rec.uni[2022-12-01],
INDIRECT("rec.uni[natureza]"),"repasse.cef.obra",
INDIRECT("rec.uni[empresa]"),AX$6)</f>
        <v>0</v>
      </c>
      <c r="AY26" s="182">
        <f ca="1">SUMIFS(rec.uni[2022-12-01],
INDIRECT("rec.uni[natureza]"),"repasse.cef.terreno",
INDIRECT("rec.uni[empresa]"),AY$6)</f>
        <v>0</v>
      </c>
      <c r="AZ26" s="182">
        <v>0</v>
      </c>
      <c r="BA26" s="182">
        <f ca="1">SUMIFS(rec.uni[2022-12-01],
INDIRECT("rec.uni[natureza]"),"taxa.extra",
INDIRECT("rec.uni[empresa]"),BA$6)</f>
        <v>0</v>
      </c>
      <c r="BB26" s="170"/>
      <c r="BC26" s="182" cm="1">
        <f t="array" ref="BC2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D26" s="182" cm="1">
        <f t="array" ref="BD2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E26" s="182" cm="1">
        <f t="array" ref="BE2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F26" s="182" cm="1">
        <f t="array" ref="BF2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G26" s="183" cm="1">
        <f t="array" ref="BG2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BH26" s="181">
        <f>COUNTIFS(
    estq[empresa], BH$6,
    estq[Data da venda / reserva], "&gt;=" &amp; $A26,
    estq[Data da venda / reserva], "&lt;"  &amp; EOMONTH($A26,0) + 1
)</f>
        <v>0</v>
      </c>
      <c r="BI26" s="182">
        <f ca="1">SUMIFS(rec.uni[2022-12-01],
INDIRECT("rec.uni[natureza]"),"pro.soluto",
INDIRECT("rec.uni[empresa]"),BI$6)</f>
        <v>0</v>
      </c>
      <c r="BJ26" s="170">
        <v>0</v>
      </c>
      <c r="BK26" s="182">
        <f ca="1">SUMIFS(rec.uni[2022-12-01],
INDIRECT("rec.uni[natureza]"),"taxa.extra",
INDIRECT("rec.uni[empresa]"),BK$6)</f>
        <v>0</v>
      </c>
      <c r="BL26" s="170"/>
      <c r="BM26" s="182" cm="1">
        <f t="array" ref="BM2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N26" s="182" cm="1">
        <f t="array" ref="BN2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O26" s="182" cm="1">
        <f t="array" ref="BO2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P26" s="182" cm="1">
        <f t="array" ref="BP2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Q26" s="183" cm="1">
        <f t="array" ref="BQ2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R26" s="181">
        <f>COUNTIFS(
    estq[empresa], BR$6,
    estq[Data da venda / reserva], "&gt;=" &amp; $A26,
    estq[Data da venda / reserva], "&lt;"  &amp; EOMONTH($A26,0) + 1
)</f>
        <v>0</v>
      </c>
      <c r="BS26" s="182">
        <f ca="1">SUMIFS(rec.uni[2022-12-01],
INDIRECT("rec.uni[natureza]"),"pro.soluto",
INDIRECT("rec.uni[empresa]"),BS$6)</f>
        <v>0</v>
      </c>
      <c r="BT26" s="182">
        <f ca="1">SUMIFS(rec.uni[2022-12-01],
INDIRECT("rec.uni[natureza]"),"pro.soluto",
INDIRECT("rec.uni[empresa]"),BT$6)</f>
        <v>0</v>
      </c>
      <c r="BU26" s="182">
        <f ca="1">SUMIFS(rec.uni[2022-12-01],
INDIRECT("rec.uni[natureza]"),"taxa.extra",
INDIRECT("rec.uni[empresa]"),BU$6)</f>
        <v>0</v>
      </c>
      <c r="BV26" s="170"/>
      <c r="BW26" s="182" cm="1">
        <f t="array" ref="BW2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BX26" s="182" cm="1">
        <f t="array" ref="BX2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BY26" s="182" cm="1">
        <f t="array" ref="BY2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BZ26" s="182" cm="1">
        <f t="array" ref="BZ2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CA26" s="183" cm="1">
        <f t="array" ref="CA2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(desp[data.pagamento]&gt;=$A26)*
    (desp[data.pagamento]&lt;EOMONTH($A26,0)+1)
  )
)</f>
        <v>0</v>
      </c>
      <c r="CB26" s="181">
        <f>COUNTIFS(
    estq[empresa], CB$6,
    estq[Data da venda / reserva], "&gt;=" &amp; $A26,
    estq[Data da venda / reserva], "&lt;"  &amp; EOMONTH($A26,0) + 1
)</f>
        <v>0</v>
      </c>
      <c r="CC26" s="182">
        <f ca="1">SUMIFS(rec.uni[2022-12-01],
INDIRECT("rec.uni[natureza]"),"pro.soluto",
INDIRECT("rec.uni[empresa]"),CC$6)</f>
        <v>0</v>
      </c>
      <c r="CD26" s="182">
        <f ca="1">SUMIFS(rec.uni[2022-12-01],
INDIRECT("rec.uni[natureza]"),"repasse.cef.obra",
INDIRECT("rec.uni[empresa]"),CD$6)</f>
        <v>0</v>
      </c>
      <c r="CE26" s="182">
        <f ca="1">SUMIFS(rec.uni[2022-12-01],
INDIRECT("rec.uni[natureza]"),"repasse.cef.terreno",
INDIRECT("rec.uni[empresa]"),CE$6)</f>
        <v>0</v>
      </c>
      <c r="CF26" s="182">
        <v>0</v>
      </c>
      <c r="CG26" s="182">
        <f ca="1">SUMIFS(rec.uni[2022-12-01],
INDIRECT("rec.uni[natureza]"),"taxa.extra",
INDIRECT("rec.uni[empresa]"),CG$6)</f>
        <v>0</v>
      </c>
      <c r="CH26" s="170"/>
      <c r="CI26" s="182" cm="1">
        <f t="array" ref="CI2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J26" s="182" cm="1">
        <f t="array" ref="CJ2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K26" s="182" cm="1">
        <f t="array" ref="CK2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L26" s="182" cm="1">
        <f t="array" ref="CL2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M26" s="183" cm="1">
        <f t="array" ref="CM2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CN26" s="181">
        <f>COUNTIFS(
    estq[empresa], CN$6,
    estq[Data da venda / reserva], "&gt;=" &amp; $A26,
    estq[Data da venda / reserva], "&lt;"  &amp; EOMONTH($A26,0) + 1
)</f>
        <v>0</v>
      </c>
      <c r="CO26" s="182">
        <f ca="1">SUMIFS(rec.uni[2022-12-01],
INDIRECT("rec.uni[natureza]"),"pro.soluto",
INDIRECT("rec.uni[empresa]"),CO$6)</f>
        <v>0</v>
      </c>
      <c r="CP26" s="182">
        <f ca="1">SUMIFS(rec.uni[2022-12-01],
INDIRECT("rec.uni[natureza]"),"repasse.cef.obra",
INDIRECT("rec.uni[empresa]"),CP$6)</f>
        <v>0</v>
      </c>
      <c r="CQ26" s="182">
        <f ca="1">SUMIFS(rec.uni[2022-12-01],
INDIRECT("rec.uni[natureza]"),"repasse.cef.terreno",
INDIRECT("rec.uni[empresa]"),CQ$6)</f>
        <v>0</v>
      </c>
      <c r="CR26" s="182">
        <v>0</v>
      </c>
      <c r="CS26" s="182">
        <f ca="1">SUMIFS(rec.uni[2022-12-01],
INDIRECT("rec.uni[natureza]"),"taxa.extra",
INDIRECT("rec.uni[empresa]"),CS$6)</f>
        <v>0</v>
      </c>
      <c r="CT26" s="170"/>
      <c r="CU26" s="182" cm="1">
        <f t="array" ref="CU2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V26" s="182" cm="1">
        <f t="array" ref="CV2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W26" s="182" cm="1">
        <f t="array" ref="CW2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X26" s="182" cm="1">
        <f t="array" ref="CX2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Y26" s="184" cm="1">
        <f t="array" ref="CY2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</row>
    <row r="27" spans="1:103" x14ac:dyDescent="0.25">
      <c r="A27" s="180">
        <v>44927</v>
      </c>
      <c r="B27" s="181">
        <f>COUNTIFS(
    estq[empresa], B$6,
    estq[Data da venda / reserva], "&gt;=" &amp; $A27,
    estq[Data da venda / reserva], "&lt;"  &amp; EOMONTH($A27,0) + 1
)</f>
        <v>0</v>
      </c>
      <c r="C27" s="182">
        <f ca="1">SUMIFS(rec.uni[2023-01-01],
INDIRECT("rec.uni[natureza]"),"pro.soluto",
INDIRECT("rec.uni[empresa]"),C$6)</f>
        <v>0</v>
      </c>
      <c r="D27" s="182">
        <f ca="1">SUMIFS(rec.uni[2023-01-01],
INDIRECT("rec.uni[natureza]"),"repasse.cef.obra",
INDIRECT("rec.uni[empresa]"),D$6)</f>
        <v>0</v>
      </c>
      <c r="E27" s="182">
        <f ca="1">SUMIFS(rec.uni[2023-01-01],
INDIRECT("rec.uni[natureza]"),"repasse.cef.terreno",
INDIRECT("rec.uni[empresa]"),E$6)</f>
        <v>0</v>
      </c>
      <c r="F27" s="182">
        <v>0</v>
      </c>
      <c r="G27" s="182">
        <f ca="1">SUMIFS(rec.uni[2023-01-01],
INDIRECT("rec.uni[natureza]"),"taxa.extra",
INDIRECT("rec.uni[empresa]"),G$6)</f>
        <v>0</v>
      </c>
      <c r="H27" s="170"/>
      <c r="I27" s="182" cm="1">
        <f t="array" ref="I2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J27" s="182" cm="1">
        <f t="array" ref="J2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K27" s="182" cm="1">
        <f t="array" ref="K2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L27" s="182" cm="1">
        <f t="array" ref="L2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M27" s="183" cm="1">
        <f t="array" ref="M2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N27" s="181">
        <f>COUNTIFS(
    estq[empresa], N$6,
    estq[Data da venda / reserva], "&gt;=" &amp; $A27,
    estq[Data da venda / reserva], "&lt;"  &amp; EOMONTH($A27,0) + 1
)</f>
        <v>0</v>
      </c>
      <c r="O27" s="182">
        <f ca="1">SUMIFS(rec.uni[2023-01-01],
INDIRECT("rec.uni[natureza]"),"pro.soluto",
INDIRECT("rec.uni[empresa]"),O$6)</f>
        <v>0</v>
      </c>
      <c r="P27" s="182">
        <f ca="1">SUMIFS(rec.uni[2023-01-01],
INDIRECT("rec.uni[natureza]"),"repasse.cef.obra",
INDIRECT("rec.uni[empresa]"),P$6)</f>
        <v>0</v>
      </c>
      <c r="Q27" s="182">
        <f ca="1">SUMIFS(rec.uni[2023-01-01],
INDIRECT("rec.uni[natureza]"),"repasse.cef.terreno",
INDIRECT("rec.uni[empresa]"),Q$6)</f>
        <v>0</v>
      </c>
      <c r="R27" s="182">
        <v>0</v>
      </c>
      <c r="S27" s="182">
        <f ca="1">SUMIFS(rec.uni[2023-01-01],
INDIRECT("rec.uni[natureza]"),"taxa.extra",
INDIRECT("rec.uni[empresa]"),S$6)</f>
        <v>0</v>
      </c>
      <c r="T27" s="170"/>
      <c r="U27" s="182" cm="1">
        <f t="array" ref="U2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V27" s="182" cm="1">
        <f t="array" ref="V2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W27" s="182" cm="1">
        <f t="array" ref="W2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X27" s="182" cm="1">
        <f t="array" ref="X2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Y27" s="183" cm="1">
        <f t="array" ref="Y2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Z27" s="181">
        <f>COUNTIFS(
    estq[empresa], Z$6,
    estq[Data da venda / reserva], "&gt;=" &amp; $A27,
    estq[Data da venda / reserva], "&lt;"  &amp; EOMONTH($A27,0) + 1
)</f>
        <v>0</v>
      </c>
      <c r="AA27" s="182">
        <f ca="1">SUMIFS(rec.uni[2023-01-01],
INDIRECT("rec.uni[natureza]"),"pro.soluto",
INDIRECT("rec.uni[empresa]"),AA$6)</f>
        <v>0</v>
      </c>
      <c r="AB27" s="182">
        <f ca="1">SUMIFS(rec.uni[2023-01-01],
INDIRECT("rec.uni[natureza]"),"pro.soluto",
INDIRECT("rec.uni[empresa]"),AB$6)</f>
        <v>0</v>
      </c>
      <c r="AC27" s="182">
        <f ca="1">SUMIFS(rec.uni[2023-01-01],
INDIRECT("rec.uni[natureza]"),"taxa.extra",
INDIRECT("rec.uni[empresa]"),AC$6)</f>
        <v>0</v>
      </c>
      <c r="AD27" s="170"/>
      <c r="AE27" s="182" cm="1">
        <f t="array" ref="AE2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F27" s="182" cm="1">
        <f t="array" ref="AF2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G27" s="182" cm="1">
        <f t="array" ref="AG2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H27" s="182" cm="1">
        <f t="array" ref="AH2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I27" s="183" cm="1">
        <f t="array" ref="AI2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(desp[data.pagamento]&gt;=$A27)*
    (desp[data.pagamento]&lt;EOMONTH($A27,0)+1)
  )
)</f>
        <v>0</v>
      </c>
      <c r="AJ27" s="181">
        <f>COUNTIFS(
    estq[empresa], AJ$6,
    estq[Data da venda / reserva], "&gt;=" &amp; $A27,
    estq[Data da venda / reserva], "&lt;"  &amp; EOMONTH($A27,0) + 1
)</f>
        <v>0</v>
      </c>
      <c r="AK27" s="182">
        <f ca="1">SUMIFS(rec.uni[2023-01-01],
INDIRECT("rec.uni[natureza]"),"pro.soluto",
INDIRECT("rec.uni[empresa]"),AK$6)</f>
        <v>0</v>
      </c>
      <c r="AL27" s="182">
        <f ca="1">SUMIFS(rec.uni[2023-01-01],
INDIRECT("rec.uni[natureza]"),"repasse.cef.obra",
INDIRECT("rec.uni[empresa]"),AL$6)</f>
        <v>0</v>
      </c>
      <c r="AM27" s="182">
        <f ca="1">SUMIFS(rec.uni[2023-01-01],
INDIRECT("rec.uni[natureza]"),"repasse.cef.terreno",
INDIRECT("rec.uni[empresa]"),AM$6)</f>
        <v>0</v>
      </c>
      <c r="AN27" s="182">
        <v>0</v>
      </c>
      <c r="AO27" s="182">
        <f ca="1">SUMIFS(rec.uni[2023-01-01],
INDIRECT("rec.uni[natureza]"),"taxa.extra",
INDIRECT("rec.uni[empresa]"),AO$6)</f>
        <v>0</v>
      </c>
      <c r="AP27" s="170"/>
      <c r="AQ27" s="182" cm="1">
        <f t="array" ref="AQ2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R27" s="182" cm="1">
        <f t="array" ref="AR2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S27" s="182" cm="1">
        <f t="array" ref="AS2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T27" s="182" cm="1">
        <f t="array" ref="AT2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U27" s="183" cm="1">
        <f t="array" ref="AU2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V27" s="181">
        <f>COUNTIFS(
    estq[empresa], AV$6,
    estq[Data da venda / reserva], "&gt;=" &amp; $A27,
    estq[Data da venda / reserva], "&lt;"  &amp; EOMONTH($A27,0) + 1
)</f>
        <v>0</v>
      </c>
      <c r="AW27" s="182">
        <f ca="1">SUMIFS(rec.uni[2023-01-01],
INDIRECT("rec.uni[natureza]"),"pro.soluto",
INDIRECT("rec.uni[empresa]"),AW$6)</f>
        <v>0</v>
      </c>
      <c r="AX27" s="182">
        <f ca="1">SUMIFS(rec.uni[2023-01-01],
INDIRECT("rec.uni[natureza]"),"repasse.cef.obra",
INDIRECT("rec.uni[empresa]"),AX$6)</f>
        <v>0</v>
      </c>
      <c r="AY27" s="182">
        <f ca="1">SUMIFS(rec.uni[2023-01-01],
INDIRECT("rec.uni[natureza]"),"repasse.cef.terreno",
INDIRECT("rec.uni[empresa]"),AY$6)</f>
        <v>0</v>
      </c>
      <c r="AZ27" s="182">
        <v>0</v>
      </c>
      <c r="BA27" s="182">
        <f ca="1">SUMIFS(rec.uni[2023-01-01],
INDIRECT("rec.uni[natureza]"),"taxa.extra",
INDIRECT("rec.uni[empresa]"),BA$6)</f>
        <v>0</v>
      </c>
      <c r="BB27" s="170"/>
      <c r="BC27" s="182" cm="1">
        <f t="array" ref="BC2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D27" s="182" cm="1">
        <f t="array" ref="BD2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E27" s="182" cm="1">
        <f t="array" ref="BE2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F27" s="182" cm="1">
        <f t="array" ref="BF2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G27" s="183" cm="1">
        <f t="array" ref="BG2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BH27" s="181">
        <f>COUNTIFS(
    estq[empresa], BH$6,
    estq[Data da venda / reserva], "&gt;=" &amp; $A27,
    estq[Data da venda / reserva], "&lt;"  &amp; EOMONTH($A27,0) + 1
)</f>
        <v>0</v>
      </c>
      <c r="BI27" s="182">
        <f ca="1">SUMIFS(rec.uni[2023-01-01],
INDIRECT("rec.uni[natureza]"),"pro.soluto",
INDIRECT("rec.uni[empresa]"),BI$6)</f>
        <v>0</v>
      </c>
      <c r="BJ27" s="170">
        <v>0</v>
      </c>
      <c r="BK27" s="182">
        <f ca="1">SUMIFS(rec.uni[2023-01-01],
INDIRECT("rec.uni[natureza]"),"taxa.extra",
INDIRECT("rec.uni[empresa]"),BK$6)</f>
        <v>0</v>
      </c>
      <c r="BL27" s="170"/>
      <c r="BM27" s="182" cm="1">
        <f t="array" ref="BM2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N27" s="182" cm="1">
        <f t="array" ref="BN2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O27" s="182" cm="1">
        <f t="array" ref="BO2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P27" s="182" cm="1">
        <f t="array" ref="BP2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Q27" s="183" cm="1">
        <f t="array" ref="BQ2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R27" s="181">
        <f>COUNTIFS(
    estq[empresa], BR$6,
    estq[Data da venda / reserva], "&gt;=" &amp; $A27,
    estq[Data da venda / reserva], "&lt;"  &amp; EOMONTH($A27,0) + 1
)</f>
        <v>0</v>
      </c>
      <c r="BS27" s="182">
        <f ca="1">SUMIFS(rec.uni[2023-01-01],
INDIRECT("rec.uni[natureza]"),"pro.soluto",
INDIRECT("rec.uni[empresa]"),BS$6)</f>
        <v>0</v>
      </c>
      <c r="BT27" s="182">
        <f ca="1">SUMIFS(rec.uni[2023-01-01],
INDIRECT("rec.uni[natureza]"),"pro.soluto",
INDIRECT("rec.uni[empresa]"),BT$6)</f>
        <v>0</v>
      </c>
      <c r="BU27" s="182">
        <f ca="1">SUMIFS(rec.uni[2023-01-01],
INDIRECT("rec.uni[natureza]"),"taxa.extra",
INDIRECT("rec.uni[empresa]"),BU$6)</f>
        <v>0</v>
      </c>
      <c r="BV27" s="170"/>
      <c r="BW27" s="182" cm="1">
        <f t="array" ref="BW2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BX27" s="182" cm="1">
        <f t="array" ref="BX2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BY27" s="182" cm="1">
        <f t="array" ref="BY2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BZ27" s="182" cm="1">
        <f t="array" ref="BZ2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CA27" s="183" cm="1">
        <f t="array" ref="CA2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(desp[data.pagamento]&gt;=$A27)*
    (desp[data.pagamento]&lt;EOMONTH($A27,0)+1)
  )
)</f>
        <v>0</v>
      </c>
      <c r="CB27" s="181">
        <f>COUNTIFS(
    estq[empresa], CB$6,
    estq[Data da venda / reserva], "&gt;=" &amp; $A27,
    estq[Data da venda / reserva], "&lt;"  &amp; EOMONTH($A27,0) + 1
)</f>
        <v>0</v>
      </c>
      <c r="CC27" s="182">
        <f ca="1">SUMIFS(rec.uni[2023-01-01],
INDIRECT("rec.uni[natureza]"),"pro.soluto",
INDIRECT("rec.uni[empresa]"),CC$6)</f>
        <v>0</v>
      </c>
      <c r="CD27" s="182">
        <f ca="1">SUMIFS(rec.uni[2023-01-01],
INDIRECT("rec.uni[natureza]"),"repasse.cef.obra",
INDIRECT("rec.uni[empresa]"),CD$6)</f>
        <v>0</v>
      </c>
      <c r="CE27" s="182">
        <f ca="1">SUMIFS(rec.uni[2023-01-01],
INDIRECT("rec.uni[natureza]"),"repasse.cef.terreno",
INDIRECT("rec.uni[empresa]"),CE$6)</f>
        <v>0</v>
      </c>
      <c r="CF27" s="182">
        <v>0</v>
      </c>
      <c r="CG27" s="182">
        <f ca="1">SUMIFS(rec.uni[2023-01-01],
INDIRECT("rec.uni[natureza]"),"taxa.extra",
INDIRECT("rec.uni[empresa]"),CG$6)</f>
        <v>0</v>
      </c>
      <c r="CH27" s="170"/>
      <c r="CI27" s="182" cm="1">
        <f t="array" ref="CI2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J27" s="182" cm="1">
        <f t="array" ref="CJ2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K27" s="182" cm="1">
        <f t="array" ref="CK2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L27" s="182" cm="1">
        <f t="array" ref="CL2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M27" s="183" cm="1">
        <f t="array" ref="CM2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CN27" s="181">
        <f>COUNTIFS(
    estq[empresa], CN$6,
    estq[Data da venda / reserva], "&gt;=" &amp; $A27,
    estq[Data da venda / reserva], "&lt;"  &amp; EOMONTH($A27,0) + 1
)</f>
        <v>0</v>
      </c>
      <c r="CO27" s="182">
        <f ca="1">SUMIFS(rec.uni[2023-01-01],
INDIRECT("rec.uni[natureza]"),"pro.soluto",
INDIRECT("rec.uni[empresa]"),CO$6)</f>
        <v>0</v>
      </c>
      <c r="CP27" s="182">
        <f ca="1">SUMIFS(rec.uni[2023-01-01],
INDIRECT("rec.uni[natureza]"),"repasse.cef.obra",
INDIRECT("rec.uni[empresa]"),CP$6)</f>
        <v>0</v>
      </c>
      <c r="CQ27" s="182">
        <f ca="1">SUMIFS(rec.uni[2023-01-01],
INDIRECT("rec.uni[natureza]"),"repasse.cef.terreno",
INDIRECT("rec.uni[empresa]"),CQ$6)</f>
        <v>0</v>
      </c>
      <c r="CR27" s="182">
        <v>0</v>
      </c>
      <c r="CS27" s="182">
        <f ca="1">SUMIFS(rec.uni[2023-01-01],
INDIRECT("rec.uni[natureza]"),"taxa.extra",
INDIRECT("rec.uni[empresa]"),CS$6)</f>
        <v>0</v>
      </c>
      <c r="CT27" s="170"/>
      <c r="CU27" s="182" cm="1">
        <f t="array" ref="CU2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V27" s="182" cm="1">
        <f t="array" ref="CV2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W27" s="182" cm="1">
        <f t="array" ref="CW2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X27" s="182" cm="1">
        <f t="array" ref="CX2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Y27" s="184" cm="1">
        <f t="array" ref="CY2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</row>
    <row r="28" spans="1:103" x14ac:dyDescent="0.25">
      <c r="A28" s="180">
        <v>44958</v>
      </c>
      <c r="B28" s="181">
        <f>COUNTIFS(
    estq[empresa], B$6,
    estq[Data da venda / reserva], "&gt;=" &amp; $A28,
    estq[Data da venda / reserva], "&lt;"  &amp; EOMONTH($A28,0) + 1
)</f>
        <v>0</v>
      </c>
      <c r="C28" s="182">
        <f ca="1">SUMIFS(rec.uni[2023-02-01],
INDIRECT("rec.uni[natureza]"),"pro.soluto",
INDIRECT("rec.uni[empresa]"),C$6)</f>
        <v>0</v>
      </c>
      <c r="D28" s="182">
        <f ca="1">SUMIFS(rec.uni[2023-02-01],
INDIRECT("rec.uni[natureza]"),"repasse.cef.obra",
INDIRECT("rec.uni[empresa]"),D$6)</f>
        <v>0</v>
      </c>
      <c r="E28" s="182">
        <f ca="1">SUMIFS(rec.uni[2023-02-01],
INDIRECT("rec.uni[natureza]"),"repasse.cef.terreno",
INDIRECT("rec.uni[empresa]"),E$6)</f>
        <v>0</v>
      </c>
      <c r="F28" s="182">
        <v>0</v>
      </c>
      <c r="G28" s="182">
        <f ca="1">SUMIFS(rec.uni[2023-02-01],
INDIRECT("rec.uni[natureza]"),"taxa.extra",
INDIRECT("rec.uni[empresa]"),G$6)</f>
        <v>0</v>
      </c>
      <c r="H28" s="170"/>
      <c r="I28" s="182" cm="1">
        <f t="array" ref="I2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J28" s="182" cm="1">
        <f t="array" ref="J2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K28" s="182" cm="1">
        <f t="array" ref="K2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L28" s="182" cm="1">
        <f t="array" ref="L2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M28" s="183" cm="1">
        <f t="array" ref="M2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N28" s="181">
        <f>COUNTIFS(
    estq[empresa], N$6,
    estq[Data da venda / reserva], "&gt;=" &amp; $A28,
    estq[Data da venda / reserva], "&lt;"  &amp; EOMONTH($A28,0) + 1
)</f>
        <v>0</v>
      </c>
      <c r="O28" s="182">
        <f ca="1">SUMIFS(rec.uni[2023-02-01],
INDIRECT("rec.uni[natureza]"),"pro.soluto",
INDIRECT("rec.uni[empresa]"),O$6)</f>
        <v>0</v>
      </c>
      <c r="P28" s="182">
        <f ca="1">SUMIFS(rec.uni[2023-02-01],
INDIRECT("rec.uni[natureza]"),"repasse.cef.obra",
INDIRECT("rec.uni[empresa]"),P$6)</f>
        <v>0</v>
      </c>
      <c r="Q28" s="182">
        <f ca="1">SUMIFS(rec.uni[2023-02-01],
INDIRECT("rec.uni[natureza]"),"repasse.cef.terreno",
INDIRECT("rec.uni[empresa]"),Q$6)</f>
        <v>0</v>
      </c>
      <c r="R28" s="182">
        <v>0</v>
      </c>
      <c r="S28" s="182">
        <f ca="1">SUMIFS(rec.uni[2023-02-01],
INDIRECT("rec.uni[natureza]"),"taxa.extra",
INDIRECT("rec.uni[empresa]"),S$6)</f>
        <v>0</v>
      </c>
      <c r="T28" s="170"/>
      <c r="U28" s="182" cm="1">
        <f t="array" ref="U2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V28" s="182" cm="1">
        <f t="array" ref="V2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W28" s="182" cm="1">
        <f t="array" ref="W2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X28" s="182" cm="1">
        <f t="array" ref="X2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Y28" s="183" cm="1">
        <f t="array" ref="Y2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Z28" s="181">
        <f>COUNTIFS(
    estq[empresa], Z$6,
    estq[Data da venda / reserva], "&gt;=" &amp; $A28,
    estq[Data da venda / reserva], "&lt;"  &amp; EOMONTH($A28,0) + 1
)</f>
        <v>0</v>
      </c>
      <c r="AA28" s="182">
        <f ca="1">SUMIFS(rec.uni[2023-02-01],
INDIRECT("rec.uni[natureza]"),"pro.soluto",
INDIRECT("rec.uni[empresa]"),AA$6)</f>
        <v>0</v>
      </c>
      <c r="AB28" s="182">
        <f ca="1">SUMIFS(rec.uni[2023-02-01],
INDIRECT("rec.uni[natureza]"),"pro.soluto",
INDIRECT("rec.uni[empresa]"),AB$6)</f>
        <v>0</v>
      </c>
      <c r="AC28" s="182">
        <f ca="1">SUMIFS(rec.uni[2023-02-01],
INDIRECT("rec.uni[natureza]"),"taxa.extra",
INDIRECT("rec.uni[empresa]"),AC$6)</f>
        <v>0</v>
      </c>
      <c r="AD28" s="170"/>
      <c r="AE28" s="182" cm="1">
        <f t="array" ref="AE2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F28" s="182" cm="1">
        <f t="array" ref="AF2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G28" s="182" cm="1">
        <f t="array" ref="AG2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H28" s="182" cm="1">
        <f t="array" ref="AH2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I28" s="183" cm="1">
        <f t="array" ref="AI2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(desp[data.pagamento]&gt;=$A28)*
    (desp[data.pagamento]&lt;EOMONTH($A28,0)+1)
  )
)</f>
        <v>0</v>
      </c>
      <c r="AJ28" s="181">
        <f>COUNTIFS(
    estq[empresa], AJ$6,
    estq[Data da venda / reserva], "&gt;=" &amp; $A28,
    estq[Data da venda / reserva], "&lt;"  &amp; EOMONTH($A28,0) + 1
)</f>
        <v>0</v>
      </c>
      <c r="AK28" s="182">
        <f ca="1">SUMIFS(rec.uni[2023-02-01],
INDIRECT("rec.uni[natureza]"),"pro.soluto",
INDIRECT("rec.uni[empresa]"),AK$6)</f>
        <v>0</v>
      </c>
      <c r="AL28" s="182">
        <f ca="1">SUMIFS(rec.uni[2023-02-01],
INDIRECT("rec.uni[natureza]"),"repasse.cef.obra",
INDIRECT("rec.uni[empresa]"),AL$6)</f>
        <v>0</v>
      </c>
      <c r="AM28" s="182">
        <f ca="1">SUMIFS(rec.uni[2023-02-01],
INDIRECT("rec.uni[natureza]"),"repasse.cef.terreno",
INDIRECT("rec.uni[empresa]"),AM$6)</f>
        <v>0</v>
      </c>
      <c r="AN28" s="182">
        <v>0</v>
      </c>
      <c r="AO28" s="182">
        <f ca="1">SUMIFS(rec.uni[2023-02-01],
INDIRECT("rec.uni[natureza]"),"taxa.extra",
INDIRECT("rec.uni[empresa]"),AO$6)</f>
        <v>0</v>
      </c>
      <c r="AP28" s="170"/>
      <c r="AQ28" s="182" cm="1">
        <f t="array" ref="AQ2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R28" s="182" cm="1">
        <f t="array" ref="AR2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S28" s="182" cm="1">
        <f t="array" ref="AS2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T28" s="182" cm="1">
        <f t="array" ref="AT2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U28" s="183" cm="1">
        <f t="array" ref="AU2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V28" s="181">
        <f>COUNTIFS(
    estq[empresa], AV$6,
    estq[Data da venda / reserva], "&gt;=" &amp; $A28,
    estq[Data da venda / reserva], "&lt;"  &amp; EOMONTH($A28,0) + 1
)</f>
        <v>0</v>
      </c>
      <c r="AW28" s="182">
        <f ca="1">SUMIFS(rec.uni[2023-02-01],
INDIRECT("rec.uni[natureza]"),"pro.soluto",
INDIRECT("rec.uni[empresa]"),AW$6)</f>
        <v>0</v>
      </c>
      <c r="AX28" s="182">
        <f ca="1">SUMIFS(rec.uni[2023-02-01],
INDIRECT("rec.uni[natureza]"),"repasse.cef.obra",
INDIRECT("rec.uni[empresa]"),AX$6)</f>
        <v>0</v>
      </c>
      <c r="AY28" s="182">
        <f ca="1">SUMIFS(rec.uni[2023-02-01],
INDIRECT("rec.uni[natureza]"),"repasse.cef.terreno",
INDIRECT("rec.uni[empresa]"),AY$6)</f>
        <v>0</v>
      </c>
      <c r="AZ28" s="182">
        <v>0</v>
      </c>
      <c r="BA28" s="182">
        <f ca="1">SUMIFS(rec.uni[2023-02-01],
INDIRECT("rec.uni[natureza]"),"taxa.extra",
INDIRECT("rec.uni[empresa]"),BA$6)</f>
        <v>0</v>
      </c>
      <c r="BB28" s="170"/>
      <c r="BC28" s="182" cm="1">
        <f t="array" ref="BC2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D28" s="182" cm="1">
        <f t="array" ref="BD2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E28" s="182" cm="1">
        <f t="array" ref="BE2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F28" s="182" cm="1">
        <f t="array" ref="BF2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G28" s="183" cm="1">
        <f t="array" ref="BG2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BH28" s="181">
        <f>COUNTIFS(
    estq[empresa], BH$6,
    estq[Data da venda / reserva], "&gt;=" &amp; $A28,
    estq[Data da venda / reserva], "&lt;"  &amp; EOMONTH($A28,0) + 1
)</f>
        <v>0</v>
      </c>
      <c r="BI28" s="182">
        <f ca="1">SUMIFS(rec.uni[2023-02-01],
INDIRECT("rec.uni[natureza]"),"pro.soluto",
INDIRECT("rec.uni[empresa]"),BI$6)</f>
        <v>0</v>
      </c>
      <c r="BJ28" s="170">
        <v>0</v>
      </c>
      <c r="BK28" s="182">
        <f ca="1">SUMIFS(rec.uni[2023-02-01],
INDIRECT("rec.uni[natureza]"),"taxa.extra",
INDIRECT("rec.uni[empresa]"),BK$6)</f>
        <v>0</v>
      </c>
      <c r="BL28" s="170"/>
      <c r="BM28" s="182" cm="1">
        <f t="array" ref="BM2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N28" s="182" cm="1">
        <f t="array" ref="BN2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O28" s="182" cm="1">
        <f t="array" ref="BO2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P28" s="182" cm="1">
        <f t="array" ref="BP2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Q28" s="183" cm="1">
        <f t="array" ref="BQ2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R28" s="181">
        <f>COUNTIFS(
    estq[empresa], BR$6,
    estq[Data da venda / reserva], "&gt;=" &amp; $A28,
    estq[Data da venda / reserva], "&lt;"  &amp; EOMONTH($A28,0) + 1
)</f>
        <v>0</v>
      </c>
      <c r="BS28" s="182">
        <f ca="1">SUMIFS(rec.uni[2023-02-01],
INDIRECT("rec.uni[natureza]"),"pro.soluto",
INDIRECT("rec.uni[empresa]"),BS$6)</f>
        <v>0</v>
      </c>
      <c r="BT28" s="182">
        <f ca="1">SUMIFS(rec.uni[2023-02-01],
INDIRECT("rec.uni[natureza]"),"pro.soluto",
INDIRECT("rec.uni[empresa]"),BT$6)</f>
        <v>0</v>
      </c>
      <c r="BU28" s="182">
        <f ca="1">SUMIFS(rec.uni[2023-02-01],
INDIRECT("rec.uni[natureza]"),"taxa.extra",
INDIRECT("rec.uni[empresa]"),BU$6)</f>
        <v>0</v>
      </c>
      <c r="BV28" s="170"/>
      <c r="BW28" s="182" cm="1">
        <f t="array" ref="BW2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BX28" s="182" cm="1">
        <f t="array" ref="BX2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BY28" s="182" cm="1">
        <f t="array" ref="BY2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BZ28" s="182" cm="1">
        <f t="array" ref="BZ2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CA28" s="183" cm="1">
        <f t="array" ref="CA2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(desp[data.pagamento]&gt;=$A28)*
    (desp[data.pagamento]&lt;EOMONTH($A28,0)+1)
  )
)</f>
        <v>0</v>
      </c>
      <c r="CB28" s="181">
        <f>COUNTIFS(
    estq[empresa], CB$6,
    estq[Data da venda / reserva], "&gt;=" &amp; $A28,
    estq[Data da venda / reserva], "&lt;"  &amp; EOMONTH($A28,0) + 1
)</f>
        <v>0</v>
      </c>
      <c r="CC28" s="182">
        <f ca="1">SUMIFS(rec.uni[2023-02-01],
INDIRECT("rec.uni[natureza]"),"pro.soluto",
INDIRECT("rec.uni[empresa]"),CC$6)</f>
        <v>0</v>
      </c>
      <c r="CD28" s="182">
        <f ca="1">SUMIFS(rec.uni[2023-02-01],
INDIRECT("rec.uni[natureza]"),"repasse.cef.obra",
INDIRECT("rec.uni[empresa]"),CD$6)</f>
        <v>0</v>
      </c>
      <c r="CE28" s="182">
        <f ca="1">SUMIFS(rec.uni[2023-02-01],
INDIRECT("rec.uni[natureza]"),"repasse.cef.terreno",
INDIRECT("rec.uni[empresa]"),CE$6)</f>
        <v>0</v>
      </c>
      <c r="CF28" s="182">
        <v>0</v>
      </c>
      <c r="CG28" s="182">
        <f ca="1">SUMIFS(rec.uni[2023-02-01],
INDIRECT("rec.uni[natureza]"),"taxa.extra",
INDIRECT("rec.uni[empresa]"),CG$6)</f>
        <v>0</v>
      </c>
      <c r="CH28" s="170"/>
      <c r="CI28" s="182" cm="1">
        <f t="array" ref="CI2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J28" s="182" cm="1">
        <f t="array" ref="CJ2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K28" s="182" cm="1">
        <f t="array" ref="CK2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L28" s="182" cm="1">
        <f t="array" ref="CL2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M28" s="183" cm="1">
        <f t="array" ref="CM2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CN28" s="181">
        <f>COUNTIFS(
    estq[empresa], CN$6,
    estq[Data da venda / reserva], "&gt;=" &amp; $A28,
    estq[Data da venda / reserva], "&lt;"  &amp; EOMONTH($A28,0) + 1
)</f>
        <v>0</v>
      </c>
      <c r="CO28" s="182">
        <f ca="1">SUMIFS(rec.uni[2023-02-01],
INDIRECT("rec.uni[natureza]"),"pro.soluto",
INDIRECT("rec.uni[empresa]"),CO$6)</f>
        <v>0</v>
      </c>
      <c r="CP28" s="182">
        <f ca="1">SUMIFS(rec.uni[2023-02-01],
INDIRECT("rec.uni[natureza]"),"repasse.cef.obra",
INDIRECT("rec.uni[empresa]"),CP$6)</f>
        <v>0</v>
      </c>
      <c r="CQ28" s="182">
        <f ca="1">SUMIFS(rec.uni[2023-02-01],
INDIRECT("rec.uni[natureza]"),"repasse.cef.terreno",
INDIRECT("rec.uni[empresa]"),CQ$6)</f>
        <v>0</v>
      </c>
      <c r="CR28" s="182">
        <v>0</v>
      </c>
      <c r="CS28" s="182">
        <f ca="1">SUMIFS(rec.uni[2023-02-01],
INDIRECT("rec.uni[natureza]"),"taxa.extra",
INDIRECT("rec.uni[empresa]"),CS$6)</f>
        <v>0</v>
      </c>
      <c r="CT28" s="170"/>
      <c r="CU28" s="182" cm="1">
        <f t="array" ref="CU2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V28" s="182" cm="1">
        <f t="array" ref="CV2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W28" s="182" cm="1">
        <f t="array" ref="CW2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X28" s="182" cm="1">
        <f t="array" ref="CX2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Y28" s="184" cm="1">
        <f t="array" ref="CY2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</row>
    <row r="29" spans="1:103" x14ac:dyDescent="0.25">
      <c r="A29" s="180">
        <v>44986</v>
      </c>
      <c r="B29" s="181">
        <f>COUNTIFS(
    estq[empresa], B$6,
    estq[Data da venda / reserva], "&gt;=" &amp; $A29,
    estq[Data da venda / reserva], "&lt;"  &amp; EOMONTH($A29,0) + 1
)</f>
        <v>0</v>
      </c>
      <c r="C29" s="182">
        <f ca="1">SUMIFS(rec.uni[2023-03-01],
INDIRECT("rec.uni[natureza]"),"pro.soluto",
INDIRECT("rec.uni[empresa]"),C$6)</f>
        <v>0</v>
      </c>
      <c r="D29" s="182">
        <f ca="1">SUMIFS(rec.uni[2023-03-01],
INDIRECT("rec.uni[natureza]"),"repasse.cef.obra",
INDIRECT("rec.uni[empresa]"),D$6)</f>
        <v>0</v>
      </c>
      <c r="E29" s="182">
        <f ca="1">SUMIFS(rec.uni[2023-03-01],
INDIRECT("rec.uni[natureza]"),"repasse.cef.terreno",
INDIRECT("rec.uni[empresa]"),E$6)</f>
        <v>0</v>
      </c>
      <c r="F29" s="182">
        <v>0</v>
      </c>
      <c r="G29" s="182">
        <f ca="1">SUMIFS(rec.uni[2023-03-01],
INDIRECT("rec.uni[natureza]"),"taxa.extra",
INDIRECT("rec.uni[empresa]"),G$6)</f>
        <v>0</v>
      </c>
      <c r="H29" s="170"/>
      <c r="I29" s="182" cm="1">
        <f t="array" ref="I2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J29" s="182" cm="1">
        <f t="array" ref="J2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K29" s="182" cm="1">
        <f t="array" ref="K2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L29" s="182" cm="1">
        <f t="array" ref="L2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M29" s="183" cm="1">
        <f t="array" ref="M2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N29" s="181">
        <f>COUNTIFS(
    estq[empresa], N$6,
    estq[Data da venda / reserva], "&gt;=" &amp; $A29,
    estq[Data da venda / reserva], "&lt;"  &amp; EOMONTH($A29,0) + 1
)</f>
        <v>0</v>
      </c>
      <c r="O29" s="182">
        <f ca="1">SUMIFS(rec.uni[2023-03-01],
INDIRECT("rec.uni[natureza]"),"pro.soluto",
INDIRECT("rec.uni[empresa]"),O$6)</f>
        <v>0</v>
      </c>
      <c r="P29" s="182">
        <f ca="1">SUMIFS(rec.uni[2023-03-01],
INDIRECT("rec.uni[natureza]"),"repasse.cef.obra",
INDIRECT("rec.uni[empresa]"),P$6)</f>
        <v>0</v>
      </c>
      <c r="Q29" s="182">
        <f ca="1">SUMIFS(rec.uni[2023-03-01],
INDIRECT("rec.uni[natureza]"),"repasse.cef.terreno",
INDIRECT("rec.uni[empresa]"),Q$6)</f>
        <v>0</v>
      </c>
      <c r="R29" s="182">
        <v>0</v>
      </c>
      <c r="S29" s="182">
        <f ca="1">SUMIFS(rec.uni[2023-03-01],
INDIRECT("rec.uni[natureza]"),"taxa.extra",
INDIRECT("rec.uni[empresa]"),S$6)</f>
        <v>0</v>
      </c>
      <c r="T29" s="170"/>
      <c r="U29" s="182" cm="1">
        <f t="array" ref="U2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V29" s="182" cm="1">
        <f t="array" ref="V2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W29" s="182" cm="1">
        <f t="array" ref="W2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X29" s="182" cm="1">
        <f t="array" ref="X2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Y29" s="183" cm="1">
        <f t="array" ref="Y2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Z29" s="181">
        <f>COUNTIFS(
    estq[empresa], Z$6,
    estq[Data da venda / reserva], "&gt;=" &amp; $A29,
    estq[Data da venda / reserva], "&lt;"  &amp; EOMONTH($A29,0) + 1
)</f>
        <v>0</v>
      </c>
      <c r="AA29" s="182">
        <f ca="1">SUMIFS(rec.uni[2023-03-01],
INDIRECT("rec.uni[natureza]"),"pro.soluto",
INDIRECT("rec.uni[empresa]"),AA$6)</f>
        <v>0</v>
      </c>
      <c r="AB29" s="182">
        <f ca="1">SUMIFS(rec.uni[2023-03-01],
INDIRECT("rec.uni[natureza]"),"pro.soluto",
INDIRECT("rec.uni[empresa]"),AB$6)</f>
        <v>0</v>
      </c>
      <c r="AC29" s="182">
        <f ca="1">SUMIFS(rec.uni[2023-03-01],
INDIRECT("rec.uni[natureza]"),"taxa.extra",
INDIRECT("rec.uni[empresa]"),AC$6)</f>
        <v>0</v>
      </c>
      <c r="AD29" s="170"/>
      <c r="AE29" s="182" cm="1">
        <f t="array" ref="AE2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F29" s="182" cm="1">
        <f t="array" ref="AF2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G29" s="182" cm="1">
        <f t="array" ref="AG2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H29" s="182" cm="1">
        <f t="array" ref="AH2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I29" s="183" cm="1">
        <f t="array" ref="AI2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(desp[data.pagamento]&gt;=$A29)*
    (desp[data.pagamento]&lt;EOMONTH($A29,0)+1)
  )
)</f>
        <v>0</v>
      </c>
      <c r="AJ29" s="181">
        <f>COUNTIFS(
    estq[empresa], AJ$6,
    estq[Data da venda / reserva], "&gt;=" &amp; $A29,
    estq[Data da venda / reserva], "&lt;"  &amp; EOMONTH($A29,0) + 1
)</f>
        <v>0</v>
      </c>
      <c r="AK29" s="182">
        <f ca="1">SUMIFS(rec.uni[2023-03-01],
INDIRECT("rec.uni[natureza]"),"pro.soluto",
INDIRECT("rec.uni[empresa]"),AK$6)</f>
        <v>0</v>
      </c>
      <c r="AL29" s="182">
        <f ca="1">SUMIFS(rec.uni[2023-03-01],
INDIRECT("rec.uni[natureza]"),"repasse.cef.obra",
INDIRECT("rec.uni[empresa]"),AL$6)</f>
        <v>0</v>
      </c>
      <c r="AM29" s="182">
        <f ca="1">SUMIFS(rec.uni[2023-03-01],
INDIRECT("rec.uni[natureza]"),"repasse.cef.terreno",
INDIRECT("rec.uni[empresa]"),AM$6)</f>
        <v>0</v>
      </c>
      <c r="AN29" s="182">
        <v>0</v>
      </c>
      <c r="AO29" s="182">
        <f ca="1">SUMIFS(rec.uni[2023-03-01],
INDIRECT("rec.uni[natureza]"),"taxa.extra",
INDIRECT("rec.uni[empresa]"),AO$6)</f>
        <v>0</v>
      </c>
      <c r="AP29" s="170"/>
      <c r="AQ29" s="182" cm="1">
        <f t="array" ref="AQ2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R29" s="182" cm="1">
        <f t="array" ref="AR2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S29" s="182" cm="1">
        <f t="array" ref="AS2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T29" s="182" cm="1">
        <f t="array" ref="AT2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U29" s="183" cm="1">
        <f t="array" ref="AU2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V29" s="181">
        <f>COUNTIFS(
    estq[empresa], AV$6,
    estq[Data da venda / reserva], "&gt;=" &amp; $A29,
    estq[Data da venda / reserva], "&lt;"  &amp; EOMONTH($A29,0) + 1
)</f>
        <v>0</v>
      </c>
      <c r="AW29" s="182">
        <f ca="1">SUMIFS(rec.uni[2023-03-01],
INDIRECT("rec.uni[natureza]"),"pro.soluto",
INDIRECT("rec.uni[empresa]"),AW$6)</f>
        <v>0</v>
      </c>
      <c r="AX29" s="182">
        <f ca="1">SUMIFS(rec.uni[2023-03-01],
INDIRECT("rec.uni[natureza]"),"repasse.cef.obra",
INDIRECT("rec.uni[empresa]"),AX$6)</f>
        <v>0</v>
      </c>
      <c r="AY29" s="182">
        <f ca="1">SUMIFS(rec.uni[2023-03-01],
INDIRECT("rec.uni[natureza]"),"repasse.cef.terreno",
INDIRECT("rec.uni[empresa]"),AY$6)</f>
        <v>0</v>
      </c>
      <c r="AZ29" s="182">
        <v>0</v>
      </c>
      <c r="BA29" s="182">
        <f ca="1">SUMIFS(rec.uni[2023-03-01],
INDIRECT("rec.uni[natureza]"),"taxa.extra",
INDIRECT("rec.uni[empresa]"),BA$6)</f>
        <v>0</v>
      </c>
      <c r="BB29" s="170"/>
      <c r="BC29" s="182" cm="1">
        <f t="array" ref="BC2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D29" s="182" cm="1">
        <f t="array" ref="BD2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E29" s="182" cm="1">
        <f t="array" ref="BE2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F29" s="182" cm="1">
        <f t="array" ref="BF2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G29" s="183" cm="1">
        <f t="array" ref="BG2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BH29" s="181">
        <f>COUNTIFS(
    estq[empresa], BH$6,
    estq[Data da venda / reserva], "&gt;=" &amp; $A29,
    estq[Data da venda / reserva], "&lt;"  &amp; EOMONTH($A29,0) + 1
)</f>
        <v>0</v>
      </c>
      <c r="BI29" s="182">
        <f ca="1">SUMIFS(rec.uni[2023-03-01],
INDIRECT("rec.uni[natureza]"),"pro.soluto",
INDIRECT("rec.uni[empresa]"),BI$6)</f>
        <v>0</v>
      </c>
      <c r="BJ29" s="170">
        <v>0</v>
      </c>
      <c r="BK29" s="182">
        <f ca="1">SUMIFS(rec.uni[2023-03-01],
INDIRECT("rec.uni[natureza]"),"taxa.extra",
INDIRECT("rec.uni[empresa]"),BK$6)</f>
        <v>0</v>
      </c>
      <c r="BL29" s="170"/>
      <c r="BM29" s="182" cm="1">
        <f t="array" ref="BM2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N29" s="182" cm="1">
        <f t="array" ref="BN2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O29" s="182" cm="1">
        <f t="array" ref="BO2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P29" s="182" cm="1">
        <f t="array" ref="BP2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Q29" s="183" cm="1">
        <f t="array" ref="BQ2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R29" s="181">
        <f>COUNTIFS(
    estq[empresa], BR$6,
    estq[Data da venda / reserva], "&gt;=" &amp; $A29,
    estq[Data da venda / reserva], "&lt;"  &amp; EOMONTH($A29,0) + 1
)</f>
        <v>0</v>
      </c>
      <c r="BS29" s="182">
        <f ca="1">SUMIFS(rec.uni[2023-03-01],
INDIRECT("rec.uni[natureza]"),"pro.soluto",
INDIRECT("rec.uni[empresa]"),BS$6)</f>
        <v>0</v>
      </c>
      <c r="BT29" s="182">
        <f ca="1">SUMIFS(rec.uni[2023-03-01],
INDIRECT("rec.uni[natureza]"),"pro.soluto",
INDIRECT("rec.uni[empresa]"),BT$6)</f>
        <v>0</v>
      </c>
      <c r="BU29" s="182">
        <f ca="1">SUMIFS(rec.uni[2023-03-01],
INDIRECT("rec.uni[natureza]"),"taxa.extra",
INDIRECT("rec.uni[empresa]"),BU$6)</f>
        <v>0</v>
      </c>
      <c r="BV29" s="170"/>
      <c r="BW29" s="182" cm="1">
        <f t="array" ref="BW2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BX29" s="182" cm="1">
        <f t="array" ref="BX2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BY29" s="182" cm="1">
        <f t="array" ref="BY2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BZ29" s="182" cm="1">
        <f t="array" ref="BZ2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CA29" s="183" cm="1">
        <f t="array" ref="CA2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(desp[data.pagamento]&gt;=$A29)*
    (desp[data.pagamento]&lt;EOMONTH($A29,0)+1)
  )
)</f>
        <v>0</v>
      </c>
      <c r="CB29" s="181">
        <f>COUNTIFS(
    estq[empresa], CB$6,
    estq[Data da venda / reserva], "&gt;=" &amp; $A29,
    estq[Data da venda / reserva], "&lt;"  &amp; EOMONTH($A29,0) + 1
)</f>
        <v>0</v>
      </c>
      <c r="CC29" s="182">
        <f ca="1">SUMIFS(rec.uni[2023-03-01],
INDIRECT("rec.uni[natureza]"),"pro.soluto",
INDIRECT("rec.uni[empresa]"),CC$6)</f>
        <v>0</v>
      </c>
      <c r="CD29" s="182">
        <f ca="1">SUMIFS(rec.uni[2023-03-01],
INDIRECT("rec.uni[natureza]"),"repasse.cef.obra",
INDIRECT("rec.uni[empresa]"),CD$6)</f>
        <v>0</v>
      </c>
      <c r="CE29" s="182">
        <f ca="1">SUMIFS(rec.uni[2023-03-01],
INDIRECT("rec.uni[natureza]"),"repasse.cef.terreno",
INDIRECT("rec.uni[empresa]"),CE$6)</f>
        <v>0</v>
      </c>
      <c r="CF29" s="182">
        <v>0</v>
      </c>
      <c r="CG29" s="182">
        <f ca="1">SUMIFS(rec.uni[2023-03-01],
INDIRECT("rec.uni[natureza]"),"taxa.extra",
INDIRECT("rec.uni[empresa]"),CG$6)</f>
        <v>0</v>
      </c>
      <c r="CH29" s="170"/>
      <c r="CI29" s="182" cm="1">
        <f t="array" ref="CI2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J29" s="182" cm="1">
        <f t="array" ref="CJ2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K29" s="182" cm="1">
        <f t="array" ref="CK2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L29" s="182" cm="1">
        <f t="array" ref="CL2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M29" s="183" cm="1">
        <f t="array" ref="CM2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CN29" s="181">
        <f>COUNTIFS(
    estq[empresa], CN$6,
    estq[Data da venda / reserva], "&gt;=" &amp; $A29,
    estq[Data da venda / reserva], "&lt;"  &amp; EOMONTH($A29,0) + 1
)</f>
        <v>0</v>
      </c>
      <c r="CO29" s="182">
        <f ca="1">SUMIFS(rec.uni[2023-03-01],
INDIRECT("rec.uni[natureza]"),"pro.soluto",
INDIRECT("rec.uni[empresa]"),CO$6)</f>
        <v>0</v>
      </c>
      <c r="CP29" s="182">
        <f ca="1">SUMIFS(rec.uni[2023-03-01],
INDIRECT("rec.uni[natureza]"),"repasse.cef.obra",
INDIRECT("rec.uni[empresa]"),CP$6)</f>
        <v>0</v>
      </c>
      <c r="CQ29" s="182">
        <f ca="1">SUMIFS(rec.uni[2023-03-01],
INDIRECT("rec.uni[natureza]"),"repasse.cef.terreno",
INDIRECT("rec.uni[empresa]"),CQ$6)</f>
        <v>0</v>
      </c>
      <c r="CR29" s="182">
        <v>0</v>
      </c>
      <c r="CS29" s="182">
        <f ca="1">SUMIFS(rec.uni[2023-03-01],
INDIRECT("rec.uni[natureza]"),"taxa.extra",
INDIRECT("rec.uni[empresa]"),CS$6)</f>
        <v>0</v>
      </c>
      <c r="CT29" s="170"/>
      <c r="CU29" s="182" cm="1">
        <f t="array" ref="CU2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V29" s="182" cm="1">
        <f t="array" ref="CV2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W29" s="182" cm="1">
        <f t="array" ref="CW2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X29" s="182" cm="1">
        <f t="array" ref="CX2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Y29" s="184" cm="1">
        <f t="array" ref="CY2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</row>
    <row r="30" spans="1:103" x14ac:dyDescent="0.25">
      <c r="A30" s="180">
        <v>45017</v>
      </c>
      <c r="B30" s="181">
        <f>COUNTIFS(
    estq[empresa], B$6,
    estq[Data da venda / reserva], "&gt;=" &amp; $A30,
    estq[Data da venda / reserva], "&lt;"  &amp; EOMONTH($A30,0) + 1
)</f>
        <v>0</v>
      </c>
      <c r="C30" s="182">
        <f ca="1">SUMIFS(rec.uni[2023-04-01],
INDIRECT("rec.uni[natureza]"),"pro.soluto",
INDIRECT("rec.uni[empresa]"),C$6)</f>
        <v>0</v>
      </c>
      <c r="D30" s="182">
        <f ca="1">SUMIFS(rec.uni[2023-04-01],
INDIRECT("rec.uni[natureza]"),"repasse.cef.obra",
INDIRECT("rec.uni[empresa]"),D$6)</f>
        <v>0</v>
      </c>
      <c r="E30" s="182">
        <f ca="1">SUMIFS(rec.uni[2023-04-01],
INDIRECT("rec.uni[natureza]"),"repasse.cef.terreno",
INDIRECT("rec.uni[empresa]"),E$6)</f>
        <v>0</v>
      </c>
      <c r="F30" s="182">
        <v>0</v>
      </c>
      <c r="G30" s="182">
        <f ca="1">SUMIFS(rec.uni[2023-04-01],
INDIRECT("rec.uni[natureza]"),"taxa.extra",
INDIRECT("rec.uni[empresa]"),G$6)</f>
        <v>0</v>
      </c>
      <c r="H30" s="170"/>
      <c r="I30" s="182" cm="1">
        <f t="array" ref="I3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J30" s="182" cm="1">
        <f t="array" ref="J3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K30" s="182" cm="1">
        <f t="array" ref="K3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L30" s="182" cm="1">
        <f t="array" ref="L3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M30" s="183" cm="1">
        <f t="array" ref="M3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N30" s="181">
        <f>COUNTIFS(
    estq[empresa], N$6,
    estq[Data da venda / reserva], "&gt;=" &amp; $A30,
    estq[Data da venda / reserva], "&lt;"  &amp; EOMONTH($A30,0) + 1
)</f>
        <v>0</v>
      </c>
      <c r="O30" s="182">
        <f ca="1">SUMIFS(rec.uni[2023-04-01],
INDIRECT("rec.uni[natureza]"),"pro.soluto",
INDIRECT("rec.uni[empresa]"),O$6)</f>
        <v>0</v>
      </c>
      <c r="P30" s="182">
        <f ca="1">SUMIFS(rec.uni[2023-04-01],
INDIRECT("rec.uni[natureza]"),"repasse.cef.obra",
INDIRECT("rec.uni[empresa]"),P$6)</f>
        <v>0</v>
      </c>
      <c r="Q30" s="182">
        <f ca="1">SUMIFS(rec.uni[2023-04-01],
INDIRECT("rec.uni[natureza]"),"repasse.cef.terreno",
INDIRECT("rec.uni[empresa]"),Q$6)</f>
        <v>0</v>
      </c>
      <c r="R30" s="182">
        <v>0</v>
      </c>
      <c r="S30" s="182">
        <f ca="1">SUMIFS(rec.uni[2023-04-01],
INDIRECT("rec.uni[natureza]"),"taxa.extra",
INDIRECT("rec.uni[empresa]"),S$6)</f>
        <v>0</v>
      </c>
      <c r="T30" s="170"/>
      <c r="U30" s="182" cm="1">
        <f t="array" ref="U3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V30" s="182" cm="1">
        <f t="array" ref="V3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W30" s="182" cm="1">
        <f t="array" ref="W3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X30" s="182" cm="1">
        <f t="array" ref="X3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Y30" s="183" cm="1">
        <f t="array" ref="Y3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Z30" s="181">
        <f>COUNTIFS(
    estq[empresa], Z$6,
    estq[Data da venda / reserva], "&gt;=" &amp; $A30,
    estq[Data da venda / reserva], "&lt;"  &amp; EOMONTH($A30,0) + 1
)</f>
        <v>0</v>
      </c>
      <c r="AA30" s="182">
        <f ca="1">SUMIFS(rec.uni[2023-04-01],
INDIRECT("rec.uni[natureza]"),"pro.soluto",
INDIRECT("rec.uni[empresa]"),AA$6)</f>
        <v>0</v>
      </c>
      <c r="AB30" s="182">
        <f ca="1">SUMIFS(rec.uni[2023-04-01],
INDIRECT("rec.uni[natureza]"),"pro.soluto",
INDIRECT("rec.uni[empresa]"),AB$6)</f>
        <v>0</v>
      </c>
      <c r="AC30" s="182">
        <f ca="1">SUMIFS(rec.uni[2023-04-01],
INDIRECT("rec.uni[natureza]"),"taxa.extra",
INDIRECT("rec.uni[empresa]"),AC$6)</f>
        <v>0</v>
      </c>
      <c r="AD30" s="170"/>
      <c r="AE30" s="182" cm="1">
        <f t="array" ref="AE3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F30" s="182" cm="1">
        <f t="array" ref="AF3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G30" s="182" cm="1">
        <f t="array" ref="AG3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H30" s="182" cm="1">
        <f t="array" ref="AH3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I30" s="183" cm="1">
        <f t="array" ref="AI3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(desp[data.pagamento]&gt;=$A30)*
    (desp[data.pagamento]&lt;EOMONTH($A30,0)+1)
  )
)</f>
        <v>0</v>
      </c>
      <c r="AJ30" s="181">
        <f>COUNTIFS(
    estq[empresa], AJ$6,
    estq[Data da venda / reserva], "&gt;=" &amp; $A30,
    estq[Data da venda / reserva], "&lt;"  &amp; EOMONTH($A30,0) + 1
)</f>
        <v>0</v>
      </c>
      <c r="AK30" s="182">
        <f ca="1">SUMIFS(rec.uni[2023-04-01],
INDIRECT("rec.uni[natureza]"),"pro.soluto",
INDIRECT("rec.uni[empresa]"),AK$6)</f>
        <v>0</v>
      </c>
      <c r="AL30" s="182">
        <f ca="1">SUMIFS(rec.uni[2023-04-01],
INDIRECT("rec.uni[natureza]"),"repasse.cef.obra",
INDIRECT("rec.uni[empresa]"),AL$6)</f>
        <v>0</v>
      </c>
      <c r="AM30" s="182">
        <f ca="1">SUMIFS(rec.uni[2023-04-01],
INDIRECT("rec.uni[natureza]"),"repasse.cef.terreno",
INDIRECT("rec.uni[empresa]"),AM$6)</f>
        <v>0</v>
      </c>
      <c r="AN30" s="182">
        <v>0</v>
      </c>
      <c r="AO30" s="182">
        <f ca="1">SUMIFS(rec.uni[2023-04-01],
INDIRECT("rec.uni[natureza]"),"taxa.extra",
INDIRECT("rec.uni[empresa]"),AO$6)</f>
        <v>0</v>
      </c>
      <c r="AP30" s="170"/>
      <c r="AQ30" s="182" cm="1">
        <f t="array" ref="AQ3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R30" s="182" cm="1">
        <f t="array" ref="AR3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S30" s="182" cm="1">
        <f t="array" ref="AS3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T30" s="182" cm="1">
        <f t="array" ref="AT3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U30" s="183" cm="1">
        <f t="array" ref="AU3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V30" s="181">
        <f>COUNTIFS(
    estq[empresa], AV$6,
    estq[Data da venda / reserva], "&gt;=" &amp; $A30,
    estq[Data da venda / reserva], "&lt;"  &amp; EOMONTH($A30,0) + 1
)</f>
        <v>0</v>
      </c>
      <c r="AW30" s="182">
        <f ca="1">SUMIFS(rec.uni[2023-04-01],
INDIRECT("rec.uni[natureza]"),"pro.soluto",
INDIRECT("rec.uni[empresa]"),AW$6)</f>
        <v>0</v>
      </c>
      <c r="AX30" s="182">
        <f ca="1">SUMIFS(rec.uni[2023-04-01],
INDIRECT("rec.uni[natureza]"),"repasse.cef.obra",
INDIRECT("rec.uni[empresa]"),AX$6)</f>
        <v>0</v>
      </c>
      <c r="AY30" s="182">
        <f ca="1">SUMIFS(rec.uni[2023-04-01],
INDIRECT("rec.uni[natureza]"),"repasse.cef.terreno",
INDIRECT("rec.uni[empresa]"),AY$6)</f>
        <v>0</v>
      </c>
      <c r="AZ30" s="182">
        <v>0</v>
      </c>
      <c r="BA30" s="182">
        <f ca="1">SUMIFS(rec.uni[2023-04-01],
INDIRECT("rec.uni[natureza]"),"taxa.extra",
INDIRECT("rec.uni[empresa]"),BA$6)</f>
        <v>0</v>
      </c>
      <c r="BB30" s="170"/>
      <c r="BC30" s="182" cm="1">
        <f t="array" ref="BC3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D30" s="182" cm="1">
        <f t="array" ref="BD3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E30" s="182" cm="1">
        <f t="array" ref="BE3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F30" s="182" cm="1">
        <f t="array" ref="BF3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G30" s="183" cm="1">
        <f t="array" ref="BG3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BH30" s="181">
        <f>COUNTIFS(
    estq[empresa], BH$6,
    estq[Data da venda / reserva], "&gt;=" &amp; $A30,
    estq[Data da venda / reserva], "&lt;"  &amp; EOMONTH($A30,0) + 1
)</f>
        <v>0</v>
      </c>
      <c r="BI30" s="182">
        <f ca="1">SUMIFS(rec.uni[2023-04-01],
INDIRECT("rec.uni[natureza]"),"pro.soluto",
INDIRECT("rec.uni[empresa]"),BI$6)</f>
        <v>0</v>
      </c>
      <c r="BJ30" s="170">
        <v>0</v>
      </c>
      <c r="BK30" s="182">
        <f ca="1">SUMIFS(rec.uni[2023-04-01],
INDIRECT("rec.uni[natureza]"),"taxa.extra",
INDIRECT("rec.uni[empresa]"),BK$6)</f>
        <v>0</v>
      </c>
      <c r="BL30" s="170"/>
      <c r="BM30" s="182" cm="1">
        <f t="array" ref="BM3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N30" s="182" cm="1">
        <f t="array" ref="BN3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O30" s="182" cm="1">
        <f t="array" ref="BO3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P30" s="182" cm="1">
        <f t="array" ref="BP3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Q30" s="183" cm="1">
        <f t="array" ref="BQ3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R30" s="181">
        <f>COUNTIFS(
    estq[empresa], BR$6,
    estq[Data da venda / reserva], "&gt;=" &amp; $A30,
    estq[Data da venda / reserva], "&lt;"  &amp; EOMONTH($A30,0) + 1
)</f>
        <v>0</v>
      </c>
      <c r="BS30" s="182">
        <f ca="1">SUMIFS(rec.uni[2023-04-01],
INDIRECT("rec.uni[natureza]"),"pro.soluto",
INDIRECT("rec.uni[empresa]"),BS$6)</f>
        <v>0</v>
      </c>
      <c r="BT30" s="182">
        <f ca="1">SUMIFS(rec.uni[2023-04-01],
INDIRECT("rec.uni[natureza]"),"pro.soluto",
INDIRECT("rec.uni[empresa]"),BT$6)</f>
        <v>0</v>
      </c>
      <c r="BU30" s="182">
        <f ca="1">SUMIFS(rec.uni[2023-04-01],
INDIRECT("rec.uni[natureza]"),"taxa.extra",
INDIRECT("rec.uni[empresa]"),BU$6)</f>
        <v>0</v>
      </c>
      <c r="BV30" s="170"/>
      <c r="BW30" s="182" cm="1">
        <f t="array" ref="BW3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BX30" s="182" cm="1">
        <f t="array" ref="BX3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BY30" s="182" cm="1">
        <f t="array" ref="BY3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BZ30" s="182" cm="1">
        <f t="array" ref="BZ3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CA30" s="183" cm="1">
        <f t="array" ref="CA3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(desp[data.pagamento]&gt;=$A30)*
    (desp[data.pagamento]&lt;EOMONTH($A30,0)+1)
  )
)</f>
        <v>0</v>
      </c>
      <c r="CB30" s="181">
        <f>COUNTIFS(
    estq[empresa], CB$6,
    estq[Data da venda / reserva], "&gt;=" &amp; $A30,
    estq[Data da venda / reserva], "&lt;"  &amp; EOMONTH($A30,0) + 1
)</f>
        <v>0</v>
      </c>
      <c r="CC30" s="182">
        <f ca="1">SUMIFS(rec.uni[2023-04-01],
INDIRECT("rec.uni[natureza]"),"pro.soluto",
INDIRECT("rec.uni[empresa]"),CC$6)</f>
        <v>0</v>
      </c>
      <c r="CD30" s="182">
        <f ca="1">SUMIFS(rec.uni[2023-04-01],
INDIRECT("rec.uni[natureza]"),"repasse.cef.obra",
INDIRECT("rec.uni[empresa]"),CD$6)</f>
        <v>0</v>
      </c>
      <c r="CE30" s="182">
        <f ca="1">SUMIFS(rec.uni[2023-04-01],
INDIRECT("rec.uni[natureza]"),"repasse.cef.terreno",
INDIRECT("rec.uni[empresa]"),CE$6)</f>
        <v>0</v>
      </c>
      <c r="CF30" s="182">
        <v>0</v>
      </c>
      <c r="CG30" s="182">
        <f ca="1">SUMIFS(rec.uni[2023-04-01],
INDIRECT("rec.uni[natureza]"),"taxa.extra",
INDIRECT("rec.uni[empresa]"),CG$6)</f>
        <v>0</v>
      </c>
      <c r="CH30" s="170"/>
      <c r="CI30" s="182" cm="1">
        <f t="array" ref="CI3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J30" s="182" cm="1">
        <f t="array" ref="CJ3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K30" s="182" cm="1">
        <f t="array" ref="CK3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L30" s="182" cm="1">
        <f t="array" ref="CL3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M30" s="183" cm="1">
        <f t="array" ref="CM3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CN30" s="181">
        <f>COUNTIFS(
    estq[empresa], CN$6,
    estq[Data da venda / reserva], "&gt;=" &amp; $A30,
    estq[Data da venda / reserva], "&lt;"  &amp; EOMONTH($A30,0) + 1
)</f>
        <v>0</v>
      </c>
      <c r="CO30" s="182">
        <f ca="1">SUMIFS(rec.uni[2023-04-01],
INDIRECT("rec.uni[natureza]"),"pro.soluto",
INDIRECT("rec.uni[empresa]"),CO$6)</f>
        <v>0</v>
      </c>
      <c r="CP30" s="182">
        <f ca="1">SUMIFS(rec.uni[2023-04-01],
INDIRECT("rec.uni[natureza]"),"repasse.cef.obra",
INDIRECT("rec.uni[empresa]"),CP$6)</f>
        <v>0</v>
      </c>
      <c r="CQ30" s="182">
        <f ca="1">SUMIFS(rec.uni[2023-04-01],
INDIRECT("rec.uni[natureza]"),"repasse.cef.terreno",
INDIRECT("rec.uni[empresa]"),CQ$6)</f>
        <v>0</v>
      </c>
      <c r="CR30" s="182">
        <v>0</v>
      </c>
      <c r="CS30" s="182">
        <f ca="1">SUMIFS(rec.uni[2023-04-01],
INDIRECT("rec.uni[natureza]"),"taxa.extra",
INDIRECT("rec.uni[empresa]"),CS$6)</f>
        <v>0</v>
      </c>
      <c r="CT30" s="170"/>
      <c r="CU30" s="182" cm="1">
        <f t="array" ref="CU3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V30" s="182" cm="1">
        <f t="array" ref="CV3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W30" s="182" cm="1">
        <f t="array" ref="CW3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X30" s="182" cm="1">
        <f t="array" ref="CX3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Y30" s="184" cm="1">
        <f t="array" ref="CY3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</row>
    <row r="31" spans="1:103" x14ac:dyDescent="0.25">
      <c r="A31" s="180">
        <v>45047</v>
      </c>
      <c r="B31" s="181">
        <f>COUNTIFS(
    estq[empresa], B$6,
    estq[Data da venda / reserva], "&gt;=" &amp; $A31,
    estq[Data da venda / reserva], "&lt;"  &amp; EOMONTH($A31,0) + 1
)</f>
        <v>0</v>
      </c>
      <c r="C31" s="182">
        <f ca="1">SUMIFS(rec.uni[2023-05-01],
INDIRECT("rec.uni[natureza]"),"pro.soluto",
INDIRECT("rec.uni[empresa]"),C$6)</f>
        <v>0</v>
      </c>
      <c r="D31" s="182">
        <f ca="1">SUMIFS(rec.uni[2023-05-01],
INDIRECT("rec.uni[natureza]"),"repasse.cef.obra",
INDIRECT("rec.uni[empresa]"),D$6)</f>
        <v>0</v>
      </c>
      <c r="E31" s="182">
        <f ca="1">SUMIFS(rec.uni[2023-05-01],
INDIRECT("rec.uni[natureza]"),"repasse.cef.terreno",
INDIRECT("rec.uni[empresa]"),E$6)</f>
        <v>0</v>
      </c>
      <c r="F31" s="182">
        <v>0</v>
      </c>
      <c r="G31" s="182">
        <f ca="1">SUMIFS(rec.uni[2023-05-01],
INDIRECT("rec.uni[natureza]"),"taxa.extra",
INDIRECT("rec.uni[empresa]"),G$6)</f>
        <v>0</v>
      </c>
      <c r="H31" s="170"/>
      <c r="I31" s="182" cm="1">
        <f t="array" ref="I3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J31" s="182" cm="1">
        <f t="array" ref="J3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K31" s="182" cm="1">
        <f t="array" ref="K3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L31" s="182" cm="1">
        <f t="array" ref="L3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M31" s="183" cm="1">
        <f t="array" ref="M3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N31" s="181">
        <f>COUNTIFS(
    estq[empresa], N$6,
    estq[Data da venda / reserva], "&gt;=" &amp; $A31,
    estq[Data da venda / reserva], "&lt;"  &amp; EOMONTH($A31,0) + 1
)</f>
        <v>0</v>
      </c>
      <c r="O31" s="182">
        <f ca="1">SUMIFS(rec.uni[2023-05-01],
INDIRECT("rec.uni[natureza]"),"pro.soluto",
INDIRECT("rec.uni[empresa]"),O$6)</f>
        <v>0</v>
      </c>
      <c r="P31" s="182">
        <f ca="1">SUMIFS(rec.uni[2023-05-01],
INDIRECT("rec.uni[natureza]"),"repasse.cef.obra",
INDIRECT("rec.uni[empresa]"),P$6)</f>
        <v>0</v>
      </c>
      <c r="Q31" s="182">
        <f ca="1">SUMIFS(rec.uni[2023-05-01],
INDIRECT("rec.uni[natureza]"),"repasse.cef.terreno",
INDIRECT("rec.uni[empresa]"),Q$6)</f>
        <v>0</v>
      </c>
      <c r="R31" s="182">
        <v>0</v>
      </c>
      <c r="S31" s="182">
        <f ca="1">SUMIFS(rec.uni[2023-05-01],
INDIRECT("rec.uni[natureza]"),"taxa.extra",
INDIRECT("rec.uni[empresa]"),S$6)</f>
        <v>0</v>
      </c>
      <c r="T31" s="170"/>
      <c r="U31" s="182" cm="1">
        <f t="array" ref="U3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V31" s="182" cm="1">
        <f t="array" ref="V3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W31" s="182" cm="1">
        <f t="array" ref="W3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X31" s="182" cm="1">
        <f t="array" ref="X3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Y31" s="183" cm="1">
        <f t="array" ref="Y3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Z31" s="181">
        <f>COUNTIFS(
    estq[empresa], Z$6,
    estq[Data da venda / reserva], "&gt;=" &amp; $A31,
    estq[Data da venda / reserva], "&lt;"  &amp; EOMONTH($A31,0) + 1
)</f>
        <v>0</v>
      </c>
      <c r="AA31" s="182">
        <f ca="1">SUMIFS(rec.uni[2023-05-01],
INDIRECT("rec.uni[natureza]"),"pro.soluto",
INDIRECT("rec.uni[empresa]"),AA$6)</f>
        <v>0</v>
      </c>
      <c r="AB31" s="182">
        <f ca="1">SUMIFS(rec.uni[2023-05-01],
INDIRECT("rec.uni[natureza]"),"pro.soluto",
INDIRECT("rec.uni[empresa]"),AB$6)</f>
        <v>0</v>
      </c>
      <c r="AC31" s="182">
        <f ca="1">SUMIFS(rec.uni[2023-05-01],
INDIRECT("rec.uni[natureza]"),"taxa.extra",
INDIRECT("rec.uni[empresa]"),AC$6)</f>
        <v>0</v>
      </c>
      <c r="AD31" s="170"/>
      <c r="AE31" s="182" cm="1">
        <f t="array" ref="AE3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F31" s="182" cm="1">
        <f t="array" ref="AF3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G31" s="182" cm="1">
        <f t="array" ref="AG3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H31" s="182" cm="1">
        <f t="array" ref="AH3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I31" s="183" cm="1">
        <f t="array" ref="AI3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(desp[data.pagamento]&gt;=$A31)*
    (desp[data.pagamento]&lt;EOMONTH($A31,0)+1)
  )
)</f>
        <v>0</v>
      </c>
      <c r="AJ31" s="181">
        <f>COUNTIFS(
    estq[empresa], AJ$6,
    estq[Data da venda / reserva], "&gt;=" &amp; $A31,
    estq[Data da venda / reserva], "&lt;"  &amp; EOMONTH($A31,0) + 1
)</f>
        <v>0</v>
      </c>
      <c r="AK31" s="182">
        <f ca="1">SUMIFS(rec.uni[2023-05-01],
INDIRECT("rec.uni[natureza]"),"pro.soluto",
INDIRECT("rec.uni[empresa]"),AK$6)</f>
        <v>0</v>
      </c>
      <c r="AL31" s="182">
        <f ca="1">SUMIFS(rec.uni[2023-05-01],
INDIRECT("rec.uni[natureza]"),"repasse.cef.obra",
INDIRECT("rec.uni[empresa]"),AL$6)</f>
        <v>0</v>
      </c>
      <c r="AM31" s="182">
        <f ca="1">SUMIFS(rec.uni[2023-05-01],
INDIRECT("rec.uni[natureza]"),"repasse.cef.terreno",
INDIRECT("rec.uni[empresa]"),AM$6)</f>
        <v>0</v>
      </c>
      <c r="AN31" s="182">
        <v>0</v>
      </c>
      <c r="AO31" s="182">
        <f ca="1">SUMIFS(rec.uni[2023-05-01],
INDIRECT("rec.uni[natureza]"),"taxa.extra",
INDIRECT("rec.uni[empresa]"),AO$6)</f>
        <v>0</v>
      </c>
      <c r="AP31" s="170"/>
      <c r="AQ31" s="182" cm="1">
        <f t="array" ref="AQ3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R31" s="182" cm="1">
        <f t="array" ref="AR3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S31" s="182" cm="1">
        <f t="array" ref="AS3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T31" s="182" cm="1">
        <f t="array" ref="AT3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U31" s="183" cm="1">
        <f t="array" ref="AU3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V31" s="181">
        <f>COUNTIFS(
    estq[empresa], AV$6,
    estq[Data da venda / reserva], "&gt;=" &amp; $A31,
    estq[Data da venda / reserva], "&lt;"  &amp; EOMONTH($A31,0) + 1
)</f>
        <v>0</v>
      </c>
      <c r="AW31" s="182">
        <f ca="1">SUMIFS(rec.uni[2023-05-01],
INDIRECT("rec.uni[natureza]"),"pro.soluto",
INDIRECT("rec.uni[empresa]"),AW$6)</f>
        <v>0</v>
      </c>
      <c r="AX31" s="182">
        <f ca="1">SUMIFS(rec.uni[2023-05-01],
INDIRECT("rec.uni[natureza]"),"repasse.cef.obra",
INDIRECT("rec.uni[empresa]"),AX$6)</f>
        <v>0</v>
      </c>
      <c r="AY31" s="182">
        <f ca="1">SUMIFS(rec.uni[2023-05-01],
INDIRECT("rec.uni[natureza]"),"repasse.cef.terreno",
INDIRECT("rec.uni[empresa]"),AY$6)</f>
        <v>0</v>
      </c>
      <c r="AZ31" s="182">
        <v>0</v>
      </c>
      <c r="BA31" s="182">
        <f ca="1">SUMIFS(rec.uni[2023-05-01],
INDIRECT("rec.uni[natureza]"),"taxa.extra",
INDIRECT("rec.uni[empresa]"),BA$6)</f>
        <v>0</v>
      </c>
      <c r="BB31" s="170"/>
      <c r="BC31" s="182" cm="1">
        <f t="array" ref="BC3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D31" s="182" cm="1">
        <f t="array" ref="BD3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E31" s="182" cm="1">
        <f t="array" ref="BE3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F31" s="182" cm="1">
        <f t="array" ref="BF3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G31" s="183" cm="1">
        <f t="array" ref="BG3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BH31" s="181">
        <f>COUNTIFS(
    estq[empresa], BH$6,
    estq[Data da venda / reserva], "&gt;=" &amp; $A31,
    estq[Data da venda / reserva], "&lt;"  &amp; EOMONTH($A31,0) + 1
)</f>
        <v>0</v>
      </c>
      <c r="BI31" s="182">
        <f ca="1">SUMIFS(rec.uni[2023-05-01],
INDIRECT("rec.uni[natureza]"),"pro.soluto",
INDIRECT("rec.uni[empresa]"),BI$6)</f>
        <v>0</v>
      </c>
      <c r="BJ31" s="170">
        <v>0</v>
      </c>
      <c r="BK31" s="182">
        <f ca="1">SUMIFS(rec.uni[2023-05-01],
INDIRECT("rec.uni[natureza]"),"taxa.extra",
INDIRECT("rec.uni[empresa]"),BK$6)</f>
        <v>0</v>
      </c>
      <c r="BL31" s="170"/>
      <c r="BM31" s="182" cm="1">
        <f t="array" ref="BM3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N31" s="182" cm="1">
        <f t="array" ref="BN3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O31" s="182" cm="1">
        <f t="array" ref="BO3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P31" s="182" cm="1">
        <f t="array" ref="BP3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Q31" s="183" cm="1">
        <f t="array" ref="BQ3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R31" s="181">
        <f>COUNTIFS(
    estq[empresa], BR$6,
    estq[Data da venda / reserva], "&gt;=" &amp; $A31,
    estq[Data da venda / reserva], "&lt;"  &amp; EOMONTH($A31,0) + 1
)</f>
        <v>0</v>
      </c>
      <c r="BS31" s="182">
        <f ca="1">SUMIFS(rec.uni[2023-05-01],
INDIRECT("rec.uni[natureza]"),"pro.soluto",
INDIRECT("rec.uni[empresa]"),BS$6)</f>
        <v>0</v>
      </c>
      <c r="BT31" s="182">
        <f ca="1">SUMIFS(rec.uni[2023-05-01],
INDIRECT("rec.uni[natureza]"),"pro.soluto",
INDIRECT("rec.uni[empresa]"),BT$6)</f>
        <v>0</v>
      </c>
      <c r="BU31" s="182">
        <f ca="1">SUMIFS(rec.uni[2023-05-01],
INDIRECT("rec.uni[natureza]"),"taxa.extra",
INDIRECT("rec.uni[empresa]"),BU$6)</f>
        <v>0</v>
      </c>
      <c r="BV31" s="170"/>
      <c r="BW31" s="182" cm="1">
        <f t="array" ref="BW3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BX31" s="182" cm="1">
        <f t="array" ref="BX3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BY31" s="182" cm="1">
        <f t="array" ref="BY3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BZ31" s="182" cm="1">
        <f t="array" ref="BZ3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CA31" s="183" cm="1">
        <f t="array" ref="CA3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(desp[data.pagamento]&gt;=$A31)*
    (desp[data.pagamento]&lt;EOMONTH($A31,0)+1)
  )
)</f>
        <v>0</v>
      </c>
      <c r="CB31" s="181">
        <f>COUNTIFS(
    estq[empresa], CB$6,
    estq[Data da venda / reserva], "&gt;=" &amp; $A31,
    estq[Data da venda / reserva], "&lt;"  &amp; EOMONTH($A31,0) + 1
)</f>
        <v>0</v>
      </c>
      <c r="CC31" s="182">
        <f ca="1">SUMIFS(rec.uni[2023-05-01],
INDIRECT("rec.uni[natureza]"),"pro.soluto",
INDIRECT("rec.uni[empresa]"),CC$6)</f>
        <v>0</v>
      </c>
      <c r="CD31" s="182">
        <f ca="1">SUMIFS(rec.uni[2023-05-01],
INDIRECT("rec.uni[natureza]"),"repasse.cef.obra",
INDIRECT("rec.uni[empresa]"),CD$6)</f>
        <v>0</v>
      </c>
      <c r="CE31" s="182">
        <f ca="1">SUMIFS(rec.uni[2023-05-01],
INDIRECT("rec.uni[natureza]"),"repasse.cef.terreno",
INDIRECT("rec.uni[empresa]"),CE$6)</f>
        <v>0</v>
      </c>
      <c r="CF31" s="182">
        <v>0</v>
      </c>
      <c r="CG31" s="182">
        <f ca="1">SUMIFS(rec.uni[2023-05-01],
INDIRECT("rec.uni[natureza]"),"taxa.extra",
INDIRECT("rec.uni[empresa]"),CG$6)</f>
        <v>0</v>
      </c>
      <c r="CH31" s="170"/>
      <c r="CI31" s="182" cm="1">
        <f t="array" ref="CI3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J31" s="182" cm="1">
        <f t="array" ref="CJ3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K31" s="182" cm="1">
        <f t="array" ref="CK3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L31" s="182" cm="1">
        <f t="array" ref="CL3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M31" s="183" cm="1">
        <f t="array" ref="CM3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CN31" s="181">
        <f>COUNTIFS(
    estq[empresa], CN$6,
    estq[Data da venda / reserva], "&gt;=" &amp; $A31,
    estq[Data da venda / reserva], "&lt;"  &amp; EOMONTH($A31,0) + 1
)</f>
        <v>0</v>
      </c>
      <c r="CO31" s="182">
        <f ca="1">SUMIFS(rec.uni[2023-05-01],
INDIRECT("rec.uni[natureza]"),"pro.soluto",
INDIRECT("rec.uni[empresa]"),CO$6)</f>
        <v>0</v>
      </c>
      <c r="CP31" s="182">
        <f ca="1">SUMIFS(rec.uni[2023-05-01],
INDIRECT("rec.uni[natureza]"),"repasse.cef.obra",
INDIRECT("rec.uni[empresa]"),CP$6)</f>
        <v>0</v>
      </c>
      <c r="CQ31" s="182">
        <f ca="1">SUMIFS(rec.uni[2023-05-01],
INDIRECT("rec.uni[natureza]"),"repasse.cef.terreno",
INDIRECT("rec.uni[empresa]"),CQ$6)</f>
        <v>0</v>
      </c>
      <c r="CR31" s="182">
        <v>0</v>
      </c>
      <c r="CS31" s="182">
        <f ca="1">SUMIFS(rec.uni[2023-05-01],
INDIRECT("rec.uni[natureza]"),"taxa.extra",
INDIRECT("rec.uni[empresa]"),CS$6)</f>
        <v>0</v>
      </c>
      <c r="CT31" s="170"/>
      <c r="CU31" s="182" cm="1">
        <f t="array" ref="CU3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V31" s="182" cm="1">
        <f t="array" ref="CV3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W31" s="182" cm="1">
        <f t="array" ref="CW3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X31" s="182" cm="1">
        <f t="array" ref="CX3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Y31" s="184" cm="1">
        <f t="array" ref="CY3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</row>
    <row r="32" spans="1:103" x14ac:dyDescent="0.25">
      <c r="A32" s="180">
        <v>45078</v>
      </c>
      <c r="B32" s="181">
        <f>COUNTIFS(
    estq[empresa], B$6,
    estq[Data da venda / reserva], "&gt;=" &amp; $A32,
    estq[Data da venda / reserva], "&lt;"  &amp; EOMONTH($A32,0) + 1
)</f>
        <v>0</v>
      </c>
      <c r="C32" s="182">
        <f ca="1">SUMIFS(rec.uni[2023-06-01],
INDIRECT("rec.uni[natureza]"),"pro.soluto",
INDIRECT("rec.uni[empresa]"),C$6)</f>
        <v>0</v>
      </c>
      <c r="D32" s="182">
        <f ca="1">SUMIFS(rec.uni[2023-06-01],
INDIRECT("rec.uni[natureza]"),"repasse.cef.obra",
INDIRECT("rec.uni[empresa]"),D$6)</f>
        <v>0</v>
      </c>
      <c r="E32" s="182">
        <f ca="1">SUMIFS(rec.uni[2023-06-01],
INDIRECT("rec.uni[natureza]"),"repasse.cef.terreno",
INDIRECT("rec.uni[empresa]"),E$6)</f>
        <v>0</v>
      </c>
      <c r="F32" s="182">
        <v>0</v>
      </c>
      <c r="G32" s="182">
        <f ca="1">SUMIFS(rec.uni[2023-06-01],
INDIRECT("rec.uni[natureza]"),"taxa.extra",
INDIRECT("rec.uni[empresa]"),G$6)</f>
        <v>0</v>
      </c>
      <c r="H32" s="170"/>
      <c r="I32" s="182" cm="1">
        <f t="array" ref="I3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J32" s="182" cm="1">
        <f t="array" ref="J3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K32" s="182" cm="1">
        <f t="array" ref="K3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L32" s="182" cm="1">
        <f t="array" ref="L3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M32" s="183" cm="1">
        <f t="array" ref="M3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N32" s="181">
        <f>COUNTIFS(
    estq[empresa], N$6,
    estq[Data da venda / reserva], "&gt;=" &amp; $A32,
    estq[Data da venda / reserva], "&lt;"  &amp; EOMONTH($A32,0) + 1
)</f>
        <v>0</v>
      </c>
      <c r="O32" s="182">
        <f ca="1">SUMIFS(rec.uni[2023-06-01],
INDIRECT("rec.uni[natureza]"),"pro.soluto",
INDIRECT("rec.uni[empresa]"),O$6)</f>
        <v>0</v>
      </c>
      <c r="P32" s="182">
        <f ca="1">SUMIFS(rec.uni[2023-06-01],
INDIRECT("rec.uni[natureza]"),"repasse.cef.obra",
INDIRECT("rec.uni[empresa]"),P$6)</f>
        <v>0</v>
      </c>
      <c r="Q32" s="182">
        <f ca="1">SUMIFS(rec.uni[2023-06-01],
INDIRECT("rec.uni[natureza]"),"repasse.cef.terreno",
INDIRECT("rec.uni[empresa]"),Q$6)</f>
        <v>0</v>
      </c>
      <c r="R32" s="182">
        <v>0</v>
      </c>
      <c r="S32" s="182">
        <f ca="1">SUMIFS(rec.uni[2023-06-01],
INDIRECT("rec.uni[natureza]"),"taxa.extra",
INDIRECT("rec.uni[empresa]"),S$6)</f>
        <v>0</v>
      </c>
      <c r="T32" s="170"/>
      <c r="U32" s="182" cm="1">
        <f t="array" ref="U3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V32" s="182" cm="1">
        <f t="array" ref="V3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W32" s="182" cm="1">
        <f t="array" ref="W3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X32" s="182" cm="1">
        <f t="array" ref="X3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Y32" s="183" cm="1">
        <f t="array" ref="Y3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Z32" s="181">
        <f>COUNTIFS(
    estq[empresa], Z$6,
    estq[Data da venda / reserva], "&gt;=" &amp; $A32,
    estq[Data da venda / reserva], "&lt;"  &amp; EOMONTH($A32,0) + 1
)</f>
        <v>0</v>
      </c>
      <c r="AA32" s="182">
        <f ca="1">SUMIFS(rec.uni[2023-06-01],
INDIRECT("rec.uni[natureza]"),"pro.soluto",
INDIRECT("rec.uni[empresa]"),AA$6)</f>
        <v>0</v>
      </c>
      <c r="AB32" s="182">
        <f ca="1">SUMIFS(rec.uni[2023-06-01],
INDIRECT("rec.uni[natureza]"),"pro.soluto",
INDIRECT("rec.uni[empresa]"),AB$6)</f>
        <v>0</v>
      </c>
      <c r="AC32" s="182">
        <f ca="1">SUMIFS(rec.uni[2023-06-01],
INDIRECT("rec.uni[natureza]"),"taxa.extra",
INDIRECT("rec.uni[empresa]"),AC$6)</f>
        <v>0</v>
      </c>
      <c r="AD32" s="170"/>
      <c r="AE32" s="182" cm="1">
        <f t="array" ref="AE3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F32" s="182" cm="1">
        <f t="array" ref="AF3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G32" s="182" cm="1">
        <f t="array" ref="AG3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H32" s="182" cm="1">
        <f t="array" ref="AH3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I32" s="183" cm="1">
        <f t="array" ref="AI3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(desp[data.pagamento]&gt;=$A32)*
    (desp[data.pagamento]&lt;EOMONTH($A32,0)+1)
  )
)</f>
        <v>0</v>
      </c>
      <c r="AJ32" s="181">
        <f>COUNTIFS(
    estq[empresa], AJ$6,
    estq[Data da venda / reserva], "&gt;=" &amp; $A32,
    estq[Data da venda / reserva], "&lt;"  &amp; EOMONTH($A32,0) + 1
)</f>
        <v>0</v>
      </c>
      <c r="AK32" s="182">
        <f ca="1">SUMIFS(rec.uni[2023-06-01],
INDIRECT("rec.uni[natureza]"),"pro.soluto",
INDIRECT("rec.uni[empresa]"),AK$6)</f>
        <v>0</v>
      </c>
      <c r="AL32" s="182">
        <f ca="1">SUMIFS(rec.uni[2023-06-01],
INDIRECT("rec.uni[natureza]"),"repasse.cef.obra",
INDIRECT("rec.uni[empresa]"),AL$6)</f>
        <v>0</v>
      </c>
      <c r="AM32" s="182">
        <f ca="1">SUMIFS(rec.uni[2023-06-01],
INDIRECT("rec.uni[natureza]"),"repasse.cef.terreno",
INDIRECT("rec.uni[empresa]"),AM$6)</f>
        <v>0</v>
      </c>
      <c r="AN32" s="182">
        <v>0</v>
      </c>
      <c r="AO32" s="182">
        <f ca="1">SUMIFS(rec.uni[2023-06-01],
INDIRECT("rec.uni[natureza]"),"taxa.extra",
INDIRECT("rec.uni[empresa]"),AO$6)</f>
        <v>0</v>
      </c>
      <c r="AP32" s="170"/>
      <c r="AQ32" s="182" cm="1">
        <f t="array" ref="AQ3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R32" s="182" cm="1">
        <f t="array" ref="AR3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S32" s="182" cm="1">
        <f t="array" ref="AS3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T32" s="182" cm="1">
        <f t="array" ref="AT3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U32" s="183" cm="1">
        <f t="array" ref="AU3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V32" s="181">
        <f>COUNTIFS(
    estq[empresa], AV$6,
    estq[Data da venda / reserva], "&gt;=" &amp; $A32,
    estq[Data da venda / reserva], "&lt;"  &amp; EOMONTH($A32,0) + 1
)</f>
        <v>0</v>
      </c>
      <c r="AW32" s="182">
        <f ca="1">SUMIFS(rec.uni[2023-06-01],
INDIRECT("rec.uni[natureza]"),"pro.soluto",
INDIRECT("rec.uni[empresa]"),AW$6)</f>
        <v>0</v>
      </c>
      <c r="AX32" s="182">
        <f ca="1">SUMIFS(rec.uni[2023-06-01],
INDIRECT("rec.uni[natureza]"),"repasse.cef.obra",
INDIRECT("rec.uni[empresa]"),AX$6)</f>
        <v>0</v>
      </c>
      <c r="AY32" s="182">
        <f ca="1">SUMIFS(rec.uni[2023-06-01],
INDIRECT("rec.uni[natureza]"),"repasse.cef.terreno",
INDIRECT("rec.uni[empresa]"),AY$6)</f>
        <v>0</v>
      </c>
      <c r="AZ32" s="182">
        <v>0</v>
      </c>
      <c r="BA32" s="182">
        <f ca="1">SUMIFS(rec.uni[2023-06-01],
INDIRECT("rec.uni[natureza]"),"taxa.extra",
INDIRECT("rec.uni[empresa]"),BA$6)</f>
        <v>0</v>
      </c>
      <c r="BB32" s="170"/>
      <c r="BC32" s="182" cm="1">
        <f t="array" ref="BC3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D32" s="182" cm="1">
        <f t="array" ref="BD3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E32" s="182" cm="1">
        <f t="array" ref="BE3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F32" s="182" cm="1">
        <f t="array" ref="BF3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G32" s="183" cm="1">
        <f t="array" ref="BG3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BH32" s="181">
        <f>COUNTIFS(
    estq[empresa], BH$6,
    estq[Data da venda / reserva], "&gt;=" &amp; $A32,
    estq[Data da venda / reserva], "&lt;"  &amp; EOMONTH($A32,0) + 1
)</f>
        <v>0</v>
      </c>
      <c r="BI32" s="182">
        <f ca="1">SUMIFS(rec.uni[2023-06-01],
INDIRECT("rec.uni[natureza]"),"pro.soluto",
INDIRECT("rec.uni[empresa]"),BI$6)</f>
        <v>0</v>
      </c>
      <c r="BJ32" s="170">
        <v>0</v>
      </c>
      <c r="BK32" s="182">
        <f ca="1">SUMIFS(rec.uni[2023-06-01],
INDIRECT("rec.uni[natureza]"),"taxa.extra",
INDIRECT("rec.uni[empresa]"),BK$6)</f>
        <v>0</v>
      </c>
      <c r="BL32" s="170"/>
      <c r="BM32" s="182" cm="1">
        <f t="array" ref="BM3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N32" s="182" cm="1">
        <f t="array" ref="BN3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O32" s="182" cm="1">
        <f t="array" ref="BO3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P32" s="182" cm="1">
        <f t="array" ref="BP3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Q32" s="183" cm="1">
        <f t="array" ref="BQ3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R32" s="181">
        <f>COUNTIFS(
    estq[empresa], BR$6,
    estq[Data da venda / reserva], "&gt;=" &amp; $A32,
    estq[Data da venda / reserva], "&lt;"  &amp; EOMONTH($A32,0) + 1
)</f>
        <v>0</v>
      </c>
      <c r="BS32" s="182">
        <f ca="1">SUMIFS(rec.uni[2023-06-01],
INDIRECT("rec.uni[natureza]"),"pro.soluto",
INDIRECT("rec.uni[empresa]"),BS$6)</f>
        <v>0</v>
      </c>
      <c r="BT32" s="182">
        <f ca="1">SUMIFS(rec.uni[2023-06-01],
INDIRECT("rec.uni[natureza]"),"pro.soluto",
INDIRECT("rec.uni[empresa]"),BT$6)</f>
        <v>0</v>
      </c>
      <c r="BU32" s="182">
        <f ca="1">SUMIFS(rec.uni[2023-06-01],
INDIRECT("rec.uni[natureza]"),"taxa.extra",
INDIRECT("rec.uni[empresa]"),BU$6)</f>
        <v>0</v>
      </c>
      <c r="BV32" s="170"/>
      <c r="BW32" s="182" cm="1">
        <f t="array" ref="BW3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BX32" s="182" cm="1">
        <f t="array" ref="BX3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BY32" s="182" cm="1">
        <f t="array" ref="BY3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BZ32" s="182" cm="1">
        <f t="array" ref="BZ3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CA32" s="183" cm="1">
        <f t="array" ref="CA3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(desp[data.pagamento]&gt;=$A32)*
    (desp[data.pagamento]&lt;EOMONTH($A32,0)+1)
  )
)</f>
        <v>0</v>
      </c>
      <c r="CB32" s="181">
        <f>COUNTIFS(
    estq[empresa], CB$6,
    estq[Data da venda / reserva], "&gt;=" &amp; $A32,
    estq[Data da venda / reserva], "&lt;"  &amp; EOMONTH($A32,0) + 1
)</f>
        <v>0</v>
      </c>
      <c r="CC32" s="182">
        <f ca="1">SUMIFS(rec.uni[2023-06-01],
INDIRECT("rec.uni[natureza]"),"pro.soluto",
INDIRECT("rec.uni[empresa]"),CC$6)</f>
        <v>0</v>
      </c>
      <c r="CD32" s="182">
        <f ca="1">SUMIFS(rec.uni[2023-06-01],
INDIRECT("rec.uni[natureza]"),"repasse.cef.obra",
INDIRECT("rec.uni[empresa]"),CD$6)</f>
        <v>0</v>
      </c>
      <c r="CE32" s="182">
        <f ca="1">SUMIFS(rec.uni[2023-06-01],
INDIRECT("rec.uni[natureza]"),"repasse.cef.terreno",
INDIRECT("rec.uni[empresa]"),CE$6)</f>
        <v>0</v>
      </c>
      <c r="CF32" s="182">
        <v>0</v>
      </c>
      <c r="CG32" s="182">
        <f ca="1">SUMIFS(rec.uni[2023-06-01],
INDIRECT("rec.uni[natureza]"),"taxa.extra",
INDIRECT("rec.uni[empresa]"),CG$6)</f>
        <v>0</v>
      </c>
      <c r="CH32" s="170"/>
      <c r="CI32" s="182" cm="1">
        <f t="array" ref="CI3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J32" s="182" cm="1">
        <f t="array" ref="CJ3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K32" s="182" cm="1">
        <f t="array" ref="CK3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L32" s="182" cm="1">
        <f t="array" ref="CL3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M32" s="183" cm="1">
        <f t="array" ref="CM3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CN32" s="181">
        <f>COUNTIFS(
    estq[empresa], CN$6,
    estq[Data da venda / reserva], "&gt;=" &amp; $A32,
    estq[Data da venda / reserva], "&lt;"  &amp; EOMONTH($A32,0) + 1
)</f>
        <v>0</v>
      </c>
      <c r="CO32" s="182">
        <f ca="1">SUMIFS(rec.uni[2023-06-01],
INDIRECT("rec.uni[natureza]"),"pro.soluto",
INDIRECT("rec.uni[empresa]"),CO$6)</f>
        <v>0</v>
      </c>
      <c r="CP32" s="182">
        <f ca="1">SUMIFS(rec.uni[2023-06-01],
INDIRECT("rec.uni[natureza]"),"repasse.cef.obra",
INDIRECT("rec.uni[empresa]"),CP$6)</f>
        <v>0</v>
      </c>
      <c r="CQ32" s="182">
        <f ca="1">SUMIFS(rec.uni[2023-06-01],
INDIRECT("rec.uni[natureza]"),"repasse.cef.terreno",
INDIRECT("rec.uni[empresa]"),CQ$6)</f>
        <v>0</v>
      </c>
      <c r="CR32" s="182">
        <v>0</v>
      </c>
      <c r="CS32" s="182">
        <f ca="1">SUMIFS(rec.uni[2023-06-01],
INDIRECT("rec.uni[natureza]"),"taxa.extra",
INDIRECT("rec.uni[empresa]"),CS$6)</f>
        <v>0</v>
      </c>
      <c r="CT32" s="170"/>
      <c r="CU32" s="182" cm="1">
        <f t="array" ref="CU3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V32" s="182" cm="1">
        <f t="array" ref="CV3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W32" s="182" cm="1">
        <f t="array" ref="CW3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X32" s="182" cm="1">
        <f t="array" ref="CX3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Y32" s="184" cm="1">
        <f t="array" ref="CY3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</row>
    <row r="33" spans="1:103" x14ac:dyDescent="0.25">
      <c r="A33" s="180">
        <v>45108</v>
      </c>
      <c r="B33" s="181">
        <f>COUNTIFS(
    estq[empresa], B$6,
    estq[Data da venda / reserva], "&gt;=" &amp; $A33,
    estq[Data da venda / reserva], "&lt;"  &amp; EOMONTH($A33,0) + 1
)</f>
        <v>0</v>
      </c>
      <c r="C33" s="182">
        <f ca="1">SUMIFS(rec.uni[2023-07-01],
INDIRECT("rec.uni[natureza]"),"pro.soluto",
INDIRECT("rec.uni[empresa]"),C$6)</f>
        <v>0</v>
      </c>
      <c r="D33" s="182">
        <f ca="1">SUMIFS(rec.uni[2023-07-01],
INDIRECT("rec.uni[natureza]"),"repasse.cef.obra",
INDIRECT("rec.uni[empresa]"),D$6)</f>
        <v>0</v>
      </c>
      <c r="E33" s="182">
        <f ca="1">SUMIFS(rec.uni[2023-07-01],
INDIRECT("rec.uni[natureza]"),"repasse.cef.terreno",
INDIRECT("rec.uni[empresa]"),E$6)</f>
        <v>0</v>
      </c>
      <c r="F33" s="182">
        <v>0</v>
      </c>
      <c r="G33" s="182">
        <f ca="1">SUMIFS(rec.uni[2023-07-01],
INDIRECT("rec.uni[natureza]"),"taxa.extra",
INDIRECT("rec.uni[empresa]"),G$6)</f>
        <v>0</v>
      </c>
      <c r="H33" s="170"/>
      <c r="I33" s="182" cm="1">
        <f t="array" ref="I3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J33" s="182" cm="1">
        <f t="array" ref="J3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K33" s="182" cm="1">
        <f t="array" ref="K3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L33" s="182" cm="1">
        <f t="array" ref="L3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M33" s="183" cm="1">
        <f t="array" ref="M3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N33" s="181">
        <f>COUNTIFS(
    estq[empresa], N$6,
    estq[Data da venda / reserva], "&gt;=" &amp; $A33,
    estq[Data da venda / reserva], "&lt;"  &amp; EOMONTH($A33,0) + 1
)</f>
        <v>0</v>
      </c>
      <c r="O33" s="182">
        <f ca="1">SUMIFS(rec.uni[2023-07-01],
INDIRECT("rec.uni[natureza]"),"pro.soluto",
INDIRECT("rec.uni[empresa]"),O$6)</f>
        <v>0</v>
      </c>
      <c r="P33" s="182">
        <f ca="1">SUMIFS(rec.uni[2023-07-01],
INDIRECT("rec.uni[natureza]"),"repasse.cef.obra",
INDIRECT("rec.uni[empresa]"),P$6)</f>
        <v>0</v>
      </c>
      <c r="Q33" s="182">
        <f ca="1">SUMIFS(rec.uni[2023-07-01],
INDIRECT("rec.uni[natureza]"),"repasse.cef.terreno",
INDIRECT("rec.uni[empresa]"),Q$6)</f>
        <v>0</v>
      </c>
      <c r="R33" s="182">
        <v>0</v>
      </c>
      <c r="S33" s="182">
        <f ca="1">SUMIFS(rec.uni[2023-07-01],
INDIRECT("rec.uni[natureza]"),"taxa.extra",
INDIRECT("rec.uni[empresa]"),S$6)</f>
        <v>0</v>
      </c>
      <c r="T33" s="170"/>
      <c r="U33" s="182" cm="1">
        <f t="array" ref="U3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V33" s="182" cm="1">
        <f t="array" ref="V3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W33" s="182" cm="1">
        <f t="array" ref="W3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X33" s="182" cm="1">
        <f t="array" ref="X3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Y33" s="183" cm="1">
        <f t="array" ref="Y3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Z33" s="181">
        <f>COUNTIFS(
    estq[empresa], Z$6,
    estq[Data da venda / reserva], "&gt;=" &amp; $A33,
    estq[Data da venda / reserva], "&lt;"  &amp; EOMONTH($A33,0) + 1
)</f>
        <v>0</v>
      </c>
      <c r="AA33" s="182">
        <f ca="1">SUMIFS(rec.uni[2023-07-01],
INDIRECT("rec.uni[natureza]"),"pro.soluto",
INDIRECT("rec.uni[empresa]"),AA$6)</f>
        <v>0</v>
      </c>
      <c r="AB33" s="182">
        <f ca="1">SUMIFS(rec.uni[2023-07-01],
INDIRECT("rec.uni[natureza]"),"pro.soluto",
INDIRECT("rec.uni[empresa]"),AB$6)</f>
        <v>0</v>
      </c>
      <c r="AC33" s="182">
        <f ca="1">SUMIFS(rec.uni[2023-07-01],
INDIRECT("rec.uni[natureza]"),"taxa.extra",
INDIRECT("rec.uni[empresa]"),AC$6)</f>
        <v>0</v>
      </c>
      <c r="AD33" s="170"/>
      <c r="AE33" s="182" cm="1">
        <f t="array" ref="AE3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F33" s="182" cm="1">
        <f t="array" ref="AF3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G33" s="182" cm="1">
        <f t="array" ref="AG3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H33" s="182" cm="1">
        <f t="array" ref="AH3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I33" s="183" cm="1">
        <f t="array" ref="AI3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(desp[data.pagamento]&gt;=$A33)*
    (desp[data.pagamento]&lt;EOMONTH($A33,0)+1)
  )
)</f>
        <v>0</v>
      </c>
      <c r="AJ33" s="181">
        <f>COUNTIFS(
    estq[empresa], AJ$6,
    estq[Data da venda / reserva], "&gt;=" &amp; $A33,
    estq[Data da venda / reserva], "&lt;"  &amp; EOMONTH($A33,0) + 1
)</f>
        <v>0</v>
      </c>
      <c r="AK33" s="182">
        <f ca="1">SUMIFS(rec.uni[2023-07-01],
INDIRECT("rec.uni[natureza]"),"pro.soluto",
INDIRECT("rec.uni[empresa]"),AK$6)</f>
        <v>0</v>
      </c>
      <c r="AL33" s="182">
        <f ca="1">SUMIFS(rec.uni[2023-07-01],
INDIRECT("rec.uni[natureza]"),"repasse.cef.obra",
INDIRECT("rec.uni[empresa]"),AL$6)</f>
        <v>0</v>
      </c>
      <c r="AM33" s="182">
        <f ca="1">SUMIFS(rec.uni[2023-07-01],
INDIRECT("rec.uni[natureza]"),"repasse.cef.terreno",
INDIRECT("rec.uni[empresa]"),AM$6)</f>
        <v>0</v>
      </c>
      <c r="AN33" s="182">
        <v>0</v>
      </c>
      <c r="AO33" s="182">
        <f ca="1">SUMIFS(rec.uni[2023-07-01],
INDIRECT("rec.uni[natureza]"),"taxa.extra",
INDIRECT("rec.uni[empresa]"),AO$6)</f>
        <v>0</v>
      </c>
      <c r="AP33" s="170"/>
      <c r="AQ33" s="182" cm="1">
        <f t="array" ref="AQ3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R33" s="182" cm="1">
        <f t="array" ref="AR3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S33" s="182" cm="1">
        <f t="array" ref="AS3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T33" s="182" cm="1">
        <f t="array" ref="AT3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U33" s="183" cm="1">
        <f t="array" ref="AU3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V33" s="181">
        <f>COUNTIFS(
    estq[empresa], AV$6,
    estq[Data da venda / reserva], "&gt;=" &amp; $A33,
    estq[Data da venda / reserva], "&lt;"  &amp; EOMONTH($A33,0) + 1
)</f>
        <v>0</v>
      </c>
      <c r="AW33" s="182">
        <f ca="1">SUMIFS(rec.uni[2023-07-01],
INDIRECT("rec.uni[natureza]"),"pro.soluto",
INDIRECT("rec.uni[empresa]"),AW$6)</f>
        <v>0</v>
      </c>
      <c r="AX33" s="182">
        <f ca="1">SUMIFS(rec.uni[2023-07-01],
INDIRECT("rec.uni[natureza]"),"repasse.cef.obra",
INDIRECT("rec.uni[empresa]"),AX$6)</f>
        <v>0</v>
      </c>
      <c r="AY33" s="182">
        <f ca="1">SUMIFS(rec.uni[2023-07-01],
INDIRECT("rec.uni[natureza]"),"repasse.cef.terreno",
INDIRECT("rec.uni[empresa]"),AY$6)</f>
        <v>0</v>
      </c>
      <c r="AZ33" s="182">
        <v>0</v>
      </c>
      <c r="BA33" s="182">
        <f ca="1">SUMIFS(rec.uni[2023-07-01],
INDIRECT("rec.uni[natureza]"),"taxa.extra",
INDIRECT("rec.uni[empresa]"),BA$6)</f>
        <v>0</v>
      </c>
      <c r="BB33" s="170"/>
      <c r="BC33" s="182" cm="1">
        <f t="array" ref="BC3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D33" s="182" cm="1">
        <f t="array" ref="BD3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E33" s="182" cm="1">
        <f t="array" ref="BE3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F33" s="182" cm="1">
        <f t="array" ref="BF3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G33" s="183" cm="1">
        <f t="array" ref="BG3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BH33" s="181">
        <f>COUNTIFS(
    estq[empresa], BH$6,
    estq[Data da venda / reserva], "&gt;=" &amp; $A33,
    estq[Data da venda / reserva], "&lt;"  &amp; EOMONTH($A33,0) + 1
)</f>
        <v>0</v>
      </c>
      <c r="BI33" s="182">
        <f ca="1">SUMIFS(rec.uni[2023-07-01],
INDIRECT("rec.uni[natureza]"),"pro.soluto",
INDIRECT("rec.uni[empresa]"),BI$6)</f>
        <v>0</v>
      </c>
      <c r="BJ33" s="170">
        <v>0</v>
      </c>
      <c r="BK33" s="182">
        <f ca="1">SUMIFS(rec.uni[2023-07-01],
INDIRECT("rec.uni[natureza]"),"taxa.extra",
INDIRECT("rec.uni[empresa]"),BK$6)</f>
        <v>0</v>
      </c>
      <c r="BL33" s="170"/>
      <c r="BM33" s="182" cm="1">
        <f t="array" ref="BM3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N33" s="182" cm="1">
        <f t="array" ref="BN3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O33" s="182" cm="1">
        <f t="array" ref="BO3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P33" s="182" cm="1">
        <f t="array" ref="BP3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Q33" s="183" cm="1">
        <f t="array" ref="BQ3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R33" s="181">
        <f>COUNTIFS(
    estq[empresa], BR$6,
    estq[Data da venda / reserva], "&gt;=" &amp; $A33,
    estq[Data da venda / reserva], "&lt;"  &amp; EOMONTH($A33,0) + 1
)</f>
        <v>0</v>
      </c>
      <c r="BS33" s="182">
        <f ca="1">SUMIFS(rec.uni[2023-07-01],
INDIRECT("rec.uni[natureza]"),"pro.soluto",
INDIRECT("rec.uni[empresa]"),BS$6)</f>
        <v>0</v>
      </c>
      <c r="BT33" s="182">
        <f ca="1">SUMIFS(rec.uni[2023-07-01],
INDIRECT("rec.uni[natureza]"),"pro.soluto",
INDIRECT("rec.uni[empresa]"),BT$6)</f>
        <v>0</v>
      </c>
      <c r="BU33" s="182">
        <f ca="1">SUMIFS(rec.uni[2023-07-01],
INDIRECT("rec.uni[natureza]"),"taxa.extra",
INDIRECT("rec.uni[empresa]"),BU$6)</f>
        <v>0</v>
      </c>
      <c r="BV33" s="170"/>
      <c r="BW33" s="182" cm="1">
        <f t="array" ref="BW3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BX33" s="182" cm="1">
        <f t="array" ref="BX3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BY33" s="182" cm="1">
        <f t="array" ref="BY3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BZ33" s="182" cm="1">
        <f t="array" ref="BZ3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CA33" s="183" cm="1">
        <f t="array" ref="CA3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(desp[data.pagamento]&gt;=$A33)*
    (desp[data.pagamento]&lt;EOMONTH($A33,0)+1)
  )
)</f>
        <v>0</v>
      </c>
      <c r="CB33" s="181">
        <f>COUNTIFS(
    estq[empresa], CB$6,
    estq[Data da venda / reserva], "&gt;=" &amp; $A33,
    estq[Data da venda / reserva], "&lt;"  &amp; EOMONTH($A33,0) + 1
)</f>
        <v>0</v>
      </c>
      <c r="CC33" s="182">
        <f ca="1">SUMIFS(rec.uni[2023-07-01],
INDIRECT("rec.uni[natureza]"),"pro.soluto",
INDIRECT("rec.uni[empresa]"),CC$6)</f>
        <v>0</v>
      </c>
      <c r="CD33" s="182">
        <f ca="1">SUMIFS(rec.uni[2023-07-01],
INDIRECT("rec.uni[natureza]"),"repasse.cef.obra",
INDIRECT("rec.uni[empresa]"),CD$6)</f>
        <v>0</v>
      </c>
      <c r="CE33" s="182">
        <f ca="1">SUMIFS(rec.uni[2023-07-01],
INDIRECT("rec.uni[natureza]"),"repasse.cef.terreno",
INDIRECT("rec.uni[empresa]"),CE$6)</f>
        <v>0</v>
      </c>
      <c r="CF33" s="182">
        <v>0</v>
      </c>
      <c r="CG33" s="182">
        <f ca="1">SUMIFS(rec.uni[2023-07-01],
INDIRECT("rec.uni[natureza]"),"taxa.extra",
INDIRECT("rec.uni[empresa]"),CG$6)</f>
        <v>0</v>
      </c>
      <c r="CH33" s="170"/>
      <c r="CI33" s="182" cm="1">
        <f t="array" ref="CI3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J33" s="182" cm="1">
        <f t="array" ref="CJ3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K33" s="182" cm="1">
        <f t="array" ref="CK3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L33" s="182" cm="1">
        <f t="array" ref="CL3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M33" s="183" cm="1">
        <f t="array" ref="CM3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CN33" s="181">
        <f>COUNTIFS(
    estq[empresa], CN$6,
    estq[Data da venda / reserva], "&gt;=" &amp; $A33,
    estq[Data da venda / reserva], "&lt;"  &amp; EOMONTH($A33,0) + 1
)</f>
        <v>0</v>
      </c>
      <c r="CO33" s="182">
        <f ca="1">SUMIFS(rec.uni[2023-07-01],
INDIRECT("rec.uni[natureza]"),"pro.soluto",
INDIRECT("rec.uni[empresa]"),CO$6)</f>
        <v>0</v>
      </c>
      <c r="CP33" s="182">
        <f ca="1">SUMIFS(rec.uni[2023-07-01],
INDIRECT("rec.uni[natureza]"),"repasse.cef.obra",
INDIRECT("rec.uni[empresa]"),CP$6)</f>
        <v>0</v>
      </c>
      <c r="CQ33" s="182">
        <f ca="1">SUMIFS(rec.uni[2023-07-01],
INDIRECT("rec.uni[natureza]"),"repasse.cef.terreno",
INDIRECT("rec.uni[empresa]"),CQ$6)</f>
        <v>0</v>
      </c>
      <c r="CR33" s="182">
        <v>0</v>
      </c>
      <c r="CS33" s="182">
        <f ca="1">SUMIFS(rec.uni[2023-07-01],
INDIRECT("rec.uni[natureza]"),"taxa.extra",
INDIRECT("rec.uni[empresa]"),CS$6)</f>
        <v>0</v>
      </c>
      <c r="CT33" s="170"/>
      <c r="CU33" s="182" cm="1">
        <f t="array" ref="CU3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V33" s="182" cm="1">
        <f t="array" ref="CV3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W33" s="182" cm="1">
        <f t="array" ref="CW3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X33" s="182" cm="1">
        <f t="array" ref="CX3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Y33" s="184" cm="1">
        <f t="array" ref="CY3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</row>
    <row r="34" spans="1:103" x14ac:dyDescent="0.25">
      <c r="A34" s="180">
        <v>45139</v>
      </c>
      <c r="B34" s="181">
        <f>COUNTIFS(
    estq[empresa], B$6,
    estq[Data da venda / reserva], "&gt;=" &amp; $A34,
    estq[Data da venda / reserva], "&lt;"  &amp; EOMONTH($A34,0) + 1
)</f>
        <v>0</v>
      </c>
      <c r="C34" s="182">
        <f ca="1">SUMIFS(rec.uni[2023-08-01],
INDIRECT("rec.uni[natureza]"),"pro.soluto",
INDIRECT("rec.uni[empresa]"),C$6)</f>
        <v>0</v>
      </c>
      <c r="D34" s="182">
        <f ca="1">SUMIFS(rec.uni[2023-08-01],
INDIRECT("rec.uni[natureza]"),"repasse.cef.obra",
INDIRECT("rec.uni[empresa]"),D$6)</f>
        <v>0</v>
      </c>
      <c r="E34" s="182">
        <f ca="1">SUMIFS(rec.uni[2023-08-01],
INDIRECT("rec.uni[natureza]"),"repasse.cef.terreno",
INDIRECT("rec.uni[empresa]"),E$6)</f>
        <v>0</v>
      </c>
      <c r="F34" s="182">
        <v>0</v>
      </c>
      <c r="G34" s="182">
        <f ca="1">SUMIFS(rec.uni[2023-08-01],
INDIRECT("rec.uni[natureza]"),"taxa.extra",
INDIRECT("rec.uni[empresa]"),G$6)</f>
        <v>0</v>
      </c>
      <c r="H34" s="170"/>
      <c r="I34" s="182" cm="1">
        <f t="array" ref="I3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J34" s="182" cm="1">
        <f t="array" ref="J3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K34" s="182" cm="1">
        <f t="array" ref="K3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L34" s="182" cm="1">
        <f t="array" ref="L3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M34" s="183" cm="1">
        <f t="array" ref="M3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N34" s="181">
        <f>COUNTIFS(
    estq[empresa], N$6,
    estq[Data da venda / reserva], "&gt;=" &amp; $A34,
    estq[Data da venda / reserva], "&lt;"  &amp; EOMONTH($A34,0) + 1
)</f>
        <v>0</v>
      </c>
      <c r="O34" s="182">
        <f ca="1">SUMIFS(rec.uni[2023-08-01],
INDIRECT("rec.uni[natureza]"),"pro.soluto",
INDIRECT("rec.uni[empresa]"),O$6)</f>
        <v>0</v>
      </c>
      <c r="P34" s="182">
        <f ca="1">SUMIFS(rec.uni[2023-08-01],
INDIRECT("rec.uni[natureza]"),"repasse.cef.obra",
INDIRECT("rec.uni[empresa]"),P$6)</f>
        <v>0</v>
      </c>
      <c r="Q34" s="182">
        <f ca="1">SUMIFS(rec.uni[2023-08-01],
INDIRECT("rec.uni[natureza]"),"repasse.cef.terreno",
INDIRECT("rec.uni[empresa]"),Q$6)</f>
        <v>0</v>
      </c>
      <c r="R34" s="182">
        <v>327575.88</v>
      </c>
      <c r="S34" s="182">
        <f ca="1">SUMIFS(rec.uni[2023-08-01],
INDIRECT("rec.uni[natureza]"),"taxa.extra",
INDIRECT("rec.uni[empresa]"),S$6)</f>
        <v>0</v>
      </c>
      <c r="T34" s="170"/>
      <c r="U34" s="182" cm="1">
        <f t="array" ref="U3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V34" s="182" cm="1">
        <f t="array" ref="V3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W34" s="182" cm="1">
        <f t="array" ref="W3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X34" s="182" cm="1">
        <f t="array" ref="X3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Y34" s="183" cm="1">
        <f t="array" ref="Y3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Z34" s="181">
        <f>COUNTIFS(
    estq[empresa], Z$6,
    estq[Data da venda / reserva], "&gt;=" &amp; $A34,
    estq[Data da venda / reserva], "&lt;"  &amp; EOMONTH($A34,0) + 1
)</f>
        <v>0</v>
      </c>
      <c r="AA34" s="182">
        <f ca="1">SUMIFS(rec.uni[2023-08-01],
INDIRECT("rec.uni[natureza]"),"pro.soluto",
INDIRECT("rec.uni[empresa]"),AA$6)</f>
        <v>0</v>
      </c>
      <c r="AB34" s="182">
        <f ca="1">SUMIFS(rec.uni[2023-08-01],
INDIRECT("rec.uni[natureza]"),"pro.soluto",
INDIRECT("rec.uni[empresa]"),AB$6)</f>
        <v>0</v>
      </c>
      <c r="AC34" s="182">
        <f ca="1">SUMIFS(rec.uni[2023-08-01],
INDIRECT("rec.uni[natureza]"),"taxa.extra",
INDIRECT("rec.uni[empresa]"),AC$6)</f>
        <v>0</v>
      </c>
      <c r="AD34" s="170"/>
      <c r="AE34" s="182" cm="1">
        <f t="array" ref="AE3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F34" s="182" cm="1">
        <f t="array" ref="AF3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G34" s="182" cm="1">
        <f t="array" ref="AG3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H34" s="182" cm="1">
        <f t="array" ref="AH3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I34" s="183" cm="1">
        <f t="array" ref="AI3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(desp[data.pagamento]&gt;=$A34)*
    (desp[data.pagamento]&lt;EOMONTH($A34,0)+1)
  )
)</f>
        <v>0</v>
      </c>
      <c r="AJ34" s="181">
        <f>COUNTIFS(
    estq[empresa], AJ$6,
    estq[Data da venda / reserva], "&gt;=" &amp; $A34,
    estq[Data da venda / reserva], "&lt;"  &amp; EOMONTH($A34,0) + 1
)</f>
        <v>0</v>
      </c>
      <c r="AK34" s="182">
        <f ca="1">SUMIFS(rec.uni[2023-08-01],
INDIRECT("rec.uni[natureza]"),"pro.soluto",
INDIRECT("rec.uni[empresa]"),AK$6)</f>
        <v>0</v>
      </c>
      <c r="AL34" s="182">
        <f ca="1">SUMIFS(rec.uni[2023-08-01],
INDIRECT("rec.uni[natureza]"),"repasse.cef.obra",
INDIRECT("rec.uni[empresa]"),AL$6)</f>
        <v>0</v>
      </c>
      <c r="AM34" s="182">
        <f ca="1">SUMIFS(rec.uni[2023-08-01],
INDIRECT("rec.uni[natureza]"),"repasse.cef.terreno",
INDIRECT("rec.uni[empresa]"),AM$6)</f>
        <v>0</v>
      </c>
      <c r="AN34" s="182">
        <v>0</v>
      </c>
      <c r="AO34" s="182">
        <f ca="1">SUMIFS(rec.uni[2023-08-01],
INDIRECT("rec.uni[natureza]"),"taxa.extra",
INDIRECT("rec.uni[empresa]"),AO$6)</f>
        <v>0</v>
      </c>
      <c r="AP34" s="170"/>
      <c r="AQ34" s="182" cm="1">
        <f t="array" ref="AQ3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R34" s="182" cm="1">
        <f t="array" ref="AR3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S34" s="182" cm="1">
        <f t="array" ref="AS3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T34" s="182" cm="1">
        <f t="array" ref="AT3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U34" s="183" cm="1">
        <f t="array" ref="AU3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V34" s="181">
        <f>COUNTIFS(
    estq[empresa], AV$6,
    estq[Data da venda / reserva], "&gt;=" &amp; $A34,
    estq[Data da venda / reserva], "&lt;"  &amp; EOMONTH($A34,0) + 1
)</f>
        <v>0</v>
      </c>
      <c r="AW34" s="182">
        <f ca="1">SUMIFS(rec.uni[2023-08-01],
INDIRECT("rec.uni[natureza]"),"pro.soluto",
INDIRECT("rec.uni[empresa]"),AW$6)</f>
        <v>0</v>
      </c>
      <c r="AX34" s="182">
        <f ca="1">SUMIFS(rec.uni[2023-08-01],
INDIRECT("rec.uni[natureza]"),"repasse.cef.obra",
INDIRECT("rec.uni[empresa]"),AX$6)</f>
        <v>0</v>
      </c>
      <c r="AY34" s="182">
        <f ca="1">SUMIFS(rec.uni[2023-08-01],
INDIRECT("rec.uni[natureza]"),"repasse.cef.terreno",
INDIRECT("rec.uni[empresa]"),AY$6)</f>
        <v>0</v>
      </c>
      <c r="AZ34" s="182">
        <v>0</v>
      </c>
      <c r="BA34" s="182">
        <f ca="1">SUMIFS(rec.uni[2023-08-01],
INDIRECT("rec.uni[natureza]"),"taxa.extra",
INDIRECT("rec.uni[empresa]"),BA$6)</f>
        <v>0</v>
      </c>
      <c r="BB34" s="170"/>
      <c r="BC34" s="182" cm="1">
        <f t="array" ref="BC3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D34" s="182" cm="1">
        <f t="array" ref="BD3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E34" s="182" cm="1">
        <f t="array" ref="BE3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F34" s="182" cm="1">
        <f t="array" ref="BF3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G34" s="183" cm="1">
        <f t="array" ref="BG3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BH34" s="181">
        <f>COUNTIFS(
    estq[empresa], BH$6,
    estq[Data da venda / reserva], "&gt;=" &amp; $A34,
    estq[Data da venda / reserva], "&lt;"  &amp; EOMONTH($A34,0) + 1
)</f>
        <v>0</v>
      </c>
      <c r="BI34" s="182">
        <f ca="1">SUMIFS(rec.uni[2023-08-01],
INDIRECT("rec.uni[natureza]"),"pro.soluto",
INDIRECT("rec.uni[empresa]"),BI$6)</f>
        <v>0</v>
      </c>
      <c r="BJ34" s="170">
        <v>0</v>
      </c>
      <c r="BK34" s="182">
        <f ca="1">SUMIFS(rec.uni[2023-08-01],
INDIRECT("rec.uni[natureza]"),"taxa.extra",
INDIRECT("rec.uni[empresa]"),BK$6)</f>
        <v>0</v>
      </c>
      <c r="BL34" s="170"/>
      <c r="BM34" s="182" cm="1">
        <f t="array" ref="BM3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N34" s="182" cm="1">
        <f t="array" ref="BN3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O34" s="182" cm="1">
        <f t="array" ref="BO3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P34" s="182" cm="1">
        <f t="array" ref="BP3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Q34" s="183" cm="1">
        <f t="array" ref="BQ3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R34" s="181">
        <f>COUNTIFS(
    estq[empresa], BR$6,
    estq[Data da venda / reserva], "&gt;=" &amp; $A34,
    estq[Data da venda / reserva], "&lt;"  &amp; EOMONTH($A34,0) + 1
)</f>
        <v>0</v>
      </c>
      <c r="BS34" s="182">
        <f ca="1">SUMIFS(rec.uni[2023-08-01],
INDIRECT("rec.uni[natureza]"),"pro.soluto",
INDIRECT("rec.uni[empresa]"),BS$6)</f>
        <v>0</v>
      </c>
      <c r="BT34" s="182">
        <f ca="1">SUMIFS(rec.uni[2023-08-01],
INDIRECT("rec.uni[natureza]"),"pro.soluto",
INDIRECT("rec.uni[empresa]"),BT$6)</f>
        <v>0</v>
      </c>
      <c r="BU34" s="182">
        <f ca="1">SUMIFS(rec.uni[2023-08-01],
INDIRECT("rec.uni[natureza]"),"taxa.extra",
INDIRECT("rec.uni[empresa]"),BU$6)</f>
        <v>0</v>
      </c>
      <c r="BV34" s="170"/>
      <c r="BW34" s="182" cm="1">
        <f t="array" ref="BW3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BX34" s="182" cm="1">
        <f t="array" ref="BX3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BY34" s="182" cm="1">
        <f t="array" ref="BY3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BZ34" s="182" cm="1">
        <f t="array" ref="BZ3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CA34" s="183" cm="1">
        <f t="array" ref="CA3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(desp[data.pagamento]&gt;=$A34)*
    (desp[data.pagamento]&lt;EOMONTH($A34,0)+1)
  )
)</f>
        <v>0</v>
      </c>
      <c r="CB34" s="181">
        <f>COUNTIFS(
    estq[empresa], CB$6,
    estq[Data da venda / reserva], "&gt;=" &amp; $A34,
    estq[Data da venda / reserva], "&lt;"  &amp; EOMONTH($A34,0) + 1
)</f>
        <v>0</v>
      </c>
      <c r="CC34" s="182">
        <f ca="1">SUMIFS(rec.uni[2023-08-01],
INDIRECT("rec.uni[natureza]"),"pro.soluto",
INDIRECT("rec.uni[empresa]"),CC$6)</f>
        <v>0</v>
      </c>
      <c r="CD34" s="182">
        <f ca="1">SUMIFS(rec.uni[2023-08-01],
INDIRECT("rec.uni[natureza]"),"repasse.cef.obra",
INDIRECT("rec.uni[empresa]"),CD$6)</f>
        <v>0</v>
      </c>
      <c r="CE34" s="182">
        <f ca="1">SUMIFS(rec.uni[2023-08-01],
INDIRECT("rec.uni[natureza]"),"repasse.cef.terreno",
INDIRECT("rec.uni[empresa]"),CE$6)</f>
        <v>0</v>
      </c>
      <c r="CF34" s="182">
        <v>0</v>
      </c>
      <c r="CG34" s="182">
        <f ca="1">SUMIFS(rec.uni[2023-08-01],
INDIRECT("rec.uni[natureza]"),"taxa.extra",
INDIRECT("rec.uni[empresa]"),CG$6)</f>
        <v>0</v>
      </c>
      <c r="CH34" s="170"/>
      <c r="CI34" s="182" cm="1">
        <f t="array" ref="CI3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J34" s="182" cm="1">
        <f t="array" ref="CJ3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K34" s="182" cm="1">
        <f t="array" ref="CK3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L34" s="182" cm="1">
        <f t="array" ref="CL3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M34" s="183" cm="1">
        <f t="array" ref="CM3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CN34" s="181">
        <f>COUNTIFS(
    estq[empresa], CN$6,
    estq[Data da venda / reserva], "&gt;=" &amp; $A34,
    estq[Data da venda / reserva], "&lt;"  &amp; EOMONTH($A34,0) + 1
)</f>
        <v>0</v>
      </c>
      <c r="CO34" s="182">
        <f ca="1">SUMIFS(rec.uni[2023-08-01],
INDIRECT("rec.uni[natureza]"),"pro.soluto",
INDIRECT("rec.uni[empresa]"),CO$6)</f>
        <v>0</v>
      </c>
      <c r="CP34" s="182">
        <f ca="1">SUMIFS(rec.uni[2023-08-01],
INDIRECT("rec.uni[natureza]"),"repasse.cef.obra",
INDIRECT("rec.uni[empresa]"),CP$6)</f>
        <v>0</v>
      </c>
      <c r="CQ34" s="182">
        <f ca="1">SUMIFS(rec.uni[2023-08-01],
INDIRECT("rec.uni[natureza]"),"repasse.cef.terreno",
INDIRECT("rec.uni[empresa]"),CQ$6)</f>
        <v>0</v>
      </c>
      <c r="CR34" s="182">
        <v>0</v>
      </c>
      <c r="CS34" s="182">
        <f ca="1">SUMIFS(rec.uni[2023-08-01],
INDIRECT("rec.uni[natureza]"),"taxa.extra",
INDIRECT("rec.uni[empresa]"),CS$6)</f>
        <v>0</v>
      </c>
      <c r="CT34" s="170"/>
      <c r="CU34" s="182" cm="1">
        <f t="array" ref="CU3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V34" s="182" cm="1">
        <f t="array" ref="CV3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W34" s="182" cm="1">
        <f t="array" ref="CW3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X34" s="182" cm="1">
        <f t="array" ref="CX3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Y34" s="184" cm="1">
        <f t="array" ref="CY3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</row>
    <row r="35" spans="1:103" x14ac:dyDescent="0.25">
      <c r="A35" s="180">
        <v>45170</v>
      </c>
      <c r="B35" s="181">
        <f>COUNTIFS(
    estq[empresa], B$6,
    estq[Data da venda / reserva], "&gt;=" &amp; $A35,
    estq[Data da venda / reserva], "&lt;"  &amp; EOMONTH($A35,0) + 1
)</f>
        <v>0</v>
      </c>
      <c r="C35" s="182">
        <f ca="1">SUMIFS(rec.uni[2023-09-01],
INDIRECT("rec.uni[natureza]"),"pro.soluto",
INDIRECT("rec.uni[empresa]"),C$6)</f>
        <v>0</v>
      </c>
      <c r="D35" s="182">
        <f ca="1">SUMIFS(rec.uni[2023-09-01],
INDIRECT("rec.uni[natureza]"),"repasse.cef.obra",
INDIRECT("rec.uni[empresa]"),D$6)</f>
        <v>0</v>
      </c>
      <c r="E35" s="182">
        <f ca="1">SUMIFS(rec.uni[2023-09-01],
INDIRECT("rec.uni[natureza]"),"repasse.cef.terreno",
INDIRECT("rec.uni[empresa]"),E$6)</f>
        <v>0</v>
      </c>
      <c r="F35" s="182">
        <v>0</v>
      </c>
      <c r="G35" s="182">
        <f ca="1">SUMIFS(rec.uni[2023-09-01],
INDIRECT("rec.uni[natureza]"),"taxa.extra",
INDIRECT("rec.uni[empresa]"),G$6)</f>
        <v>0</v>
      </c>
      <c r="H35" s="170"/>
      <c r="I35" s="182" cm="1">
        <f t="array" ref="I3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J35" s="182" cm="1">
        <f t="array" ref="J3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K35" s="182" cm="1">
        <f t="array" ref="K3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L35" s="182" cm="1">
        <f t="array" ref="L3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M35" s="183" cm="1">
        <f t="array" ref="M3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N35" s="181">
        <f>COUNTIFS(
    estq[empresa], N$6,
    estq[Data da venda / reserva], "&gt;=" &amp; $A35,
    estq[Data da venda / reserva], "&lt;"  &amp; EOMONTH($A35,0) + 1
)</f>
        <v>0</v>
      </c>
      <c r="O35" s="182">
        <f ca="1">SUMIFS(rec.uni[2023-09-01],
INDIRECT("rec.uni[natureza]"),"pro.soluto",
INDIRECT("rec.uni[empresa]"),O$6)</f>
        <v>0</v>
      </c>
      <c r="P35" s="182">
        <f ca="1">SUMIFS(rec.uni[2023-09-01],
INDIRECT("rec.uni[natureza]"),"repasse.cef.obra",
INDIRECT("rec.uni[empresa]"),P$6)</f>
        <v>0</v>
      </c>
      <c r="Q35" s="182">
        <f ca="1">SUMIFS(rec.uni[2023-09-01],
INDIRECT("rec.uni[natureza]"),"repasse.cef.terreno",
INDIRECT("rec.uni[empresa]"),Q$6)</f>
        <v>0</v>
      </c>
      <c r="R35" s="182">
        <v>445799.01</v>
      </c>
      <c r="S35" s="182">
        <f ca="1">SUMIFS(rec.uni[2023-09-01],
INDIRECT("rec.uni[natureza]"),"taxa.extra",
INDIRECT("rec.uni[empresa]"),S$6)</f>
        <v>0</v>
      </c>
      <c r="T35" s="170"/>
      <c r="U35" s="182" cm="1">
        <f t="array" ref="U3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V35" s="182" cm="1">
        <f t="array" ref="V3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W35" s="182" cm="1">
        <f t="array" ref="W3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X35" s="182" cm="1">
        <f t="array" ref="X3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Y35" s="183" cm="1">
        <f t="array" ref="Y3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Z35" s="181">
        <f>COUNTIFS(
    estq[empresa], Z$6,
    estq[Data da venda / reserva], "&gt;=" &amp; $A35,
    estq[Data da venda / reserva], "&lt;"  &amp; EOMONTH($A35,0) + 1
)</f>
        <v>0</v>
      </c>
      <c r="AA35" s="182">
        <f ca="1">SUMIFS(rec.uni[2023-09-01],
INDIRECT("rec.uni[natureza]"),"pro.soluto",
INDIRECT("rec.uni[empresa]"),AA$6)</f>
        <v>0</v>
      </c>
      <c r="AB35" s="182">
        <f ca="1">SUMIFS(rec.uni[2023-09-01],
INDIRECT("rec.uni[natureza]"),"pro.soluto",
INDIRECT("rec.uni[empresa]"),AB$6)</f>
        <v>0</v>
      </c>
      <c r="AC35" s="182">
        <f ca="1">SUMIFS(rec.uni[2023-09-01],
INDIRECT("rec.uni[natureza]"),"taxa.extra",
INDIRECT("rec.uni[empresa]"),AC$6)</f>
        <v>0</v>
      </c>
      <c r="AD35" s="170"/>
      <c r="AE35" s="182" cm="1">
        <f t="array" ref="AE3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F35" s="182" cm="1">
        <f t="array" ref="AF3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G35" s="182" cm="1">
        <f t="array" ref="AG3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H35" s="182" cm="1">
        <f t="array" ref="AH3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I35" s="183" cm="1">
        <f t="array" ref="AI3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(desp[data.pagamento]&gt;=$A35)*
    (desp[data.pagamento]&lt;EOMONTH($A35,0)+1)
  )
)</f>
        <v>0</v>
      </c>
      <c r="AJ35" s="181">
        <f>COUNTIFS(
    estq[empresa], AJ$6,
    estq[Data da venda / reserva], "&gt;=" &amp; $A35,
    estq[Data da venda / reserva], "&lt;"  &amp; EOMONTH($A35,0) + 1
)</f>
        <v>0</v>
      </c>
      <c r="AK35" s="182">
        <f ca="1">SUMIFS(rec.uni[2023-09-01],
INDIRECT("rec.uni[natureza]"),"pro.soluto",
INDIRECT("rec.uni[empresa]"),AK$6)</f>
        <v>0</v>
      </c>
      <c r="AL35" s="182">
        <f ca="1">SUMIFS(rec.uni[2023-09-01],
INDIRECT("rec.uni[natureza]"),"repasse.cef.obra",
INDIRECT("rec.uni[empresa]"),AL$6)</f>
        <v>0</v>
      </c>
      <c r="AM35" s="182">
        <f ca="1">SUMIFS(rec.uni[2023-09-01],
INDIRECT("rec.uni[natureza]"),"repasse.cef.terreno",
INDIRECT("rec.uni[empresa]"),AM$6)</f>
        <v>0</v>
      </c>
      <c r="AN35" s="182">
        <v>0</v>
      </c>
      <c r="AO35" s="182">
        <f ca="1">SUMIFS(rec.uni[2023-09-01],
INDIRECT("rec.uni[natureza]"),"taxa.extra",
INDIRECT("rec.uni[empresa]"),AO$6)</f>
        <v>0</v>
      </c>
      <c r="AP35" s="170"/>
      <c r="AQ35" s="182" cm="1">
        <f t="array" ref="AQ3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R35" s="182" cm="1">
        <f t="array" ref="AR3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S35" s="182" cm="1">
        <f t="array" ref="AS3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T35" s="182" cm="1">
        <f t="array" ref="AT3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U35" s="183" cm="1">
        <f t="array" ref="AU3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V35" s="181">
        <f>COUNTIFS(
    estq[empresa], AV$6,
    estq[Data da venda / reserva], "&gt;=" &amp; $A35,
    estq[Data da venda / reserva], "&lt;"  &amp; EOMONTH($A35,0) + 1
)</f>
        <v>0</v>
      </c>
      <c r="AW35" s="182">
        <f ca="1">SUMIFS(rec.uni[2023-09-01],
INDIRECT("rec.uni[natureza]"),"pro.soluto",
INDIRECT("rec.uni[empresa]"),AW$6)</f>
        <v>0</v>
      </c>
      <c r="AX35" s="182">
        <f ca="1">SUMIFS(rec.uni[2023-09-01],
INDIRECT("rec.uni[natureza]"),"repasse.cef.obra",
INDIRECT("rec.uni[empresa]"),AX$6)</f>
        <v>0</v>
      </c>
      <c r="AY35" s="182">
        <f ca="1">SUMIFS(rec.uni[2023-09-01],
INDIRECT("rec.uni[natureza]"),"repasse.cef.terreno",
INDIRECT("rec.uni[empresa]"),AY$6)</f>
        <v>0</v>
      </c>
      <c r="AZ35" s="182">
        <v>0</v>
      </c>
      <c r="BA35" s="182">
        <f ca="1">SUMIFS(rec.uni[2023-09-01],
INDIRECT("rec.uni[natureza]"),"taxa.extra",
INDIRECT("rec.uni[empresa]"),BA$6)</f>
        <v>0</v>
      </c>
      <c r="BB35" s="170"/>
      <c r="BC35" s="182" cm="1">
        <f t="array" ref="BC3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D35" s="182" cm="1">
        <f t="array" ref="BD3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E35" s="182" cm="1">
        <f t="array" ref="BE3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F35" s="182" cm="1">
        <f t="array" ref="BF3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G35" s="183" cm="1">
        <f t="array" ref="BG3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BH35" s="181">
        <f>COUNTIFS(
    estq[empresa], BH$6,
    estq[Data da venda / reserva], "&gt;=" &amp; $A35,
    estq[Data da venda / reserva], "&lt;"  &amp; EOMONTH($A35,0) + 1
)</f>
        <v>0</v>
      </c>
      <c r="BI35" s="182">
        <f ca="1">SUMIFS(rec.uni[2023-09-01],
INDIRECT("rec.uni[natureza]"),"pro.soluto",
INDIRECT("rec.uni[empresa]"),BI$6)</f>
        <v>0</v>
      </c>
      <c r="BJ35" s="170">
        <v>0</v>
      </c>
      <c r="BK35" s="182">
        <f ca="1">SUMIFS(rec.uni[2023-09-01],
INDIRECT("rec.uni[natureza]"),"taxa.extra",
INDIRECT("rec.uni[empresa]"),BK$6)</f>
        <v>0</v>
      </c>
      <c r="BL35" s="170"/>
      <c r="BM35" s="182" cm="1">
        <f t="array" ref="BM3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N35" s="182" cm="1">
        <f t="array" ref="BN3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O35" s="182" cm="1">
        <f t="array" ref="BO3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P35" s="182" cm="1">
        <f t="array" ref="BP3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Q35" s="183" cm="1">
        <f t="array" ref="BQ3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R35" s="181">
        <f>COUNTIFS(
    estq[empresa], BR$6,
    estq[Data da venda / reserva], "&gt;=" &amp; $A35,
    estq[Data da venda / reserva], "&lt;"  &amp; EOMONTH($A35,0) + 1
)</f>
        <v>0</v>
      </c>
      <c r="BS35" s="182">
        <f ca="1">SUMIFS(rec.uni[2023-09-01],
INDIRECT("rec.uni[natureza]"),"pro.soluto",
INDIRECT("rec.uni[empresa]"),BS$6)</f>
        <v>0</v>
      </c>
      <c r="BT35" s="182">
        <f ca="1">SUMIFS(rec.uni[2023-09-01],
INDIRECT("rec.uni[natureza]"),"pro.soluto",
INDIRECT("rec.uni[empresa]"),BT$6)</f>
        <v>0</v>
      </c>
      <c r="BU35" s="182">
        <f ca="1">SUMIFS(rec.uni[2023-09-01],
INDIRECT("rec.uni[natureza]"),"taxa.extra",
INDIRECT("rec.uni[empresa]"),BU$6)</f>
        <v>0</v>
      </c>
      <c r="BV35" s="170"/>
      <c r="BW35" s="182" cm="1">
        <f t="array" ref="BW3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BX35" s="182" cm="1">
        <f t="array" ref="BX3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BY35" s="182" cm="1">
        <f t="array" ref="BY3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BZ35" s="182" cm="1">
        <f t="array" ref="BZ3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CA35" s="183" cm="1">
        <f t="array" ref="CA3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(desp[data.pagamento]&gt;=$A35)*
    (desp[data.pagamento]&lt;EOMONTH($A35,0)+1)
  )
)</f>
        <v>0</v>
      </c>
      <c r="CB35" s="181">
        <f>COUNTIFS(
    estq[empresa], CB$6,
    estq[Data da venda / reserva], "&gt;=" &amp; $A35,
    estq[Data da venda / reserva], "&lt;"  &amp; EOMONTH($A35,0) + 1
)</f>
        <v>0</v>
      </c>
      <c r="CC35" s="182">
        <f ca="1">SUMIFS(rec.uni[2023-09-01],
INDIRECT("rec.uni[natureza]"),"pro.soluto",
INDIRECT("rec.uni[empresa]"),CC$6)</f>
        <v>0</v>
      </c>
      <c r="CD35" s="182">
        <f ca="1">SUMIFS(rec.uni[2023-09-01],
INDIRECT("rec.uni[natureza]"),"repasse.cef.obra",
INDIRECT("rec.uni[empresa]"),CD$6)</f>
        <v>0</v>
      </c>
      <c r="CE35" s="182">
        <f ca="1">SUMIFS(rec.uni[2023-09-01],
INDIRECT("rec.uni[natureza]"),"repasse.cef.terreno",
INDIRECT("rec.uni[empresa]"),CE$6)</f>
        <v>0</v>
      </c>
      <c r="CF35" s="182">
        <v>0</v>
      </c>
      <c r="CG35" s="182">
        <f ca="1">SUMIFS(rec.uni[2023-09-01],
INDIRECT("rec.uni[natureza]"),"taxa.extra",
INDIRECT("rec.uni[empresa]"),CG$6)</f>
        <v>0</v>
      </c>
      <c r="CH35" s="170"/>
      <c r="CI35" s="182" cm="1">
        <f t="array" ref="CI3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J35" s="182" cm="1">
        <f t="array" ref="CJ3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K35" s="182" cm="1">
        <f t="array" ref="CK3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L35" s="182" cm="1">
        <f t="array" ref="CL3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M35" s="183" cm="1">
        <f t="array" ref="CM3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CN35" s="181">
        <f>COUNTIFS(
    estq[empresa], CN$6,
    estq[Data da venda / reserva], "&gt;=" &amp; $A35,
    estq[Data da venda / reserva], "&lt;"  &amp; EOMONTH($A35,0) + 1
)</f>
        <v>0</v>
      </c>
      <c r="CO35" s="182">
        <f ca="1">SUMIFS(rec.uni[2023-09-01],
INDIRECT("rec.uni[natureza]"),"pro.soluto",
INDIRECT("rec.uni[empresa]"),CO$6)</f>
        <v>0</v>
      </c>
      <c r="CP35" s="182">
        <f ca="1">SUMIFS(rec.uni[2023-09-01],
INDIRECT("rec.uni[natureza]"),"repasse.cef.obra",
INDIRECT("rec.uni[empresa]"),CP$6)</f>
        <v>0</v>
      </c>
      <c r="CQ35" s="182">
        <f ca="1">SUMIFS(rec.uni[2023-09-01],
INDIRECT("rec.uni[natureza]"),"repasse.cef.terreno",
INDIRECT("rec.uni[empresa]"),CQ$6)</f>
        <v>0</v>
      </c>
      <c r="CR35" s="182">
        <v>0</v>
      </c>
      <c r="CS35" s="182">
        <f ca="1">SUMIFS(rec.uni[2023-09-01],
INDIRECT("rec.uni[natureza]"),"taxa.extra",
INDIRECT("rec.uni[empresa]"),CS$6)</f>
        <v>0</v>
      </c>
      <c r="CT35" s="170"/>
      <c r="CU35" s="182" cm="1">
        <f t="array" ref="CU3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V35" s="182" cm="1">
        <f t="array" ref="CV3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W35" s="182" cm="1">
        <f t="array" ref="CW3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X35" s="182" cm="1">
        <f t="array" ref="CX3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Y35" s="184" cm="1">
        <f t="array" ref="CY3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</row>
    <row r="36" spans="1:103" x14ac:dyDescent="0.25">
      <c r="A36" s="180">
        <v>45200</v>
      </c>
      <c r="B36" s="181">
        <f>COUNTIFS(
    estq[empresa], B$6,
    estq[Data da venda / reserva], "&gt;=" &amp; $A36,
    estq[Data da venda / reserva], "&lt;"  &amp; EOMONTH($A36,0) + 1
)</f>
        <v>0</v>
      </c>
      <c r="C36" s="182">
        <f ca="1">SUMIFS(rec.uni[2023-10-01],
INDIRECT("rec.uni[natureza]"),"pro.soluto",
INDIRECT("rec.uni[empresa]"),C$6)</f>
        <v>0</v>
      </c>
      <c r="D36" s="182">
        <f ca="1">SUMIFS(rec.uni[2023-10-01],
INDIRECT("rec.uni[natureza]"),"repasse.cef.obra",
INDIRECT("rec.uni[empresa]"),D$6)</f>
        <v>0</v>
      </c>
      <c r="E36" s="182">
        <f ca="1">SUMIFS(rec.uni[2023-10-01],
INDIRECT("rec.uni[natureza]"),"repasse.cef.terreno",
INDIRECT("rec.uni[empresa]"),E$6)</f>
        <v>0</v>
      </c>
      <c r="F36" s="182">
        <v>0</v>
      </c>
      <c r="G36" s="182">
        <f ca="1">SUMIFS(rec.uni[2023-10-01],
INDIRECT("rec.uni[natureza]"),"taxa.extra",
INDIRECT("rec.uni[empresa]"),G$6)</f>
        <v>0</v>
      </c>
      <c r="H36" s="170"/>
      <c r="I36" s="182" cm="1">
        <f t="array" ref="I3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J36" s="182" cm="1">
        <f t="array" ref="J3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K36" s="182" cm="1">
        <f t="array" ref="K3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L36" s="182" cm="1">
        <f t="array" ref="L3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M36" s="183" cm="1">
        <f t="array" ref="M3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N36" s="181">
        <f>COUNTIFS(
    estq[empresa], N$6,
    estq[Data da venda / reserva], "&gt;=" &amp; $A36,
    estq[Data da venda / reserva], "&lt;"  &amp; EOMONTH($A36,0) + 1
)</f>
        <v>0</v>
      </c>
      <c r="O36" s="182">
        <f ca="1">SUMIFS(rec.uni[2023-10-01],
INDIRECT("rec.uni[natureza]"),"pro.soluto",
INDIRECT("rec.uni[empresa]"),O$6)</f>
        <v>0</v>
      </c>
      <c r="P36" s="182">
        <f ca="1">SUMIFS(rec.uni[2023-10-01],
INDIRECT("rec.uni[natureza]"),"repasse.cef.obra",
INDIRECT("rec.uni[empresa]"),P$6)</f>
        <v>0</v>
      </c>
      <c r="Q36" s="182">
        <f ca="1">SUMIFS(rec.uni[2023-10-01],
INDIRECT("rec.uni[natureza]"),"repasse.cef.terreno",
INDIRECT("rec.uni[empresa]"),Q$6)</f>
        <v>0</v>
      </c>
      <c r="R36" s="182">
        <v>0</v>
      </c>
      <c r="S36" s="182">
        <f ca="1">SUMIFS(rec.uni[2023-10-01],
INDIRECT("rec.uni[natureza]"),"taxa.extra",
INDIRECT("rec.uni[empresa]"),S$6)</f>
        <v>0</v>
      </c>
      <c r="T36" s="170"/>
      <c r="U36" s="182" cm="1">
        <f t="array" ref="U3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V36" s="182" cm="1">
        <f t="array" ref="V3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W36" s="182" cm="1">
        <f t="array" ref="W3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X36" s="182" cm="1">
        <f t="array" ref="X3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Y36" s="183" cm="1">
        <f t="array" ref="Y3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Z36" s="181">
        <f>COUNTIFS(
    estq[empresa], Z$6,
    estq[Data da venda / reserva], "&gt;=" &amp; $A36,
    estq[Data da venda / reserva], "&lt;"  &amp; EOMONTH($A36,0) + 1
)</f>
        <v>0</v>
      </c>
      <c r="AA36" s="182">
        <f ca="1">SUMIFS(rec.uni[2023-10-01],
INDIRECT("rec.uni[natureza]"),"pro.soluto",
INDIRECT("rec.uni[empresa]"),AA$6)</f>
        <v>0</v>
      </c>
      <c r="AB36" s="182">
        <f ca="1">SUMIFS(rec.uni[2023-10-01],
INDIRECT("rec.uni[natureza]"),"pro.soluto",
INDIRECT("rec.uni[empresa]"),AB$6)</f>
        <v>0</v>
      </c>
      <c r="AC36" s="182">
        <f ca="1">SUMIFS(rec.uni[2023-10-01],
INDIRECT("rec.uni[natureza]"),"taxa.extra",
INDIRECT("rec.uni[empresa]"),AC$6)</f>
        <v>0</v>
      </c>
      <c r="AD36" s="170"/>
      <c r="AE36" s="182" cm="1">
        <f t="array" ref="AE3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F36" s="182" cm="1">
        <f t="array" ref="AF3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G36" s="182" cm="1">
        <f t="array" ref="AG3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H36" s="182" cm="1">
        <f t="array" ref="AH3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I36" s="183" cm="1">
        <f t="array" ref="AI3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(desp[data.pagamento]&gt;=$A36)*
    (desp[data.pagamento]&lt;EOMONTH($A36,0)+1)
  )
)</f>
        <v>0</v>
      </c>
      <c r="AJ36" s="181">
        <f>COUNTIFS(
    estq[empresa], AJ$6,
    estq[Data da venda / reserva], "&gt;=" &amp; $A36,
    estq[Data da venda / reserva], "&lt;"  &amp; EOMONTH($A36,0) + 1
)</f>
        <v>0</v>
      </c>
      <c r="AK36" s="182">
        <f ca="1">SUMIFS(rec.uni[2023-10-01],
INDIRECT("rec.uni[natureza]"),"pro.soluto",
INDIRECT("rec.uni[empresa]"),AK$6)</f>
        <v>0</v>
      </c>
      <c r="AL36" s="182">
        <f ca="1">SUMIFS(rec.uni[2023-10-01],
INDIRECT("rec.uni[natureza]"),"repasse.cef.obra",
INDIRECT("rec.uni[empresa]"),AL$6)</f>
        <v>0</v>
      </c>
      <c r="AM36" s="182">
        <f ca="1">SUMIFS(rec.uni[2023-10-01],
INDIRECT("rec.uni[natureza]"),"repasse.cef.terreno",
INDIRECT("rec.uni[empresa]"),AM$6)</f>
        <v>0</v>
      </c>
      <c r="AN36" s="182">
        <v>0</v>
      </c>
      <c r="AO36" s="182">
        <f ca="1">SUMIFS(rec.uni[2023-10-01],
INDIRECT("rec.uni[natureza]"),"taxa.extra",
INDIRECT("rec.uni[empresa]"),AO$6)</f>
        <v>0</v>
      </c>
      <c r="AP36" s="170"/>
      <c r="AQ36" s="182" cm="1">
        <f t="array" ref="AQ3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R36" s="182" cm="1">
        <f t="array" ref="AR3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S36" s="182" cm="1">
        <f t="array" ref="AS3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T36" s="182" cm="1">
        <f t="array" ref="AT3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U36" s="183" cm="1">
        <f t="array" ref="AU3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V36" s="181">
        <f>COUNTIFS(
    estq[empresa], AV$6,
    estq[Data da venda / reserva], "&gt;=" &amp; $A36,
    estq[Data da venda / reserva], "&lt;"  &amp; EOMONTH($A36,0) + 1
)</f>
        <v>0</v>
      </c>
      <c r="AW36" s="182">
        <f ca="1">SUMIFS(rec.uni[2023-10-01],
INDIRECT("rec.uni[natureza]"),"pro.soluto",
INDIRECT("rec.uni[empresa]"),AW$6)</f>
        <v>0</v>
      </c>
      <c r="AX36" s="182">
        <f ca="1">SUMIFS(rec.uni[2023-10-01],
INDIRECT("rec.uni[natureza]"),"repasse.cef.obra",
INDIRECT("rec.uni[empresa]"),AX$6)</f>
        <v>0</v>
      </c>
      <c r="AY36" s="182">
        <f ca="1">SUMIFS(rec.uni[2023-10-01],
INDIRECT("rec.uni[natureza]"),"repasse.cef.terreno",
INDIRECT("rec.uni[empresa]"),AY$6)</f>
        <v>0</v>
      </c>
      <c r="AZ36" s="182">
        <v>0</v>
      </c>
      <c r="BA36" s="182">
        <f ca="1">SUMIFS(rec.uni[2023-10-01],
INDIRECT("rec.uni[natureza]"),"taxa.extra",
INDIRECT("rec.uni[empresa]"),BA$6)</f>
        <v>0</v>
      </c>
      <c r="BB36" s="170"/>
      <c r="BC36" s="182" cm="1">
        <f t="array" ref="BC3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D36" s="182" cm="1">
        <f t="array" ref="BD3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E36" s="182" cm="1">
        <f t="array" ref="BE3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F36" s="182" cm="1">
        <f t="array" ref="BF3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G36" s="183" cm="1">
        <f t="array" ref="BG3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BH36" s="181">
        <f>COUNTIFS(
    estq[empresa], BH$6,
    estq[Data da venda / reserva], "&gt;=" &amp; $A36,
    estq[Data da venda / reserva], "&lt;"  &amp; EOMONTH($A36,0) + 1
)</f>
        <v>0</v>
      </c>
      <c r="BI36" s="182">
        <f ca="1">SUMIFS(rec.uni[2023-10-01],
INDIRECT("rec.uni[natureza]"),"pro.soluto",
INDIRECT("rec.uni[empresa]"),BI$6)</f>
        <v>0</v>
      </c>
      <c r="BJ36" s="170">
        <v>0</v>
      </c>
      <c r="BK36" s="182">
        <f ca="1">SUMIFS(rec.uni[2023-10-01],
INDIRECT("rec.uni[natureza]"),"taxa.extra",
INDIRECT("rec.uni[empresa]"),BK$6)</f>
        <v>0</v>
      </c>
      <c r="BL36" s="170"/>
      <c r="BM36" s="182" cm="1">
        <f t="array" ref="BM3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N36" s="182" cm="1">
        <f t="array" ref="BN3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O36" s="182" cm="1">
        <f t="array" ref="BO3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P36" s="182" cm="1">
        <f t="array" ref="BP3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Q36" s="183" cm="1">
        <f t="array" ref="BQ3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R36" s="181">
        <f>COUNTIFS(
    estq[empresa], BR$6,
    estq[Data da venda / reserva], "&gt;=" &amp; $A36,
    estq[Data da venda / reserva], "&lt;"  &amp; EOMONTH($A36,0) + 1
)</f>
        <v>0</v>
      </c>
      <c r="BS36" s="182">
        <f ca="1">SUMIFS(rec.uni[2023-10-01],
INDIRECT("rec.uni[natureza]"),"pro.soluto",
INDIRECT("rec.uni[empresa]"),BS$6)</f>
        <v>0</v>
      </c>
      <c r="BT36" s="182">
        <f ca="1">SUMIFS(rec.uni[2023-10-01],
INDIRECT("rec.uni[natureza]"),"pro.soluto",
INDIRECT("rec.uni[empresa]"),BT$6)</f>
        <v>0</v>
      </c>
      <c r="BU36" s="182">
        <f ca="1">SUMIFS(rec.uni[2023-10-01],
INDIRECT("rec.uni[natureza]"),"taxa.extra",
INDIRECT("rec.uni[empresa]"),BU$6)</f>
        <v>0</v>
      </c>
      <c r="BV36" s="170"/>
      <c r="BW36" s="182" cm="1">
        <f t="array" ref="BW3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BX36" s="182" cm="1">
        <f t="array" ref="BX3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BY36" s="182" cm="1">
        <f t="array" ref="BY3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BZ36" s="182" cm="1">
        <f t="array" ref="BZ3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CA36" s="183" cm="1">
        <f t="array" ref="CA3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(desp[data.pagamento]&gt;=$A36)*
    (desp[data.pagamento]&lt;EOMONTH($A36,0)+1)
  )
)</f>
        <v>0</v>
      </c>
      <c r="CB36" s="181">
        <f>COUNTIFS(
    estq[empresa], CB$6,
    estq[Data da venda / reserva], "&gt;=" &amp; $A36,
    estq[Data da venda / reserva], "&lt;"  &amp; EOMONTH($A36,0) + 1
)</f>
        <v>0</v>
      </c>
      <c r="CC36" s="182">
        <f ca="1">SUMIFS(rec.uni[2023-10-01],
INDIRECT("rec.uni[natureza]"),"pro.soluto",
INDIRECT("rec.uni[empresa]"),CC$6)</f>
        <v>0</v>
      </c>
      <c r="CD36" s="182">
        <f ca="1">SUMIFS(rec.uni[2023-10-01],
INDIRECT("rec.uni[natureza]"),"repasse.cef.obra",
INDIRECT("rec.uni[empresa]"),CD$6)</f>
        <v>0</v>
      </c>
      <c r="CE36" s="182">
        <f ca="1">SUMIFS(rec.uni[2023-10-01],
INDIRECT("rec.uni[natureza]"),"repasse.cef.terreno",
INDIRECT("rec.uni[empresa]"),CE$6)</f>
        <v>0</v>
      </c>
      <c r="CF36" s="182">
        <v>0</v>
      </c>
      <c r="CG36" s="182">
        <f ca="1">SUMIFS(rec.uni[2023-10-01],
INDIRECT("rec.uni[natureza]"),"taxa.extra",
INDIRECT("rec.uni[empresa]"),CG$6)</f>
        <v>0</v>
      </c>
      <c r="CH36" s="170"/>
      <c r="CI36" s="182" cm="1">
        <f t="array" ref="CI3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J36" s="182" cm="1">
        <f t="array" ref="CJ3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K36" s="182" cm="1">
        <f t="array" ref="CK3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L36" s="182" cm="1">
        <f t="array" ref="CL3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M36" s="183" cm="1">
        <f t="array" ref="CM3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CN36" s="181">
        <f>COUNTIFS(
    estq[empresa], CN$6,
    estq[Data da venda / reserva], "&gt;=" &amp; $A36,
    estq[Data da venda / reserva], "&lt;"  &amp; EOMONTH($A36,0) + 1
)</f>
        <v>0</v>
      </c>
      <c r="CO36" s="182">
        <f ca="1">SUMIFS(rec.uni[2023-10-01],
INDIRECT("rec.uni[natureza]"),"pro.soluto",
INDIRECT("rec.uni[empresa]"),CO$6)</f>
        <v>0</v>
      </c>
      <c r="CP36" s="182">
        <f ca="1">SUMIFS(rec.uni[2023-10-01],
INDIRECT("rec.uni[natureza]"),"repasse.cef.obra",
INDIRECT("rec.uni[empresa]"),CP$6)</f>
        <v>0</v>
      </c>
      <c r="CQ36" s="182">
        <f ca="1">SUMIFS(rec.uni[2023-10-01],
INDIRECT("rec.uni[natureza]"),"repasse.cef.terreno",
INDIRECT("rec.uni[empresa]"),CQ$6)</f>
        <v>0</v>
      </c>
      <c r="CR36" s="182">
        <v>0</v>
      </c>
      <c r="CS36" s="182">
        <f ca="1">SUMIFS(rec.uni[2023-10-01],
INDIRECT("rec.uni[natureza]"),"taxa.extra",
INDIRECT("rec.uni[empresa]"),CS$6)</f>
        <v>0</v>
      </c>
      <c r="CT36" s="170"/>
      <c r="CU36" s="182" cm="1">
        <f t="array" ref="CU3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V36" s="182" cm="1">
        <f t="array" ref="CV3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W36" s="182" cm="1">
        <f t="array" ref="CW3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X36" s="182" cm="1">
        <f t="array" ref="CX3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Y36" s="184" cm="1">
        <f t="array" ref="CY3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</row>
    <row r="37" spans="1:103" x14ac:dyDescent="0.25">
      <c r="A37" s="180">
        <v>45231</v>
      </c>
      <c r="B37" s="181">
        <f>COUNTIFS(
    estq[empresa], B$6,
    estq[Data da venda / reserva], "&gt;=" &amp; $A37,
    estq[Data da venda / reserva], "&lt;"  &amp; EOMONTH($A37,0) + 1
)</f>
        <v>0</v>
      </c>
      <c r="C37" s="182">
        <f ca="1">SUMIFS(rec.uni[2023-11-01],
INDIRECT("rec.uni[natureza]"),"pro.soluto",
INDIRECT("rec.uni[empresa]"),C$6)</f>
        <v>0</v>
      </c>
      <c r="D37" s="182">
        <f ca="1">SUMIFS(rec.uni[2023-11-01],
INDIRECT("rec.uni[natureza]"),"repasse.cef.obra",
INDIRECT("rec.uni[empresa]"),D$6)</f>
        <v>0</v>
      </c>
      <c r="E37" s="182">
        <f ca="1">SUMIFS(rec.uni[2023-11-01],
INDIRECT("rec.uni[natureza]"),"repasse.cef.terreno",
INDIRECT("rec.uni[empresa]"),E$6)</f>
        <v>0</v>
      </c>
      <c r="F37" s="182">
        <v>0</v>
      </c>
      <c r="G37" s="182">
        <f ca="1">SUMIFS(rec.uni[2023-11-01],
INDIRECT("rec.uni[natureza]"),"taxa.extra",
INDIRECT("rec.uni[empresa]"),G$6)</f>
        <v>0</v>
      </c>
      <c r="H37" s="170"/>
      <c r="I37" s="182" cm="1">
        <f t="array" ref="I3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J37" s="182" cm="1">
        <f t="array" ref="J3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K37" s="182" cm="1">
        <f t="array" ref="K3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L37" s="182" cm="1">
        <f t="array" ref="L3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M37" s="183" cm="1">
        <f t="array" ref="M3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N37" s="181">
        <f>COUNTIFS(
    estq[empresa], N$6,
    estq[Data da venda / reserva], "&gt;=" &amp; $A37,
    estq[Data da venda / reserva], "&lt;"  &amp; EOMONTH($A37,0) + 1
)</f>
        <v>0</v>
      </c>
      <c r="O37" s="182">
        <f ca="1">SUMIFS(rec.uni[2023-11-01],
INDIRECT("rec.uni[natureza]"),"pro.soluto",
INDIRECT("rec.uni[empresa]"),O$6)</f>
        <v>0</v>
      </c>
      <c r="P37" s="182">
        <f ca="1">SUMIFS(rec.uni[2023-11-01],
INDIRECT("rec.uni[natureza]"),"repasse.cef.obra",
INDIRECT("rec.uni[empresa]"),P$6)</f>
        <v>0</v>
      </c>
      <c r="Q37" s="182">
        <f ca="1">SUMIFS(rec.uni[2023-11-01],
INDIRECT("rec.uni[natureza]"),"repasse.cef.terreno",
INDIRECT("rec.uni[empresa]"),Q$6)</f>
        <v>0</v>
      </c>
      <c r="R37" s="182">
        <v>1455283.7599999998</v>
      </c>
      <c r="S37" s="182">
        <f ca="1">SUMIFS(rec.uni[2023-11-01],
INDIRECT("rec.uni[natureza]"),"taxa.extra",
INDIRECT("rec.uni[empresa]"),S$6)</f>
        <v>0</v>
      </c>
      <c r="T37" s="170"/>
      <c r="U37" s="182" cm="1">
        <f t="array" ref="U3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V37" s="182" cm="1">
        <f t="array" ref="V3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W37" s="182" cm="1">
        <f t="array" ref="W3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X37" s="182" cm="1">
        <f t="array" ref="X3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Y37" s="183" cm="1">
        <f t="array" ref="Y3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Z37" s="181">
        <f>COUNTIFS(
    estq[empresa], Z$6,
    estq[Data da venda / reserva], "&gt;=" &amp; $A37,
    estq[Data da venda / reserva], "&lt;"  &amp; EOMONTH($A37,0) + 1
)</f>
        <v>0</v>
      </c>
      <c r="AA37" s="182">
        <f ca="1">SUMIFS(rec.uni[2023-11-01],
INDIRECT("rec.uni[natureza]"),"pro.soluto",
INDIRECT("rec.uni[empresa]"),AA$6)</f>
        <v>0</v>
      </c>
      <c r="AB37" s="182">
        <f ca="1">SUMIFS(rec.uni[2023-11-01],
INDIRECT("rec.uni[natureza]"),"pro.soluto",
INDIRECT("rec.uni[empresa]"),AB$6)</f>
        <v>0</v>
      </c>
      <c r="AC37" s="182">
        <f ca="1">SUMIFS(rec.uni[2023-11-01],
INDIRECT("rec.uni[natureza]"),"taxa.extra",
INDIRECT("rec.uni[empresa]"),AC$6)</f>
        <v>0</v>
      </c>
      <c r="AD37" s="170"/>
      <c r="AE37" s="182" cm="1">
        <f t="array" ref="AE3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F37" s="182" cm="1">
        <f t="array" ref="AF3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G37" s="182" cm="1">
        <f t="array" ref="AG3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H37" s="182" cm="1">
        <f t="array" ref="AH3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I37" s="183" cm="1">
        <f t="array" ref="AI3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(desp[data.pagamento]&gt;=$A37)*
    (desp[data.pagamento]&lt;EOMONTH($A37,0)+1)
  )
)</f>
        <v>0</v>
      </c>
      <c r="AJ37" s="181">
        <f>COUNTIFS(
    estq[empresa], AJ$6,
    estq[Data da venda / reserva], "&gt;=" &amp; $A37,
    estq[Data da venda / reserva], "&lt;"  &amp; EOMONTH($A37,0) + 1
)</f>
        <v>0</v>
      </c>
      <c r="AK37" s="182">
        <f ca="1">SUMIFS(rec.uni[2023-11-01],
INDIRECT("rec.uni[natureza]"),"pro.soluto",
INDIRECT("rec.uni[empresa]"),AK$6)</f>
        <v>0</v>
      </c>
      <c r="AL37" s="182">
        <f ca="1">SUMIFS(rec.uni[2023-11-01],
INDIRECT("rec.uni[natureza]"),"repasse.cef.obra",
INDIRECT("rec.uni[empresa]"),AL$6)</f>
        <v>0</v>
      </c>
      <c r="AM37" s="182">
        <f ca="1">SUMIFS(rec.uni[2023-11-01],
INDIRECT("rec.uni[natureza]"),"repasse.cef.terreno",
INDIRECT("rec.uni[empresa]"),AM$6)</f>
        <v>0</v>
      </c>
      <c r="AN37" s="182">
        <v>0</v>
      </c>
      <c r="AO37" s="182">
        <f ca="1">SUMIFS(rec.uni[2023-11-01],
INDIRECT("rec.uni[natureza]"),"taxa.extra",
INDIRECT("rec.uni[empresa]"),AO$6)</f>
        <v>0</v>
      </c>
      <c r="AP37" s="170"/>
      <c r="AQ37" s="182" cm="1">
        <f t="array" ref="AQ3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R37" s="182" cm="1">
        <f t="array" ref="AR3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S37" s="182" cm="1">
        <f t="array" ref="AS3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T37" s="182" cm="1">
        <f t="array" ref="AT3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U37" s="183" cm="1">
        <f t="array" ref="AU3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V37" s="181">
        <f>COUNTIFS(
    estq[empresa], AV$6,
    estq[Data da venda / reserva], "&gt;=" &amp; $A37,
    estq[Data da venda / reserva], "&lt;"  &amp; EOMONTH($A37,0) + 1
)</f>
        <v>0</v>
      </c>
      <c r="AW37" s="182">
        <f ca="1">SUMIFS(rec.uni[2023-11-01],
INDIRECT("rec.uni[natureza]"),"pro.soluto",
INDIRECT("rec.uni[empresa]"),AW$6)</f>
        <v>0</v>
      </c>
      <c r="AX37" s="182">
        <f ca="1">SUMIFS(rec.uni[2023-11-01],
INDIRECT("rec.uni[natureza]"),"repasse.cef.obra",
INDIRECT("rec.uni[empresa]"),AX$6)</f>
        <v>0</v>
      </c>
      <c r="AY37" s="182">
        <f ca="1">SUMIFS(rec.uni[2023-11-01],
INDIRECT("rec.uni[natureza]"),"repasse.cef.terreno",
INDIRECT("rec.uni[empresa]"),AY$6)</f>
        <v>0</v>
      </c>
      <c r="AZ37" s="182">
        <v>0</v>
      </c>
      <c r="BA37" s="182">
        <f ca="1">SUMIFS(rec.uni[2023-11-01],
INDIRECT("rec.uni[natureza]"),"taxa.extra",
INDIRECT("rec.uni[empresa]"),BA$6)</f>
        <v>0</v>
      </c>
      <c r="BB37" s="170"/>
      <c r="BC37" s="182" cm="1">
        <f t="array" ref="BC3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D37" s="182" cm="1">
        <f t="array" ref="BD3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E37" s="182" cm="1">
        <f t="array" ref="BE3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F37" s="182" cm="1">
        <f t="array" ref="BF3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G37" s="183" cm="1">
        <f t="array" ref="BG3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BH37" s="181">
        <f>COUNTIFS(
    estq[empresa], BH$6,
    estq[Data da venda / reserva], "&gt;=" &amp; $A37,
    estq[Data da venda / reserva], "&lt;"  &amp; EOMONTH($A37,0) + 1
)</f>
        <v>0</v>
      </c>
      <c r="BI37" s="182">
        <f ca="1">SUMIFS(rec.uni[2023-11-01],
INDIRECT("rec.uni[natureza]"),"pro.soluto",
INDIRECT("rec.uni[empresa]"),BI$6)</f>
        <v>0</v>
      </c>
      <c r="BJ37" s="170">
        <v>0</v>
      </c>
      <c r="BK37" s="182">
        <f ca="1">SUMIFS(rec.uni[2023-11-01],
INDIRECT("rec.uni[natureza]"),"taxa.extra",
INDIRECT("rec.uni[empresa]"),BK$6)</f>
        <v>0</v>
      </c>
      <c r="BL37" s="170"/>
      <c r="BM37" s="182" cm="1">
        <f t="array" ref="BM3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N37" s="182" cm="1">
        <f t="array" ref="BN3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O37" s="182" cm="1">
        <f t="array" ref="BO3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P37" s="182" cm="1">
        <f t="array" ref="BP3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Q37" s="183" cm="1">
        <f t="array" ref="BQ3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R37" s="181">
        <f>COUNTIFS(
    estq[empresa], BR$6,
    estq[Data da venda / reserva], "&gt;=" &amp; $A37,
    estq[Data da venda / reserva], "&lt;"  &amp; EOMONTH($A37,0) + 1
)</f>
        <v>0</v>
      </c>
      <c r="BS37" s="182">
        <f ca="1">SUMIFS(rec.uni[2023-11-01],
INDIRECT("rec.uni[natureza]"),"pro.soluto",
INDIRECT("rec.uni[empresa]"),BS$6)</f>
        <v>0</v>
      </c>
      <c r="BT37" s="182">
        <f ca="1">SUMIFS(rec.uni[2023-11-01],
INDIRECT("rec.uni[natureza]"),"pro.soluto",
INDIRECT("rec.uni[empresa]"),BT$6)</f>
        <v>0</v>
      </c>
      <c r="BU37" s="182">
        <f ca="1">SUMIFS(rec.uni[2023-11-01],
INDIRECT("rec.uni[natureza]"),"taxa.extra",
INDIRECT("rec.uni[empresa]"),BU$6)</f>
        <v>0</v>
      </c>
      <c r="BV37" s="170"/>
      <c r="BW37" s="182" cm="1">
        <f t="array" ref="BW3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BX37" s="182" cm="1">
        <f t="array" ref="BX3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BY37" s="182" cm="1">
        <f t="array" ref="BY3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BZ37" s="182" cm="1">
        <f t="array" ref="BZ3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CA37" s="183" cm="1">
        <f t="array" ref="CA3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(desp[data.pagamento]&gt;=$A37)*
    (desp[data.pagamento]&lt;EOMONTH($A37,0)+1)
  )
)</f>
        <v>0</v>
      </c>
      <c r="CB37" s="181">
        <f>COUNTIFS(
    estq[empresa], CB$6,
    estq[Data da venda / reserva], "&gt;=" &amp; $A37,
    estq[Data da venda / reserva], "&lt;"  &amp; EOMONTH($A37,0) + 1
)</f>
        <v>0</v>
      </c>
      <c r="CC37" s="182">
        <f ca="1">SUMIFS(rec.uni[2023-11-01],
INDIRECT("rec.uni[natureza]"),"pro.soluto",
INDIRECT("rec.uni[empresa]"),CC$6)</f>
        <v>0</v>
      </c>
      <c r="CD37" s="182">
        <f ca="1">SUMIFS(rec.uni[2023-11-01],
INDIRECT("rec.uni[natureza]"),"repasse.cef.obra",
INDIRECT("rec.uni[empresa]"),CD$6)</f>
        <v>0</v>
      </c>
      <c r="CE37" s="182">
        <f ca="1">SUMIFS(rec.uni[2023-11-01],
INDIRECT("rec.uni[natureza]"),"repasse.cef.terreno",
INDIRECT("rec.uni[empresa]"),CE$6)</f>
        <v>0</v>
      </c>
      <c r="CF37" s="182">
        <v>0</v>
      </c>
      <c r="CG37" s="182">
        <f ca="1">SUMIFS(rec.uni[2023-11-01],
INDIRECT("rec.uni[natureza]"),"taxa.extra",
INDIRECT("rec.uni[empresa]"),CG$6)</f>
        <v>0</v>
      </c>
      <c r="CH37" s="170"/>
      <c r="CI37" s="182" cm="1">
        <f t="array" ref="CI3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J37" s="182" cm="1">
        <f t="array" ref="CJ3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K37" s="182" cm="1">
        <f t="array" ref="CK3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L37" s="182" cm="1">
        <f t="array" ref="CL3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M37" s="183" cm="1">
        <f t="array" ref="CM3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CN37" s="181">
        <f>COUNTIFS(
    estq[empresa], CN$6,
    estq[Data da venda / reserva], "&gt;=" &amp; $A37,
    estq[Data da venda / reserva], "&lt;"  &amp; EOMONTH($A37,0) + 1
)</f>
        <v>0</v>
      </c>
      <c r="CO37" s="182">
        <f ca="1">SUMIFS(rec.uni[2023-11-01],
INDIRECT("rec.uni[natureza]"),"pro.soluto",
INDIRECT("rec.uni[empresa]"),CO$6)</f>
        <v>0</v>
      </c>
      <c r="CP37" s="182">
        <f ca="1">SUMIFS(rec.uni[2023-11-01],
INDIRECT("rec.uni[natureza]"),"repasse.cef.obra",
INDIRECT("rec.uni[empresa]"),CP$6)</f>
        <v>0</v>
      </c>
      <c r="CQ37" s="182">
        <f ca="1">SUMIFS(rec.uni[2023-11-01],
INDIRECT("rec.uni[natureza]"),"repasse.cef.terreno",
INDIRECT("rec.uni[empresa]"),CQ$6)</f>
        <v>0</v>
      </c>
      <c r="CR37" s="182">
        <v>0</v>
      </c>
      <c r="CS37" s="182">
        <f ca="1">SUMIFS(rec.uni[2023-11-01],
INDIRECT("rec.uni[natureza]"),"taxa.extra",
INDIRECT("rec.uni[empresa]"),CS$6)</f>
        <v>0</v>
      </c>
      <c r="CT37" s="170"/>
      <c r="CU37" s="182" cm="1">
        <f t="array" ref="CU3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V37" s="182" cm="1">
        <f t="array" ref="CV3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W37" s="182" cm="1">
        <f t="array" ref="CW3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X37" s="182" cm="1">
        <f t="array" ref="CX3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Y37" s="184" cm="1">
        <f t="array" ref="CY3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</row>
    <row r="38" spans="1:103" x14ac:dyDescent="0.25">
      <c r="A38" s="180">
        <v>45261</v>
      </c>
      <c r="B38" s="181">
        <f>COUNTIFS(
    estq[empresa], B$6,
    estq[Data da venda / reserva], "&gt;=" &amp; $A38,
    estq[Data da venda / reserva], "&lt;"  &amp; EOMONTH($A38,0) + 1
)</f>
        <v>0</v>
      </c>
      <c r="C38" s="182">
        <f ca="1">SUMIFS(rec.uni[2023-12-01],
INDIRECT("rec.uni[natureza]"),"pro.soluto",
INDIRECT("rec.uni[empresa]"),C$6)</f>
        <v>0</v>
      </c>
      <c r="D38" s="182">
        <f ca="1">SUMIFS(rec.uni[2023-12-01],
INDIRECT("rec.uni[natureza]"),"repasse.cef.obra",
INDIRECT("rec.uni[empresa]"),D$6)</f>
        <v>0</v>
      </c>
      <c r="E38" s="182">
        <f ca="1">SUMIFS(rec.uni[2023-12-01],
INDIRECT("rec.uni[natureza]"),"repasse.cef.terreno",
INDIRECT("rec.uni[empresa]"),E$6)</f>
        <v>0</v>
      </c>
      <c r="F38" s="182">
        <v>0</v>
      </c>
      <c r="G38" s="182">
        <f ca="1">SUMIFS(rec.uni[2023-12-01],
INDIRECT("rec.uni[natureza]"),"taxa.extra",
INDIRECT("rec.uni[empresa]"),G$6)</f>
        <v>0</v>
      </c>
      <c r="H38" s="170"/>
      <c r="I38" s="182" cm="1">
        <f t="array" ref="I3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J38" s="182" cm="1">
        <f t="array" ref="J3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K38" s="182" cm="1">
        <f t="array" ref="K3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L38" s="182" cm="1">
        <f t="array" ref="L3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M38" s="183" cm="1">
        <f t="array" ref="M3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N38" s="181">
        <f>COUNTIFS(
    estq[empresa], N$6,
    estq[Data da venda / reserva], "&gt;=" &amp; $A38,
    estq[Data da venda / reserva], "&lt;"  &amp; EOMONTH($A38,0) + 1
)</f>
        <v>0</v>
      </c>
      <c r="O38" s="182">
        <f ca="1">SUMIFS(rec.uni[2023-12-01],
INDIRECT("rec.uni[natureza]"),"pro.soluto",
INDIRECT("rec.uni[empresa]"),O$6)</f>
        <v>0</v>
      </c>
      <c r="P38" s="182">
        <f ca="1">SUMIFS(rec.uni[2023-12-01],
INDIRECT("rec.uni[natureza]"),"repasse.cef.obra",
INDIRECT("rec.uni[empresa]"),P$6)</f>
        <v>0</v>
      </c>
      <c r="Q38" s="182">
        <f ca="1">SUMIFS(rec.uni[2023-12-01],
INDIRECT("rec.uni[natureza]"),"repasse.cef.terreno",
INDIRECT("rec.uni[empresa]"),Q$6)</f>
        <v>0</v>
      </c>
      <c r="R38" s="182">
        <v>0</v>
      </c>
      <c r="S38" s="182">
        <f ca="1">SUMIFS(rec.uni[2023-12-01],
INDIRECT("rec.uni[natureza]"),"taxa.extra",
INDIRECT("rec.uni[empresa]"),S$6)</f>
        <v>0</v>
      </c>
      <c r="T38" s="170"/>
      <c r="U38" s="182" cm="1">
        <f t="array" ref="U3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V38" s="182" cm="1">
        <f t="array" ref="V3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W38" s="182" cm="1">
        <f t="array" ref="W3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X38" s="182" cm="1">
        <f t="array" ref="X3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Y38" s="183" cm="1">
        <f t="array" ref="Y3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Z38" s="181">
        <f>COUNTIFS(
    estq[empresa], Z$6,
    estq[Data da venda / reserva], "&gt;=" &amp; $A38,
    estq[Data da venda / reserva], "&lt;"  &amp; EOMONTH($A38,0) + 1
)</f>
        <v>0</v>
      </c>
      <c r="AA38" s="182">
        <f ca="1">SUMIFS(rec.uni[2023-12-01],
INDIRECT("rec.uni[natureza]"),"pro.soluto",
INDIRECT("rec.uni[empresa]"),AA$6)</f>
        <v>0</v>
      </c>
      <c r="AB38" s="182">
        <f ca="1">SUMIFS(rec.uni[2023-12-01],
INDIRECT("rec.uni[natureza]"),"pro.soluto",
INDIRECT("rec.uni[empresa]"),AB$6)</f>
        <v>0</v>
      </c>
      <c r="AC38" s="182">
        <f ca="1">SUMIFS(rec.uni[2023-12-01],
INDIRECT("rec.uni[natureza]"),"taxa.extra",
INDIRECT("rec.uni[empresa]"),AC$6)</f>
        <v>0</v>
      </c>
      <c r="AD38" s="170"/>
      <c r="AE38" s="182" cm="1">
        <f t="array" ref="AE3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F38" s="182" cm="1">
        <f t="array" ref="AF3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G38" s="182" cm="1">
        <f t="array" ref="AG3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H38" s="182" cm="1">
        <f t="array" ref="AH3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I38" s="183" cm="1">
        <f t="array" ref="AI3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(desp[data.pagamento]&gt;=$A38)*
    (desp[data.pagamento]&lt;EOMONTH($A38,0)+1)
  )
)</f>
        <v>0</v>
      </c>
      <c r="AJ38" s="181">
        <f>COUNTIFS(
    estq[empresa], AJ$6,
    estq[Data da venda / reserva], "&gt;=" &amp; $A38,
    estq[Data da venda / reserva], "&lt;"  &amp; EOMONTH($A38,0) + 1
)</f>
        <v>0</v>
      </c>
      <c r="AK38" s="182">
        <f ca="1">SUMIFS(rec.uni[2023-12-01],
INDIRECT("rec.uni[natureza]"),"pro.soluto",
INDIRECT("rec.uni[empresa]"),AK$6)</f>
        <v>0</v>
      </c>
      <c r="AL38" s="182">
        <f ca="1">SUMIFS(rec.uni[2023-12-01],
INDIRECT("rec.uni[natureza]"),"repasse.cef.obra",
INDIRECT("rec.uni[empresa]"),AL$6)</f>
        <v>0</v>
      </c>
      <c r="AM38" s="182">
        <f ca="1">SUMIFS(rec.uni[2023-12-01],
INDIRECT("rec.uni[natureza]"),"repasse.cef.terreno",
INDIRECT("rec.uni[empresa]"),AM$6)</f>
        <v>0</v>
      </c>
      <c r="AN38" s="182">
        <v>0</v>
      </c>
      <c r="AO38" s="182">
        <f ca="1">SUMIFS(rec.uni[2023-12-01],
INDIRECT("rec.uni[natureza]"),"taxa.extra",
INDIRECT("rec.uni[empresa]"),AO$6)</f>
        <v>0</v>
      </c>
      <c r="AP38" s="170"/>
      <c r="AQ38" s="182" cm="1">
        <f t="array" ref="AQ3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R38" s="182" cm="1">
        <f t="array" ref="AR3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S38" s="182" cm="1">
        <f t="array" ref="AS3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T38" s="182" cm="1">
        <f t="array" ref="AT3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U38" s="183" cm="1">
        <f t="array" ref="AU3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V38" s="181">
        <f>COUNTIFS(
    estq[empresa], AV$6,
    estq[Data da venda / reserva], "&gt;=" &amp; $A38,
    estq[Data da venda / reserva], "&lt;"  &amp; EOMONTH($A38,0) + 1
)</f>
        <v>0</v>
      </c>
      <c r="AW38" s="182">
        <f ca="1">SUMIFS(rec.uni[2023-12-01],
INDIRECT("rec.uni[natureza]"),"pro.soluto",
INDIRECT("rec.uni[empresa]"),AW$6)</f>
        <v>0</v>
      </c>
      <c r="AX38" s="182">
        <f ca="1">SUMIFS(rec.uni[2023-12-01],
INDIRECT("rec.uni[natureza]"),"repasse.cef.obra",
INDIRECT("rec.uni[empresa]"),AX$6)</f>
        <v>0</v>
      </c>
      <c r="AY38" s="182">
        <f ca="1">SUMIFS(rec.uni[2023-12-01],
INDIRECT("rec.uni[natureza]"),"repasse.cef.terreno",
INDIRECT("rec.uni[empresa]"),AY$6)</f>
        <v>0</v>
      </c>
      <c r="AZ38" s="182">
        <v>0</v>
      </c>
      <c r="BA38" s="182">
        <f ca="1">SUMIFS(rec.uni[2023-12-01],
INDIRECT("rec.uni[natureza]"),"taxa.extra",
INDIRECT("rec.uni[empresa]"),BA$6)</f>
        <v>0</v>
      </c>
      <c r="BB38" s="170"/>
      <c r="BC38" s="182" cm="1">
        <f t="array" ref="BC3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D38" s="182" cm="1">
        <f t="array" ref="BD3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E38" s="182" cm="1">
        <f t="array" ref="BE3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F38" s="182" cm="1">
        <f t="array" ref="BF3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G38" s="183" cm="1">
        <f t="array" ref="BG3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BH38" s="181">
        <f>COUNTIFS(
    estq[empresa], BH$6,
    estq[Data da venda / reserva], "&gt;=" &amp; $A38,
    estq[Data da venda / reserva], "&lt;"  &amp; EOMONTH($A38,0) + 1
)</f>
        <v>0</v>
      </c>
      <c r="BI38" s="182">
        <f ca="1">SUMIFS(rec.uni[2023-12-01],
INDIRECT("rec.uni[natureza]"),"pro.soluto",
INDIRECT("rec.uni[empresa]"),BI$6)</f>
        <v>0</v>
      </c>
      <c r="BJ38" s="170">
        <v>0</v>
      </c>
      <c r="BK38" s="182">
        <f ca="1">SUMIFS(rec.uni[2023-12-01],
INDIRECT("rec.uni[natureza]"),"taxa.extra",
INDIRECT("rec.uni[empresa]"),BK$6)</f>
        <v>0</v>
      </c>
      <c r="BL38" s="170"/>
      <c r="BM38" s="182" cm="1">
        <f t="array" ref="BM3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N38" s="182" cm="1">
        <f t="array" ref="BN3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O38" s="182" cm="1">
        <f t="array" ref="BO3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P38" s="182" cm="1">
        <f t="array" ref="BP3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Q38" s="183" cm="1">
        <f t="array" ref="BQ3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R38" s="181">
        <f>COUNTIFS(
    estq[empresa], BR$6,
    estq[Data da venda / reserva], "&gt;=" &amp; $A38,
    estq[Data da venda / reserva], "&lt;"  &amp; EOMONTH($A38,0) + 1
)</f>
        <v>0</v>
      </c>
      <c r="BS38" s="182">
        <f ca="1">SUMIFS(rec.uni[2023-12-01],
INDIRECT("rec.uni[natureza]"),"pro.soluto",
INDIRECT("rec.uni[empresa]"),BS$6)</f>
        <v>0</v>
      </c>
      <c r="BT38" s="182">
        <f ca="1">SUMIFS(rec.uni[2023-12-01],
INDIRECT("rec.uni[natureza]"),"pro.soluto",
INDIRECT("rec.uni[empresa]"),BT$6)</f>
        <v>0</v>
      </c>
      <c r="BU38" s="182">
        <f ca="1">SUMIFS(rec.uni[2023-12-01],
INDIRECT("rec.uni[natureza]"),"taxa.extra",
INDIRECT("rec.uni[empresa]"),BU$6)</f>
        <v>0</v>
      </c>
      <c r="BV38" s="170"/>
      <c r="BW38" s="182" cm="1">
        <f t="array" ref="BW3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BX38" s="182" cm="1">
        <f t="array" ref="BX3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BY38" s="182" cm="1">
        <f t="array" ref="BY3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BZ38" s="182" cm="1">
        <f t="array" ref="BZ3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CA38" s="183" cm="1">
        <f t="array" ref="CA3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(desp[data.pagamento]&gt;=$A38)*
    (desp[data.pagamento]&lt;EOMONTH($A38,0)+1)
  )
)</f>
        <v>0</v>
      </c>
      <c r="CB38" s="181">
        <f>COUNTIFS(
    estq[empresa], CB$6,
    estq[Data da venda / reserva], "&gt;=" &amp; $A38,
    estq[Data da venda / reserva], "&lt;"  &amp; EOMONTH($A38,0) + 1
)</f>
        <v>0</v>
      </c>
      <c r="CC38" s="182">
        <f ca="1">SUMIFS(rec.uni[2023-12-01],
INDIRECT("rec.uni[natureza]"),"pro.soluto",
INDIRECT("rec.uni[empresa]"),CC$6)</f>
        <v>0</v>
      </c>
      <c r="CD38" s="182">
        <f ca="1">SUMIFS(rec.uni[2023-12-01],
INDIRECT("rec.uni[natureza]"),"repasse.cef.obra",
INDIRECT("rec.uni[empresa]"),CD$6)</f>
        <v>0</v>
      </c>
      <c r="CE38" s="182">
        <f ca="1">SUMIFS(rec.uni[2023-12-01],
INDIRECT("rec.uni[natureza]"),"repasse.cef.terreno",
INDIRECT("rec.uni[empresa]"),CE$6)</f>
        <v>0</v>
      </c>
      <c r="CF38" s="182">
        <v>0</v>
      </c>
      <c r="CG38" s="182">
        <f ca="1">SUMIFS(rec.uni[2023-12-01],
INDIRECT("rec.uni[natureza]"),"taxa.extra",
INDIRECT("rec.uni[empresa]"),CG$6)</f>
        <v>0</v>
      </c>
      <c r="CH38" s="170"/>
      <c r="CI38" s="182" cm="1">
        <f t="array" ref="CI3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J38" s="182" cm="1">
        <f t="array" ref="CJ3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K38" s="182" cm="1">
        <f t="array" ref="CK3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L38" s="182" cm="1">
        <f t="array" ref="CL3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M38" s="183" cm="1">
        <f t="array" ref="CM3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CN38" s="181">
        <f>COUNTIFS(
    estq[empresa], CN$6,
    estq[Data da venda / reserva], "&gt;=" &amp; $A38,
    estq[Data da venda / reserva], "&lt;"  &amp; EOMONTH($A38,0) + 1
)</f>
        <v>0</v>
      </c>
      <c r="CO38" s="182">
        <f ca="1">SUMIFS(rec.uni[2023-12-01],
INDIRECT("rec.uni[natureza]"),"pro.soluto",
INDIRECT("rec.uni[empresa]"),CO$6)</f>
        <v>0</v>
      </c>
      <c r="CP38" s="182">
        <f ca="1">SUMIFS(rec.uni[2023-12-01],
INDIRECT("rec.uni[natureza]"),"repasse.cef.obra",
INDIRECT("rec.uni[empresa]"),CP$6)</f>
        <v>0</v>
      </c>
      <c r="CQ38" s="182">
        <f ca="1">SUMIFS(rec.uni[2023-12-01],
INDIRECT("rec.uni[natureza]"),"repasse.cef.terreno",
INDIRECT("rec.uni[empresa]"),CQ$6)</f>
        <v>0</v>
      </c>
      <c r="CR38" s="182">
        <v>0</v>
      </c>
      <c r="CS38" s="182">
        <f ca="1">SUMIFS(rec.uni[2023-12-01],
INDIRECT("rec.uni[natureza]"),"taxa.extra",
INDIRECT("rec.uni[empresa]"),CS$6)</f>
        <v>0</v>
      </c>
      <c r="CT38" s="170"/>
      <c r="CU38" s="182" cm="1">
        <f t="array" ref="CU3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V38" s="182" cm="1">
        <f t="array" ref="CV3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W38" s="182" cm="1">
        <f t="array" ref="CW3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X38" s="182" cm="1">
        <f t="array" ref="CX3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Y38" s="184" cm="1">
        <f t="array" ref="CY3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</row>
    <row r="39" spans="1:103" x14ac:dyDescent="0.25">
      <c r="A39" s="180">
        <v>45292</v>
      </c>
      <c r="B39" s="181">
        <f>COUNTIFS(
    estq[empresa], B$6,
    estq[Data da venda / reserva], "&gt;=" &amp; $A39,
    estq[Data da venda / reserva], "&lt;"  &amp; EOMONTH($A39,0) + 1
)</f>
        <v>0</v>
      </c>
      <c r="C39" s="182">
        <f ca="1">SUMIFS(rec.uni[2024-01-01],
INDIRECT("rec.uni[natureza]"),"pro.soluto",
INDIRECT("rec.uni[empresa]"),C$6)</f>
        <v>0</v>
      </c>
      <c r="D39" s="182">
        <f ca="1">SUMIFS(rec.uni[2024-01-01],
INDIRECT("rec.uni[natureza]"),"repasse.cef.obra",
INDIRECT("rec.uni[empresa]"),D$6)</f>
        <v>0</v>
      </c>
      <c r="E39" s="182">
        <f ca="1">SUMIFS(rec.uni[2024-01-01],
INDIRECT("rec.uni[natureza]"),"repasse.cef.terreno",
INDIRECT("rec.uni[empresa]"),E$6)</f>
        <v>0</v>
      </c>
      <c r="F39" s="182">
        <v>0</v>
      </c>
      <c r="G39" s="182">
        <f ca="1">SUMIFS(rec.uni[2024-01-01],
INDIRECT("rec.uni[natureza]"),"taxa.extra",
INDIRECT("rec.uni[empresa]"),G$6)</f>
        <v>0</v>
      </c>
      <c r="H39" s="170"/>
      <c r="I39" s="182" cm="1">
        <f t="array" ref="I3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J39" s="182" cm="1">
        <f t="array" ref="J3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K39" s="182" cm="1">
        <f t="array" ref="K3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L39" s="182" cm="1">
        <f t="array" ref="L3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M39" s="183" cm="1">
        <f t="array" ref="M3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N39" s="181">
        <f>COUNTIFS(
    estq[empresa], N$6,
    estq[Data da venda / reserva], "&gt;=" &amp; $A39,
    estq[Data da venda / reserva], "&lt;"  &amp; EOMONTH($A39,0) + 1
)</f>
        <v>0</v>
      </c>
      <c r="O39" s="182">
        <f ca="1">SUMIFS(rec.uni[2024-01-01],
INDIRECT("rec.uni[natureza]"),"pro.soluto",
INDIRECT("rec.uni[empresa]"),O$6)</f>
        <v>0</v>
      </c>
      <c r="P39" s="182">
        <f ca="1">SUMIFS(rec.uni[2024-01-01],
INDIRECT("rec.uni[natureza]"),"repasse.cef.obra",
INDIRECT("rec.uni[empresa]"),P$6)</f>
        <v>0</v>
      </c>
      <c r="Q39" s="182">
        <f ca="1">SUMIFS(rec.uni[2024-01-01],
INDIRECT("rec.uni[natureza]"),"repasse.cef.terreno",
INDIRECT("rec.uni[empresa]"),Q$6)</f>
        <v>0</v>
      </c>
      <c r="R39" s="182">
        <v>1292869.73</v>
      </c>
      <c r="S39" s="182">
        <f ca="1">SUMIFS(rec.uni[2024-01-01],
INDIRECT("rec.uni[natureza]"),"taxa.extra",
INDIRECT("rec.uni[empresa]"),S$6)</f>
        <v>0</v>
      </c>
      <c r="T39" s="170"/>
      <c r="U39" s="182" cm="1">
        <f t="array" ref="U3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V39" s="182" cm="1">
        <f t="array" ref="V3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W39" s="182" cm="1">
        <f t="array" ref="W3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X39" s="182" cm="1">
        <f t="array" ref="X3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Y39" s="183" cm="1">
        <f t="array" ref="Y3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Z39" s="181">
        <f>COUNTIFS(
    estq[empresa], Z$6,
    estq[Data da venda / reserva], "&gt;=" &amp; $A39,
    estq[Data da venda / reserva], "&lt;"  &amp; EOMONTH($A39,0) + 1
)</f>
        <v>0</v>
      </c>
      <c r="AA39" s="182">
        <f ca="1">SUMIFS(rec.uni[2024-01-01],
INDIRECT("rec.uni[natureza]"),"pro.soluto",
INDIRECT("rec.uni[empresa]"),AA$6)</f>
        <v>0</v>
      </c>
      <c r="AB39" s="182">
        <f ca="1">SUMIFS(rec.uni[2024-01-01],
INDIRECT("rec.uni[natureza]"),"pro.soluto",
INDIRECT("rec.uni[empresa]"),AB$6)</f>
        <v>0</v>
      </c>
      <c r="AC39" s="182">
        <f ca="1">SUMIFS(rec.uni[2024-01-01],
INDIRECT("rec.uni[natureza]"),"taxa.extra",
INDIRECT("rec.uni[empresa]"),AC$6)</f>
        <v>0</v>
      </c>
      <c r="AD39" s="170"/>
      <c r="AE39" s="182" cm="1">
        <f t="array" ref="AE3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F39" s="182" cm="1">
        <f t="array" ref="AF3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G39" s="182" cm="1">
        <f t="array" ref="AG3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H39" s="182" cm="1">
        <f t="array" ref="AH3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I39" s="183" cm="1">
        <f t="array" ref="AI3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(desp[data.pagamento]&gt;=$A39)*
    (desp[data.pagamento]&lt;EOMONTH($A39,0)+1)
  )
)</f>
        <v>0</v>
      </c>
      <c r="AJ39" s="181">
        <f>COUNTIFS(
    estq[empresa], AJ$6,
    estq[Data da venda / reserva], "&gt;=" &amp; $A39,
    estq[Data da venda / reserva], "&lt;"  &amp; EOMONTH($A39,0) + 1
)</f>
        <v>0</v>
      </c>
      <c r="AK39" s="182">
        <f ca="1">SUMIFS(rec.uni[2024-01-01],
INDIRECT("rec.uni[natureza]"),"pro.soluto",
INDIRECT("rec.uni[empresa]"),AK$6)</f>
        <v>0</v>
      </c>
      <c r="AL39" s="182">
        <f ca="1">SUMIFS(rec.uni[2024-01-01],
INDIRECT("rec.uni[natureza]"),"repasse.cef.obra",
INDIRECT("rec.uni[empresa]"),AL$6)</f>
        <v>0</v>
      </c>
      <c r="AM39" s="182">
        <f ca="1">SUMIFS(rec.uni[2024-01-01],
INDIRECT("rec.uni[natureza]"),"repasse.cef.terreno",
INDIRECT("rec.uni[empresa]"),AM$6)</f>
        <v>0</v>
      </c>
      <c r="AN39" s="182">
        <v>0</v>
      </c>
      <c r="AO39" s="182">
        <f ca="1">SUMIFS(rec.uni[2024-01-01],
INDIRECT("rec.uni[natureza]"),"taxa.extra",
INDIRECT("rec.uni[empresa]"),AO$6)</f>
        <v>0</v>
      </c>
      <c r="AP39" s="170"/>
      <c r="AQ39" s="182" cm="1">
        <f t="array" ref="AQ3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R39" s="182" cm="1">
        <f t="array" ref="AR3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S39" s="182" cm="1">
        <f t="array" ref="AS3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T39" s="182" cm="1">
        <f t="array" ref="AT3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U39" s="183" cm="1">
        <f t="array" ref="AU3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V39" s="181">
        <f>COUNTIFS(
    estq[empresa], AV$6,
    estq[Data da venda / reserva], "&gt;=" &amp; $A39,
    estq[Data da venda / reserva], "&lt;"  &amp; EOMONTH($A39,0) + 1
)</f>
        <v>0</v>
      </c>
      <c r="AW39" s="182">
        <f ca="1">SUMIFS(rec.uni[2024-01-01],
INDIRECT("rec.uni[natureza]"),"pro.soluto",
INDIRECT("rec.uni[empresa]"),AW$6)</f>
        <v>0</v>
      </c>
      <c r="AX39" s="182">
        <f ca="1">SUMIFS(rec.uni[2024-01-01],
INDIRECT("rec.uni[natureza]"),"repasse.cef.obra",
INDIRECT("rec.uni[empresa]"),AX$6)</f>
        <v>0</v>
      </c>
      <c r="AY39" s="182">
        <f ca="1">SUMIFS(rec.uni[2024-01-01],
INDIRECT("rec.uni[natureza]"),"repasse.cef.terreno",
INDIRECT("rec.uni[empresa]"),AY$6)</f>
        <v>0</v>
      </c>
      <c r="AZ39" s="182">
        <v>0</v>
      </c>
      <c r="BA39" s="182">
        <f ca="1">SUMIFS(rec.uni[2024-01-01],
INDIRECT("rec.uni[natureza]"),"taxa.extra",
INDIRECT("rec.uni[empresa]"),BA$6)</f>
        <v>0</v>
      </c>
      <c r="BB39" s="170"/>
      <c r="BC39" s="182" cm="1">
        <f t="array" ref="BC3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D39" s="182" cm="1">
        <f t="array" ref="BD3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E39" s="182" cm="1">
        <f t="array" ref="BE3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F39" s="182" cm="1">
        <f t="array" ref="BF3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G39" s="183" cm="1">
        <f t="array" ref="BG3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BH39" s="181">
        <f>COUNTIFS(
    estq[empresa], BH$6,
    estq[Data da venda / reserva], "&gt;=" &amp; $A39,
    estq[Data da venda / reserva], "&lt;"  &amp; EOMONTH($A39,0) + 1
)</f>
        <v>0</v>
      </c>
      <c r="BI39" s="182">
        <f ca="1">SUMIFS(rec.uni[2024-01-01],
INDIRECT("rec.uni[natureza]"),"pro.soluto",
INDIRECT("rec.uni[empresa]"),BI$6)</f>
        <v>0</v>
      </c>
      <c r="BJ39" s="170">
        <v>0</v>
      </c>
      <c r="BK39" s="182">
        <f ca="1">SUMIFS(rec.uni[2024-01-01],
INDIRECT("rec.uni[natureza]"),"taxa.extra",
INDIRECT("rec.uni[empresa]"),BK$6)</f>
        <v>0</v>
      </c>
      <c r="BL39" s="170"/>
      <c r="BM39" s="182" cm="1">
        <f t="array" ref="BM3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N39" s="182" cm="1">
        <f t="array" ref="BN3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O39" s="182" cm="1">
        <f t="array" ref="BO3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P39" s="182" cm="1">
        <f t="array" ref="BP3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Q39" s="183" cm="1">
        <f t="array" ref="BQ3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R39" s="181">
        <f>COUNTIFS(
    estq[empresa], BR$6,
    estq[Data da venda / reserva], "&gt;=" &amp; $A39,
    estq[Data da venda / reserva], "&lt;"  &amp; EOMONTH($A39,0) + 1
)</f>
        <v>0</v>
      </c>
      <c r="BS39" s="182">
        <f ca="1">SUMIFS(rec.uni[2024-01-01],
INDIRECT("rec.uni[natureza]"),"pro.soluto",
INDIRECT("rec.uni[empresa]"),BS$6)</f>
        <v>0</v>
      </c>
      <c r="BT39" s="182">
        <f ca="1">SUMIFS(rec.uni[2024-01-01],
INDIRECT("rec.uni[natureza]"),"pro.soluto",
INDIRECT("rec.uni[empresa]"),BT$6)</f>
        <v>0</v>
      </c>
      <c r="BU39" s="182">
        <f ca="1">SUMIFS(rec.uni[2024-01-01],
INDIRECT("rec.uni[natureza]"),"taxa.extra",
INDIRECT("rec.uni[empresa]"),BU$6)</f>
        <v>0</v>
      </c>
      <c r="BV39" s="170"/>
      <c r="BW39" s="182" cm="1">
        <f t="array" ref="BW3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BX39" s="182" cm="1">
        <f t="array" ref="BX3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BY39" s="182" cm="1">
        <f t="array" ref="BY3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BZ39" s="182" cm="1">
        <f t="array" ref="BZ3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CA39" s="183" cm="1">
        <f t="array" ref="CA3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(desp[data.pagamento]&gt;=$A39)*
    (desp[data.pagamento]&lt;EOMONTH($A39,0)+1)
  )
)</f>
        <v>0</v>
      </c>
      <c r="CB39" s="181">
        <f>COUNTIFS(
    estq[empresa], CB$6,
    estq[Data da venda / reserva], "&gt;=" &amp; $A39,
    estq[Data da venda / reserva], "&lt;"  &amp; EOMONTH($A39,0) + 1
)</f>
        <v>0</v>
      </c>
      <c r="CC39" s="182">
        <f ca="1">SUMIFS(rec.uni[2024-01-01],
INDIRECT("rec.uni[natureza]"),"pro.soluto",
INDIRECT("rec.uni[empresa]"),CC$6)</f>
        <v>0</v>
      </c>
      <c r="CD39" s="182">
        <f ca="1">SUMIFS(rec.uni[2024-01-01],
INDIRECT("rec.uni[natureza]"),"repasse.cef.obra",
INDIRECT("rec.uni[empresa]"),CD$6)</f>
        <v>0</v>
      </c>
      <c r="CE39" s="182">
        <f ca="1">SUMIFS(rec.uni[2024-01-01],
INDIRECT("rec.uni[natureza]"),"repasse.cef.terreno",
INDIRECT("rec.uni[empresa]"),CE$6)</f>
        <v>0</v>
      </c>
      <c r="CF39" s="182">
        <v>0</v>
      </c>
      <c r="CG39" s="182">
        <f ca="1">SUMIFS(rec.uni[2024-01-01],
INDIRECT("rec.uni[natureza]"),"taxa.extra",
INDIRECT("rec.uni[empresa]"),CG$6)</f>
        <v>0</v>
      </c>
      <c r="CH39" s="170"/>
      <c r="CI39" s="182" cm="1">
        <f t="array" ref="CI3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J39" s="182" cm="1">
        <f t="array" ref="CJ3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K39" s="182" cm="1">
        <f t="array" ref="CK3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L39" s="182" cm="1">
        <f t="array" ref="CL3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M39" s="183" cm="1">
        <f t="array" ref="CM3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CN39" s="181">
        <f>COUNTIFS(
    estq[empresa], CN$6,
    estq[Data da venda / reserva], "&gt;=" &amp; $A39,
    estq[Data da venda / reserva], "&lt;"  &amp; EOMONTH($A39,0) + 1
)</f>
        <v>0</v>
      </c>
      <c r="CO39" s="182">
        <f ca="1">SUMIFS(rec.uni[2024-01-01],
INDIRECT("rec.uni[natureza]"),"pro.soluto",
INDIRECT("rec.uni[empresa]"),CO$6)</f>
        <v>0</v>
      </c>
      <c r="CP39" s="182">
        <f ca="1">SUMIFS(rec.uni[2024-01-01],
INDIRECT("rec.uni[natureza]"),"repasse.cef.obra",
INDIRECT("rec.uni[empresa]"),CP$6)</f>
        <v>0</v>
      </c>
      <c r="CQ39" s="182">
        <f ca="1">SUMIFS(rec.uni[2024-01-01],
INDIRECT("rec.uni[natureza]"),"repasse.cef.terreno",
INDIRECT("rec.uni[empresa]"),CQ$6)</f>
        <v>0</v>
      </c>
      <c r="CR39" s="182">
        <v>0</v>
      </c>
      <c r="CS39" s="182">
        <f ca="1">SUMIFS(rec.uni[2024-01-01],
INDIRECT("rec.uni[natureza]"),"taxa.extra",
INDIRECT("rec.uni[empresa]"),CS$6)</f>
        <v>0</v>
      </c>
      <c r="CT39" s="170"/>
      <c r="CU39" s="182" cm="1">
        <f t="array" ref="CU3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V39" s="182" cm="1">
        <f t="array" ref="CV3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W39" s="182" cm="1">
        <f t="array" ref="CW3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X39" s="182" cm="1">
        <f t="array" ref="CX3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Y39" s="184" cm="1">
        <f t="array" ref="CY3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</row>
    <row r="40" spans="1:103" x14ac:dyDescent="0.25">
      <c r="A40" s="180">
        <v>45323</v>
      </c>
      <c r="B40" s="181">
        <f>COUNTIFS(
    estq[empresa], B$6,
    estq[Data da venda / reserva], "&gt;=" &amp; $A40,
    estq[Data da venda / reserva], "&lt;"  &amp; EOMONTH($A40,0) + 1
)</f>
        <v>0</v>
      </c>
      <c r="C40" s="182">
        <f ca="1">SUMIFS(rec.uni[2024-02-01],
INDIRECT("rec.uni[natureza]"),"pro.soluto",
INDIRECT("rec.uni[empresa]"),C$6)</f>
        <v>0</v>
      </c>
      <c r="D40" s="182">
        <f ca="1">SUMIFS(rec.uni[2024-02-01],
INDIRECT("rec.uni[natureza]"),"repasse.cef.obra",
INDIRECT("rec.uni[empresa]"),D$6)</f>
        <v>0</v>
      </c>
      <c r="E40" s="182">
        <f ca="1">SUMIFS(rec.uni[2024-02-01],
INDIRECT("rec.uni[natureza]"),"repasse.cef.terreno",
INDIRECT("rec.uni[empresa]"),E$6)</f>
        <v>0</v>
      </c>
      <c r="F40" s="182">
        <v>0</v>
      </c>
      <c r="G40" s="182">
        <f ca="1">SUMIFS(rec.uni[2024-02-01],
INDIRECT("rec.uni[natureza]"),"taxa.extra",
INDIRECT("rec.uni[empresa]"),G$6)</f>
        <v>0</v>
      </c>
      <c r="H40" s="170"/>
      <c r="I40" s="182" cm="1">
        <f t="array" ref="I4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J40" s="182" cm="1">
        <f t="array" ref="J4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K40" s="182" cm="1">
        <f t="array" ref="K4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L40" s="182" cm="1">
        <f t="array" ref="L4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M40" s="183" cm="1">
        <f t="array" ref="M4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N40" s="181">
        <f>COUNTIFS(
    estq[empresa], N$6,
    estq[Data da venda / reserva], "&gt;=" &amp; $A40,
    estq[Data da venda / reserva], "&lt;"  &amp; EOMONTH($A40,0) + 1
)</f>
        <v>0</v>
      </c>
      <c r="O40" s="182">
        <f ca="1">SUMIFS(rec.uni[2024-02-01],
INDIRECT("rec.uni[natureza]"),"pro.soluto",
INDIRECT("rec.uni[empresa]"),O$6)</f>
        <v>0</v>
      </c>
      <c r="P40" s="182">
        <f ca="1">SUMIFS(rec.uni[2024-02-01],
INDIRECT("rec.uni[natureza]"),"repasse.cef.obra",
INDIRECT("rec.uni[empresa]"),P$6)</f>
        <v>0</v>
      </c>
      <c r="Q40" s="182">
        <f ca="1">SUMIFS(rec.uni[2024-02-01],
INDIRECT("rec.uni[natureza]"),"repasse.cef.terreno",
INDIRECT("rec.uni[empresa]"),Q$6)</f>
        <v>0</v>
      </c>
      <c r="R40" s="182">
        <v>641961.35</v>
      </c>
      <c r="S40" s="182">
        <f ca="1">SUMIFS(rec.uni[2024-02-01],
INDIRECT("rec.uni[natureza]"),"taxa.extra",
INDIRECT("rec.uni[empresa]"),S$6)</f>
        <v>0</v>
      </c>
      <c r="T40" s="170"/>
      <c r="U40" s="182" cm="1">
        <f t="array" ref="U4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V40" s="182" cm="1">
        <f t="array" ref="V4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W40" s="182" cm="1">
        <f t="array" ref="W4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X40" s="182" cm="1">
        <f t="array" ref="X4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Y40" s="183" cm="1">
        <f t="array" ref="Y4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Z40" s="181">
        <f>COUNTIFS(
    estq[empresa], Z$6,
    estq[Data da venda / reserva], "&gt;=" &amp; $A40,
    estq[Data da venda / reserva], "&lt;"  &amp; EOMONTH($A40,0) + 1
)</f>
        <v>0</v>
      </c>
      <c r="AA40" s="182">
        <f ca="1">SUMIFS(rec.uni[2024-02-01],
INDIRECT("rec.uni[natureza]"),"pro.soluto",
INDIRECT("rec.uni[empresa]"),AA$6)</f>
        <v>0</v>
      </c>
      <c r="AB40" s="182">
        <f ca="1">SUMIFS(rec.uni[2024-02-01],
INDIRECT("rec.uni[natureza]"),"pro.soluto",
INDIRECT("rec.uni[empresa]"),AB$6)</f>
        <v>0</v>
      </c>
      <c r="AC40" s="182">
        <f ca="1">SUMIFS(rec.uni[2024-02-01],
INDIRECT("rec.uni[natureza]"),"taxa.extra",
INDIRECT("rec.uni[empresa]"),AC$6)</f>
        <v>0</v>
      </c>
      <c r="AD40" s="170"/>
      <c r="AE40" s="182" cm="1">
        <f t="array" ref="AE4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F40" s="182" cm="1">
        <f t="array" ref="AF4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G40" s="182" cm="1">
        <f t="array" ref="AG4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H40" s="182" cm="1">
        <f t="array" ref="AH4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I40" s="183" cm="1">
        <f t="array" ref="AI4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(desp[data.pagamento]&gt;=$A40)*
    (desp[data.pagamento]&lt;EOMONTH($A40,0)+1)
  )
)</f>
        <v>0</v>
      </c>
      <c r="AJ40" s="181">
        <f>COUNTIFS(
    estq[empresa], AJ$6,
    estq[Data da venda / reserva], "&gt;=" &amp; $A40,
    estq[Data da venda / reserva], "&lt;"  &amp; EOMONTH($A40,0) + 1
)</f>
        <v>0</v>
      </c>
      <c r="AK40" s="182">
        <f ca="1">SUMIFS(rec.uni[2024-02-01],
INDIRECT("rec.uni[natureza]"),"pro.soluto",
INDIRECT("rec.uni[empresa]"),AK$6)</f>
        <v>0</v>
      </c>
      <c r="AL40" s="182">
        <f ca="1">SUMIFS(rec.uni[2024-02-01],
INDIRECT("rec.uni[natureza]"),"repasse.cef.obra",
INDIRECT("rec.uni[empresa]"),AL$6)</f>
        <v>0</v>
      </c>
      <c r="AM40" s="182">
        <f ca="1">SUMIFS(rec.uni[2024-02-01],
INDIRECT("rec.uni[natureza]"),"repasse.cef.terreno",
INDIRECT("rec.uni[empresa]"),AM$6)</f>
        <v>0</v>
      </c>
      <c r="AN40" s="182">
        <v>0</v>
      </c>
      <c r="AO40" s="182">
        <f ca="1">SUMIFS(rec.uni[2024-02-01],
INDIRECT("rec.uni[natureza]"),"taxa.extra",
INDIRECT("rec.uni[empresa]"),AO$6)</f>
        <v>0</v>
      </c>
      <c r="AP40" s="170"/>
      <c r="AQ40" s="182" cm="1">
        <f t="array" ref="AQ4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R40" s="182" cm="1">
        <f t="array" ref="AR4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S40" s="182" cm="1">
        <f t="array" ref="AS4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T40" s="182" cm="1">
        <f t="array" ref="AT4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U40" s="183" cm="1">
        <f t="array" ref="AU4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V40" s="181">
        <f>COUNTIFS(
    estq[empresa], AV$6,
    estq[Data da venda / reserva], "&gt;=" &amp; $A40,
    estq[Data da venda / reserva], "&lt;"  &amp; EOMONTH($A40,0) + 1
)</f>
        <v>0</v>
      </c>
      <c r="AW40" s="182">
        <f ca="1">SUMIFS(rec.uni[2024-02-01],
INDIRECT("rec.uni[natureza]"),"pro.soluto",
INDIRECT("rec.uni[empresa]"),AW$6)</f>
        <v>0</v>
      </c>
      <c r="AX40" s="182">
        <f ca="1">SUMIFS(rec.uni[2024-02-01],
INDIRECT("rec.uni[natureza]"),"repasse.cef.obra",
INDIRECT("rec.uni[empresa]"),AX$6)</f>
        <v>0</v>
      </c>
      <c r="AY40" s="182">
        <f ca="1">SUMIFS(rec.uni[2024-02-01],
INDIRECT("rec.uni[natureza]"),"repasse.cef.terreno",
INDIRECT("rec.uni[empresa]"),AY$6)</f>
        <v>0</v>
      </c>
      <c r="AZ40" s="182">
        <v>0</v>
      </c>
      <c r="BA40" s="182">
        <f ca="1">SUMIFS(rec.uni[2024-02-01],
INDIRECT("rec.uni[natureza]"),"taxa.extra",
INDIRECT("rec.uni[empresa]"),BA$6)</f>
        <v>0</v>
      </c>
      <c r="BB40" s="170"/>
      <c r="BC40" s="182" cm="1">
        <f t="array" ref="BC4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D40" s="182" cm="1">
        <f t="array" ref="BD4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E40" s="182" cm="1">
        <f t="array" ref="BE4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F40" s="182" cm="1">
        <f t="array" ref="BF4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G40" s="183" cm="1">
        <f t="array" ref="BG4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BH40" s="181">
        <f>COUNTIFS(
    estq[empresa], BH$6,
    estq[Data da venda / reserva], "&gt;=" &amp; $A40,
    estq[Data da venda / reserva], "&lt;"  &amp; EOMONTH($A40,0) + 1
)</f>
        <v>0</v>
      </c>
      <c r="BI40" s="182">
        <f ca="1">SUMIFS(rec.uni[2024-02-01],
INDIRECT("rec.uni[natureza]"),"pro.soluto",
INDIRECT("rec.uni[empresa]"),BI$6)</f>
        <v>0</v>
      </c>
      <c r="BJ40" s="170">
        <v>0</v>
      </c>
      <c r="BK40" s="182">
        <f ca="1">SUMIFS(rec.uni[2024-02-01],
INDIRECT("rec.uni[natureza]"),"taxa.extra",
INDIRECT("rec.uni[empresa]"),BK$6)</f>
        <v>0</v>
      </c>
      <c r="BL40" s="170"/>
      <c r="BM40" s="182" cm="1">
        <f t="array" ref="BM4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N40" s="182" cm="1">
        <f t="array" ref="BN4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O40" s="182" cm="1">
        <f t="array" ref="BO4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P40" s="182" cm="1">
        <f t="array" ref="BP4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Q40" s="183" cm="1">
        <f t="array" ref="BQ4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R40" s="181">
        <f>COUNTIFS(
    estq[empresa], BR$6,
    estq[Data da venda / reserva], "&gt;=" &amp; $A40,
    estq[Data da venda / reserva], "&lt;"  &amp; EOMONTH($A40,0) + 1
)</f>
        <v>0</v>
      </c>
      <c r="BS40" s="182">
        <f ca="1">SUMIFS(rec.uni[2024-02-01],
INDIRECT("rec.uni[natureza]"),"pro.soluto",
INDIRECT("rec.uni[empresa]"),BS$6)</f>
        <v>0</v>
      </c>
      <c r="BT40" s="182">
        <f ca="1">SUMIFS(rec.uni[2024-02-01],
INDIRECT("rec.uni[natureza]"),"pro.soluto",
INDIRECT("rec.uni[empresa]"),BT$6)</f>
        <v>0</v>
      </c>
      <c r="BU40" s="182">
        <f ca="1">SUMIFS(rec.uni[2024-02-01],
INDIRECT("rec.uni[natureza]"),"taxa.extra",
INDIRECT("rec.uni[empresa]"),BU$6)</f>
        <v>0</v>
      </c>
      <c r="BV40" s="170"/>
      <c r="BW40" s="182" cm="1">
        <f t="array" ref="BW4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BX40" s="182" cm="1">
        <f t="array" ref="BX4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BY40" s="182" cm="1">
        <f t="array" ref="BY4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BZ40" s="182" cm="1">
        <f t="array" ref="BZ4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CA40" s="183" cm="1">
        <f t="array" ref="CA4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(desp[data.pagamento]&gt;=$A40)*
    (desp[data.pagamento]&lt;EOMONTH($A40,0)+1)
  )
)</f>
        <v>0</v>
      </c>
      <c r="CB40" s="181">
        <f>COUNTIFS(
    estq[empresa], CB$6,
    estq[Data da venda / reserva], "&gt;=" &amp; $A40,
    estq[Data da venda / reserva], "&lt;"  &amp; EOMONTH($A40,0) + 1
)</f>
        <v>0</v>
      </c>
      <c r="CC40" s="182">
        <f ca="1">SUMIFS(rec.uni[2024-02-01],
INDIRECT("rec.uni[natureza]"),"pro.soluto",
INDIRECT("rec.uni[empresa]"),CC$6)</f>
        <v>0</v>
      </c>
      <c r="CD40" s="182">
        <f ca="1">SUMIFS(rec.uni[2024-02-01],
INDIRECT("rec.uni[natureza]"),"repasse.cef.obra",
INDIRECT("rec.uni[empresa]"),CD$6)</f>
        <v>0</v>
      </c>
      <c r="CE40" s="182">
        <f ca="1">SUMIFS(rec.uni[2024-02-01],
INDIRECT("rec.uni[natureza]"),"repasse.cef.terreno",
INDIRECT("rec.uni[empresa]"),CE$6)</f>
        <v>0</v>
      </c>
      <c r="CF40" s="182">
        <v>0</v>
      </c>
      <c r="CG40" s="182">
        <f ca="1">SUMIFS(rec.uni[2024-02-01],
INDIRECT("rec.uni[natureza]"),"taxa.extra",
INDIRECT("rec.uni[empresa]"),CG$6)</f>
        <v>0</v>
      </c>
      <c r="CH40" s="170"/>
      <c r="CI40" s="182" cm="1">
        <f t="array" ref="CI4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J40" s="182" cm="1">
        <f t="array" ref="CJ4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K40" s="182" cm="1">
        <f t="array" ref="CK4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L40" s="182" cm="1">
        <f t="array" ref="CL4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M40" s="183" cm="1">
        <f t="array" ref="CM4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CN40" s="181">
        <f>COUNTIFS(
    estq[empresa], CN$6,
    estq[Data da venda / reserva], "&gt;=" &amp; $A40,
    estq[Data da venda / reserva], "&lt;"  &amp; EOMONTH($A40,0) + 1
)</f>
        <v>0</v>
      </c>
      <c r="CO40" s="182">
        <f ca="1">SUMIFS(rec.uni[2024-02-01],
INDIRECT("rec.uni[natureza]"),"pro.soluto",
INDIRECT("rec.uni[empresa]"),CO$6)</f>
        <v>0</v>
      </c>
      <c r="CP40" s="182">
        <f ca="1">SUMIFS(rec.uni[2024-02-01],
INDIRECT("rec.uni[natureza]"),"repasse.cef.obra",
INDIRECT("rec.uni[empresa]"),CP$6)</f>
        <v>0</v>
      </c>
      <c r="CQ40" s="182">
        <f ca="1">SUMIFS(rec.uni[2024-02-01],
INDIRECT("rec.uni[natureza]"),"repasse.cef.terreno",
INDIRECT("rec.uni[empresa]"),CQ$6)</f>
        <v>0</v>
      </c>
      <c r="CR40" s="182">
        <v>0</v>
      </c>
      <c r="CS40" s="182">
        <f ca="1">SUMIFS(rec.uni[2024-02-01],
INDIRECT("rec.uni[natureza]"),"taxa.extra",
INDIRECT("rec.uni[empresa]"),CS$6)</f>
        <v>0</v>
      </c>
      <c r="CT40" s="170"/>
      <c r="CU40" s="182" cm="1">
        <f t="array" ref="CU4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V40" s="182" cm="1">
        <f t="array" ref="CV4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W40" s="182" cm="1">
        <f t="array" ref="CW4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X40" s="182" cm="1">
        <f t="array" ref="CX4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Y40" s="184" cm="1">
        <f t="array" ref="CY4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</row>
    <row r="41" spans="1:103" x14ac:dyDescent="0.25">
      <c r="A41" s="180">
        <v>45352</v>
      </c>
      <c r="B41" s="181">
        <f>COUNTIFS(
    estq[empresa], B$6,
    estq[Data da venda / reserva], "&gt;=" &amp; $A41,
    estq[Data da venda / reserva], "&lt;"  &amp; EOMONTH($A41,0) + 1
)</f>
        <v>0</v>
      </c>
      <c r="C41" s="182">
        <f ca="1">SUMIFS(rec.uni[2024-03-01],
INDIRECT("rec.uni[natureza]"),"pro.soluto",
INDIRECT("rec.uni[empresa]"),C$6)</f>
        <v>0</v>
      </c>
      <c r="D41" s="182">
        <f ca="1">SUMIFS(rec.uni[2024-03-01],
INDIRECT("rec.uni[natureza]"),"repasse.cef.obra",
INDIRECT("rec.uni[empresa]"),D$6)</f>
        <v>0</v>
      </c>
      <c r="E41" s="182">
        <f ca="1">SUMIFS(rec.uni[2024-03-01],
INDIRECT("rec.uni[natureza]"),"repasse.cef.terreno",
INDIRECT("rec.uni[empresa]"),E$6)</f>
        <v>0</v>
      </c>
      <c r="F41" s="182">
        <v>403051.79</v>
      </c>
      <c r="G41" s="182">
        <f ca="1">SUMIFS(rec.uni[2024-03-01],
INDIRECT("rec.uni[natureza]"),"taxa.extra",
INDIRECT("rec.uni[empresa]"),G$6)</f>
        <v>0</v>
      </c>
      <c r="H41" s="170"/>
      <c r="I41" s="182" cm="1">
        <f t="array" ref="I4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J41" s="182" cm="1">
        <f t="array" ref="J4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K41" s="182" cm="1">
        <f t="array" ref="K4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L41" s="182" cm="1">
        <f t="array" ref="L4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M41" s="183" cm="1">
        <f t="array" ref="M4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N41" s="181">
        <f>COUNTIFS(
    estq[empresa], N$6,
    estq[Data da venda / reserva], "&gt;=" &amp; $A41,
    estq[Data da venda / reserva], "&lt;"  &amp; EOMONTH($A41,0) + 1
)</f>
        <v>0</v>
      </c>
      <c r="O41" s="182">
        <f ca="1">SUMIFS(rec.uni[2024-03-01],
INDIRECT("rec.uni[natureza]"),"pro.soluto",
INDIRECT("rec.uni[empresa]"),O$6)</f>
        <v>0</v>
      </c>
      <c r="P41" s="182">
        <f ca="1">SUMIFS(rec.uni[2024-03-01],
INDIRECT("rec.uni[natureza]"),"repasse.cef.obra",
INDIRECT("rec.uni[empresa]"),P$6)</f>
        <v>0</v>
      </c>
      <c r="Q41" s="182">
        <f ca="1">SUMIFS(rec.uni[2024-03-01],
INDIRECT("rec.uni[natureza]"),"repasse.cef.terreno",
INDIRECT("rec.uni[empresa]"),Q$6)</f>
        <v>0</v>
      </c>
      <c r="R41" s="182">
        <v>412689.22</v>
      </c>
      <c r="S41" s="182">
        <f ca="1">SUMIFS(rec.uni[2024-03-01],
INDIRECT("rec.uni[natureza]"),"taxa.extra",
INDIRECT("rec.uni[empresa]"),S$6)</f>
        <v>0</v>
      </c>
      <c r="T41" s="170"/>
      <c r="U41" s="182" cm="1">
        <f t="array" ref="U4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V41" s="182" cm="1">
        <f t="array" ref="V4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W41" s="182" cm="1">
        <f t="array" ref="W4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X41" s="182" cm="1">
        <f t="array" ref="X4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Y41" s="183" cm="1">
        <f t="array" ref="Y4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Z41" s="181">
        <f>COUNTIFS(
    estq[empresa], Z$6,
    estq[Data da venda / reserva], "&gt;=" &amp; $A41,
    estq[Data da venda / reserva], "&lt;"  &amp; EOMONTH($A41,0) + 1
)</f>
        <v>0</v>
      </c>
      <c r="AA41" s="182">
        <f ca="1">SUMIFS(rec.uni[2024-03-01],
INDIRECT("rec.uni[natureza]"),"pro.soluto",
INDIRECT("rec.uni[empresa]"),AA$6)</f>
        <v>0</v>
      </c>
      <c r="AB41" s="182">
        <f ca="1">SUMIFS(rec.uni[2024-03-01],
INDIRECT("rec.uni[natureza]"),"pro.soluto",
INDIRECT("rec.uni[empresa]"),AB$6)</f>
        <v>0</v>
      </c>
      <c r="AC41" s="182">
        <f ca="1">SUMIFS(rec.uni[2024-03-01],
INDIRECT("rec.uni[natureza]"),"taxa.extra",
INDIRECT("rec.uni[empresa]"),AC$6)</f>
        <v>0</v>
      </c>
      <c r="AD41" s="170"/>
      <c r="AE41" s="182" cm="1">
        <f t="array" ref="AE4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F41" s="182" cm="1">
        <f t="array" ref="AF4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G41" s="182" cm="1">
        <f t="array" ref="AG4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H41" s="182" cm="1">
        <f t="array" ref="AH4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I41" s="183" cm="1">
        <f t="array" ref="AI4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(desp[data.pagamento]&gt;=$A41)*
    (desp[data.pagamento]&lt;EOMONTH($A41,0)+1)
  )
)</f>
        <v>0</v>
      </c>
      <c r="AJ41" s="181">
        <f>COUNTIFS(
    estq[empresa], AJ$6,
    estq[Data da venda / reserva], "&gt;=" &amp; $A41,
    estq[Data da venda / reserva], "&lt;"  &amp; EOMONTH($A41,0) + 1
)</f>
        <v>0</v>
      </c>
      <c r="AK41" s="182">
        <f ca="1">SUMIFS(rec.uni[2024-03-01],
INDIRECT("rec.uni[natureza]"),"pro.soluto",
INDIRECT("rec.uni[empresa]"),AK$6)</f>
        <v>0</v>
      </c>
      <c r="AL41" s="182">
        <f ca="1">SUMIFS(rec.uni[2024-03-01],
INDIRECT("rec.uni[natureza]"),"repasse.cef.obra",
INDIRECT("rec.uni[empresa]"),AL$6)</f>
        <v>0</v>
      </c>
      <c r="AM41" s="182">
        <f ca="1">SUMIFS(rec.uni[2024-03-01],
INDIRECT("rec.uni[natureza]"),"repasse.cef.terreno",
INDIRECT("rec.uni[empresa]"),AM$6)</f>
        <v>0</v>
      </c>
      <c r="AN41" s="182">
        <v>0</v>
      </c>
      <c r="AO41" s="182">
        <f ca="1">SUMIFS(rec.uni[2024-03-01],
INDIRECT("rec.uni[natureza]"),"taxa.extra",
INDIRECT("rec.uni[empresa]"),AO$6)</f>
        <v>0</v>
      </c>
      <c r="AP41" s="170"/>
      <c r="AQ41" s="182" cm="1">
        <f t="array" ref="AQ4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R41" s="182" cm="1">
        <f t="array" ref="AR4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S41" s="182" cm="1">
        <f t="array" ref="AS4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T41" s="182" cm="1">
        <f t="array" ref="AT4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U41" s="183" cm="1">
        <f t="array" ref="AU4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V41" s="181">
        <f>COUNTIFS(
    estq[empresa], AV$6,
    estq[Data da venda / reserva], "&gt;=" &amp; $A41,
    estq[Data da venda / reserva], "&lt;"  &amp; EOMONTH($A41,0) + 1
)</f>
        <v>0</v>
      </c>
      <c r="AW41" s="182">
        <f ca="1">SUMIFS(rec.uni[2024-03-01],
INDIRECT("rec.uni[natureza]"),"pro.soluto",
INDIRECT("rec.uni[empresa]"),AW$6)</f>
        <v>0</v>
      </c>
      <c r="AX41" s="182">
        <f ca="1">SUMIFS(rec.uni[2024-03-01],
INDIRECT("rec.uni[natureza]"),"repasse.cef.obra",
INDIRECT("rec.uni[empresa]"),AX$6)</f>
        <v>0</v>
      </c>
      <c r="AY41" s="182">
        <f ca="1">SUMIFS(rec.uni[2024-03-01],
INDIRECT("rec.uni[natureza]"),"repasse.cef.terreno",
INDIRECT("rec.uni[empresa]"),AY$6)</f>
        <v>0</v>
      </c>
      <c r="AZ41" s="182">
        <v>0</v>
      </c>
      <c r="BA41" s="182">
        <f ca="1">SUMIFS(rec.uni[2024-03-01],
INDIRECT("rec.uni[natureza]"),"taxa.extra",
INDIRECT("rec.uni[empresa]"),BA$6)</f>
        <v>0</v>
      </c>
      <c r="BB41" s="170"/>
      <c r="BC41" s="182" cm="1">
        <f t="array" ref="BC4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D41" s="182" cm="1">
        <f t="array" ref="BD4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E41" s="182" cm="1">
        <f t="array" ref="BE4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F41" s="182" cm="1">
        <f t="array" ref="BF4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G41" s="183" cm="1">
        <f t="array" ref="BG4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BH41" s="181">
        <f>COUNTIFS(
    estq[empresa], BH$6,
    estq[Data da venda / reserva], "&gt;=" &amp; $A41,
    estq[Data da venda / reserva], "&lt;"  &amp; EOMONTH($A41,0) + 1
)</f>
        <v>0</v>
      </c>
      <c r="BI41" s="182">
        <f ca="1">SUMIFS(rec.uni[2024-03-01],
INDIRECT("rec.uni[natureza]"),"pro.soluto",
INDIRECT("rec.uni[empresa]"),BI$6)</f>
        <v>0</v>
      </c>
      <c r="BJ41" s="170">
        <v>0</v>
      </c>
      <c r="BK41" s="182">
        <f ca="1">SUMIFS(rec.uni[2024-03-01],
INDIRECT("rec.uni[natureza]"),"taxa.extra",
INDIRECT("rec.uni[empresa]"),BK$6)</f>
        <v>0</v>
      </c>
      <c r="BL41" s="170"/>
      <c r="BM41" s="182" cm="1">
        <f t="array" ref="BM4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N41" s="182" cm="1">
        <f t="array" ref="BN4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O41" s="182" cm="1">
        <f t="array" ref="BO4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P41" s="182" cm="1">
        <f t="array" ref="BP4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Q41" s="183" cm="1">
        <f t="array" ref="BQ4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R41" s="181">
        <f>COUNTIFS(
    estq[empresa], BR$6,
    estq[Data da venda / reserva], "&gt;=" &amp; $A41,
    estq[Data da venda / reserva], "&lt;"  &amp; EOMONTH($A41,0) + 1
)</f>
        <v>0</v>
      </c>
      <c r="BS41" s="182">
        <f ca="1">SUMIFS(rec.uni[2024-03-01],
INDIRECT("rec.uni[natureza]"),"pro.soluto",
INDIRECT("rec.uni[empresa]"),BS$6)</f>
        <v>0</v>
      </c>
      <c r="BT41" s="182">
        <f ca="1">SUMIFS(rec.uni[2024-03-01],
INDIRECT("rec.uni[natureza]"),"pro.soluto",
INDIRECT("rec.uni[empresa]"),BT$6)</f>
        <v>0</v>
      </c>
      <c r="BU41" s="182">
        <f ca="1">SUMIFS(rec.uni[2024-03-01],
INDIRECT("rec.uni[natureza]"),"taxa.extra",
INDIRECT("rec.uni[empresa]"),BU$6)</f>
        <v>0</v>
      </c>
      <c r="BV41" s="170"/>
      <c r="BW41" s="182" cm="1">
        <f t="array" ref="BW4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BX41" s="182" cm="1">
        <f t="array" ref="BX4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BY41" s="182" cm="1">
        <f t="array" ref="BY4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BZ41" s="182" cm="1">
        <f t="array" ref="BZ4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CA41" s="183" cm="1">
        <f t="array" ref="CA4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(desp[data.pagamento]&gt;=$A41)*
    (desp[data.pagamento]&lt;EOMONTH($A41,0)+1)
  )
)</f>
        <v>0</v>
      </c>
      <c r="CB41" s="181">
        <f>COUNTIFS(
    estq[empresa], CB$6,
    estq[Data da venda / reserva], "&gt;=" &amp; $A41,
    estq[Data da venda / reserva], "&lt;"  &amp; EOMONTH($A41,0) + 1
)</f>
        <v>0</v>
      </c>
      <c r="CC41" s="182">
        <f ca="1">SUMIFS(rec.uni[2024-03-01],
INDIRECT("rec.uni[natureza]"),"pro.soluto",
INDIRECT("rec.uni[empresa]"),CC$6)</f>
        <v>0</v>
      </c>
      <c r="CD41" s="182">
        <f ca="1">SUMIFS(rec.uni[2024-03-01],
INDIRECT("rec.uni[natureza]"),"repasse.cef.obra",
INDIRECT("rec.uni[empresa]"),CD$6)</f>
        <v>0</v>
      </c>
      <c r="CE41" s="182">
        <f ca="1">SUMIFS(rec.uni[2024-03-01],
INDIRECT("rec.uni[natureza]"),"repasse.cef.terreno",
INDIRECT("rec.uni[empresa]"),CE$6)</f>
        <v>0</v>
      </c>
      <c r="CF41" s="182">
        <v>0</v>
      </c>
      <c r="CG41" s="182">
        <f ca="1">SUMIFS(rec.uni[2024-03-01],
INDIRECT("rec.uni[natureza]"),"taxa.extra",
INDIRECT("rec.uni[empresa]"),CG$6)</f>
        <v>0</v>
      </c>
      <c r="CH41" s="170"/>
      <c r="CI41" s="182" cm="1">
        <f t="array" ref="CI4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J41" s="182" cm="1">
        <f t="array" ref="CJ4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K41" s="182" cm="1">
        <f t="array" ref="CK4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L41" s="182" cm="1">
        <f t="array" ref="CL4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M41" s="183" cm="1">
        <f t="array" ref="CM4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CN41" s="181">
        <f>COUNTIFS(
    estq[empresa], CN$6,
    estq[Data da venda / reserva], "&gt;=" &amp; $A41,
    estq[Data da venda / reserva], "&lt;"  &amp; EOMONTH($A41,0) + 1
)</f>
        <v>0</v>
      </c>
      <c r="CO41" s="182">
        <f ca="1">SUMIFS(rec.uni[2024-03-01],
INDIRECT("rec.uni[natureza]"),"pro.soluto",
INDIRECT("rec.uni[empresa]"),CO$6)</f>
        <v>0</v>
      </c>
      <c r="CP41" s="182">
        <f ca="1">SUMIFS(rec.uni[2024-03-01],
INDIRECT("rec.uni[natureza]"),"repasse.cef.obra",
INDIRECT("rec.uni[empresa]"),CP$6)</f>
        <v>0</v>
      </c>
      <c r="CQ41" s="182">
        <f ca="1">SUMIFS(rec.uni[2024-03-01],
INDIRECT("rec.uni[natureza]"),"repasse.cef.terreno",
INDIRECT("rec.uni[empresa]"),CQ$6)</f>
        <v>0</v>
      </c>
      <c r="CR41" s="182">
        <v>0</v>
      </c>
      <c r="CS41" s="182">
        <f ca="1">SUMIFS(rec.uni[2024-03-01],
INDIRECT("rec.uni[natureza]"),"taxa.extra",
INDIRECT("rec.uni[empresa]"),CS$6)</f>
        <v>0</v>
      </c>
      <c r="CT41" s="170"/>
      <c r="CU41" s="182" cm="1">
        <f t="array" ref="CU4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V41" s="182" cm="1">
        <f t="array" ref="CV4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W41" s="182" cm="1">
        <f t="array" ref="CW4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X41" s="182" cm="1">
        <f t="array" ref="CX4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Y41" s="184" cm="1">
        <f t="array" ref="CY4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</row>
    <row r="42" spans="1:103" x14ac:dyDescent="0.25">
      <c r="A42" s="180">
        <v>45383</v>
      </c>
      <c r="B42" s="181">
        <f>COUNTIFS(
    estq[empresa], B$6,
    estq[Data da venda / reserva], "&gt;=" &amp; $A42,
    estq[Data da venda / reserva], "&lt;"  &amp; EOMONTH($A42,0) + 1
)</f>
        <v>0</v>
      </c>
      <c r="C42" s="182">
        <f ca="1">SUMIFS(rec.uni[2024-04-01],
INDIRECT("rec.uni[natureza]"),"pro.soluto",
INDIRECT("rec.uni[empresa]"),C$6)</f>
        <v>0</v>
      </c>
      <c r="D42" s="182">
        <f ca="1">SUMIFS(rec.uni[2024-04-01],
INDIRECT("rec.uni[natureza]"),"repasse.cef.obra",
INDIRECT("rec.uni[empresa]"),D$6)</f>
        <v>0</v>
      </c>
      <c r="E42" s="182">
        <f ca="1">SUMIFS(rec.uni[2024-04-01],
INDIRECT("rec.uni[natureza]"),"repasse.cef.terreno",
INDIRECT("rec.uni[empresa]"),E$6)</f>
        <v>0</v>
      </c>
      <c r="F42" s="182">
        <v>516683.36</v>
      </c>
      <c r="G42" s="182">
        <f ca="1">SUMIFS(rec.uni[2024-04-01],
INDIRECT("rec.uni[natureza]"),"taxa.extra",
INDIRECT("rec.uni[empresa]"),G$6)</f>
        <v>0</v>
      </c>
      <c r="H42" s="170"/>
      <c r="I42" s="182" cm="1">
        <f t="array" ref="I4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J42" s="182" cm="1">
        <f t="array" ref="J4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K42" s="182" cm="1">
        <f t="array" ref="K4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L42" s="182" cm="1">
        <f t="array" ref="L4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M42" s="183" cm="1">
        <f t="array" ref="M4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N42" s="181">
        <f>COUNTIFS(
    estq[empresa], N$6,
    estq[Data da venda / reserva], "&gt;=" &amp; $A42,
    estq[Data da venda / reserva], "&lt;"  &amp; EOMONTH($A42,0) + 1
)</f>
        <v>0</v>
      </c>
      <c r="O42" s="182">
        <f ca="1">SUMIFS(rec.uni[2024-04-01],
INDIRECT("rec.uni[natureza]"),"pro.soluto",
INDIRECT("rec.uni[empresa]"),O$6)</f>
        <v>0</v>
      </c>
      <c r="P42" s="182">
        <f ca="1">SUMIFS(rec.uni[2024-04-01],
INDIRECT("rec.uni[natureza]"),"repasse.cef.obra",
INDIRECT("rec.uni[empresa]"),P$6)</f>
        <v>0</v>
      </c>
      <c r="Q42" s="182">
        <f ca="1">SUMIFS(rec.uni[2024-04-01],
INDIRECT("rec.uni[natureza]"),"repasse.cef.terreno",
INDIRECT("rec.uni[empresa]"),Q$6)</f>
        <v>0</v>
      </c>
      <c r="R42" s="182">
        <v>556963.03</v>
      </c>
      <c r="S42" s="182">
        <f ca="1">SUMIFS(rec.uni[2024-04-01],
INDIRECT("rec.uni[natureza]"),"taxa.extra",
INDIRECT("rec.uni[empresa]"),S$6)</f>
        <v>0</v>
      </c>
      <c r="T42" s="170"/>
      <c r="U42" s="182" cm="1">
        <f t="array" ref="U4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V42" s="182" cm="1">
        <f t="array" ref="V4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W42" s="182" cm="1">
        <f t="array" ref="W4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X42" s="182" cm="1">
        <f t="array" ref="X4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Y42" s="183" cm="1">
        <f t="array" ref="Y4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Z42" s="181">
        <f>COUNTIFS(
    estq[empresa], Z$6,
    estq[Data da venda / reserva], "&gt;=" &amp; $A42,
    estq[Data da venda / reserva], "&lt;"  &amp; EOMONTH($A42,0) + 1
)</f>
        <v>0</v>
      </c>
      <c r="AA42" s="182">
        <f ca="1">SUMIFS(rec.uni[2024-04-01],
INDIRECT("rec.uni[natureza]"),"pro.soluto",
INDIRECT("rec.uni[empresa]"),AA$6)</f>
        <v>0</v>
      </c>
      <c r="AB42" s="182">
        <f ca="1">SUMIFS(rec.uni[2024-04-01],
INDIRECT("rec.uni[natureza]"),"pro.soluto",
INDIRECT("rec.uni[empresa]"),AB$6)</f>
        <v>0</v>
      </c>
      <c r="AC42" s="182">
        <f ca="1">SUMIFS(rec.uni[2024-04-01],
INDIRECT("rec.uni[natureza]"),"taxa.extra",
INDIRECT("rec.uni[empresa]"),AC$6)</f>
        <v>0</v>
      </c>
      <c r="AD42" s="170"/>
      <c r="AE42" s="182" cm="1">
        <f t="array" ref="AE4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F42" s="182" cm="1">
        <f t="array" ref="AF4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G42" s="182" cm="1">
        <f t="array" ref="AG4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H42" s="182" cm="1">
        <f t="array" ref="AH4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I42" s="183" cm="1">
        <f t="array" ref="AI4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(desp[data.pagamento]&gt;=$A42)*
    (desp[data.pagamento]&lt;EOMONTH($A42,0)+1)
  )
)</f>
        <v>0</v>
      </c>
      <c r="AJ42" s="181">
        <f>COUNTIFS(
    estq[empresa], AJ$6,
    estq[Data da venda / reserva], "&gt;=" &amp; $A42,
    estq[Data da venda / reserva], "&lt;"  &amp; EOMONTH($A42,0) + 1
)</f>
        <v>0</v>
      </c>
      <c r="AK42" s="182">
        <f ca="1">SUMIFS(rec.uni[2024-04-01],
INDIRECT("rec.uni[natureza]"),"pro.soluto",
INDIRECT("rec.uni[empresa]"),AK$6)</f>
        <v>0</v>
      </c>
      <c r="AL42" s="182">
        <f ca="1">SUMIFS(rec.uni[2024-04-01],
INDIRECT("rec.uni[natureza]"),"repasse.cef.obra",
INDIRECT("rec.uni[empresa]"),AL$6)</f>
        <v>0</v>
      </c>
      <c r="AM42" s="182">
        <f ca="1">SUMIFS(rec.uni[2024-04-01],
INDIRECT("rec.uni[natureza]"),"repasse.cef.terreno",
INDIRECT("rec.uni[empresa]"),AM$6)</f>
        <v>0</v>
      </c>
      <c r="AN42" s="182">
        <v>0</v>
      </c>
      <c r="AO42" s="182">
        <f ca="1">SUMIFS(rec.uni[2024-04-01],
INDIRECT("rec.uni[natureza]"),"taxa.extra",
INDIRECT("rec.uni[empresa]"),AO$6)</f>
        <v>0</v>
      </c>
      <c r="AP42" s="170"/>
      <c r="AQ42" s="182" cm="1">
        <f t="array" ref="AQ4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R42" s="182" cm="1">
        <f t="array" ref="AR4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S42" s="182" cm="1">
        <f t="array" ref="AS4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T42" s="182" cm="1">
        <f t="array" ref="AT4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U42" s="183" cm="1">
        <f t="array" ref="AU4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V42" s="181">
        <f>COUNTIFS(
    estq[empresa], AV$6,
    estq[Data da venda / reserva], "&gt;=" &amp; $A42,
    estq[Data da venda / reserva], "&lt;"  &amp; EOMONTH($A42,0) + 1
)</f>
        <v>0</v>
      </c>
      <c r="AW42" s="182">
        <f ca="1">SUMIFS(rec.uni[2024-04-01],
INDIRECT("rec.uni[natureza]"),"pro.soluto",
INDIRECT("rec.uni[empresa]"),AW$6)</f>
        <v>0</v>
      </c>
      <c r="AX42" s="182">
        <f ca="1">SUMIFS(rec.uni[2024-04-01],
INDIRECT("rec.uni[natureza]"),"repasse.cef.obra",
INDIRECT("rec.uni[empresa]"),AX$6)</f>
        <v>0</v>
      </c>
      <c r="AY42" s="182">
        <f ca="1">SUMIFS(rec.uni[2024-04-01],
INDIRECT("rec.uni[natureza]"),"repasse.cef.terreno",
INDIRECT("rec.uni[empresa]"),AY$6)</f>
        <v>0</v>
      </c>
      <c r="AZ42" s="182">
        <v>0</v>
      </c>
      <c r="BA42" s="182">
        <f ca="1">SUMIFS(rec.uni[2024-04-01],
INDIRECT("rec.uni[natureza]"),"taxa.extra",
INDIRECT("rec.uni[empresa]"),BA$6)</f>
        <v>0</v>
      </c>
      <c r="BB42" s="170"/>
      <c r="BC42" s="182" cm="1">
        <f t="array" ref="BC4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D42" s="182" cm="1">
        <f t="array" ref="BD4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E42" s="182" cm="1">
        <f t="array" ref="BE4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F42" s="182" cm="1">
        <f t="array" ref="BF4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G42" s="183" cm="1">
        <f t="array" ref="BG4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BH42" s="181">
        <f>COUNTIFS(
    estq[empresa], BH$6,
    estq[Data da venda / reserva], "&gt;=" &amp; $A42,
    estq[Data da venda / reserva], "&lt;"  &amp; EOMONTH($A42,0) + 1
)</f>
        <v>0</v>
      </c>
      <c r="BI42" s="182">
        <f ca="1">SUMIFS(rec.uni[2024-04-01],
INDIRECT("rec.uni[natureza]"),"pro.soluto",
INDIRECT("rec.uni[empresa]"),BI$6)</f>
        <v>0</v>
      </c>
      <c r="BJ42" s="170">
        <v>0</v>
      </c>
      <c r="BK42" s="182">
        <f ca="1">SUMIFS(rec.uni[2024-04-01],
INDIRECT("rec.uni[natureza]"),"taxa.extra",
INDIRECT("rec.uni[empresa]"),BK$6)</f>
        <v>0</v>
      </c>
      <c r="BL42" s="170"/>
      <c r="BM42" s="182" cm="1">
        <f t="array" ref="BM4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N42" s="182" cm="1">
        <f t="array" ref="BN4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O42" s="182" cm="1">
        <f t="array" ref="BO4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P42" s="182" cm="1">
        <f t="array" ref="BP4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Q42" s="183" cm="1">
        <f t="array" ref="BQ4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R42" s="181">
        <f>COUNTIFS(
    estq[empresa], BR$6,
    estq[Data da venda / reserva], "&gt;=" &amp; $A42,
    estq[Data da venda / reserva], "&lt;"  &amp; EOMONTH($A42,0) + 1
)</f>
        <v>0</v>
      </c>
      <c r="BS42" s="182">
        <f ca="1">SUMIFS(rec.uni[2024-04-01],
INDIRECT("rec.uni[natureza]"),"pro.soluto",
INDIRECT("rec.uni[empresa]"),BS$6)</f>
        <v>0</v>
      </c>
      <c r="BT42" s="182">
        <f ca="1">SUMIFS(rec.uni[2024-04-01],
INDIRECT("rec.uni[natureza]"),"pro.soluto",
INDIRECT("rec.uni[empresa]"),BT$6)</f>
        <v>0</v>
      </c>
      <c r="BU42" s="182">
        <f ca="1">SUMIFS(rec.uni[2024-04-01],
INDIRECT("rec.uni[natureza]"),"taxa.extra",
INDIRECT("rec.uni[empresa]"),BU$6)</f>
        <v>0</v>
      </c>
      <c r="BV42" s="170"/>
      <c r="BW42" s="182" cm="1">
        <f t="array" ref="BW4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BX42" s="182" cm="1">
        <f t="array" ref="BX4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BY42" s="182" cm="1">
        <f t="array" ref="BY4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BZ42" s="182" cm="1">
        <f t="array" ref="BZ4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CA42" s="183" cm="1">
        <f t="array" ref="CA4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(desp[data.pagamento]&gt;=$A42)*
    (desp[data.pagamento]&lt;EOMONTH($A42,0)+1)
  )
)</f>
        <v>0</v>
      </c>
      <c r="CB42" s="181">
        <f>COUNTIFS(
    estq[empresa], CB$6,
    estq[Data da venda / reserva], "&gt;=" &amp; $A42,
    estq[Data da venda / reserva], "&lt;"  &amp; EOMONTH($A42,0) + 1
)</f>
        <v>0</v>
      </c>
      <c r="CC42" s="182">
        <f ca="1">SUMIFS(rec.uni[2024-04-01],
INDIRECT("rec.uni[natureza]"),"pro.soluto",
INDIRECT("rec.uni[empresa]"),CC$6)</f>
        <v>0</v>
      </c>
      <c r="CD42" s="182">
        <f ca="1">SUMIFS(rec.uni[2024-04-01],
INDIRECT("rec.uni[natureza]"),"repasse.cef.obra",
INDIRECT("rec.uni[empresa]"),CD$6)</f>
        <v>0</v>
      </c>
      <c r="CE42" s="182">
        <f ca="1">SUMIFS(rec.uni[2024-04-01],
INDIRECT("rec.uni[natureza]"),"repasse.cef.terreno",
INDIRECT("rec.uni[empresa]"),CE$6)</f>
        <v>0</v>
      </c>
      <c r="CF42" s="182">
        <v>0</v>
      </c>
      <c r="CG42" s="182">
        <f ca="1">SUMIFS(rec.uni[2024-04-01],
INDIRECT("rec.uni[natureza]"),"taxa.extra",
INDIRECT("rec.uni[empresa]"),CG$6)</f>
        <v>0</v>
      </c>
      <c r="CH42" s="170"/>
      <c r="CI42" s="182" cm="1">
        <f t="array" ref="CI4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J42" s="182" cm="1">
        <f t="array" ref="CJ4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K42" s="182" cm="1">
        <f t="array" ref="CK4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L42" s="182" cm="1">
        <f t="array" ref="CL4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M42" s="183" cm="1">
        <f t="array" ref="CM4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CN42" s="181">
        <f>COUNTIFS(
    estq[empresa], CN$6,
    estq[Data da venda / reserva], "&gt;=" &amp; $A42,
    estq[Data da venda / reserva], "&lt;"  &amp; EOMONTH($A42,0) + 1
)</f>
        <v>0</v>
      </c>
      <c r="CO42" s="182">
        <f ca="1">SUMIFS(rec.uni[2024-04-01],
INDIRECT("rec.uni[natureza]"),"pro.soluto",
INDIRECT("rec.uni[empresa]"),CO$6)</f>
        <v>0</v>
      </c>
      <c r="CP42" s="182">
        <f ca="1">SUMIFS(rec.uni[2024-04-01],
INDIRECT("rec.uni[natureza]"),"repasse.cef.obra",
INDIRECT("rec.uni[empresa]"),CP$6)</f>
        <v>0</v>
      </c>
      <c r="CQ42" s="182">
        <f ca="1">SUMIFS(rec.uni[2024-04-01],
INDIRECT("rec.uni[natureza]"),"repasse.cef.terreno",
INDIRECT("rec.uni[empresa]"),CQ$6)</f>
        <v>0</v>
      </c>
      <c r="CR42" s="182">
        <v>0</v>
      </c>
      <c r="CS42" s="182">
        <f ca="1">SUMIFS(rec.uni[2024-04-01],
INDIRECT("rec.uni[natureza]"),"taxa.extra",
INDIRECT("rec.uni[empresa]"),CS$6)</f>
        <v>0</v>
      </c>
      <c r="CT42" s="170"/>
      <c r="CU42" s="182" cm="1">
        <f t="array" ref="CU4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V42" s="182" cm="1">
        <f t="array" ref="CV4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W42" s="182" cm="1">
        <f t="array" ref="CW4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X42" s="182" cm="1">
        <f t="array" ref="CX4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Y42" s="184" cm="1">
        <f t="array" ref="CY4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</row>
    <row r="43" spans="1:103" x14ac:dyDescent="0.25">
      <c r="A43" s="180">
        <v>45413</v>
      </c>
      <c r="B43" s="181">
        <f>COUNTIFS(
    estq[empresa], B$6,
    estq[Data da venda / reserva], "&gt;=" &amp; $A43,
    estq[Data da venda / reserva], "&lt;"  &amp; EOMONTH($A43,0) + 1
)</f>
        <v>0</v>
      </c>
      <c r="C43" s="182">
        <f ca="1">SUMIFS(rec.uni[2024-05-01],
INDIRECT("rec.uni[natureza]"),"pro.soluto",
INDIRECT("rec.uni[empresa]"),C$6)</f>
        <v>0</v>
      </c>
      <c r="D43" s="182">
        <f ca="1">SUMIFS(rec.uni[2024-05-01],
INDIRECT("rec.uni[natureza]"),"repasse.cef.obra",
INDIRECT("rec.uni[empresa]"),D$6)</f>
        <v>0</v>
      </c>
      <c r="E43" s="182">
        <f ca="1">SUMIFS(rec.uni[2024-05-01],
INDIRECT("rec.uni[natureza]"),"repasse.cef.terreno",
INDIRECT("rec.uni[empresa]"),E$6)</f>
        <v>0</v>
      </c>
      <c r="F43" s="182">
        <v>0</v>
      </c>
      <c r="G43" s="182">
        <f ca="1">SUMIFS(rec.uni[2024-05-01],
INDIRECT("rec.uni[natureza]"),"taxa.extra",
INDIRECT("rec.uni[empresa]"),G$6)</f>
        <v>0</v>
      </c>
      <c r="H43" s="170"/>
      <c r="I43" s="182" cm="1">
        <f t="array" ref="I4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J43" s="182" cm="1">
        <f t="array" ref="J4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K43" s="182" cm="1">
        <f t="array" ref="K4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L43" s="182" cm="1">
        <f t="array" ref="L4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M43" s="183" cm="1">
        <f t="array" ref="M4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N43" s="181">
        <f>COUNTIFS(
    estq[empresa], N$6,
    estq[Data da venda / reserva], "&gt;=" &amp; $A43,
    estq[Data da venda / reserva], "&lt;"  &amp; EOMONTH($A43,0) + 1
)</f>
        <v>0</v>
      </c>
      <c r="O43" s="182">
        <f ca="1">SUMIFS(rec.uni[2024-05-01],
INDIRECT("rec.uni[natureza]"),"pro.soluto",
INDIRECT("rec.uni[empresa]"),O$6)</f>
        <v>0</v>
      </c>
      <c r="P43" s="182">
        <f ca="1">SUMIFS(rec.uni[2024-05-01],
INDIRECT("rec.uni[natureza]"),"repasse.cef.obra",
INDIRECT("rec.uni[empresa]"),P$6)</f>
        <v>0</v>
      </c>
      <c r="Q43" s="182">
        <f ca="1">SUMIFS(rec.uni[2024-05-01],
INDIRECT("rec.uni[natureza]"),"repasse.cef.terreno",
INDIRECT("rec.uni[empresa]"),Q$6)</f>
        <v>0</v>
      </c>
      <c r="R43" s="182">
        <v>0</v>
      </c>
      <c r="S43" s="182">
        <f ca="1">SUMIFS(rec.uni[2024-05-01],
INDIRECT("rec.uni[natureza]"),"taxa.extra",
INDIRECT("rec.uni[empresa]"),S$6)</f>
        <v>0</v>
      </c>
      <c r="T43" s="170"/>
      <c r="U43" s="182" cm="1">
        <f t="array" ref="U4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V43" s="182" cm="1">
        <f t="array" ref="V4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W43" s="182" cm="1">
        <f t="array" ref="W4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X43" s="182" cm="1">
        <f t="array" ref="X4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Y43" s="183" cm="1">
        <f t="array" ref="Y4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Z43" s="181">
        <f>COUNTIFS(
    estq[empresa], Z$6,
    estq[Data da venda / reserva], "&gt;=" &amp; $A43,
    estq[Data da venda / reserva], "&lt;"  &amp; EOMONTH($A43,0) + 1
)</f>
        <v>0</v>
      </c>
      <c r="AA43" s="182">
        <f ca="1">SUMIFS(rec.uni[2024-05-01],
INDIRECT("rec.uni[natureza]"),"pro.soluto",
INDIRECT("rec.uni[empresa]"),AA$6)</f>
        <v>0</v>
      </c>
      <c r="AB43" s="182">
        <f ca="1">SUMIFS(rec.uni[2024-05-01],
INDIRECT("rec.uni[natureza]"),"pro.soluto",
INDIRECT("rec.uni[empresa]"),AB$6)</f>
        <v>0</v>
      </c>
      <c r="AC43" s="182">
        <f ca="1">SUMIFS(rec.uni[2024-05-01],
INDIRECT("rec.uni[natureza]"),"taxa.extra",
INDIRECT("rec.uni[empresa]"),AC$6)</f>
        <v>0</v>
      </c>
      <c r="AD43" s="170"/>
      <c r="AE43" s="182" cm="1">
        <f t="array" ref="AE4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F43" s="182" cm="1">
        <f t="array" ref="AF4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G43" s="182" cm="1">
        <f t="array" ref="AG4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H43" s="182" cm="1">
        <f t="array" ref="AH4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I43" s="183" cm="1">
        <f t="array" ref="AI4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(desp[data.pagamento]&gt;=$A43)*
    (desp[data.pagamento]&lt;EOMONTH($A43,0)+1)
  )
)</f>
        <v>0</v>
      </c>
      <c r="AJ43" s="181">
        <f>COUNTIFS(
    estq[empresa], AJ$6,
    estq[Data da venda / reserva], "&gt;=" &amp; $A43,
    estq[Data da venda / reserva], "&lt;"  &amp; EOMONTH($A43,0) + 1
)</f>
        <v>0</v>
      </c>
      <c r="AK43" s="182">
        <f ca="1">SUMIFS(rec.uni[2024-05-01],
INDIRECT("rec.uni[natureza]"),"pro.soluto",
INDIRECT("rec.uni[empresa]"),AK$6)</f>
        <v>0</v>
      </c>
      <c r="AL43" s="182">
        <f ca="1">SUMIFS(rec.uni[2024-05-01],
INDIRECT("rec.uni[natureza]"),"repasse.cef.obra",
INDIRECT("rec.uni[empresa]"),AL$6)</f>
        <v>0</v>
      </c>
      <c r="AM43" s="182">
        <f ca="1">SUMIFS(rec.uni[2024-05-01],
INDIRECT("rec.uni[natureza]"),"repasse.cef.terreno",
INDIRECT("rec.uni[empresa]"),AM$6)</f>
        <v>0</v>
      </c>
      <c r="AN43" s="182">
        <v>0</v>
      </c>
      <c r="AO43" s="182">
        <f ca="1">SUMIFS(rec.uni[2024-05-01],
INDIRECT("rec.uni[natureza]"),"taxa.extra",
INDIRECT("rec.uni[empresa]"),AO$6)</f>
        <v>0</v>
      </c>
      <c r="AP43" s="170"/>
      <c r="AQ43" s="182" cm="1">
        <f t="array" ref="AQ4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R43" s="182" cm="1">
        <f t="array" ref="AR4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S43" s="182" cm="1">
        <f t="array" ref="AS4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T43" s="182" cm="1">
        <f t="array" ref="AT4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U43" s="183" cm="1">
        <f t="array" ref="AU4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V43" s="181">
        <f>COUNTIFS(
    estq[empresa], AV$6,
    estq[Data da venda / reserva], "&gt;=" &amp; $A43,
    estq[Data da venda / reserva], "&lt;"  &amp; EOMONTH($A43,0) + 1
)</f>
        <v>0</v>
      </c>
      <c r="AW43" s="182">
        <f ca="1">SUMIFS(rec.uni[2024-05-01],
INDIRECT("rec.uni[natureza]"),"pro.soluto",
INDIRECT("rec.uni[empresa]"),AW$6)</f>
        <v>0</v>
      </c>
      <c r="AX43" s="182">
        <f ca="1">SUMIFS(rec.uni[2024-05-01],
INDIRECT("rec.uni[natureza]"),"repasse.cef.obra",
INDIRECT("rec.uni[empresa]"),AX$6)</f>
        <v>0</v>
      </c>
      <c r="AY43" s="182">
        <f ca="1">SUMIFS(rec.uni[2024-05-01],
INDIRECT("rec.uni[natureza]"),"repasse.cef.terreno",
INDIRECT("rec.uni[empresa]"),AY$6)</f>
        <v>0</v>
      </c>
      <c r="AZ43" s="182">
        <v>0</v>
      </c>
      <c r="BA43" s="182">
        <f ca="1">SUMIFS(rec.uni[2024-05-01],
INDIRECT("rec.uni[natureza]"),"taxa.extra",
INDIRECT("rec.uni[empresa]"),BA$6)</f>
        <v>0</v>
      </c>
      <c r="BB43" s="170"/>
      <c r="BC43" s="182" cm="1">
        <f t="array" ref="BC4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D43" s="182" cm="1">
        <f t="array" ref="BD4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E43" s="182" cm="1">
        <f t="array" ref="BE4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F43" s="182" cm="1">
        <f t="array" ref="BF4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G43" s="183" cm="1">
        <f t="array" ref="BG4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BH43" s="181">
        <f>COUNTIFS(
    estq[empresa], BH$6,
    estq[Data da venda / reserva], "&gt;=" &amp; $A43,
    estq[Data da venda / reserva], "&lt;"  &amp; EOMONTH($A43,0) + 1
)</f>
        <v>0</v>
      </c>
      <c r="BI43" s="182">
        <f ca="1">SUMIFS(rec.uni[2024-05-01],
INDIRECT("rec.uni[natureza]"),"pro.soluto",
INDIRECT("rec.uni[empresa]"),BI$6)</f>
        <v>0</v>
      </c>
      <c r="BJ43" s="170">
        <v>0</v>
      </c>
      <c r="BK43" s="182">
        <f ca="1">SUMIFS(rec.uni[2024-05-01],
INDIRECT("rec.uni[natureza]"),"taxa.extra",
INDIRECT("rec.uni[empresa]"),BK$6)</f>
        <v>0</v>
      </c>
      <c r="BL43" s="170"/>
      <c r="BM43" s="182" cm="1">
        <f t="array" ref="BM4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N43" s="182" cm="1">
        <f t="array" ref="BN4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O43" s="182" cm="1">
        <f t="array" ref="BO4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P43" s="182" cm="1">
        <f t="array" ref="BP4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Q43" s="183" cm="1">
        <f t="array" ref="BQ4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R43" s="181">
        <f>COUNTIFS(
    estq[empresa], BR$6,
    estq[Data da venda / reserva], "&gt;=" &amp; $A43,
    estq[Data da venda / reserva], "&lt;"  &amp; EOMONTH($A43,0) + 1
)</f>
        <v>0</v>
      </c>
      <c r="BS43" s="182">
        <f ca="1">SUMIFS(rec.uni[2024-05-01],
INDIRECT("rec.uni[natureza]"),"pro.soluto",
INDIRECT("rec.uni[empresa]"),BS$6)</f>
        <v>0</v>
      </c>
      <c r="BT43" s="182">
        <f ca="1">SUMIFS(rec.uni[2024-05-01],
INDIRECT("rec.uni[natureza]"),"pro.soluto",
INDIRECT("rec.uni[empresa]"),BT$6)</f>
        <v>0</v>
      </c>
      <c r="BU43" s="182">
        <f ca="1">SUMIFS(rec.uni[2024-05-01],
INDIRECT("rec.uni[natureza]"),"taxa.extra",
INDIRECT("rec.uni[empresa]"),BU$6)</f>
        <v>0</v>
      </c>
      <c r="BV43" s="170"/>
      <c r="BW43" s="182" cm="1">
        <f t="array" ref="BW4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BX43" s="182" cm="1">
        <f t="array" ref="BX4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BY43" s="182" cm="1">
        <f t="array" ref="BY4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BZ43" s="182" cm="1">
        <f t="array" ref="BZ4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CA43" s="183" cm="1">
        <f t="array" ref="CA4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(desp[data.pagamento]&gt;=$A43)*
    (desp[data.pagamento]&lt;EOMONTH($A43,0)+1)
  )
)</f>
        <v>0</v>
      </c>
      <c r="CB43" s="181">
        <f>COUNTIFS(
    estq[empresa], CB$6,
    estq[Data da venda / reserva], "&gt;=" &amp; $A43,
    estq[Data da venda / reserva], "&lt;"  &amp; EOMONTH($A43,0) + 1
)</f>
        <v>0</v>
      </c>
      <c r="CC43" s="182">
        <f ca="1">SUMIFS(rec.uni[2024-05-01],
INDIRECT("rec.uni[natureza]"),"pro.soluto",
INDIRECT("rec.uni[empresa]"),CC$6)</f>
        <v>0</v>
      </c>
      <c r="CD43" s="182">
        <f ca="1">SUMIFS(rec.uni[2024-05-01],
INDIRECT("rec.uni[natureza]"),"repasse.cef.obra",
INDIRECT("rec.uni[empresa]"),CD$6)</f>
        <v>0</v>
      </c>
      <c r="CE43" s="182">
        <f ca="1">SUMIFS(rec.uni[2024-05-01],
INDIRECT("rec.uni[natureza]"),"repasse.cef.terreno",
INDIRECT("rec.uni[empresa]"),CE$6)</f>
        <v>0</v>
      </c>
      <c r="CF43" s="182">
        <v>0</v>
      </c>
      <c r="CG43" s="182">
        <f ca="1">SUMIFS(rec.uni[2024-05-01],
INDIRECT("rec.uni[natureza]"),"taxa.extra",
INDIRECT("rec.uni[empresa]"),CG$6)</f>
        <v>0</v>
      </c>
      <c r="CH43" s="170"/>
      <c r="CI43" s="182" cm="1">
        <f t="array" ref="CI4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J43" s="182" cm="1">
        <f t="array" ref="CJ4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K43" s="182" cm="1">
        <f t="array" ref="CK4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L43" s="182" cm="1">
        <f t="array" ref="CL4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M43" s="183" cm="1">
        <f t="array" ref="CM4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CN43" s="181">
        <f>COUNTIFS(
    estq[empresa], CN$6,
    estq[Data da venda / reserva], "&gt;=" &amp; $A43,
    estq[Data da venda / reserva], "&lt;"  &amp; EOMONTH($A43,0) + 1
)</f>
        <v>0</v>
      </c>
      <c r="CO43" s="182">
        <f ca="1">SUMIFS(rec.uni[2024-05-01],
INDIRECT("rec.uni[natureza]"),"pro.soluto",
INDIRECT("rec.uni[empresa]"),CO$6)</f>
        <v>0</v>
      </c>
      <c r="CP43" s="182">
        <f ca="1">SUMIFS(rec.uni[2024-05-01],
INDIRECT("rec.uni[natureza]"),"repasse.cef.obra",
INDIRECT("rec.uni[empresa]"),CP$6)</f>
        <v>0</v>
      </c>
      <c r="CQ43" s="182">
        <f ca="1">SUMIFS(rec.uni[2024-05-01],
INDIRECT("rec.uni[natureza]"),"repasse.cef.terreno",
INDIRECT("rec.uni[empresa]"),CQ$6)</f>
        <v>0</v>
      </c>
      <c r="CR43" s="182">
        <v>0</v>
      </c>
      <c r="CS43" s="182">
        <f ca="1">SUMIFS(rec.uni[2024-05-01],
INDIRECT("rec.uni[natureza]"),"taxa.extra",
INDIRECT("rec.uni[empresa]"),CS$6)</f>
        <v>0</v>
      </c>
      <c r="CT43" s="170"/>
      <c r="CU43" s="182" cm="1">
        <f t="array" ref="CU4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V43" s="182" cm="1">
        <f t="array" ref="CV4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W43" s="182" cm="1">
        <f t="array" ref="CW4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X43" s="182" cm="1">
        <f t="array" ref="CX4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Y43" s="184" cm="1">
        <f t="array" ref="CY4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</row>
    <row r="44" spans="1:103" x14ac:dyDescent="0.25">
      <c r="A44" s="180">
        <v>45444</v>
      </c>
      <c r="B44" s="181">
        <f>COUNTIFS(
    estq[empresa], B$6,
    estq[Data da venda / reserva], "&gt;=" &amp; $A44,
    estq[Data da venda / reserva], "&lt;"  &amp; EOMONTH($A44,0) + 1
)</f>
        <v>0</v>
      </c>
      <c r="C44" s="182">
        <f ca="1">SUMIFS(rec.uni[2024-06-01],
INDIRECT("rec.uni[natureza]"),"pro.soluto",
INDIRECT("rec.uni[empresa]"),C$6)</f>
        <v>0</v>
      </c>
      <c r="D44" s="182">
        <f ca="1">SUMIFS(rec.uni[2024-06-01],
INDIRECT("rec.uni[natureza]"),"repasse.cef.obra",
INDIRECT("rec.uni[empresa]"),D$6)</f>
        <v>0</v>
      </c>
      <c r="E44" s="182">
        <f ca="1">SUMIFS(rec.uni[2024-06-01],
INDIRECT("rec.uni[natureza]"),"repasse.cef.terreno",
INDIRECT("rec.uni[empresa]"),E$6)</f>
        <v>0</v>
      </c>
      <c r="F44" s="182">
        <v>0</v>
      </c>
      <c r="G44" s="182">
        <f ca="1">SUMIFS(rec.uni[2024-06-01],
INDIRECT("rec.uni[natureza]"),"taxa.extra",
INDIRECT("rec.uni[empresa]"),G$6)</f>
        <v>0</v>
      </c>
      <c r="H44" s="170"/>
      <c r="I44" s="182" cm="1">
        <f t="array" ref="I4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J44" s="182" cm="1">
        <f t="array" ref="J4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K44" s="182" cm="1">
        <f t="array" ref="K4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L44" s="182" cm="1">
        <f t="array" ref="L4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M44" s="183" cm="1">
        <f t="array" ref="M4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N44" s="181">
        <f>COUNTIFS(
    estq[empresa], N$6,
    estq[Data da venda / reserva], "&gt;=" &amp; $A44,
    estq[Data da venda / reserva], "&lt;"  &amp; EOMONTH($A44,0) + 1
)</f>
        <v>0</v>
      </c>
      <c r="O44" s="182">
        <f ca="1">SUMIFS(rec.uni[2024-06-01],
INDIRECT("rec.uni[natureza]"),"pro.soluto",
INDIRECT("rec.uni[empresa]"),O$6)</f>
        <v>0</v>
      </c>
      <c r="P44" s="182">
        <f ca="1">SUMIFS(rec.uni[2024-06-01],
INDIRECT("rec.uni[natureza]"),"repasse.cef.obra",
INDIRECT("rec.uni[empresa]"),P$6)</f>
        <v>0</v>
      </c>
      <c r="Q44" s="182">
        <f ca="1">SUMIFS(rec.uni[2024-06-01],
INDIRECT("rec.uni[natureza]"),"repasse.cef.terreno",
INDIRECT("rec.uni[empresa]"),Q$6)</f>
        <v>0</v>
      </c>
      <c r="R44" s="182">
        <v>0</v>
      </c>
      <c r="S44" s="182">
        <f ca="1">SUMIFS(rec.uni[2024-06-01],
INDIRECT("rec.uni[natureza]"),"taxa.extra",
INDIRECT("rec.uni[empresa]"),S$6)</f>
        <v>0</v>
      </c>
      <c r="T44" s="170"/>
      <c r="U44" s="182" cm="1">
        <f t="array" ref="U4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V44" s="182" cm="1">
        <f t="array" ref="V4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W44" s="182" cm="1">
        <f t="array" ref="W4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X44" s="182" cm="1">
        <f t="array" ref="X4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Y44" s="183" cm="1">
        <f t="array" ref="Y4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Z44" s="181">
        <f>COUNTIFS(
    estq[empresa], Z$6,
    estq[Data da venda / reserva], "&gt;=" &amp; $A44,
    estq[Data da venda / reserva], "&lt;"  &amp; EOMONTH($A44,0) + 1
)</f>
        <v>0</v>
      </c>
      <c r="AA44" s="182">
        <f ca="1">SUMIFS(rec.uni[2024-06-01],
INDIRECT("rec.uni[natureza]"),"pro.soluto",
INDIRECT("rec.uni[empresa]"),AA$6)</f>
        <v>0</v>
      </c>
      <c r="AB44" s="182">
        <f ca="1">SUMIFS(rec.uni[2024-06-01],
INDIRECT("rec.uni[natureza]"),"pro.soluto",
INDIRECT("rec.uni[empresa]"),AB$6)</f>
        <v>0</v>
      </c>
      <c r="AC44" s="182">
        <f ca="1">SUMIFS(rec.uni[2024-06-01],
INDIRECT("rec.uni[natureza]"),"taxa.extra",
INDIRECT("rec.uni[empresa]"),AC$6)</f>
        <v>0</v>
      </c>
      <c r="AD44" s="170"/>
      <c r="AE44" s="182" cm="1">
        <f t="array" ref="AE4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F44" s="182" cm="1">
        <f t="array" ref="AF4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G44" s="182" cm="1">
        <f t="array" ref="AG4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H44" s="182" cm="1">
        <f t="array" ref="AH4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I44" s="183" cm="1">
        <f t="array" ref="AI4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(desp[data.pagamento]&gt;=$A44)*
    (desp[data.pagamento]&lt;EOMONTH($A44,0)+1)
  )
)</f>
        <v>0</v>
      </c>
      <c r="AJ44" s="181">
        <f>COUNTIFS(
    estq[empresa], AJ$6,
    estq[Data da venda / reserva], "&gt;=" &amp; $A44,
    estq[Data da venda / reserva], "&lt;"  &amp; EOMONTH($A44,0) + 1
)</f>
        <v>0</v>
      </c>
      <c r="AK44" s="182">
        <f ca="1">SUMIFS(rec.uni[2024-06-01],
INDIRECT("rec.uni[natureza]"),"pro.soluto",
INDIRECT("rec.uni[empresa]"),AK$6)</f>
        <v>0</v>
      </c>
      <c r="AL44" s="182">
        <f ca="1">SUMIFS(rec.uni[2024-06-01],
INDIRECT("rec.uni[natureza]"),"repasse.cef.obra",
INDIRECT("rec.uni[empresa]"),AL$6)</f>
        <v>0</v>
      </c>
      <c r="AM44" s="182">
        <f ca="1">SUMIFS(rec.uni[2024-06-01],
INDIRECT("rec.uni[natureza]"),"repasse.cef.terreno",
INDIRECT("rec.uni[empresa]"),AM$6)</f>
        <v>0</v>
      </c>
      <c r="AN44" s="182">
        <v>0</v>
      </c>
      <c r="AO44" s="182">
        <f ca="1">SUMIFS(rec.uni[2024-06-01],
INDIRECT("rec.uni[natureza]"),"taxa.extra",
INDIRECT("rec.uni[empresa]"),AO$6)</f>
        <v>0</v>
      </c>
      <c r="AP44" s="170"/>
      <c r="AQ44" s="182" cm="1">
        <f t="array" ref="AQ4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R44" s="182" cm="1">
        <f t="array" ref="AR4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S44" s="182" cm="1">
        <f t="array" ref="AS4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T44" s="182" cm="1">
        <f t="array" ref="AT4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U44" s="183" cm="1">
        <f t="array" ref="AU4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V44" s="181">
        <f>COUNTIFS(
    estq[empresa], AV$6,
    estq[Data da venda / reserva], "&gt;=" &amp; $A44,
    estq[Data da venda / reserva], "&lt;"  &amp; EOMONTH($A44,0) + 1
)</f>
        <v>0</v>
      </c>
      <c r="AW44" s="182">
        <f ca="1">SUMIFS(rec.uni[2024-06-01],
INDIRECT("rec.uni[natureza]"),"pro.soluto",
INDIRECT("rec.uni[empresa]"),AW$6)</f>
        <v>0</v>
      </c>
      <c r="AX44" s="182">
        <f ca="1">SUMIFS(rec.uni[2024-06-01],
INDIRECT("rec.uni[natureza]"),"repasse.cef.obra",
INDIRECT("rec.uni[empresa]"),AX$6)</f>
        <v>0</v>
      </c>
      <c r="AY44" s="182">
        <f ca="1">SUMIFS(rec.uni[2024-06-01],
INDIRECT("rec.uni[natureza]"),"repasse.cef.terreno",
INDIRECT("rec.uni[empresa]"),AY$6)</f>
        <v>0</v>
      </c>
      <c r="AZ44" s="182">
        <v>0</v>
      </c>
      <c r="BA44" s="182">
        <f ca="1">SUMIFS(rec.uni[2024-06-01],
INDIRECT("rec.uni[natureza]"),"taxa.extra",
INDIRECT("rec.uni[empresa]"),BA$6)</f>
        <v>0</v>
      </c>
      <c r="BB44" s="170"/>
      <c r="BC44" s="182" cm="1">
        <f t="array" ref="BC4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D44" s="182" cm="1">
        <f t="array" ref="BD4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E44" s="182" cm="1">
        <f t="array" ref="BE4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F44" s="182" cm="1">
        <f t="array" ref="BF4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G44" s="183" cm="1">
        <f t="array" ref="BG4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BH44" s="181">
        <f>COUNTIFS(
    estq[empresa], BH$6,
    estq[Data da venda / reserva], "&gt;=" &amp; $A44,
    estq[Data da venda / reserva], "&lt;"  &amp; EOMONTH($A44,0) + 1
)</f>
        <v>0</v>
      </c>
      <c r="BI44" s="182">
        <f ca="1">SUMIFS(rec.uni[2024-06-01],
INDIRECT("rec.uni[natureza]"),"pro.soluto",
INDIRECT("rec.uni[empresa]"),BI$6)</f>
        <v>0</v>
      </c>
      <c r="BJ44" s="170">
        <v>0</v>
      </c>
      <c r="BK44" s="182">
        <f ca="1">SUMIFS(rec.uni[2024-06-01],
INDIRECT("rec.uni[natureza]"),"taxa.extra",
INDIRECT("rec.uni[empresa]"),BK$6)</f>
        <v>0</v>
      </c>
      <c r="BL44" s="170"/>
      <c r="BM44" s="182" cm="1">
        <f t="array" ref="BM4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N44" s="182" cm="1">
        <f t="array" ref="BN4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O44" s="182" cm="1">
        <f t="array" ref="BO4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P44" s="182" cm="1">
        <f t="array" ref="BP4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Q44" s="183" cm="1">
        <f t="array" ref="BQ4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R44" s="181">
        <f>COUNTIFS(
    estq[empresa], BR$6,
    estq[Data da venda / reserva], "&gt;=" &amp; $A44,
    estq[Data da venda / reserva], "&lt;"  &amp; EOMONTH($A44,0) + 1
)</f>
        <v>0</v>
      </c>
      <c r="BS44" s="182">
        <f ca="1">SUMIFS(rec.uni[2024-06-01],
INDIRECT("rec.uni[natureza]"),"pro.soluto",
INDIRECT("rec.uni[empresa]"),BS$6)</f>
        <v>0</v>
      </c>
      <c r="BT44" s="182">
        <f ca="1">SUMIFS(rec.uni[2024-06-01],
INDIRECT("rec.uni[natureza]"),"pro.soluto",
INDIRECT("rec.uni[empresa]"),BT$6)</f>
        <v>0</v>
      </c>
      <c r="BU44" s="182">
        <f ca="1">SUMIFS(rec.uni[2024-06-01],
INDIRECT("rec.uni[natureza]"),"taxa.extra",
INDIRECT("rec.uni[empresa]"),BU$6)</f>
        <v>0</v>
      </c>
      <c r="BV44" s="170"/>
      <c r="BW44" s="182" cm="1">
        <f t="array" ref="BW4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BX44" s="182" cm="1">
        <f t="array" ref="BX4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BY44" s="182" cm="1">
        <f t="array" ref="BY4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BZ44" s="182" cm="1">
        <f t="array" ref="BZ4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CA44" s="183" cm="1">
        <f t="array" ref="CA4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(desp[data.pagamento]&gt;=$A44)*
    (desp[data.pagamento]&lt;EOMONTH($A44,0)+1)
  )
)</f>
        <v>0</v>
      </c>
      <c r="CB44" s="181">
        <f>COUNTIFS(
    estq[empresa], CB$6,
    estq[Data da venda / reserva], "&gt;=" &amp; $A44,
    estq[Data da venda / reserva], "&lt;"  &amp; EOMONTH($A44,0) + 1
)</f>
        <v>0</v>
      </c>
      <c r="CC44" s="182">
        <f ca="1">SUMIFS(rec.uni[2024-06-01],
INDIRECT("rec.uni[natureza]"),"pro.soluto",
INDIRECT("rec.uni[empresa]"),CC$6)</f>
        <v>0</v>
      </c>
      <c r="CD44" s="182">
        <f ca="1">SUMIFS(rec.uni[2024-06-01],
INDIRECT("rec.uni[natureza]"),"repasse.cef.obra",
INDIRECT("rec.uni[empresa]"),CD$6)</f>
        <v>0</v>
      </c>
      <c r="CE44" s="182">
        <f ca="1">SUMIFS(rec.uni[2024-06-01],
INDIRECT("rec.uni[natureza]"),"repasse.cef.terreno",
INDIRECT("rec.uni[empresa]"),CE$6)</f>
        <v>0</v>
      </c>
      <c r="CF44" s="182">
        <v>0</v>
      </c>
      <c r="CG44" s="182">
        <f ca="1">SUMIFS(rec.uni[2024-06-01],
INDIRECT("rec.uni[natureza]"),"taxa.extra",
INDIRECT("rec.uni[empresa]"),CG$6)</f>
        <v>0</v>
      </c>
      <c r="CH44" s="170"/>
      <c r="CI44" s="182" cm="1">
        <f t="array" ref="CI4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J44" s="182" cm="1">
        <f t="array" ref="CJ4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K44" s="182" cm="1">
        <f t="array" ref="CK4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L44" s="182" cm="1">
        <f t="array" ref="CL4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M44" s="183" cm="1">
        <f t="array" ref="CM4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CN44" s="181">
        <f>COUNTIFS(
    estq[empresa], CN$6,
    estq[Data da venda / reserva], "&gt;=" &amp; $A44,
    estq[Data da venda / reserva], "&lt;"  &amp; EOMONTH($A44,0) + 1
)</f>
        <v>0</v>
      </c>
      <c r="CO44" s="182">
        <f ca="1">SUMIFS(rec.uni[2024-06-01],
INDIRECT("rec.uni[natureza]"),"pro.soluto",
INDIRECT("rec.uni[empresa]"),CO$6)</f>
        <v>0</v>
      </c>
      <c r="CP44" s="182">
        <f ca="1">SUMIFS(rec.uni[2024-06-01],
INDIRECT("rec.uni[natureza]"),"repasse.cef.obra",
INDIRECT("rec.uni[empresa]"),CP$6)</f>
        <v>0</v>
      </c>
      <c r="CQ44" s="182">
        <f ca="1">SUMIFS(rec.uni[2024-06-01],
INDIRECT("rec.uni[natureza]"),"repasse.cef.terreno",
INDIRECT("rec.uni[empresa]"),CQ$6)</f>
        <v>0</v>
      </c>
      <c r="CR44" s="182">
        <v>0</v>
      </c>
      <c r="CS44" s="182">
        <f ca="1">SUMIFS(rec.uni[2024-06-01],
INDIRECT("rec.uni[natureza]"),"taxa.extra",
INDIRECT("rec.uni[empresa]"),CS$6)</f>
        <v>0</v>
      </c>
      <c r="CT44" s="170"/>
      <c r="CU44" s="182" cm="1">
        <f t="array" ref="CU4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V44" s="182" cm="1">
        <f t="array" ref="CV4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W44" s="182" cm="1">
        <f t="array" ref="CW4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X44" s="182" cm="1">
        <f t="array" ref="CX4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Y44" s="184" cm="1">
        <f t="array" ref="CY4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</row>
    <row r="45" spans="1:103" x14ac:dyDescent="0.25">
      <c r="A45" s="180">
        <v>45474</v>
      </c>
      <c r="B45" s="181">
        <f>COUNTIFS(
    estq[empresa], B$6,
    estq[Data da venda / reserva], "&gt;=" &amp; $A45,
    estq[Data da venda / reserva], "&lt;"  &amp; EOMONTH($A45,0) + 1
)</f>
        <v>0</v>
      </c>
      <c r="C45" s="182">
        <f ca="1">SUMIFS(rec.uni[2024-07-01],
INDIRECT("rec.uni[natureza]"),"pro.soluto",
INDIRECT("rec.uni[empresa]"),C$6)</f>
        <v>0</v>
      </c>
      <c r="D45" s="182">
        <f ca="1">SUMIFS(rec.uni[2024-07-01],
INDIRECT("rec.uni[natureza]"),"repasse.cef.obra",
INDIRECT("rec.uni[empresa]"),D$6)</f>
        <v>0</v>
      </c>
      <c r="E45" s="182">
        <f ca="1">SUMIFS(rec.uni[2024-07-01],
INDIRECT("rec.uni[natureza]"),"repasse.cef.terreno",
INDIRECT("rec.uni[empresa]"),E$6)</f>
        <v>0</v>
      </c>
      <c r="F45" s="182">
        <v>0</v>
      </c>
      <c r="G45" s="182">
        <f ca="1">SUMIFS(rec.uni[2024-07-01],
INDIRECT("rec.uni[natureza]"),"taxa.extra",
INDIRECT("rec.uni[empresa]"),G$6)</f>
        <v>0</v>
      </c>
      <c r="H45" s="170"/>
      <c r="I45" s="182" cm="1">
        <f t="array" ref="I4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J45" s="182" cm="1">
        <f t="array" ref="J4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K45" s="182" cm="1">
        <f t="array" ref="K4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L45" s="182" cm="1">
        <f t="array" ref="L4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M45" s="183" cm="1">
        <f t="array" ref="M4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N45" s="181">
        <f>COUNTIFS(
    estq[empresa], N$6,
    estq[Data da venda / reserva], "&gt;=" &amp; $A45,
    estq[Data da venda / reserva], "&lt;"  &amp; EOMONTH($A45,0) + 1
)</f>
        <v>0</v>
      </c>
      <c r="O45" s="182">
        <f ca="1">SUMIFS(rec.uni[2024-07-01],
INDIRECT("rec.uni[natureza]"),"pro.soluto",
INDIRECT("rec.uni[empresa]"),O$6)</f>
        <v>0</v>
      </c>
      <c r="P45" s="182">
        <f ca="1">SUMIFS(rec.uni[2024-07-01],
INDIRECT("rec.uni[natureza]"),"repasse.cef.obra",
INDIRECT("rec.uni[empresa]"),P$6)</f>
        <v>0</v>
      </c>
      <c r="Q45" s="182">
        <f ca="1">SUMIFS(rec.uni[2024-07-01],
INDIRECT("rec.uni[natureza]"),"repasse.cef.terreno",
INDIRECT("rec.uni[empresa]"),Q$6)</f>
        <v>0</v>
      </c>
      <c r="R45" s="182">
        <v>0</v>
      </c>
      <c r="S45" s="182">
        <f ca="1">SUMIFS(rec.uni[2024-07-01],
INDIRECT("rec.uni[natureza]"),"taxa.extra",
INDIRECT("rec.uni[empresa]"),S$6)</f>
        <v>0</v>
      </c>
      <c r="T45" s="170"/>
      <c r="U45" s="182" cm="1">
        <f t="array" ref="U4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V45" s="182" cm="1">
        <f t="array" ref="V4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W45" s="182" cm="1">
        <f t="array" ref="W4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X45" s="182" cm="1">
        <f t="array" ref="X4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Y45" s="183" cm="1">
        <f t="array" ref="Y4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Z45" s="181">
        <f>COUNTIFS(
    estq[empresa], Z$6,
    estq[Data da venda / reserva], "&gt;=" &amp; $A45,
    estq[Data da venda / reserva], "&lt;"  &amp; EOMONTH($A45,0) + 1
)</f>
        <v>0</v>
      </c>
      <c r="AA45" s="182">
        <f ca="1">SUMIFS(rec.uni[2024-07-01],
INDIRECT("rec.uni[natureza]"),"pro.soluto",
INDIRECT("rec.uni[empresa]"),AA$6)</f>
        <v>0</v>
      </c>
      <c r="AB45" s="182">
        <f ca="1">SUMIFS(rec.uni[2024-07-01],
INDIRECT("rec.uni[natureza]"),"pro.soluto",
INDIRECT("rec.uni[empresa]"),AB$6)</f>
        <v>0</v>
      </c>
      <c r="AC45" s="182">
        <f ca="1">SUMIFS(rec.uni[2024-07-01],
INDIRECT("rec.uni[natureza]"),"taxa.extra",
INDIRECT("rec.uni[empresa]"),AC$6)</f>
        <v>0</v>
      </c>
      <c r="AD45" s="170"/>
      <c r="AE45" s="182" cm="1">
        <f t="array" ref="AE4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F45" s="182" cm="1">
        <f t="array" ref="AF4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G45" s="182" cm="1">
        <f t="array" ref="AG4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H45" s="182" cm="1">
        <f t="array" ref="AH4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I45" s="183" cm="1">
        <f t="array" ref="AI4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(desp[data.pagamento]&gt;=$A45)*
    (desp[data.pagamento]&lt;EOMONTH($A45,0)+1)
  )
)</f>
        <v>0</v>
      </c>
      <c r="AJ45" s="181">
        <f>COUNTIFS(
    estq[empresa], AJ$6,
    estq[Data da venda / reserva], "&gt;=" &amp; $A45,
    estq[Data da venda / reserva], "&lt;"  &amp; EOMONTH($A45,0) + 1
)</f>
        <v>0</v>
      </c>
      <c r="AK45" s="182">
        <f ca="1">SUMIFS(rec.uni[2024-07-01],
INDIRECT("rec.uni[natureza]"),"pro.soluto",
INDIRECT("rec.uni[empresa]"),AK$6)</f>
        <v>0</v>
      </c>
      <c r="AL45" s="182">
        <f ca="1">SUMIFS(rec.uni[2024-07-01],
INDIRECT("rec.uni[natureza]"),"repasse.cef.obra",
INDIRECT("rec.uni[empresa]"),AL$6)</f>
        <v>0</v>
      </c>
      <c r="AM45" s="182">
        <f ca="1">SUMIFS(rec.uni[2024-07-01],
INDIRECT("rec.uni[natureza]"),"repasse.cef.terreno",
INDIRECT("rec.uni[empresa]"),AM$6)</f>
        <v>0</v>
      </c>
      <c r="AN45" s="182">
        <v>0</v>
      </c>
      <c r="AO45" s="182">
        <f ca="1">SUMIFS(rec.uni[2024-07-01],
INDIRECT("rec.uni[natureza]"),"taxa.extra",
INDIRECT("rec.uni[empresa]"),AO$6)</f>
        <v>0</v>
      </c>
      <c r="AP45" s="170"/>
      <c r="AQ45" s="182" cm="1">
        <f t="array" ref="AQ4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R45" s="182" cm="1">
        <f t="array" ref="AR4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S45" s="182" cm="1">
        <f t="array" ref="AS4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T45" s="182" cm="1">
        <f t="array" ref="AT4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U45" s="183" cm="1">
        <f t="array" ref="AU4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V45" s="181">
        <f>COUNTIFS(
    estq[empresa], AV$6,
    estq[Data da venda / reserva], "&gt;=" &amp; $A45,
    estq[Data da venda / reserva], "&lt;"  &amp; EOMONTH($A45,0) + 1
)</f>
        <v>0</v>
      </c>
      <c r="AW45" s="182">
        <f ca="1">SUMIFS(rec.uni[2024-07-01],
INDIRECT("rec.uni[natureza]"),"pro.soluto",
INDIRECT("rec.uni[empresa]"),AW$6)</f>
        <v>0</v>
      </c>
      <c r="AX45" s="182">
        <f ca="1">SUMIFS(rec.uni[2024-07-01],
INDIRECT("rec.uni[natureza]"),"repasse.cef.obra",
INDIRECT("rec.uni[empresa]"),AX$6)</f>
        <v>0</v>
      </c>
      <c r="AY45" s="182">
        <f ca="1">SUMIFS(rec.uni[2024-07-01],
INDIRECT("rec.uni[natureza]"),"repasse.cef.terreno",
INDIRECT("rec.uni[empresa]"),AY$6)</f>
        <v>0</v>
      </c>
      <c r="AZ45" s="182">
        <v>0</v>
      </c>
      <c r="BA45" s="182">
        <f ca="1">SUMIFS(rec.uni[2024-07-01],
INDIRECT("rec.uni[natureza]"),"taxa.extra",
INDIRECT("rec.uni[empresa]"),BA$6)</f>
        <v>0</v>
      </c>
      <c r="BB45" s="170"/>
      <c r="BC45" s="182" cm="1">
        <f t="array" ref="BC4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D45" s="182" cm="1">
        <f t="array" ref="BD4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E45" s="182" cm="1">
        <f t="array" ref="BE4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F45" s="182" cm="1">
        <f t="array" ref="BF4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G45" s="183" cm="1">
        <f t="array" ref="BG4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BH45" s="181">
        <f>COUNTIFS(
    estq[empresa], BH$6,
    estq[Data da venda / reserva], "&gt;=" &amp; $A45,
    estq[Data da venda / reserva], "&lt;"  &amp; EOMONTH($A45,0) + 1
)</f>
        <v>0</v>
      </c>
      <c r="BI45" s="182">
        <f ca="1">SUMIFS(rec.uni[2024-07-01],
INDIRECT("rec.uni[natureza]"),"pro.soluto",
INDIRECT("rec.uni[empresa]"),BI$6)</f>
        <v>0</v>
      </c>
      <c r="BJ45" s="170">
        <v>0</v>
      </c>
      <c r="BK45" s="182">
        <f ca="1">SUMIFS(rec.uni[2024-07-01],
INDIRECT("rec.uni[natureza]"),"taxa.extra",
INDIRECT("rec.uni[empresa]"),BK$6)</f>
        <v>0</v>
      </c>
      <c r="BL45" s="170"/>
      <c r="BM45" s="182" cm="1">
        <f t="array" ref="BM4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N45" s="182" cm="1">
        <f t="array" ref="BN4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O45" s="182" cm="1">
        <f t="array" ref="BO4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P45" s="182" cm="1">
        <f t="array" ref="BP4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Q45" s="183" cm="1">
        <f t="array" ref="BQ4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R45" s="181">
        <f>COUNTIFS(
    estq[empresa], BR$6,
    estq[Data da venda / reserva], "&gt;=" &amp; $A45,
    estq[Data da venda / reserva], "&lt;"  &amp; EOMONTH($A45,0) + 1
)</f>
        <v>0</v>
      </c>
      <c r="BS45" s="182">
        <f ca="1">SUMIFS(rec.uni[2024-07-01],
INDIRECT("rec.uni[natureza]"),"pro.soluto",
INDIRECT("rec.uni[empresa]"),BS$6)</f>
        <v>0</v>
      </c>
      <c r="BT45" s="182">
        <f ca="1">SUMIFS(rec.uni[2024-07-01],
INDIRECT("rec.uni[natureza]"),"pro.soluto",
INDIRECT("rec.uni[empresa]"),BT$6)</f>
        <v>0</v>
      </c>
      <c r="BU45" s="182">
        <f ca="1">SUMIFS(rec.uni[2024-07-01],
INDIRECT("rec.uni[natureza]"),"taxa.extra",
INDIRECT("rec.uni[empresa]"),BU$6)</f>
        <v>0</v>
      </c>
      <c r="BV45" s="170"/>
      <c r="BW45" s="182" cm="1">
        <f t="array" ref="BW4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BX45" s="182" cm="1">
        <f t="array" ref="BX4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BY45" s="182" cm="1">
        <f t="array" ref="BY4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BZ45" s="182" cm="1">
        <f t="array" ref="BZ4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CA45" s="183" cm="1">
        <f t="array" ref="CA4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(desp[data.pagamento]&gt;=$A45)*
    (desp[data.pagamento]&lt;EOMONTH($A45,0)+1)
  )
)</f>
        <v>0</v>
      </c>
      <c r="CB45" s="181">
        <f>COUNTIFS(
    estq[empresa], CB$6,
    estq[Data da venda / reserva], "&gt;=" &amp; $A45,
    estq[Data da venda / reserva], "&lt;"  &amp; EOMONTH($A45,0) + 1
)</f>
        <v>0</v>
      </c>
      <c r="CC45" s="182">
        <f ca="1">SUMIFS(rec.uni[2024-07-01],
INDIRECT("rec.uni[natureza]"),"pro.soluto",
INDIRECT("rec.uni[empresa]"),CC$6)</f>
        <v>0</v>
      </c>
      <c r="CD45" s="182">
        <f ca="1">SUMIFS(rec.uni[2024-07-01],
INDIRECT("rec.uni[natureza]"),"repasse.cef.obra",
INDIRECT("rec.uni[empresa]"),CD$6)</f>
        <v>0</v>
      </c>
      <c r="CE45" s="182">
        <f ca="1">SUMIFS(rec.uni[2024-07-01],
INDIRECT("rec.uni[natureza]"),"repasse.cef.terreno",
INDIRECT("rec.uni[empresa]"),CE$6)</f>
        <v>0</v>
      </c>
      <c r="CF45" s="182">
        <v>0</v>
      </c>
      <c r="CG45" s="182">
        <f ca="1">SUMIFS(rec.uni[2024-07-01],
INDIRECT("rec.uni[natureza]"),"taxa.extra",
INDIRECT("rec.uni[empresa]"),CG$6)</f>
        <v>0</v>
      </c>
      <c r="CH45" s="170"/>
      <c r="CI45" s="182" cm="1">
        <f t="array" ref="CI4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J45" s="182" cm="1">
        <f t="array" ref="CJ4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K45" s="182" cm="1">
        <f t="array" ref="CK4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L45" s="182" cm="1">
        <f t="array" ref="CL4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M45" s="183" cm="1">
        <f t="array" ref="CM4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CN45" s="181">
        <f>COUNTIFS(
    estq[empresa], CN$6,
    estq[Data da venda / reserva], "&gt;=" &amp; $A45,
    estq[Data da venda / reserva], "&lt;"  &amp; EOMONTH($A45,0) + 1
)</f>
        <v>0</v>
      </c>
      <c r="CO45" s="182">
        <f ca="1">SUMIFS(rec.uni[2024-07-01],
INDIRECT("rec.uni[natureza]"),"pro.soluto",
INDIRECT("rec.uni[empresa]"),CO$6)</f>
        <v>0</v>
      </c>
      <c r="CP45" s="182">
        <f ca="1">SUMIFS(rec.uni[2024-07-01],
INDIRECT("rec.uni[natureza]"),"repasse.cef.obra",
INDIRECT("rec.uni[empresa]"),CP$6)</f>
        <v>0</v>
      </c>
      <c r="CQ45" s="182">
        <f ca="1">SUMIFS(rec.uni[2024-07-01],
INDIRECT("rec.uni[natureza]"),"repasse.cef.terreno",
INDIRECT("rec.uni[empresa]"),CQ$6)</f>
        <v>0</v>
      </c>
      <c r="CR45" s="182">
        <v>0</v>
      </c>
      <c r="CS45" s="182">
        <f ca="1">SUMIFS(rec.uni[2024-07-01],
INDIRECT("rec.uni[natureza]"),"taxa.extra",
INDIRECT("rec.uni[empresa]"),CS$6)</f>
        <v>0</v>
      </c>
      <c r="CT45" s="170"/>
      <c r="CU45" s="182" cm="1">
        <f t="array" ref="CU4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V45" s="182" cm="1">
        <f t="array" ref="CV4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W45" s="182" cm="1">
        <f t="array" ref="CW4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X45" s="182" cm="1">
        <f t="array" ref="CX4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Y45" s="184" cm="1">
        <f t="array" ref="CY4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</row>
    <row r="46" spans="1:103" x14ac:dyDescent="0.25">
      <c r="A46" s="180">
        <v>45505</v>
      </c>
      <c r="B46" s="181">
        <f>COUNTIFS(
    estq[empresa], B$6,
    estq[Data da venda / reserva], "&gt;=" &amp; $A46,
    estq[Data da venda / reserva], "&lt;"  &amp; EOMONTH($A46,0) + 1
)</f>
        <v>0</v>
      </c>
      <c r="C46" s="182">
        <f ca="1">SUMIFS(rec.uni[2024-08-01],
INDIRECT("rec.uni[natureza]"),"pro.soluto",
INDIRECT("rec.uni[empresa]"),C$6)</f>
        <v>0</v>
      </c>
      <c r="D46" s="182">
        <f ca="1">SUMIFS(rec.uni[2024-08-01],
INDIRECT("rec.uni[natureza]"),"repasse.cef.obra",
INDIRECT("rec.uni[empresa]"),D$6)</f>
        <v>0</v>
      </c>
      <c r="E46" s="182">
        <f ca="1">SUMIFS(rec.uni[2024-08-01],
INDIRECT("rec.uni[natureza]"),"repasse.cef.terreno",
INDIRECT("rec.uni[empresa]"),E$6)</f>
        <v>0</v>
      </c>
      <c r="F46" s="182">
        <v>0</v>
      </c>
      <c r="G46" s="182">
        <f ca="1">SUMIFS(rec.uni[2024-08-01],
INDIRECT("rec.uni[natureza]"),"taxa.extra",
INDIRECT("rec.uni[empresa]"),G$6)</f>
        <v>0</v>
      </c>
      <c r="H46" s="170"/>
      <c r="I46" s="182" cm="1">
        <f t="array" ref="I4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J46" s="182" cm="1">
        <f t="array" ref="J4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K46" s="182" cm="1">
        <f t="array" ref="K4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L46" s="182" cm="1">
        <f t="array" ref="L4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M46" s="183" cm="1">
        <f t="array" ref="M4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N46" s="181">
        <f>COUNTIFS(
    estq[empresa], N$6,
    estq[Data da venda / reserva], "&gt;=" &amp; $A46,
    estq[Data da venda / reserva], "&lt;"  &amp; EOMONTH($A46,0) + 1
)</f>
        <v>0</v>
      </c>
      <c r="O46" s="182">
        <f ca="1">SUMIFS(rec.uni[2024-08-01],
INDIRECT("rec.uni[natureza]"),"pro.soluto",
INDIRECT("rec.uni[empresa]"),O$6)</f>
        <v>0</v>
      </c>
      <c r="P46" s="182">
        <f ca="1">SUMIFS(rec.uni[2024-08-01],
INDIRECT("rec.uni[natureza]"),"repasse.cef.obra",
INDIRECT("rec.uni[empresa]"),P$6)</f>
        <v>0</v>
      </c>
      <c r="Q46" s="182">
        <f ca="1">SUMIFS(rec.uni[2024-08-01],
INDIRECT("rec.uni[natureza]"),"repasse.cef.terreno",
INDIRECT("rec.uni[empresa]"),Q$6)</f>
        <v>0</v>
      </c>
      <c r="R46" s="182">
        <v>0</v>
      </c>
      <c r="S46" s="182">
        <f ca="1">SUMIFS(rec.uni[2024-08-01],
INDIRECT("rec.uni[natureza]"),"taxa.extra",
INDIRECT("rec.uni[empresa]"),S$6)</f>
        <v>0</v>
      </c>
      <c r="T46" s="170"/>
      <c r="U46" s="182" cm="1">
        <f t="array" ref="U4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V46" s="182" cm="1">
        <f t="array" ref="V4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W46" s="182" cm="1">
        <f t="array" ref="W4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X46" s="182" cm="1">
        <f t="array" ref="X4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Y46" s="183" cm="1">
        <f t="array" ref="Y4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Z46" s="181">
        <f>COUNTIFS(
    estq[empresa], Z$6,
    estq[Data da venda / reserva], "&gt;=" &amp; $A46,
    estq[Data da venda / reserva], "&lt;"  &amp; EOMONTH($A46,0) + 1
)</f>
        <v>0</v>
      </c>
      <c r="AA46" s="182">
        <f ca="1">SUMIFS(rec.uni[2024-08-01],
INDIRECT("rec.uni[natureza]"),"pro.soluto",
INDIRECT("rec.uni[empresa]"),AA$6)</f>
        <v>0</v>
      </c>
      <c r="AB46" s="182">
        <f ca="1">SUMIFS(rec.uni[2024-08-01],
INDIRECT("rec.uni[natureza]"),"pro.soluto",
INDIRECT("rec.uni[empresa]"),AB$6)</f>
        <v>0</v>
      </c>
      <c r="AC46" s="182">
        <f ca="1">SUMIFS(rec.uni[2024-08-01],
INDIRECT("rec.uni[natureza]"),"taxa.extra",
INDIRECT("rec.uni[empresa]"),AC$6)</f>
        <v>0</v>
      </c>
      <c r="AD46" s="170"/>
      <c r="AE46" s="182" cm="1">
        <f t="array" ref="AE4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F46" s="182" cm="1">
        <f t="array" ref="AF4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G46" s="182" cm="1">
        <f t="array" ref="AG4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H46" s="182" cm="1">
        <f t="array" ref="AH4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I46" s="183" cm="1">
        <f t="array" ref="AI4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(desp[data.pagamento]&gt;=$A46)*
    (desp[data.pagamento]&lt;EOMONTH($A46,0)+1)
  )
)</f>
        <v>0</v>
      </c>
      <c r="AJ46" s="181">
        <f>COUNTIFS(
    estq[empresa], AJ$6,
    estq[Data da venda / reserva], "&gt;=" &amp; $A46,
    estq[Data da venda / reserva], "&lt;"  &amp; EOMONTH($A46,0) + 1
)</f>
        <v>0</v>
      </c>
      <c r="AK46" s="182">
        <f ca="1">SUMIFS(rec.uni[2024-08-01],
INDIRECT("rec.uni[natureza]"),"pro.soluto",
INDIRECT("rec.uni[empresa]"),AK$6)</f>
        <v>0</v>
      </c>
      <c r="AL46" s="182">
        <f ca="1">SUMIFS(rec.uni[2024-08-01],
INDIRECT("rec.uni[natureza]"),"repasse.cef.obra",
INDIRECT("rec.uni[empresa]"),AL$6)</f>
        <v>0</v>
      </c>
      <c r="AM46" s="182">
        <f ca="1">SUMIFS(rec.uni[2024-08-01],
INDIRECT("rec.uni[natureza]"),"repasse.cef.terreno",
INDIRECT("rec.uni[empresa]"),AM$6)</f>
        <v>0</v>
      </c>
      <c r="AN46" s="182">
        <v>0</v>
      </c>
      <c r="AO46" s="182">
        <f ca="1">SUMIFS(rec.uni[2024-08-01],
INDIRECT("rec.uni[natureza]"),"taxa.extra",
INDIRECT("rec.uni[empresa]"),AO$6)</f>
        <v>0</v>
      </c>
      <c r="AP46" s="170"/>
      <c r="AQ46" s="182" cm="1">
        <f t="array" ref="AQ4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R46" s="182" cm="1">
        <f t="array" ref="AR4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S46" s="182" cm="1">
        <f t="array" ref="AS4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T46" s="182" cm="1">
        <f t="array" ref="AT4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U46" s="183" cm="1">
        <f t="array" ref="AU4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V46" s="181">
        <f>COUNTIFS(
    estq[empresa], AV$6,
    estq[Data da venda / reserva], "&gt;=" &amp; $A46,
    estq[Data da venda / reserva], "&lt;"  &amp; EOMONTH($A46,0) + 1
)</f>
        <v>0</v>
      </c>
      <c r="AW46" s="182">
        <f ca="1">SUMIFS(rec.uni[2024-08-01],
INDIRECT("rec.uni[natureza]"),"pro.soluto",
INDIRECT("rec.uni[empresa]"),AW$6)</f>
        <v>0</v>
      </c>
      <c r="AX46" s="182">
        <f ca="1">SUMIFS(rec.uni[2024-08-01],
INDIRECT("rec.uni[natureza]"),"repasse.cef.obra",
INDIRECT("rec.uni[empresa]"),AX$6)</f>
        <v>0</v>
      </c>
      <c r="AY46" s="182">
        <f ca="1">SUMIFS(rec.uni[2024-08-01],
INDIRECT("rec.uni[natureza]"),"repasse.cef.terreno",
INDIRECT("rec.uni[empresa]"),AY$6)</f>
        <v>0</v>
      </c>
      <c r="AZ46" s="182">
        <v>0</v>
      </c>
      <c r="BA46" s="182">
        <f ca="1">SUMIFS(rec.uni[2024-08-01],
INDIRECT("rec.uni[natureza]"),"taxa.extra",
INDIRECT("rec.uni[empresa]"),BA$6)</f>
        <v>0</v>
      </c>
      <c r="BB46" s="170"/>
      <c r="BC46" s="182" cm="1">
        <f t="array" ref="BC4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D46" s="182" cm="1">
        <f t="array" ref="BD4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E46" s="182" cm="1">
        <f t="array" ref="BE4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F46" s="182" cm="1">
        <f t="array" ref="BF4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G46" s="183" cm="1">
        <f t="array" ref="BG4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BH46" s="181">
        <f>COUNTIFS(
    estq[empresa], BH$6,
    estq[Data da venda / reserva], "&gt;=" &amp; $A46,
    estq[Data da venda / reserva], "&lt;"  &amp; EOMONTH($A46,0) + 1
)</f>
        <v>0</v>
      </c>
      <c r="BI46" s="182">
        <f ca="1">SUMIFS(rec.uni[2024-08-01],
INDIRECT("rec.uni[natureza]"),"pro.soluto",
INDIRECT("rec.uni[empresa]"),BI$6)</f>
        <v>0</v>
      </c>
      <c r="BJ46" s="170">
        <v>0</v>
      </c>
      <c r="BK46" s="182">
        <f ca="1">SUMIFS(rec.uni[2024-08-01],
INDIRECT("rec.uni[natureza]"),"taxa.extra",
INDIRECT("rec.uni[empresa]"),BK$6)</f>
        <v>0</v>
      </c>
      <c r="BL46" s="170"/>
      <c r="BM46" s="182" cm="1">
        <f t="array" ref="BM4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N46" s="182" cm="1">
        <f t="array" ref="BN4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O46" s="182" cm="1">
        <f t="array" ref="BO4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P46" s="182" cm="1">
        <f t="array" ref="BP4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Q46" s="183" cm="1">
        <f t="array" ref="BQ4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R46" s="181">
        <f>COUNTIFS(
    estq[empresa], BR$6,
    estq[Data da venda / reserva], "&gt;=" &amp; $A46,
    estq[Data da venda / reserva], "&lt;"  &amp; EOMONTH($A46,0) + 1
)</f>
        <v>0</v>
      </c>
      <c r="BS46" s="182">
        <f ca="1">SUMIFS(rec.uni[2024-08-01],
INDIRECT("rec.uni[natureza]"),"pro.soluto",
INDIRECT("rec.uni[empresa]"),BS$6)</f>
        <v>0</v>
      </c>
      <c r="BT46" s="182">
        <f ca="1">SUMIFS(rec.uni[2024-08-01],
INDIRECT("rec.uni[natureza]"),"pro.soluto",
INDIRECT("rec.uni[empresa]"),BT$6)</f>
        <v>0</v>
      </c>
      <c r="BU46" s="182">
        <f ca="1">SUMIFS(rec.uni[2024-08-01],
INDIRECT("rec.uni[natureza]"),"taxa.extra",
INDIRECT("rec.uni[empresa]"),BU$6)</f>
        <v>0</v>
      </c>
      <c r="BV46" s="170"/>
      <c r="BW46" s="182" cm="1">
        <f t="array" ref="BW4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BX46" s="182" cm="1">
        <f t="array" ref="BX4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BY46" s="182" cm="1">
        <f t="array" ref="BY4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BZ46" s="182" cm="1">
        <f t="array" ref="BZ4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CA46" s="183" cm="1">
        <f t="array" ref="CA4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(desp[data.pagamento]&gt;=$A46)*
    (desp[data.pagamento]&lt;EOMONTH($A46,0)+1)
  )
)</f>
        <v>0</v>
      </c>
      <c r="CB46" s="181">
        <f>COUNTIFS(
    estq[empresa], CB$6,
    estq[Data da venda / reserva], "&gt;=" &amp; $A46,
    estq[Data da venda / reserva], "&lt;"  &amp; EOMONTH($A46,0) + 1
)</f>
        <v>0</v>
      </c>
      <c r="CC46" s="182">
        <f ca="1">SUMIFS(rec.uni[2024-08-01],
INDIRECT("rec.uni[natureza]"),"pro.soluto",
INDIRECT("rec.uni[empresa]"),CC$6)</f>
        <v>0</v>
      </c>
      <c r="CD46" s="182">
        <f ca="1">SUMIFS(rec.uni[2024-08-01],
INDIRECT("rec.uni[natureza]"),"repasse.cef.obra",
INDIRECT("rec.uni[empresa]"),CD$6)</f>
        <v>0</v>
      </c>
      <c r="CE46" s="182">
        <f ca="1">SUMIFS(rec.uni[2024-08-01],
INDIRECT("rec.uni[natureza]"),"repasse.cef.terreno",
INDIRECT("rec.uni[empresa]"),CE$6)</f>
        <v>0</v>
      </c>
      <c r="CF46" s="182">
        <v>0</v>
      </c>
      <c r="CG46" s="182">
        <f ca="1">SUMIFS(rec.uni[2024-08-01],
INDIRECT("rec.uni[natureza]"),"taxa.extra",
INDIRECT("rec.uni[empresa]"),CG$6)</f>
        <v>0</v>
      </c>
      <c r="CH46" s="170"/>
      <c r="CI46" s="182" cm="1">
        <f t="array" ref="CI4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J46" s="182" cm="1">
        <f t="array" ref="CJ4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K46" s="182" cm="1">
        <f t="array" ref="CK4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L46" s="182" cm="1">
        <f t="array" ref="CL4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M46" s="183" cm="1">
        <f t="array" ref="CM4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CN46" s="181">
        <f>COUNTIFS(
    estq[empresa], CN$6,
    estq[Data da venda / reserva], "&gt;=" &amp; $A46,
    estq[Data da venda / reserva], "&lt;"  &amp; EOMONTH($A46,0) + 1
)</f>
        <v>0</v>
      </c>
      <c r="CO46" s="182">
        <f ca="1">SUMIFS(rec.uni[2024-08-01],
INDIRECT("rec.uni[natureza]"),"pro.soluto",
INDIRECT("rec.uni[empresa]"),CO$6)</f>
        <v>0</v>
      </c>
      <c r="CP46" s="182">
        <f ca="1">SUMIFS(rec.uni[2024-08-01],
INDIRECT("rec.uni[natureza]"),"repasse.cef.obra",
INDIRECT("rec.uni[empresa]"),CP$6)</f>
        <v>0</v>
      </c>
      <c r="CQ46" s="182">
        <f ca="1">SUMIFS(rec.uni[2024-08-01],
INDIRECT("rec.uni[natureza]"),"repasse.cef.terreno",
INDIRECT("rec.uni[empresa]"),CQ$6)</f>
        <v>0</v>
      </c>
      <c r="CR46" s="182">
        <v>0</v>
      </c>
      <c r="CS46" s="182">
        <f ca="1">SUMIFS(rec.uni[2024-08-01],
INDIRECT("rec.uni[natureza]"),"taxa.extra",
INDIRECT("rec.uni[empresa]"),CS$6)</f>
        <v>0</v>
      </c>
      <c r="CT46" s="170"/>
      <c r="CU46" s="182" cm="1">
        <f t="array" ref="CU4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V46" s="182" cm="1">
        <f t="array" ref="CV4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W46" s="182" cm="1">
        <f t="array" ref="CW4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X46" s="182" cm="1">
        <f t="array" ref="CX4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Y46" s="184" cm="1">
        <f t="array" ref="CY4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</row>
    <row r="47" spans="1:103" x14ac:dyDescent="0.25">
      <c r="A47" s="180">
        <v>45536</v>
      </c>
      <c r="B47" s="181">
        <f>COUNTIFS(
    estq[empresa], B$6,
    estq[Data da venda / reserva], "&gt;=" &amp; $A47,
    estq[Data da venda / reserva], "&lt;"  &amp; EOMONTH($A47,0) + 1
)</f>
        <v>0</v>
      </c>
      <c r="C47" s="182">
        <f ca="1">SUMIFS(rec.uni[2024-09-01],
INDIRECT("rec.uni[natureza]"),"pro.soluto",
INDIRECT("rec.uni[empresa]"),C$6)</f>
        <v>0</v>
      </c>
      <c r="D47" s="182">
        <f ca="1">SUMIFS(rec.uni[2024-09-01],
INDIRECT("rec.uni[natureza]"),"repasse.cef.obra",
INDIRECT("rec.uni[empresa]"),D$6)</f>
        <v>0</v>
      </c>
      <c r="E47" s="182">
        <f ca="1">SUMIFS(rec.uni[2024-09-01],
INDIRECT("rec.uni[natureza]"),"repasse.cef.terreno",
INDIRECT("rec.uni[empresa]"),E$6)</f>
        <v>0</v>
      </c>
      <c r="F47" s="182">
        <v>198297.96</v>
      </c>
      <c r="G47" s="182">
        <f ca="1">SUMIFS(rec.uni[2024-09-01],
INDIRECT("rec.uni[natureza]"),"taxa.extra",
INDIRECT("rec.uni[empresa]"),G$6)</f>
        <v>0</v>
      </c>
      <c r="H47" s="170"/>
      <c r="I47" s="182" cm="1">
        <f t="array" ref="I4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J47" s="182" cm="1">
        <f t="array" ref="J4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K47" s="182" cm="1">
        <f t="array" ref="K4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L47" s="182" cm="1">
        <f t="array" ref="L4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M47" s="183" cm="1">
        <f t="array" ref="M4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N47" s="181">
        <f>COUNTIFS(
    estq[empresa], N$6,
    estq[Data da venda / reserva], "&gt;=" &amp; $A47,
    estq[Data da venda / reserva], "&lt;"  &amp; EOMONTH($A47,0) + 1
)</f>
        <v>0</v>
      </c>
      <c r="O47" s="182">
        <f ca="1">SUMIFS(rec.uni[2024-09-01],
INDIRECT("rec.uni[natureza]"),"pro.soluto",
INDIRECT("rec.uni[empresa]"),O$6)</f>
        <v>0</v>
      </c>
      <c r="P47" s="182">
        <f ca="1">SUMIFS(rec.uni[2024-09-01],
INDIRECT("rec.uni[natureza]"),"repasse.cef.obra",
INDIRECT("rec.uni[empresa]"),P$6)</f>
        <v>0</v>
      </c>
      <c r="Q47" s="182">
        <f ca="1">SUMIFS(rec.uni[2024-09-01],
INDIRECT("rec.uni[natureza]"),"repasse.cef.terreno",
INDIRECT("rec.uni[empresa]"),Q$6)</f>
        <v>0</v>
      </c>
      <c r="R47" s="182">
        <v>0</v>
      </c>
      <c r="S47" s="182">
        <f ca="1">SUMIFS(rec.uni[2024-09-01],
INDIRECT("rec.uni[natureza]"),"taxa.extra",
INDIRECT("rec.uni[empresa]"),S$6)</f>
        <v>0</v>
      </c>
      <c r="T47" s="170"/>
      <c r="U47" s="182" cm="1">
        <f t="array" ref="U4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V47" s="182" cm="1">
        <f t="array" ref="V4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W47" s="182" cm="1">
        <f t="array" ref="W4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X47" s="182" cm="1">
        <f t="array" ref="X4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Y47" s="183" cm="1">
        <f t="array" ref="Y4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Z47" s="181">
        <f>COUNTIFS(
    estq[empresa], Z$6,
    estq[Data da venda / reserva], "&gt;=" &amp; $A47,
    estq[Data da venda / reserva], "&lt;"  &amp; EOMONTH($A47,0) + 1
)</f>
        <v>0</v>
      </c>
      <c r="AA47" s="182">
        <f ca="1">SUMIFS(rec.uni[2024-09-01],
INDIRECT("rec.uni[natureza]"),"pro.soluto",
INDIRECT("rec.uni[empresa]"),AA$6)</f>
        <v>0</v>
      </c>
      <c r="AB47" s="182">
        <f ca="1">SUMIFS(rec.uni[2024-09-01],
INDIRECT("rec.uni[natureza]"),"pro.soluto",
INDIRECT("rec.uni[empresa]"),AB$6)</f>
        <v>0</v>
      </c>
      <c r="AC47" s="182">
        <f ca="1">SUMIFS(rec.uni[2024-09-01],
INDIRECT("rec.uni[natureza]"),"taxa.extra",
INDIRECT("rec.uni[empresa]"),AC$6)</f>
        <v>0</v>
      </c>
      <c r="AD47" s="170"/>
      <c r="AE47" s="182" cm="1">
        <f t="array" ref="AE4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F47" s="182" cm="1">
        <f t="array" ref="AF4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G47" s="182" cm="1">
        <f t="array" ref="AG4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H47" s="182" cm="1">
        <f t="array" ref="AH4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I47" s="183" cm="1">
        <f t="array" ref="AI4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(desp[data.pagamento]&gt;=$A47)*
    (desp[data.pagamento]&lt;EOMONTH($A47,0)+1)
  )
)</f>
        <v>0</v>
      </c>
      <c r="AJ47" s="181">
        <f>COUNTIFS(
    estq[empresa], AJ$6,
    estq[Data da venda / reserva], "&gt;=" &amp; $A47,
    estq[Data da venda / reserva], "&lt;"  &amp; EOMONTH($A47,0) + 1
)</f>
        <v>0</v>
      </c>
      <c r="AK47" s="182">
        <f ca="1">SUMIFS(rec.uni[2024-09-01],
INDIRECT("rec.uni[natureza]"),"pro.soluto",
INDIRECT("rec.uni[empresa]"),AK$6)</f>
        <v>0</v>
      </c>
      <c r="AL47" s="182">
        <f ca="1">SUMIFS(rec.uni[2024-09-01],
INDIRECT("rec.uni[natureza]"),"repasse.cef.obra",
INDIRECT("rec.uni[empresa]"),AL$6)</f>
        <v>0</v>
      </c>
      <c r="AM47" s="182">
        <f ca="1">SUMIFS(rec.uni[2024-09-01],
INDIRECT("rec.uni[natureza]"),"repasse.cef.terreno",
INDIRECT("rec.uni[empresa]"),AM$6)</f>
        <v>0</v>
      </c>
      <c r="AN47" s="182">
        <v>0</v>
      </c>
      <c r="AO47" s="182">
        <f ca="1">SUMIFS(rec.uni[2024-09-01],
INDIRECT("rec.uni[natureza]"),"taxa.extra",
INDIRECT("rec.uni[empresa]"),AO$6)</f>
        <v>0</v>
      </c>
      <c r="AP47" s="170"/>
      <c r="AQ47" s="182" cm="1">
        <f t="array" ref="AQ4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R47" s="182" cm="1">
        <f t="array" ref="AR4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S47" s="182" cm="1">
        <f t="array" ref="AS4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T47" s="182" cm="1">
        <f t="array" ref="AT4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U47" s="183" cm="1">
        <f t="array" ref="AU4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V47" s="181">
        <f>COUNTIFS(
    estq[empresa], AV$6,
    estq[Data da venda / reserva], "&gt;=" &amp; $A47,
    estq[Data da venda / reserva], "&lt;"  &amp; EOMONTH($A47,0) + 1
)</f>
        <v>0</v>
      </c>
      <c r="AW47" s="182">
        <f ca="1">SUMIFS(rec.uni[2024-09-01],
INDIRECT("rec.uni[natureza]"),"pro.soluto",
INDIRECT("rec.uni[empresa]"),AW$6)</f>
        <v>0</v>
      </c>
      <c r="AX47" s="182">
        <f ca="1">SUMIFS(rec.uni[2024-09-01],
INDIRECT("rec.uni[natureza]"),"repasse.cef.obra",
INDIRECT("rec.uni[empresa]"),AX$6)</f>
        <v>0</v>
      </c>
      <c r="AY47" s="182">
        <f ca="1">SUMIFS(rec.uni[2024-09-01],
INDIRECT("rec.uni[natureza]"),"repasse.cef.terreno",
INDIRECT("rec.uni[empresa]"),AY$6)</f>
        <v>0</v>
      </c>
      <c r="AZ47" s="182">
        <v>0</v>
      </c>
      <c r="BA47" s="182">
        <f ca="1">SUMIFS(rec.uni[2024-09-01],
INDIRECT("rec.uni[natureza]"),"taxa.extra",
INDIRECT("rec.uni[empresa]"),BA$6)</f>
        <v>0</v>
      </c>
      <c r="BB47" s="170"/>
      <c r="BC47" s="182" cm="1">
        <f t="array" ref="BC4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D47" s="182" cm="1">
        <f t="array" ref="BD4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E47" s="182" cm="1">
        <f t="array" ref="BE4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F47" s="182" cm="1">
        <f t="array" ref="BF4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G47" s="183" cm="1">
        <f t="array" ref="BG4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BH47" s="181">
        <f>COUNTIFS(
    estq[empresa], BH$6,
    estq[Data da venda / reserva], "&gt;=" &amp; $A47,
    estq[Data da venda / reserva], "&lt;"  &amp; EOMONTH($A47,0) + 1
)</f>
        <v>0</v>
      </c>
      <c r="BI47" s="182">
        <f ca="1">SUMIFS(rec.uni[2024-09-01],
INDIRECT("rec.uni[natureza]"),"pro.soluto",
INDIRECT("rec.uni[empresa]"),BI$6)</f>
        <v>0</v>
      </c>
      <c r="BJ47" s="170">
        <f ca="1">SUMIFS(rec.uni[2024-09-01],
INDIRECT("rec.uni[natureza]"),"parcela.fin.total.ik",
INDIRECT("rec.uni[empresa]"),BJ$6)</f>
        <v>0</v>
      </c>
      <c r="BK47" s="182">
        <f ca="1">SUMIFS(rec.uni[2024-09-01],
INDIRECT("rec.uni[natureza]"),"taxa.extra",
INDIRECT("rec.uni[empresa]"),BK$6)</f>
        <v>0</v>
      </c>
      <c r="BL47" s="170"/>
      <c r="BM47" s="182" cm="1">
        <f t="array" ref="BM4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N47" s="182" cm="1">
        <f t="array" ref="BN4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O47" s="182" cm="1">
        <f t="array" ref="BO4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P47" s="182" cm="1">
        <f t="array" ref="BP4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Q47" s="183" cm="1">
        <f t="array" ref="BQ4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R47" s="181">
        <f>COUNTIFS(
    estq[empresa], BR$6,
    estq[Data da venda / reserva], "&gt;=" &amp; $A47,
    estq[Data da venda / reserva], "&lt;"  &amp; EOMONTH($A47,0) + 1
)</f>
        <v>0</v>
      </c>
      <c r="BS47" s="182">
        <f ca="1">SUMIFS(rec.uni[2024-09-01],
INDIRECT("rec.uni[natureza]"),"pro.soluto",
INDIRECT("rec.uni[empresa]"),BS$6)</f>
        <v>0</v>
      </c>
      <c r="BT47" s="182">
        <f ca="1">SUMIFS(rec.uni[2024-09-01],
INDIRECT("rec.uni[natureza]"),"pro.soluto",
INDIRECT("rec.uni[empresa]"),BT$6)</f>
        <v>0</v>
      </c>
      <c r="BU47" s="182">
        <f ca="1">SUMIFS(rec.uni[2024-09-01],
INDIRECT("rec.uni[natureza]"),"taxa.extra",
INDIRECT("rec.uni[empresa]"),BU$6)</f>
        <v>0</v>
      </c>
      <c r="BV47" s="170"/>
      <c r="BW47" s="182" cm="1">
        <f t="array" ref="BW4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BX47" s="182" cm="1">
        <f t="array" ref="BX4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BY47" s="182" cm="1">
        <f t="array" ref="BY4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BZ47" s="182" cm="1">
        <f t="array" ref="BZ4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CA47" s="183" cm="1">
        <f t="array" ref="CA4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(desp[data.pagamento]&gt;=$A47)*
    (desp[data.pagamento]&lt;EOMONTH($A47,0)+1)
  )
)</f>
        <v>0</v>
      </c>
      <c r="CB47" s="181">
        <f>COUNTIFS(
    estq[empresa], CB$6,
    estq[Data da venda / reserva], "&gt;=" &amp; $A47,
    estq[Data da venda / reserva], "&lt;"  &amp; EOMONTH($A47,0) + 1
)</f>
        <v>0</v>
      </c>
      <c r="CC47" s="182">
        <f ca="1">SUMIFS(rec.uni[2024-09-01],
INDIRECT("rec.uni[natureza]"),"pro.soluto",
INDIRECT("rec.uni[empresa]"),CC$6)</f>
        <v>0</v>
      </c>
      <c r="CD47" s="182">
        <f ca="1">SUMIFS(rec.uni[2024-09-01],
INDIRECT("rec.uni[natureza]"),"repasse.cef.obra",
INDIRECT("rec.uni[empresa]"),CD$6)</f>
        <v>0</v>
      </c>
      <c r="CE47" s="182">
        <f ca="1">SUMIFS(rec.uni[2024-09-01],
INDIRECT("rec.uni[natureza]"),"repasse.cef.terreno",
INDIRECT("rec.uni[empresa]"),CE$6)</f>
        <v>0</v>
      </c>
      <c r="CF47" s="182">
        <v>0</v>
      </c>
      <c r="CG47" s="182">
        <f ca="1">SUMIFS(rec.uni[2024-09-01],
INDIRECT("rec.uni[natureza]"),"taxa.extra",
INDIRECT("rec.uni[empresa]"),CG$6)</f>
        <v>0</v>
      </c>
      <c r="CH47" s="170"/>
      <c r="CI47" s="182" cm="1">
        <f t="array" ref="CI4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J47" s="182" cm="1">
        <f t="array" ref="CJ4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K47" s="182" cm="1">
        <f t="array" ref="CK4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L47" s="182" cm="1">
        <f t="array" ref="CL4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M47" s="183" cm="1">
        <f t="array" ref="CM4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CN47" s="181">
        <f>COUNTIFS(
    estq[empresa], CN$6,
    estq[Data da venda / reserva], "&gt;=" &amp; $A47,
    estq[Data da venda / reserva], "&lt;"  &amp; EOMONTH($A47,0) + 1
)</f>
        <v>0</v>
      </c>
      <c r="CO47" s="182">
        <f ca="1">SUMIFS(rec.uni[2024-09-01],
INDIRECT("rec.uni[natureza]"),"pro.soluto",
INDIRECT("rec.uni[empresa]"),CO$6)</f>
        <v>0</v>
      </c>
      <c r="CP47" s="182">
        <f ca="1">SUMIFS(rec.uni[2024-09-01],
INDIRECT("rec.uni[natureza]"),"repasse.cef.obra",
INDIRECT("rec.uni[empresa]"),CP$6)</f>
        <v>0</v>
      </c>
      <c r="CQ47" s="182">
        <f ca="1">SUMIFS(rec.uni[2024-09-01],
INDIRECT("rec.uni[natureza]"),"repasse.cef.terreno",
INDIRECT("rec.uni[empresa]"),CQ$6)</f>
        <v>0</v>
      </c>
      <c r="CR47" s="182">
        <v>0</v>
      </c>
      <c r="CS47" s="182">
        <f ca="1">SUMIFS(rec.uni[2024-09-01],
INDIRECT("rec.uni[natureza]"),"taxa.extra",
INDIRECT("rec.uni[empresa]"),CS$6)</f>
        <v>0</v>
      </c>
      <c r="CT47" s="170"/>
      <c r="CU47" s="182" cm="1">
        <f t="array" ref="CU4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V47" s="182" cm="1">
        <f t="array" ref="CV4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W47" s="182" cm="1">
        <f t="array" ref="CW4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X47" s="182" cm="1">
        <f t="array" ref="CX4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Y47" s="184" cm="1">
        <f t="array" ref="CY4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</row>
    <row r="48" spans="1:103" x14ac:dyDescent="0.25">
      <c r="A48" s="180">
        <v>45566</v>
      </c>
      <c r="B48" s="181">
        <f>COUNTIFS(
    estq[empresa], B$6,
    estq[Data da venda / reserva], "&gt;=" &amp; $A48,
    estq[Data da venda / reserva], "&lt;"  &amp; EOMONTH($A48,0) + 1
)</f>
        <v>0</v>
      </c>
      <c r="C48" s="182">
        <f ca="1">SUMIFS(rec.uni[2024-10-01],
INDIRECT("rec.uni[natureza]"),"pro.soluto",
INDIRECT("rec.uni[empresa]"),C$6)</f>
        <v>0</v>
      </c>
      <c r="D48" s="182">
        <f ca="1">SUMIFS(rec.uni[2024-10-01],
INDIRECT("rec.uni[natureza]"),"repasse.cef.obra",
INDIRECT("rec.uni[empresa]"),D$6)</f>
        <v>0</v>
      </c>
      <c r="E48" s="182">
        <f ca="1">SUMIFS(rec.uni[2024-10-01],
INDIRECT("rec.uni[natureza]"),"repasse.cef.terreno",
INDIRECT("rec.uni[empresa]"),E$6)</f>
        <v>0</v>
      </c>
      <c r="F48" s="182">
        <v>473587.72</v>
      </c>
      <c r="G48" s="182">
        <f ca="1">SUMIFS(rec.uni[2024-10-01],
INDIRECT("rec.uni[natureza]"),"taxa.extra",
INDIRECT("rec.uni[empresa]"),G$6)</f>
        <v>0</v>
      </c>
      <c r="H48" s="170"/>
      <c r="I48" s="182" cm="1">
        <f t="array" ref="I4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J48" s="182" cm="1">
        <f t="array" ref="J4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K48" s="182" cm="1">
        <f t="array" ref="K4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L48" s="182" cm="1">
        <f t="array" ref="L4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M48" s="183" cm="1">
        <f t="array" ref="M4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N48" s="181">
        <f>COUNTIFS(
    estq[empresa], N$6,
    estq[Data da venda / reserva], "&gt;=" &amp; $A48,
    estq[Data da venda / reserva], "&lt;"  &amp; EOMONTH($A48,0) + 1
)</f>
        <v>0</v>
      </c>
      <c r="O48" s="182">
        <f ca="1">SUMIFS(rec.uni[2024-10-01],
INDIRECT("rec.uni[natureza]"),"pro.soluto",
INDIRECT("rec.uni[empresa]"),O$6)</f>
        <v>0</v>
      </c>
      <c r="P48" s="182">
        <f ca="1">SUMIFS(rec.uni[2024-10-01],
INDIRECT("rec.uni[natureza]"),"repasse.cef.obra",
INDIRECT("rec.uni[empresa]"),P$6)</f>
        <v>0</v>
      </c>
      <c r="Q48" s="182">
        <f ca="1">SUMIFS(rec.uni[2024-10-01],
INDIRECT("rec.uni[natureza]"),"repasse.cef.terreno",
INDIRECT("rec.uni[empresa]"),Q$6)</f>
        <v>0</v>
      </c>
      <c r="R48" s="182">
        <v>0</v>
      </c>
      <c r="S48" s="182">
        <f ca="1">SUMIFS(rec.uni[2024-10-01],
INDIRECT("rec.uni[natureza]"),"taxa.extra",
INDIRECT("rec.uni[empresa]"),S$6)</f>
        <v>0</v>
      </c>
      <c r="T48" s="170"/>
      <c r="U48" s="182" cm="1">
        <f t="array" ref="U4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V48" s="182" cm="1">
        <f t="array" ref="V4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W48" s="182" cm="1">
        <f t="array" ref="W4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X48" s="182" cm="1">
        <f t="array" ref="X4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Y48" s="183" cm="1">
        <f t="array" ref="Y4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Z48" s="181">
        <f>COUNTIFS(
    estq[empresa], Z$6,
    estq[Data da venda / reserva], "&gt;=" &amp; $A48,
    estq[Data da venda / reserva], "&lt;"  &amp; EOMONTH($A48,0) + 1
)</f>
        <v>0</v>
      </c>
      <c r="AA48" s="182">
        <f ca="1">SUMIFS(rec.uni[2024-10-01],
INDIRECT("rec.uni[natureza]"),"pro.soluto",
INDIRECT("rec.uni[empresa]"),AA$6)</f>
        <v>0</v>
      </c>
      <c r="AB48" s="182">
        <f ca="1">SUMIFS(rec.uni[2024-10-01],
INDIRECT("rec.uni[natureza]"),"pro.soluto",
INDIRECT("rec.uni[empresa]"),AB$6)</f>
        <v>0</v>
      </c>
      <c r="AC48" s="182">
        <f ca="1">SUMIFS(rec.uni[2024-10-01],
INDIRECT("rec.uni[natureza]"),"taxa.extra",
INDIRECT("rec.uni[empresa]"),AC$6)</f>
        <v>0</v>
      </c>
      <c r="AD48" s="170"/>
      <c r="AE48" s="182" cm="1">
        <f t="array" ref="AE4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F48" s="182" cm="1">
        <f t="array" ref="AF4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G48" s="182" cm="1">
        <f t="array" ref="AG4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H48" s="182" cm="1">
        <f t="array" ref="AH4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I48" s="183" cm="1">
        <f t="array" ref="AI4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(desp[data.pagamento]&gt;=$A48)*
    (desp[data.pagamento]&lt;EOMONTH($A48,0)+1)
  )
)</f>
        <v>0</v>
      </c>
      <c r="AJ48" s="181">
        <f>COUNTIFS(
    estq[empresa], AJ$6,
    estq[Data da venda / reserva], "&gt;=" &amp; $A48,
    estq[Data da venda / reserva], "&lt;"  &amp; EOMONTH($A48,0) + 1
)</f>
        <v>0</v>
      </c>
      <c r="AK48" s="182">
        <f ca="1">SUMIFS(rec.uni[2024-10-01],
INDIRECT("rec.uni[natureza]"),"pro.soluto",
INDIRECT("rec.uni[empresa]"),AK$6)</f>
        <v>0</v>
      </c>
      <c r="AL48" s="182">
        <f ca="1">SUMIFS(rec.uni[2024-10-01],
INDIRECT("rec.uni[natureza]"),"repasse.cef.obra",
INDIRECT("rec.uni[empresa]"),AL$6)</f>
        <v>0</v>
      </c>
      <c r="AM48" s="182">
        <f ca="1">SUMIFS(rec.uni[2024-10-01],
INDIRECT("rec.uni[natureza]"),"repasse.cef.terreno",
INDIRECT("rec.uni[empresa]"),AM$6)</f>
        <v>0</v>
      </c>
      <c r="AN48" s="182">
        <v>0</v>
      </c>
      <c r="AO48" s="182">
        <f ca="1">SUMIFS(rec.uni[2024-10-01],
INDIRECT("rec.uni[natureza]"),"taxa.extra",
INDIRECT("rec.uni[empresa]"),AO$6)</f>
        <v>0</v>
      </c>
      <c r="AP48" s="170"/>
      <c r="AQ48" s="182" cm="1">
        <f t="array" ref="AQ4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R48" s="182" cm="1">
        <f t="array" ref="AR4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S48" s="182" cm="1">
        <f t="array" ref="AS4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T48" s="182" cm="1">
        <f t="array" ref="AT4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U48" s="183" cm="1">
        <f t="array" ref="AU4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V48" s="181">
        <f>COUNTIFS(
    estq[empresa], AV$6,
    estq[Data da venda / reserva], "&gt;=" &amp; $A48,
    estq[Data da venda / reserva], "&lt;"  &amp; EOMONTH($A48,0) + 1
)</f>
        <v>0</v>
      </c>
      <c r="AW48" s="182">
        <f ca="1">SUMIFS(rec.uni[2024-10-01],
INDIRECT("rec.uni[natureza]"),"pro.soluto",
INDIRECT("rec.uni[empresa]"),AW$6)</f>
        <v>0</v>
      </c>
      <c r="AX48" s="182">
        <f ca="1">SUMIFS(rec.uni[2024-10-01],
INDIRECT("rec.uni[natureza]"),"repasse.cef.obra",
INDIRECT("rec.uni[empresa]"),AX$6)</f>
        <v>0</v>
      </c>
      <c r="AY48" s="182">
        <f ca="1">SUMIFS(rec.uni[2024-10-01],
INDIRECT("rec.uni[natureza]"),"repasse.cef.terreno",
INDIRECT("rec.uni[empresa]"),AY$6)</f>
        <v>0</v>
      </c>
      <c r="AZ48" s="182">
        <v>0</v>
      </c>
      <c r="BA48" s="182">
        <f ca="1">SUMIFS(rec.uni[2024-10-01],
INDIRECT("rec.uni[natureza]"),"taxa.extra",
INDIRECT("rec.uni[empresa]"),BA$6)</f>
        <v>0</v>
      </c>
      <c r="BB48" s="170"/>
      <c r="BC48" s="182" cm="1">
        <f t="array" ref="BC4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D48" s="182" cm="1">
        <f t="array" ref="BD4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E48" s="182" cm="1">
        <f t="array" ref="BE4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F48" s="182" cm="1">
        <f t="array" ref="BF4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G48" s="183" cm="1">
        <f t="array" ref="BG4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BH48" s="181">
        <f>COUNTIFS(
    estq[empresa], BH$6,
    estq[Data da venda / reserva], "&gt;=" &amp; $A48,
    estq[Data da venda / reserva], "&lt;"  &amp; EOMONTH($A48,0) + 1
)</f>
        <v>0</v>
      </c>
      <c r="BI48" s="182">
        <f ca="1">SUMIFS(rec.uni[2024-10-01],
INDIRECT("rec.uni[natureza]"),"pro.soluto",
INDIRECT("rec.uni[empresa]"),BI$6)</f>
        <v>0</v>
      </c>
      <c r="BJ48" s="170">
        <f>0.87*94736</f>
        <v>82420.319999999992</v>
      </c>
      <c r="BK48" s="182">
        <f ca="1">SUMIFS(rec.uni[2024-10-01],
INDIRECT("rec.uni[natureza]"),"taxa.extra",
INDIRECT("rec.uni[empresa]"),BK$6)</f>
        <v>0</v>
      </c>
      <c r="BL48" s="170"/>
      <c r="BM48" s="182" cm="1">
        <f t="array" ref="BM4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N48" s="182" cm="1">
        <f t="array" ref="BN4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O48" s="182" cm="1">
        <f t="array" ref="BO4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P48" s="182" cm="1">
        <f t="array" ref="BP4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Q48" s="183" cm="1">
        <f t="array" ref="BQ4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R48" s="181">
        <f>COUNTIFS(
    estq[empresa], BR$6,
    estq[Data da venda / reserva], "&gt;=" &amp; $A48,
    estq[Data da venda / reserva], "&lt;"  &amp; EOMONTH($A48,0) + 1
)</f>
        <v>0</v>
      </c>
      <c r="BS48" s="182">
        <f ca="1">SUMIFS(rec.uni[2024-10-01],
INDIRECT("rec.uni[natureza]"),"pro.soluto",
INDIRECT("rec.uni[empresa]"),BS$6)</f>
        <v>0</v>
      </c>
      <c r="BT48" s="182">
        <f ca="1">SUMIFS(rec.uni[2024-10-01],
INDIRECT("rec.uni[natureza]"),"pro.soluto",
INDIRECT("rec.uni[empresa]"),BT$6)</f>
        <v>0</v>
      </c>
      <c r="BU48" s="182">
        <f ca="1">SUMIFS(rec.uni[2024-10-01],
INDIRECT("rec.uni[natureza]"),"taxa.extra",
INDIRECT("rec.uni[empresa]"),BU$6)</f>
        <v>0</v>
      </c>
      <c r="BV48" s="170"/>
      <c r="BW48" s="182" cm="1">
        <f t="array" ref="BW4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BX48" s="182" cm="1">
        <f t="array" ref="BX4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BY48" s="182" cm="1">
        <f t="array" ref="BY4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BZ48" s="182" cm="1">
        <f t="array" ref="BZ4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CA48" s="183" cm="1">
        <f t="array" ref="CA4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(desp[data.pagamento]&gt;=$A48)*
    (desp[data.pagamento]&lt;EOMONTH($A48,0)+1)
  )
)</f>
        <v>0</v>
      </c>
      <c r="CB48" s="181">
        <f>COUNTIFS(
    estq[empresa], CB$6,
    estq[Data da venda / reserva], "&gt;=" &amp; $A48,
    estq[Data da venda / reserva], "&lt;"  &amp; EOMONTH($A48,0) + 1
)</f>
        <v>0</v>
      </c>
      <c r="CC48" s="182">
        <f ca="1">SUMIFS(rec.uni[2024-10-01],
INDIRECT("rec.uni[natureza]"),"pro.soluto",
INDIRECT("rec.uni[empresa]"),CC$6)</f>
        <v>0</v>
      </c>
      <c r="CD48" s="182">
        <f ca="1">SUMIFS(rec.uni[2024-10-01],
INDIRECT("rec.uni[natureza]"),"repasse.cef.obra",
INDIRECT("rec.uni[empresa]"),CD$6)</f>
        <v>0</v>
      </c>
      <c r="CE48" s="182">
        <f ca="1">SUMIFS(rec.uni[2024-10-01],
INDIRECT("rec.uni[natureza]"),"repasse.cef.terreno",
INDIRECT("rec.uni[empresa]"),CE$6)</f>
        <v>0</v>
      </c>
      <c r="CF48" s="182">
        <v>0</v>
      </c>
      <c r="CG48" s="182">
        <f ca="1">SUMIFS(rec.uni[2024-10-01],
INDIRECT("rec.uni[natureza]"),"taxa.extra",
INDIRECT("rec.uni[empresa]"),CG$6)</f>
        <v>0</v>
      </c>
      <c r="CH48" s="170"/>
      <c r="CI48" s="182" cm="1">
        <f t="array" ref="CI4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J48" s="182" cm="1">
        <f t="array" ref="CJ4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K48" s="182" cm="1">
        <f t="array" ref="CK4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L48" s="182" cm="1">
        <f t="array" ref="CL4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M48" s="183" cm="1">
        <f t="array" ref="CM4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CN48" s="181">
        <f>COUNTIFS(
    estq[empresa], CN$6,
    estq[Data da venda / reserva], "&gt;=" &amp; $A48,
    estq[Data da venda / reserva], "&lt;"  &amp; EOMONTH($A48,0) + 1
)</f>
        <v>0</v>
      </c>
      <c r="CO48" s="182">
        <f ca="1">SUMIFS(rec.uni[2024-10-01],
INDIRECT("rec.uni[natureza]"),"pro.soluto",
INDIRECT("rec.uni[empresa]"),CO$6)</f>
        <v>0</v>
      </c>
      <c r="CP48" s="182">
        <f ca="1">SUMIFS(rec.uni[2024-10-01],
INDIRECT("rec.uni[natureza]"),"repasse.cef.obra",
INDIRECT("rec.uni[empresa]"),CP$6)</f>
        <v>0</v>
      </c>
      <c r="CQ48" s="182">
        <f ca="1">SUMIFS(rec.uni[2024-10-01],
INDIRECT("rec.uni[natureza]"),"repasse.cef.terreno",
INDIRECT("rec.uni[empresa]"),CQ$6)</f>
        <v>0</v>
      </c>
      <c r="CR48" s="182">
        <v>0</v>
      </c>
      <c r="CS48" s="182">
        <f ca="1">SUMIFS(rec.uni[2024-10-01],
INDIRECT("rec.uni[natureza]"),"taxa.extra",
INDIRECT("rec.uni[empresa]"),CS$6)</f>
        <v>0</v>
      </c>
      <c r="CT48" s="170"/>
      <c r="CU48" s="182" cm="1">
        <f t="array" ref="CU4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V48" s="182" cm="1">
        <f t="array" ref="CV4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W48" s="182" cm="1">
        <f t="array" ref="CW4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X48" s="182" cm="1">
        <f t="array" ref="CX4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Y48" s="184" cm="1">
        <f t="array" ref="CY4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</row>
    <row r="49" spans="1:103" x14ac:dyDescent="0.25">
      <c r="A49" s="180">
        <v>45597</v>
      </c>
      <c r="B49" s="181">
        <f>COUNTIFS(
    estq[empresa], B$6,
    estq[Data da venda / reserva], "&gt;=" &amp; $A49,
    estq[Data da venda / reserva], "&lt;"  &amp; EOMONTH($A49,0) + 1
)</f>
        <v>0</v>
      </c>
      <c r="C49" s="182">
        <f ca="1">SUMIFS(rec.uni[2024-11-01],
INDIRECT("rec.uni[natureza]"),"pro.soluto",
INDIRECT("rec.uni[empresa]"),C$6)</f>
        <v>0</v>
      </c>
      <c r="D49" s="182">
        <f ca="1">SUMIFS(rec.uni[2024-11-01],
INDIRECT("rec.uni[natureza]"),"repasse.cef.obra",
INDIRECT("rec.uni[empresa]"),D$6)</f>
        <v>0</v>
      </c>
      <c r="E49" s="182">
        <f ca="1">SUMIFS(rec.uni[2024-11-01],
INDIRECT("rec.uni[natureza]"),"repasse.cef.terreno",
INDIRECT("rec.uni[empresa]"),E$6)</f>
        <v>0</v>
      </c>
      <c r="F49" s="182">
        <v>0</v>
      </c>
      <c r="G49" s="182">
        <f ca="1">SUMIFS(rec.uni[2024-11-01],
INDIRECT("rec.uni[natureza]"),"taxa.extra",
INDIRECT("rec.uni[empresa]"),G$6)</f>
        <v>0</v>
      </c>
      <c r="H49" s="170"/>
      <c r="I49" s="182" cm="1">
        <f t="array" ref="I4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J49" s="182" cm="1">
        <f t="array" ref="J4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K49" s="182" cm="1">
        <f t="array" ref="K4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L49" s="182" cm="1">
        <f t="array" ref="L4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M49" s="183" cm="1">
        <f t="array" ref="M4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N49" s="181">
        <f>COUNTIFS(
    estq[empresa], N$6,
    estq[Data da venda / reserva], "&gt;=" &amp; $A49,
    estq[Data da venda / reserva], "&lt;"  &amp; EOMONTH($A49,0) + 1
)</f>
        <v>0</v>
      </c>
      <c r="O49" s="182">
        <f ca="1">SUMIFS(rec.uni[2024-11-01],
INDIRECT("rec.uni[natureza]"),"pro.soluto",
INDIRECT("rec.uni[empresa]"),O$6)</f>
        <v>0</v>
      </c>
      <c r="P49" s="182">
        <f ca="1">SUMIFS(rec.uni[2024-11-01],
INDIRECT("rec.uni[natureza]"),"repasse.cef.obra",
INDIRECT("rec.uni[empresa]"),P$6)</f>
        <v>0</v>
      </c>
      <c r="Q49" s="182">
        <f ca="1">SUMIFS(rec.uni[2024-11-01],
INDIRECT("rec.uni[natureza]"),"repasse.cef.terreno",
INDIRECT("rec.uni[empresa]"),Q$6)</f>
        <v>0</v>
      </c>
      <c r="R49" s="182">
        <v>0</v>
      </c>
      <c r="S49" s="182">
        <f ca="1">SUMIFS(rec.uni[2024-11-01],
INDIRECT("rec.uni[natureza]"),"taxa.extra",
INDIRECT("rec.uni[empresa]"),S$6)</f>
        <v>0</v>
      </c>
      <c r="T49" s="170"/>
      <c r="U49" s="182" cm="1">
        <f t="array" ref="U4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V49" s="182" cm="1">
        <f t="array" ref="V4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W49" s="182" cm="1">
        <f t="array" ref="W4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X49" s="182" cm="1">
        <f t="array" ref="X4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Y49" s="183" cm="1">
        <f t="array" ref="Y4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Z49" s="181">
        <f>COUNTIFS(
    estq[empresa], Z$6,
    estq[Data da venda / reserva], "&gt;=" &amp; $A49,
    estq[Data da venda / reserva], "&lt;"  &amp; EOMONTH($A49,0) + 1
)</f>
        <v>0</v>
      </c>
      <c r="AA49" s="182">
        <f ca="1">SUMIFS(rec.uni[2024-11-01],
INDIRECT("rec.uni[natureza]"),"pro.soluto",
INDIRECT("rec.uni[empresa]"),AA$6)</f>
        <v>0</v>
      </c>
      <c r="AB49" s="182">
        <f ca="1">SUMIFS(rec.uni[2024-11-01],
INDIRECT("rec.uni[natureza]"),"pro.soluto",
INDIRECT("rec.uni[empresa]"),AB$6)</f>
        <v>0</v>
      </c>
      <c r="AC49" s="182">
        <f ca="1">SUMIFS(rec.uni[2024-11-01],
INDIRECT("rec.uni[natureza]"),"taxa.extra",
INDIRECT("rec.uni[empresa]"),AC$6)</f>
        <v>0</v>
      </c>
      <c r="AD49" s="170"/>
      <c r="AE49" s="182" cm="1">
        <f t="array" ref="AE4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F49" s="182" cm="1">
        <f t="array" ref="AF4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G49" s="182" cm="1">
        <f t="array" ref="AG4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H49" s="182" cm="1">
        <f t="array" ref="AH4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I49" s="183" cm="1">
        <f t="array" ref="AI4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(desp[data.pagamento]&gt;=$A49)*
    (desp[data.pagamento]&lt;EOMONTH($A49,0)+1)
  )
)</f>
        <v>0</v>
      </c>
      <c r="AJ49" s="181">
        <f>COUNTIFS(
    estq[empresa], AJ$6,
    estq[Data da venda / reserva], "&gt;=" &amp; $A49,
    estq[Data da venda / reserva], "&lt;"  &amp; EOMONTH($A49,0) + 1
)</f>
        <v>0</v>
      </c>
      <c r="AK49" s="182">
        <f ca="1">SUMIFS(rec.uni[2024-11-01],
INDIRECT("rec.uni[natureza]"),"pro.soluto",
INDIRECT("rec.uni[empresa]"),AK$6)</f>
        <v>0</v>
      </c>
      <c r="AL49" s="182">
        <f ca="1">SUMIFS(rec.uni[2024-11-01],
INDIRECT("rec.uni[natureza]"),"repasse.cef.obra",
INDIRECT("rec.uni[empresa]"),AL$6)</f>
        <v>0</v>
      </c>
      <c r="AM49" s="182">
        <f ca="1">SUMIFS(rec.uni[2024-11-01],
INDIRECT("rec.uni[natureza]"),"repasse.cef.terreno",
INDIRECT("rec.uni[empresa]"),AM$6)</f>
        <v>0</v>
      </c>
      <c r="AN49" s="182">
        <v>0</v>
      </c>
      <c r="AO49" s="182">
        <f ca="1">SUMIFS(rec.uni[2024-11-01],
INDIRECT("rec.uni[natureza]"),"taxa.extra",
INDIRECT("rec.uni[empresa]"),AO$6)</f>
        <v>0</v>
      </c>
      <c r="AP49" s="170"/>
      <c r="AQ49" s="182" cm="1">
        <f t="array" ref="AQ4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R49" s="182" cm="1">
        <f t="array" ref="AR4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S49" s="182" cm="1">
        <f t="array" ref="AS4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T49" s="182" cm="1">
        <f t="array" ref="AT4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U49" s="183" cm="1">
        <f t="array" ref="AU4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V49" s="181">
        <f>COUNTIFS(
    estq[empresa], AV$6,
    estq[Data da venda / reserva], "&gt;=" &amp; $A49,
    estq[Data da venda / reserva], "&lt;"  &amp; EOMONTH($A49,0) + 1
)</f>
        <v>0</v>
      </c>
      <c r="AW49" s="182">
        <f ca="1">SUMIFS(rec.uni[2024-11-01],
INDIRECT("rec.uni[natureza]"),"pro.soluto",
INDIRECT("rec.uni[empresa]"),AW$6)</f>
        <v>0</v>
      </c>
      <c r="AX49" s="182">
        <f ca="1">SUMIFS(rec.uni[2024-11-01],
INDIRECT("rec.uni[natureza]"),"repasse.cef.obra",
INDIRECT("rec.uni[empresa]"),AX$6)</f>
        <v>0</v>
      </c>
      <c r="AY49" s="182">
        <f ca="1">SUMIFS(rec.uni[2024-11-01],
INDIRECT("rec.uni[natureza]"),"repasse.cef.terreno",
INDIRECT("rec.uni[empresa]"),AY$6)</f>
        <v>0</v>
      </c>
      <c r="AZ49" s="182">
        <v>0</v>
      </c>
      <c r="BA49" s="182">
        <f ca="1">SUMIFS(rec.uni[2024-11-01],
INDIRECT("rec.uni[natureza]"),"taxa.extra",
INDIRECT("rec.uni[empresa]"),BA$6)</f>
        <v>0</v>
      </c>
      <c r="BB49" s="170"/>
      <c r="BC49" s="182" cm="1">
        <f t="array" ref="BC4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D49" s="182" cm="1">
        <f t="array" ref="BD4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E49" s="182" cm="1">
        <f t="array" ref="BE4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F49" s="182" cm="1">
        <f t="array" ref="BF4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G49" s="183" cm="1">
        <f t="array" ref="BG4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BH49" s="181">
        <f>COUNTIFS(
    estq[empresa], BH$6,
    estq[Data da venda / reserva], "&gt;=" &amp; $A49,
    estq[Data da venda / reserva], "&lt;"  &amp; EOMONTH($A49,0) + 1
)</f>
        <v>0</v>
      </c>
      <c r="BI49" s="182">
        <f ca="1">SUMIFS(rec.uni[2024-11-01],
INDIRECT("rec.uni[natureza]"),"pro.soluto",
INDIRECT("rec.uni[empresa]"),BI$6)</f>
        <v>0</v>
      </c>
      <c r="BJ49" s="170">
        <f>0.88*94736</f>
        <v>83367.680000000008</v>
      </c>
      <c r="BK49" s="182">
        <f ca="1">SUMIFS(rec.uni[2024-11-01],
INDIRECT("rec.uni[natureza]"),"taxa.extra",
INDIRECT("rec.uni[empresa]"),BK$6)</f>
        <v>0</v>
      </c>
      <c r="BL49" s="170"/>
      <c r="BM49" s="182" cm="1">
        <f t="array" ref="BM4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N49" s="182" cm="1">
        <f t="array" ref="BN4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O49" s="182" cm="1">
        <f t="array" ref="BO4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P49" s="182" cm="1">
        <f t="array" ref="BP4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Q49" s="183" cm="1">
        <f t="array" ref="BQ4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R49" s="181">
        <f>COUNTIFS(
    estq[empresa], BR$6,
    estq[Data da venda / reserva], "&gt;=" &amp; $A49,
    estq[Data da venda / reserva], "&lt;"  &amp; EOMONTH($A49,0) + 1
)</f>
        <v>0</v>
      </c>
      <c r="BS49" s="182">
        <f ca="1">SUMIFS(rec.uni[2024-11-01],
INDIRECT("rec.uni[natureza]"),"pro.soluto",
INDIRECT("rec.uni[empresa]"),BS$6)</f>
        <v>0</v>
      </c>
      <c r="BT49" s="182">
        <f ca="1">SUMIFS(rec.uni[2024-11-01],
INDIRECT("rec.uni[natureza]"),"pro.soluto",
INDIRECT("rec.uni[empresa]"),BT$6)</f>
        <v>0</v>
      </c>
      <c r="BU49" s="182">
        <f ca="1">SUMIFS(rec.uni[2024-11-01],
INDIRECT("rec.uni[natureza]"),"taxa.extra",
INDIRECT("rec.uni[empresa]"),BU$6)</f>
        <v>0</v>
      </c>
      <c r="BV49" s="170"/>
      <c r="BW49" s="182" cm="1">
        <f t="array" ref="BW4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BX49" s="182" cm="1">
        <f t="array" ref="BX4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BY49" s="182" cm="1">
        <f t="array" ref="BY4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BZ49" s="182" cm="1">
        <f t="array" ref="BZ4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CA49" s="183" cm="1">
        <f t="array" ref="CA4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(desp[data.pagamento]&gt;=$A49)*
    (desp[data.pagamento]&lt;EOMONTH($A49,0)+1)
  )
)</f>
        <v>0</v>
      </c>
      <c r="CB49" s="181">
        <f>COUNTIFS(
    estq[empresa], CB$6,
    estq[Data da venda / reserva], "&gt;=" &amp; $A49,
    estq[Data da venda / reserva], "&lt;"  &amp; EOMONTH($A49,0) + 1
)</f>
        <v>0</v>
      </c>
      <c r="CC49" s="182">
        <f ca="1">SUMIFS(rec.uni[2024-11-01],
INDIRECT("rec.uni[natureza]"),"pro.soluto",
INDIRECT("rec.uni[empresa]"),CC$6)</f>
        <v>0</v>
      </c>
      <c r="CD49" s="182">
        <f ca="1">SUMIFS(rec.uni[2024-11-01],
INDIRECT("rec.uni[natureza]"),"repasse.cef.obra",
INDIRECT("rec.uni[empresa]"),CD$6)</f>
        <v>0</v>
      </c>
      <c r="CE49" s="182">
        <f ca="1">SUMIFS(rec.uni[2024-11-01],
INDIRECT("rec.uni[natureza]"),"repasse.cef.terreno",
INDIRECT("rec.uni[empresa]"),CE$6)</f>
        <v>0</v>
      </c>
      <c r="CF49" s="182">
        <v>0</v>
      </c>
      <c r="CG49" s="182">
        <f ca="1">SUMIFS(rec.uni[2024-11-01],
INDIRECT("rec.uni[natureza]"),"taxa.extra",
INDIRECT("rec.uni[empresa]"),CG$6)</f>
        <v>0</v>
      </c>
      <c r="CH49" s="170"/>
      <c r="CI49" s="182" cm="1">
        <f t="array" ref="CI4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J49" s="182" cm="1">
        <f t="array" ref="CJ4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K49" s="182" cm="1">
        <f t="array" ref="CK4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L49" s="182" cm="1">
        <f t="array" ref="CL4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M49" s="183" cm="1">
        <f t="array" ref="CM4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CN49" s="181">
        <f>COUNTIFS(
    estq[empresa], CN$6,
    estq[Data da venda / reserva], "&gt;=" &amp; $A49,
    estq[Data da venda / reserva], "&lt;"  &amp; EOMONTH($A49,0) + 1
)</f>
        <v>0</v>
      </c>
      <c r="CO49" s="182">
        <f ca="1">SUMIFS(rec.uni[2024-11-01],
INDIRECT("rec.uni[natureza]"),"pro.soluto",
INDIRECT("rec.uni[empresa]"),CO$6)</f>
        <v>0</v>
      </c>
      <c r="CP49" s="182">
        <f ca="1">SUMIFS(rec.uni[2024-11-01],
INDIRECT("rec.uni[natureza]"),"repasse.cef.obra",
INDIRECT("rec.uni[empresa]"),CP$6)</f>
        <v>0</v>
      </c>
      <c r="CQ49" s="182">
        <f ca="1">SUMIFS(rec.uni[2024-11-01],
INDIRECT("rec.uni[natureza]"),"repasse.cef.terreno",
INDIRECT("rec.uni[empresa]"),CQ$6)</f>
        <v>0</v>
      </c>
      <c r="CR49" s="182">
        <v>0</v>
      </c>
      <c r="CS49" s="182">
        <f ca="1">SUMIFS(rec.uni[2024-11-01],
INDIRECT("rec.uni[natureza]"),"taxa.extra",
INDIRECT("rec.uni[empresa]"),CS$6)</f>
        <v>0</v>
      </c>
      <c r="CT49" s="170"/>
      <c r="CU49" s="182" cm="1">
        <f t="array" ref="CU4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V49" s="182" cm="1">
        <f t="array" ref="CV4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W49" s="182" cm="1">
        <f t="array" ref="CW4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X49" s="182" cm="1">
        <f t="array" ref="CX4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Y49" s="184" cm="1">
        <f t="array" ref="CY4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</row>
    <row r="50" spans="1:103" x14ac:dyDescent="0.25">
      <c r="A50" s="180">
        <v>45627</v>
      </c>
      <c r="B50" s="181">
        <f>COUNTIFS(
    estq[empresa], B$6,
    estq[Data da venda / reserva], "&gt;=" &amp; $A50,
    estq[Data da venda / reserva], "&lt;"  &amp; EOMONTH($A50,0) + 1
)</f>
        <v>0</v>
      </c>
      <c r="C50" s="182">
        <f ca="1">SUMIFS(rec.uni[2024-12-01],
INDIRECT("rec.uni[natureza]"),"pro.soluto",
INDIRECT("rec.uni[empresa]"),C$6)</f>
        <v>0</v>
      </c>
      <c r="D50" s="182">
        <f ca="1">SUMIFS(rec.uni[2024-12-01],
INDIRECT("rec.uni[natureza]"),"repasse.cef.obra",
INDIRECT("rec.uni[empresa]"),D$6)</f>
        <v>0</v>
      </c>
      <c r="E50" s="182">
        <f ca="1">SUMIFS(rec.uni[2024-12-01],
INDIRECT("rec.uni[natureza]"),"repasse.cef.terreno",
INDIRECT("rec.uni[empresa]"),E$6)</f>
        <v>0</v>
      </c>
      <c r="F50" s="182">
        <v>293595.69</v>
      </c>
      <c r="G50" s="182">
        <f ca="1">SUMIFS(rec.uni[2024-12-01],
INDIRECT("rec.uni[natureza]"),"taxa.extra",
INDIRECT("rec.uni[empresa]"),G$6)</f>
        <v>0</v>
      </c>
      <c r="H50" s="170"/>
      <c r="I50" s="182" cm="1">
        <f t="array" ref="I5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J50" s="182" cm="1">
        <f t="array" ref="J5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K50" s="182" cm="1">
        <f t="array" ref="K5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L50" s="182" cm="1">
        <f t="array" ref="L5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M50" s="183" cm="1">
        <f t="array" ref="M5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N50" s="181">
        <f>COUNTIFS(
    estq[empresa], N$6,
    estq[Data da venda / reserva], "&gt;=" &amp; $A50,
    estq[Data da venda / reserva], "&lt;"  &amp; EOMONTH($A50,0) + 1
)</f>
        <v>0</v>
      </c>
      <c r="O50" s="182">
        <f ca="1">SUMIFS(rec.uni[2024-12-01],
INDIRECT("rec.uni[natureza]"),"pro.soluto",
INDIRECT("rec.uni[empresa]"),O$6)</f>
        <v>0</v>
      </c>
      <c r="P50" s="182">
        <f ca="1">SUMIFS(rec.uni[2024-12-01],
INDIRECT("rec.uni[natureza]"),"repasse.cef.obra",
INDIRECT("rec.uni[empresa]"),P$6)</f>
        <v>0</v>
      </c>
      <c r="Q50" s="182">
        <f ca="1">SUMIFS(rec.uni[2024-12-01],
INDIRECT("rec.uni[natureza]"),"repasse.cef.terreno",
INDIRECT("rec.uni[empresa]"),Q$6)</f>
        <v>0</v>
      </c>
      <c r="R50" s="182">
        <v>0</v>
      </c>
      <c r="S50" s="182">
        <f ca="1">SUMIFS(rec.uni[2024-12-01],
INDIRECT("rec.uni[natureza]"),"taxa.extra",
INDIRECT("rec.uni[empresa]"),S$6)</f>
        <v>0</v>
      </c>
      <c r="T50" s="170"/>
      <c r="U50" s="182" cm="1">
        <f t="array" ref="U5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V50" s="182" cm="1">
        <f t="array" ref="V5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W50" s="182" cm="1">
        <f t="array" ref="W5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X50" s="182" cm="1">
        <f t="array" ref="X5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Y50" s="183" cm="1">
        <f t="array" ref="Y5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Z50" s="181">
        <f>COUNTIFS(
    estq[empresa], Z$6,
    estq[Data da venda / reserva], "&gt;=" &amp; $A50,
    estq[Data da venda / reserva], "&lt;"  &amp; EOMONTH($A50,0) + 1
)</f>
        <v>0</v>
      </c>
      <c r="AA50" s="182">
        <f ca="1">SUMIFS(rec.uni[2024-12-01],
INDIRECT("rec.uni[natureza]"),"pro.soluto",
INDIRECT("rec.uni[empresa]"),AA$6)</f>
        <v>0</v>
      </c>
      <c r="AB50" s="182">
        <f ca="1">SUMIFS(rec.uni[2024-12-01],
INDIRECT("rec.uni[natureza]"),"pro.soluto",
INDIRECT("rec.uni[empresa]"),AB$6)</f>
        <v>0</v>
      </c>
      <c r="AC50" s="182">
        <f ca="1">SUMIFS(rec.uni[2024-12-01],
INDIRECT("rec.uni[natureza]"),"taxa.extra",
INDIRECT("rec.uni[empresa]"),AC$6)</f>
        <v>0</v>
      </c>
      <c r="AD50" s="170"/>
      <c r="AE50" s="182" cm="1">
        <f t="array" ref="AE5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F50" s="182" cm="1">
        <f t="array" ref="AF5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G50" s="182" cm="1">
        <f t="array" ref="AG5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H50" s="182" cm="1">
        <f t="array" ref="AH5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I50" s="183" cm="1">
        <f t="array" ref="AI5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(desp[data.pagamento]&gt;=$A50)*
    (desp[data.pagamento]&lt;EOMONTH($A50,0)+1)
  )
)</f>
        <v>0</v>
      </c>
      <c r="AJ50" s="181">
        <f>COUNTIFS(
    estq[empresa], AJ$6,
    estq[Data da venda / reserva], "&gt;=" &amp; $A50,
    estq[Data da venda / reserva], "&lt;"  &amp; EOMONTH($A50,0) + 1
)</f>
        <v>0</v>
      </c>
      <c r="AK50" s="182">
        <f ca="1">SUMIFS(rec.uni[2024-12-01],
INDIRECT("rec.uni[natureza]"),"pro.soluto",
INDIRECT("rec.uni[empresa]"),AK$6)</f>
        <v>0</v>
      </c>
      <c r="AL50" s="182">
        <f ca="1">SUMIFS(rec.uni[2024-12-01],
INDIRECT("rec.uni[natureza]"),"repasse.cef.obra",
INDIRECT("rec.uni[empresa]"),AL$6)</f>
        <v>0</v>
      </c>
      <c r="AM50" s="182">
        <f ca="1">SUMIFS(rec.uni[2024-12-01],
INDIRECT("rec.uni[natureza]"),"repasse.cef.terreno",
INDIRECT("rec.uni[empresa]"),AM$6)</f>
        <v>0</v>
      </c>
      <c r="AN50" s="182">
        <v>0</v>
      </c>
      <c r="AO50" s="182">
        <f ca="1">SUMIFS(rec.uni[2024-12-01],
INDIRECT("rec.uni[natureza]"),"taxa.extra",
INDIRECT("rec.uni[empresa]"),AO$6)</f>
        <v>0</v>
      </c>
      <c r="AP50" s="170"/>
      <c r="AQ50" s="182" cm="1">
        <f t="array" ref="AQ5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R50" s="182" cm="1">
        <f t="array" ref="AR5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S50" s="182" cm="1">
        <f t="array" ref="AS5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T50" s="182" cm="1">
        <f t="array" ref="AT5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U50" s="183" cm="1">
        <f t="array" ref="AU5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V50" s="181">
        <f>COUNTIFS(
    estq[empresa], AV$6,
    estq[Data da venda / reserva], "&gt;=" &amp; $A50,
    estq[Data da venda / reserva], "&lt;"  &amp; EOMONTH($A50,0) + 1
)</f>
        <v>0</v>
      </c>
      <c r="AW50" s="182">
        <f ca="1">SUMIFS(rec.uni[2024-12-01],
INDIRECT("rec.uni[natureza]"),"pro.soluto",
INDIRECT("rec.uni[empresa]"),AW$6)</f>
        <v>0</v>
      </c>
      <c r="AX50" s="182">
        <f ca="1">SUMIFS(rec.uni[2024-12-01],
INDIRECT("rec.uni[natureza]"),"repasse.cef.obra",
INDIRECT("rec.uni[empresa]"),AX$6)</f>
        <v>0</v>
      </c>
      <c r="AY50" s="182">
        <f ca="1">SUMIFS(rec.uni[2024-12-01],
INDIRECT("rec.uni[natureza]"),"repasse.cef.terreno",
INDIRECT("rec.uni[empresa]"),AY$6)</f>
        <v>0</v>
      </c>
      <c r="AZ50" s="182">
        <v>0</v>
      </c>
      <c r="BA50" s="182">
        <f ca="1">SUMIFS(rec.uni[2024-12-01],
INDIRECT("rec.uni[natureza]"),"taxa.extra",
INDIRECT("rec.uni[empresa]"),BA$6)</f>
        <v>0</v>
      </c>
      <c r="BB50" s="170"/>
      <c r="BC50" s="182" cm="1">
        <f t="array" ref="BC5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D50" s="182" cm="1">
        <f t="array" ref="BD5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E50" s="182" cm="1">
        <f t="array" ref="BE5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F50" s="182" cm="1">
        <f t="array" ref="BF5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G50" s="183" cm="1">
        <f t="array" ref="BG5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BH50" s="181">
        <f>COUNTIFS(
    estq[empresa], BH$6,
    estq[Data da venda / reserva], "&gt;=" &amp; $A50,
    estq[Data da venda / reserva], "&lt;"  &amp; EOMONTH($A50,0) + 1
)</f>
        <v>0</v>
      </c>
      <c r="BI50" s="182">
        <f ca="1">SUMIFS(rec.uni[2024-12-01],
INDIRECT("rec.uni[natureza]"),"pro.soluto",
INDIRECT("rec.uni[empresa]"),BI$6)</f>
        <v>0</v>
      </c>
      <c r="BJ50" s="170">
        <f>1.1*94736</f>
        <v>104209.60000000001</v>
      </c>
      <c r="BK50" s="182">
        <f ca="1">SUMIFS(rec.uni[2024-12-01],
INDIRECT("rec.uni[natureza]"),"taxa.extra",
INDIRECT("rec.uni[empresa]"),BK$6)</f>
        <v>0</v>
      </c>
      <c r="BL50" s="170"/>
      <c r="BM50" s="182" cm="1">
        <f t="array" ref="BM5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N50" s="182" cm="1">
        <f t="array" ref="BN5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O50" s="182" cm="1">
        <f t="array" ref="BO5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P50" s="182" cm="1">
        <f t="array" ref="BP5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Q50" s="183" cm="1">
        <f t="array" ref="BQ5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R50" s="181">
        <f>COUNTIFS(
    estq[empresa], BR$6,
    estq[Data da venda / reserva], "&gt;=" &amp; $A50,
    estq[Data da venda / reserva], "&lt;"  &amp; EOMONTH($A50,0) + 1
)</f>
        <v>0</v>
      </c>
      <c r="BS50" s="182">
        <f ca="1">SUMIFS(rec.uni[2024-12-01],
INDIRECT("rec.uni[natureza]"),"pro.soluto",
INDIRECT("rec.uni[empresa]"),BS$6)</f>
        <v>0</v>
      </c>
      <c r="BT50" s="182">
        <f ca="1">SUMIFS(rec.uni[2024-12-01],
INDIRECT("rec.uni[natureza]"),"pro.soluto",
INDIRECT("rec.uni[empresa]"),BT$6)</f>
        <v>0</v>
      </c>
      <c r="BU50" s="182">
        <f ca="1">SUMIFS(rec.uni[2024-12-01],
INDIRECT("rec.uni[natureza]"),"taxa.extra",
INDIRECT("rec.uni[empresa]"),BU$6)</f>
        <v>0</v>
      </c>
      <c r="BV50" s="170"/>
      <c r="BW50" s="182" cm="1">
        <f t="array" ref="BW5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BX50" s="182" cm="1">
        <f t="array" ref="BX5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BY50" s="182" cm="1">
        <f t="array" ref="BY5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BZ50" s="182" cm="1">
        <f t="array" ref="BZ5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CA50" s="183" cm="1">
        <f t="array" ref="CA5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(desp[data.pagamento]&gt;=$A50)*
    (desp[data.pagamento]&lt;EOMONTH($A50,0)+1)
  )
)</f>
        <v>0</v>
      </c>
      <c r="CB50" s="181">
        <f>COUNTIFS(
    estq[empresa], CB$6,
    estq[Data da venda / reserva], "&gt;=" &amp; $A50,
    estq[Data da venda / reserva], "&lt;"  &amp; EOMONTH($A50,0) + 1
)</f>
        <v>0</v>
      </c>
      <c r="CC50" s="182">
        <f ca="1">SUMIFS(rec.uni[2024-12-01],
INDIRECT("rec.uni[natureza]"),"pro.soluto",
INDIRECT("rec.uni[empresa]"),CC$6)</f>
        <v>0</v>
      </c>
      <c r="CD50" s="182">
        <f ca="1">SUMIFS(rec.uni[2024-12-01],
INDIRECT("rec.uni[natureza]"),"repasse.cef.obra",
INDIRECT("rec.uni[empresa]"),CD$6)</f>
        <v>0</v>
      </c>
      <c r="CE50" s="182">
        <f ca="1">SUMIFS(rec.uni[2024-12-01],
INDIRECT("rec.uni[natureza]"),"repasse.cef.terreno",
INDIRECT("rec.uni[empresa]"),CE$6)</f>
        <v>0</v>
      </c>
      <c r="CF50" s="182">
        <v>928463.72</v>
      </c>
      <c r="CG50" s="182">
        <f ca="1">SUMIFS(rec.uni[2024-12-01],
INDIRECT("rec.uni[natureza]"),"taxa.extra",
INDIRECT("rec.uni[empresa]"),CG$6)</f>
        <v>0</v>
      </c>
      <c r="CH50" s="170"/>
      <c r="CI50" s="182" cm="1">
        <f t="array" ref="CI5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J50" s="182" cm="1">
        <f t="array" ref="CJ5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K50" s="182" cm="1">
        <f t="array" ref="CK5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L50" s="182" cm="1">
        <f t="array" ref="CL5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M50" s="183" cm="1">
        <f t="array" ref="CM5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CN50" s="181">
        <f>COUNTIFS(
    estq[empresa], CN$6,
    estq[Data da venda / reserva], "&gt;=" &amp; $A50,
    estq[Data da venda / reserva], "&lt;"  &amp; EOMONTH($A50,0) + 1
)</f>
        <v>0</v>
      </c>
      <c r="CO50" s="182">
        <f ca="1">SUMIFS(rec.uni[2024-12-01],
INDIRECT("rec.uni[natureza]"),"pro.soluto",
INDIRECT("rec.uni[empresa]"),CO$6)</f>
        <v>0</v>
      </c>
      <c r="CP50" s="182">
        <f ca="1">SUMIFS(rec.uni[2024-12-01],
INDIRECT("rec.uni[natureza]"),"repasse.cef.obra",
INDIRECT("rec.uni[empresa]"),CP$6)</f>
        <v>0</v>
      </c>
      <c r="CQ50" s="182">
        <f ca="1">SUMIFS(rec.uni[2024-12-01],
INDIRECT("rec.uni[natureza]"),"repasse.cef.terreno",
INDIRECT("rec.uni[empresa]"),CQ$6)</f>
        <v>0</v>
      </c>
      <c r="CR50" s="182">
        <v>0</v>
      </c>
      <c r="CS50" s="182">
        <f ca="1">SUMIFS(rec.uni[2024-12-01],
INDIRECT("rec.uni[natureza]"),"taxa.extra",
INDIRECT("rec.uni[empresa]"),CS$6)</f>
        <v>0</v>
      </c>
      <c r="CT50" s="170"/>
      <c r="CU50" s="182" cm="1">
        <f t="array" ref="CU5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V50" s="182" cm="1">
        <f t="array" ref="CV5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W50" s="182" cm="1">
        <f t="array" ref="CW5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X50" s="182" cm="1">
        <f t="array" ref="CX5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Y50" s="184" cm="1">
        <f t="array" ref="CY5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</row>
    <row r="51" spans="1:103" x14ac:dyDescent="0.25">
      <c r="A51" s="180">
        <v>45658</v>
      </c>
      <c r="B51" s="181">
        <f>COUNTIFS(
    estq[empresa], B$6,
    estq[Data da venda / reserva], "&gt;=" &amp; $A51,
    estq[Data da venda / reserva], "&lt;"  &amp; EOMONTH($A51,0) + 1
)</f>
        <v>0</v>
      </c>
      <c r="C51" s="182">
        <f ca="1">SUMIFS(rec.uni[2025-01-01],
INDIRECT("rec.uni[natureza]"),"pro.soluto",
INDIRECT("rec.uni[empresa]"),C$6)</f>
        <v>0</v>
      </c>
      <c r="D51" s="182">
        <f ca="1">SUMIFS(rec.uni[2025-01-01],
INDIRECT("rec.uni[natureza]"),"repasse.cef.obra",
INDIRECT("rec.uni[empresa]"),D$6)</f>
        <v>0</v>
      </c>
      <c r="E51" s="182">
        <f ca="1">SUMIFS(rec.uni[2025-01-01],
INDIRECT("rec.uni[natureza]"),"repasse.cef.terreno",
INDIRECT("rec.uni[empresa]"),E$6)</f>
        <v>0</v>
      </c>
      <c r="F51" s="182">
        <v>489068.85</v>
      </c>
      <c r="G51" s="182">
        <f ca="1">SUMIFS(rec.uni[2025-01-01],
INDIRECT("rec.uni[natureza]"),"taxa.extra",
INDIRECT("rec.uni[empresa]"),G$6)</f>
        <v>0</v>
      </c>
      <c r="H51" s="170"/>
      <c r="I51" s="182" cm="1">
        <f t="array" ref="I5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J51" s="182" cm="1">
        <f t="array" ref="J5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K51" s="182" cm="1">
        <f t="array" ref="K5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L51" s="182" cm="1">
        <f t="array" ref="L5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M51" s="183" cm="1">
        <f t="array" ref="M5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N51" s="181">
        <f>COUNTIFS(
    estq[empresa], N$6,
    estq[Data da venda / reserva], "&gt;=" &amp; $A51,
    estq[Data da venda / reserva], "&lt;"  &amp; EOMONTH($A51,0) + 1
)</f>
        <v>0</v>
      </c>
      <c r="O51" s="182">
        <f ca="1">SUMIFS(rec.uni[2025-01-01],
INDIRECT("rec.uni[natureza]"),"pro.soluto",
INDIRECT("rec.uni[empresa]"),O$6)</f>
        <v>0</v>
      </c>
      <c r="P51" s="182">
        <f ca="1">SUMIFS(rec.uni[2025-01-01],
INDIRECT("rec.uni[natureza]"),"repasse.cef.obra",
INDIRECT("rec.uni[empresa]"),P$6)</f>
        <v>0</v>
      </c>
      <c r="Q51" s="182">
        <f ca="1">SUMIFS(rec.uni[2025-01-01],
INDIRECT("rec.uni[natureza]"),"repasse.cef.terreno",
INDIRECT("rec.uni[empresa]"),Q$6)</f>
        <v>0</v>
      </c>
      <c r="R51" s="182">
        <v>0</v>
      </c>
      <c r="S51" s="182">
        <f ca="1">SUMIFS(rec.uni[2025-01-01],
INDIRECT("rec.uni[natureza]"),"taxa.extra",
INDIRECT("rec.uni[empresa]"),S$6)</f>
        <v>0</v>
      </c>
      <c r="T51" s="170"/>
      <c r="U51" s="182" cm="1">
        <f t="array" ref="U5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V51" s="182" cm="1">
        <f t="array" ref="V5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W51" s="182" cm="1">
        <f t="array" ref="W5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X51" s="182" cm="1">
        <f t="array" ref="X5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Y51" s="183" cm="1">
        <f t="array" ref="Y5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Z51" s="181">
        <f>COUNTIFS(
    estq[empresa], Z$6,
    estq[Data da venda / reserva], "&gt;=" &amp; $A51,
    estq[Data da venda / reserva], "&lt;"  &amp; EOMONTH($A51,0) + 1
)</f>
        <v>0</v>
      </c>
      <c r="AA51" s="182">
        <f ca="1">SUMIFS(rec.uni[2025-01-01],
INDIRECT("rec.uni[natureza]"),"pro.soluto",
INDIRECT("rec.uni[empresa]"),AA$6)</f>
        <v>0</v>
      </c>
      <c r="AB51" s="182">
        <f ca="1">SUMIFS(rec.uni[2025-01-01],
INDIRECT("rec.uni[natureza]"),"pro.soluto",
INDIRECT("rec.uni[empresa]"),AB$6)</f>
        <v>0</v>
      </c>
      <c r="AC51" s="182">
        <f ca="1">SUMIFS(rec.uni[2025-01-01],
INDIRECT("rec.uni[natureza]"),"taxa.extra",
INDIRECT("rec.uni[empresa]"),AC$6)</f>
        <v>0</v>
      </c>
      <c r="AD51" s="170"/>
      <c r="AE51" s="182" cm="1">
        <f t="array" ref="AE5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F51" s="182" cm="1">
        <f t="array" ref="AF5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G51" s="182" cm="1">
        <f t="array" ref="AG5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H51" s="182" cm="1">
        <f t="array" ref="AH5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I51" s="183" cm="1">
        <f t="array" ref="AI5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(desp[data.pagamento]&gt;=$A51)*
    (desp[data.pagamento]&lt;EOMONTH($A51,0)+1)
  )
)</f>
        <v>0</v>
      </c>
      <c r="AJ51" s="181">
        <f>COUNTIFS(
    estq[empresa], AJ$6,
    estq[Data da venda / reserva], "&gt;=" &amp; $A51,
    estq[Data da venda / reserva], "&lt;"  &amp; EOMONTH($A51,0) + 1
)</f>
        <v>0</v>
      </c>
      <c r="AK51" s="182">
        <f ca="1">SUMIFS(rec.uni[2025-01-01],
INDIRECT("rec.uni[natureza]"),"pro.soluto",
INDIRECT("rec.uni[empresa]"),AK$6)</f>
        <v>0</v>
      </c>
      <c r="AL51" s="182">
        <f ca="1">SUMIFS(rec.uni[2025-01-01],
INDIRECT("rec.uni[natureza]"),"repasse.cef.obra",
INDIRECT("rec.uni[empresa]"),AL$6)</f>
        <v>0</v>
      </c>
      <c r="AM51" s="182">
        <f ca="1">SUMIFS(rec.uni[2025-01-01],
INDIRECT("rec.uni[natureza]"),"repasse.cef.terreno",
INDIRECT("rec.uni[empresa]"),AM$6)</f>
        <v>0</v>
      </c>
      <c r="AN51" s="182">
        <v>0</v>
      </c>
      <c r="AO51" s="182">
        <f ca="1">SUMIFS(rec.uni[2025-01-01],
INDIRECT("rec.uni[natureza]"),"taxa.extra",
INDIRECT("rec.uni[empresa]"),AO$6)</f>
        <v>0</v>
      </c>
      <c r="AP51" s="170"/>
      <c r="AQ51" s="182" cm="1">
        <f t="array" ref="AQ5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R51" s="182" cm="1">
        <f t="array" ref="AR5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S51" s="182" cm="1">
        <f t="array" ref="AS5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T51" s="182" cm="1">
        <f t="array" ref="AT5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U51" s="183" cm="1">
        <f t="array" ref="AU5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V51" s="181">
        <f>COUNTIFS(
    estq[empresa], AV$6,
    estq[Data da venda / reserva], "&gt;=" &amp; $A51,
    estq[Data da venda / reserva], "&lt;"  &amp; EOMONTH($A51,0) + 1
)</f>
        <v>0</v>
      </c>
      <c r="AW51" s="182">
        <f ca="1">SUMIFS(rec.uni[2025-01-01],
INDIRECT("rec.uni[natureza]"),"pro.soluto",
INDIRECT("rec.uni[empresa]"),AW$6)</f>
        <v>0</v>
      </c>
      <c r="AX51" s="182">
        <f ca="1">SUMIFS(rec.uni[2025-01-01],
INDIRECT("rec.uni[natureza]"),"repasse.cef.obra",
INDIRECT("rec.uni[empresa]"),AX$6)</f>
        <v>0</v>
      </c>
      <c r="AY51" s="182">
        <f ca="1">SUMIFS(rec.uni[2025-01-01],
INDIRECT("rec.uni[natureza]"),"repasse.cef.terreno",
INDIRECT("rec.uni[empresa]"),AY$6)</f>
        <v>0</v>
      </c>
      <c r="AZ51" s="182">
        <v>0</v>
      </c>
      <c r="BA51" s="182">
        <f ca="1">SUMIFS(rec.uni[2025-01-01],
INDIRECT("rec.uni[natureza]"),"taxa.extra",
INDIRECT("rec.uni[empresa]"),BA$6)</f>
        <v>0</v>
      </c>
      <c r="BB51" s="170"/>
      <c r="BC51" s="182" cm="1">
        <f t="array" ref="BC5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D51" s="182" cm="1">
        <f t="array" ref="BD5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E51" s="182" cm="1">
        <f t="array" ref="BE5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F51" s="182" cm="1">
        <f t="array" ref="BF5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G51" s="183" cm="1">
        <f t="array" ref="BG5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BH51" s="181">
        <f>COUNTIFS(
    estq[empresa], BH$6,
    estq[Data da venda / reserva], "&gt;=" &amp; $A51,
    estq[Data da venda / reserva], "&lt;"  &amp; EOMONTH($A51,0) + 1
)</f>
        <v>0</v>
      </c>
      <c r="BI51" s="182">
        <f ca="1">SUMIFS(rec.uni[2025-01-01],
INDIRECT("rec.uni[natureza]"),"pro.soluto",
INDIRECT("rec.uni[empresa]"),BI$6)</f>
        <v>0</v>
      </c>
      <c r="BJ51" s="170">
        <f>0.7*94736</f>
        <v>66315.199999999997</v>
      </c>
      <c r="BK51" s="182">
        <f ca="1">SUMIFS(rec.uni[2025-01-01],
INDIRECT("rec.uni[natureza]"),"taxa.extra",
INDIRECT("rec.uni[empresa]"),BK$6)</f>
        <v>0</v>
      </c>
      <c r="BL51" s="170"/>
      <c r="BM51" s="182" cm="1">
        <f t="array" ref="BM5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N51" s="182" cm="1">
        <f t="array" ref="BN5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O51" s="182" cm="1">
        <f t="array" ref="BO5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P51" s="182" cm="1">
        <f t="array" ref="BP5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Q51" s="183" cm="1">
        <f t="array" ref="BQ5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R51" s="181">
        <f>COUNTIFS(
    estq[empresa], BR$6,
    estq[Data da venda / reserva], "&gt;=" &amp; $A51,
    estq[Data da venda / reserva], "&lt;"  &amp; EOMONTH($A51,0) + 1
)</f>
        <v>0</v>
      </c>
      <c r="BS51" s="182">
        <f ca="1">SUMIFS(rec.uni[2025-01-01],
INDIRECT("rec.uni[natureza]"),"pro.soluto",
INDIRECT("rec.uni[empresa]"),BS$6)</f>
        <v>0</v>
      </c>
      <c r="BT51" s="182">
        <f ca="1">SUMIFS(rec.uni[2025-01-01],
INDIRECT("rec.uni[natureza]"),"pro.soluto",
INDIRECT("rec.uni[empresa]"),BT$6)</f>
        <v>0</v>
      </c>
      <c r="BU51" s="182">
        <f ca="1">SUMIFS(rec.uni[2025-01-01],
INDIRECT("rec.uni[natureza]"),"taxa.extra",
INDIRECT("rec.uni[empresa]"),BU$6)</f>
        <v>0</v>
      </c>
      <c r="BV51" s="170"/>
      <c r="BW51" s="182" cm="1">
        <f t="array" ref="BW5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BX51" s="182" cm="1">
        <f t="array" ref="BX5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BY51" s="182" cm="1">
        <f t="array" ref="BY5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BZ51" s="182" cm="1">
        <f t="array" ref="BZ5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CA51" s="183" cm="1">
        <f t="array" ref="CA5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(desp[data.pagamento]&gt;=$A51)*
    (desp[data.pagamento]&lt;EOMONTH($A51,0)+1)
  )
)</f>
        <v>0</v>
      </c>
      <c r="CB51" s="181">
        <f>COUNTIFS(
    estq[empresa], CB$6,
    estq[Data da venda / reserva], "&gt;=" &amp; $A51,
    estq[Data da venda / reserva], "&lt;"  &amp; EOMONTH($A51,0) + 1
)</f>
        <v>0</v>
      </c>
      <c r="CC51" s="182">
        <f ca="1">SUMIFS(rec.uni[2025-01-01],
INDIRECT("rec.uni[natureza]"),"pro.soluto",
INDIRECT("rec.uni[empresa]"),CC$6)</f>
        <v>0</v>
      </c>
      <c r="CD51" s="182">
        <f ca="1">SUMIFS(rec.uni[2025-01-01],
INDIRECT("rec.uni[natureza]"),"repasse.cef.obra",
INDIRECT("rec.uni[empresa]"),CD$6)</f>
        <v>0</v>
      </c>
      <c r="CE51" s="182">
        <f ca="1">SUMIFS(rec.uni[2025-01-01],
INDIRECT("rec.uni[natureza]"),"repasse.cef.terreno",
INDIRECT("rec.uni[empresa]"),CE$6)</f>
        <v>0</v>
      </c>
      <c r="CF51" s="182">
        <v>0</v>
      </c>
      <c r="CG51" s="182">
        <f ca="1">SUMIFS(rec.uni[2025-01-01],
INDIRECT("rec.uni[natureza]"),"taxa.extra",
INDIRECT("rec.uni[empresa]"),CG$6)</f>
        <v>0</v>
      </c>
      <c r="CH51" s="170"/>
      <c r="CI51" s="182" cm="1">
        <f t="array" ref="CI5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J51" s="182" cm="1">
        <f t="array" ref="CJ5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K51" s="182" cm="1">
        <f t="array" ref="CK5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L51" s="182" cm="1">
        <f t="array" ref="CL5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M51" s="183" cm="1">
        <f t="array" ref="CM5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CN51" s="181">
        <f>COUNTIFS(
    estq[empresa], CN$6,
    estq[Data da venda / reserva], "&gt;=" &amp; $A51,
    estq[Data da venda / reserva], "&lt;"  &amp; EOMONTH($A51,0) + 1
)</f>
        <v>0</v>
      </c>
      <c r="CO51" s="182">
        <f ca="1">SUMIFS(rec.uni[2025-01-01],
INDIRECT("rec.uni[natureza]"),"pro.soluto",
INDIRECT("rec.uni[empresa]"),CO$6)</f>
        <v>0</v>
      </c>
      <c r="CP51" s="182">
        <f ca="1">SUMIFS(rec.uni[2025-01-01],
INDIRECT("rec.uni[natureza]"),"repasse.cef.obra",
INDIRECT("rec.uni[empresa]"),CP$6)</f>
        <v>0</v>
      </c>
      <c r="CQ51" s="182">
        <f ca="1">SUMIFS(rec.uni[2025-01-01],
INDIRECT("rec.uni[natureza]"),"repasse.cef.terreno",
INDIRECT("rec.uni[empresa]"),CQ$6)</f>
        <v>0</v>
      </c>
      <c r="CR51" s="182">
        <v>0</v>
      </c>
      <c r="CS51" s="182">
        <f ca="1">SUMIFS(rec.uni[2025-01-01],
INDIRECT("rec.uni[natureza]"),"taxa.extra",
INDIRECT("rec.uni[empresa]"),CS$6)</f>
        <v>0</v>
      </c>
      <c r="CT51" s="170"/>
      <c r="CU51" s="182" cm="1">
        <f t="array" ref="CU5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V51" s="182" cm="1">
        <f t="array" ref="CV5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W51" s="182" cm="1">
        <f t="array" ref="CW5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X51" s="182" cm="1">
        <f t="array" ref="CX5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Y51" s="184" cm="1">
        <f t="array" ref="CY5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</row>
    <row r="52" spans="1:103" x14ac:dyDescent="0.25">
      <c r="A52" s="180">
        <v>45689</v>
      </c>
      <c r="B52" s="181">
        <f>COUNTIFS(
    estq[empresa], B$6,
    estq[Data da venda / reserva], "&gt;=" &amp; $A52,
    estq[Data da venda / reserva], "&lt;"  &amp; EOMONTH($A52,0) + 1
)</f>
        <v>0</v>
      </c>
      <c r="C52" s="182">
        <f ca="1">SUMIFS(rec.uni[2025-02-01],
INDIRECT("rec.uni[natureza]"),"pro.soluto",
INDIRECT("rec.uni[empresa]"),C$6)</f>
        <v>0</v>
      </c>
      <c r="D52" s="182">
        <f ca="1">SUMIFS(rec.uni[2025-02-01],
INDIRECT("rec.uni[natureza]"),"repasse.cef.obra",
INDIRECT("rec.uni[empresa]"),D$6)</f>
        <v>0</v>
      </c>
      <c r="E52" s="182">
        <f ca="1">SUMIFS(rec.uni[2025-02-01],
INDIRECT("rec.uni[natureza]"),"repasse.cef.terreno",
INDIRECT("rec.uni[empresa]"),E$6)</f>
        <v>0</v>
      </c>
      <c r="F52" s="182">
        <v>0</v>
      </c>
      <c r="G52" s="182">
        <f ca="1">SUMIFS(rec.uni[2025-02-01],
INDIRECT("rec.uni[natureza]"),"taxa.extra",
INDIRECT("rec.uni[empresa]"),G$6)</f>
        <v>0</v>
      </c>
      <c r="H52" s="170"/>
      <c r="I52" s="182" cm="1">
        <f t="array" ref="I5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J52" s="182" cm="1">
        <f t="array" ref="J5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K52" s="182" cm="1">
        <f t="array" ref="K5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L52" s="182" cm="1">
        <f t="array" ref="L5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M52" s="183" cm="1">
        <f t="array" ref="M5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N52" s="181">
        <f>COUNTIFS(
    estq[empresa], N$6,
    estq[Data da venda / reserva], "&gt;=" &amp; $A52,
    estq[Data da venda / reserva], "&lt;"  &amp; EOMONTH($A52,0) + 1
)</f>
        <v>0</v>
      </c>
      <c r="O52" s="182">
        <f ca="1">SUMIFS(rec.uni[2025-02-01],
INDIRECT("rec.uni[natureza]"),"pro.soluto",
INDIRECT("rec.uni[empresa]"),O$6)</f>
        <v>0</v>
      </c>
      <c r="P52" s="182">
        <f ca="1">SUMIFS(rec.uni[2025-02-01],
INDIRECT("rec.uni[natureza]"),"repasse.cef.obra",
INDIRECT("rec.uni[empresa]"),P$6)</f>
        <v>0</v>
      </c>
      <c r="Q52" s="182">
        <f ca="1">SUMIFS(rec.uni[2025-02-01],
INDIRECT("rec.uni[natureza]"),"repasse.cef.terreno",
INDIRECT("rec.uni[empresa]"),Q$6)</f>
        <v>0</v>
      </c>
      <c r="R52" s="182">
        <v>0</v>
      </c>
      <c r="S52" s="182">
        <f ca="1">SUMIFS(rec.uni[2025-02-01],
INDIRECT("rec.uni[natureza]"),"taxa.extra",
INDIRECT("rec.uni[empresa]"),S$6)</f>
        <v>0</v>
      </c>
      <c r="T52" s="170"/>
      <c r="U52" s="182" cm="1">
        <f t="array" ref="U5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V52" s="182" cm="1">
        <f t="array" ref="V5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W52" s="182" cm="1">
        <f t="array" ref="W5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X52" s="182" cm="1">
        <f t="array" ref="X5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Y52" s="183" cm="1">
        <f t="array" ref="Y5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Z52" s="181">
        <f>COUNTIFS(
    estq[empresa], Z$6,
    estq[Data da venda / reserva], "&gt;=" &amp; $A52,
    estq[Data da venda / reserva], "&lt;"  &amp; EOMONTH($A52,0) + 1
)</f>
        <v>0</v>
      </c>
      <c r="AA52" s="182">
        <f ca="1">SUMIFS(rec.uni[2025-02-01],
INDIRECT("rec.uni[natureza]"),"pro.soluto",
INDIRECT("rec.uni[empresa]"),AA$6)</f>
        <v>0</v>
      </c>
      <c r="AB52" s="182">
        <f ca="1">SUMIFS(rec.uni[2025-02-01],
INDIRECT("rec.uni[natureza]"),"pro.soluto",
INDIRECT("rec.uni[empresa]"),AB$6)</f>
        <v>0</v>
      </c>
      <c r="AC52" s="182">
        <f ca="1">SUMIFS(rec.uni[2025-02-01],
INDIRECT("rec.uni[natureza]"),"taxa.extra",
INDIRECT("rec.uni[empresa]"),AC$6)</f>
        <v>0</v>
      </c>
      <c r="AD52" s="170"/>
      <c r="AE52" s="182" cm="1">
        <f t="array" ref="AE5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F52" s="182" cm="1">
        <f t="array" ref="AF5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G52" s="182" cm="1">
        <f t="array" ref="AG5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H52" s="182" cm="1">
        <f t="array" ref="AH5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I52" s="183" cm="1">
        <f t="array" ref="AI5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(desp[data.pagamento]&gt;=$A52)*
    (desp[data.pagamento]&lt;EOMONTH($A52,0)+1)
  )
)</f>
        <v>0</v>
      </c>
      <c r="AJ52" s="181">
        <f>COUNTIFS(
    estq[empresa], AJ$6,
    estq[Data da venda / reserva], "&gt;=" &amp; $A52,
    estq[Data da venda / reserva], "&lt;"  &amp; EOMONTH($A52,0) + 1
)</f>
        <v>0</v>
      </c>
      <c r="AK52" s="182">
        <f ca="1">SUMIFS(rec.uni[2025-02-01],
INDIRECT("rec.uni[natureza]"),"pro.soluto",
INDIRECT("rec.uni[empresa]"),AK$6)</f>
        <v>0</v>
      </c>
      <c r="AL52" s="182">
        <f ca="1">SUMIFS(rec.uni[2025-02-01],
INDIRECT("rec.uni[natureza]"),"repasse.cef.obra",
INDIRECT("rec.uni[empresa]"),AL$6)</f>
        <v>0</v>
      </c>
      <c r="AM52" s="182">
        <f ca="1">SUMIFS(rec.uni[2025-02-01],
INDIRECT("rec.uni[natureza]"),"repasse.cef.terreno",
INDIRECT("rec.uni[empresa]"),AM$6)</f>
        <v>0</v>
      </c>
      <c r="AN52" s="182">
        <v>0</v>
      </c>
      <c r="AO52" s="182">
        <f ca="1">SUMIFS(rec.uni[2025-02-01],
INDIRECT("rec.uni[natureza]"),"taxa.extra",
INDIRECT("rec.uni[empresa]"),AO$6)</f>
        <v>0</v>
      </c>
      <c r="AP52" s="170"/>
      <c r="AQ52" s="182" cm="1">
        <f t="array" ref="AQ5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R52" s="182" cm="1">
        <f t="array" ref="AR5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S52" s="182" cm="1">
        <f t="array" ref="AS5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T52" s="182" cm="1">
        <f t="array" ref="AT5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U52" s="183" cm="1">
        <f t="array" ref="AU5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V52" s="181">
        <f>COUNTIFS(
    estq[empresa], AV$6,
    estq[Data da venda / reserva], "&gt;=" &amp; $A52,
    estq[Data da venda / reserva], "&lt;"  &amp; EOMONTH($A52,0) + 1
)</f>
        <v>0</v>
      </c>
      <c r="AW52" s="182">
        <f ca="1">SUMIFS(rec.uni[2025-02-01],
INDIRECT("rec.uni[natureza]"),"pro.soluto",
INDIRECT("rec.uni[empresa]"),AW$6)</f>
        <v>0</v>
      </c>
      <c r="AX52" s="182">
        <f ca="1">SUMIFS(rec.uni[2025-02-01],
INDIRECT("rec.uni[natureza]"),"repasse.cef.obra",
INDIRECT("rec.uni[empresa]"),AX$6)</f>
        <v>0</v>
      </c>
      <c r="AY52" s="182">
        <f ca="1">SUMIFS(rec.uni[2025-02-01],
INDIRECT("rec.uni[natureza]"),"repasse.cef.terreno",
INDIRECT("rec.uni[empresa]"),AY$6)</f>
        <v>0</v>
      </c>
      <c r="AZ52" s="182">
        <v>0</v>
      </c>
      <c r="BA52" s="182">
        <f ca="1">SUMIFS(rec.uni[2025-02-01],
INDIRECT("rec.uni[natureza]"),"taxa.extra",
INDIRECT("rec.uni[empresa]"),BA$6)</f>
        <v>0</v>
      </c>
      <c r="BB52" s="170"/>
      <c r="BC52" s="182" cm="1">
        <f t="array" ref="BC5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D52" s="182" cm="1">
        <f t="array" ref="BD5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E52" s="182" cm="1">
        <f t="array" ref="BE5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F52" s="182" cm="1">
        <f t="array" ref="BF5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G52" s="183" cm="1">
        <f t="array" ref="BG5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BH52" s="181">
        <f>COUNTIFS(
    estq[empresa], BH$6,
    estq[Data da venda / reserva], "&gt;=" &amp; $A52,
    estq[Data da venda / reserva], "&lt;"  &amp; EOMONTH($A52,0) + 1
)</f>
        <v>0</v>
      </c>
      <c r="BI52" s="182">
        <f ca="1">SUMIFS(rec.uni[2025-02-01],
INDIRECT("rec.uni[natureza]"),"pro.soluto",
INDIRECT("rec.uni[empresa]"),BI$6)</f>
        <v>0</v>
      </c>
      <c r="BJ52" s="170">
        <f>1.08*94736</f>
        <v>102314.88</v>
      </c>
      <c r="BK52" s="182">
        <f ca="1">SUMIFS(rec.uni[2025-02-01],
INDIRECT("rec.uni[natureza]"),"taxa.extra",
INDIRECT("rec.uni[empresa]"),BK$6)</f>
        <v>0</v>
      </c>
      <c r="BL52" s="170"/>
      <c r="BM52" s="182" cm="1">
        <f t="array" ref="BM5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N52" s="182" cm="1">
        <f t="array" ref="BN5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O52" s="182" cm="1">
        <f t="array" ref="BO5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P52" s="182" cm="1">
        <f t="array" ref="BP5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Q52" s="183" cm="1">
        <f t="array" ref="BQ5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R52" s="181">
        <f>COUNTIFS(
    estq[empresa], BR$6,
    estq[Data da venda / reserva], "&gt;=" &amp; $A52,
    estq[Data da venda / reserva], "&lt;"  &amp; EOMONTH($A52,0) + 1
)</f>
        <v>0</v>
      </c>
      <c r="BS52" s="182">
        <f ca="1">SUMIFS(rec.uni[2025-02-01],
INDIRECT("rec.uni[natureza]"),"pro.soluto",
INDIRECT("rec.uni[empresa]"),BS$6)</f>
        <v>0</v>
      </c>
      <c r="BT52" s="182">
        <f ca="1">SUMIFS(rec.uni[2025-02-01],
INDIRECT("rec.uni[natureza]"),"pro.soluto",
INDIRECT("rec.uni[empresa]"),BT$6)</f>
        <v>0</v>
      </c>
      <c r="BU52" s="182">
        <f ca="1">SUMIFS(rec.uni[2025-02-01],
INDIRECT("rec.uni[natureza]"),"taxa.extra",
INDIRECT("rec.uni[empresa]"),BU$6)</f>
        <v>0</v>
      </c>
      <c r="BV52" s="170"/>
      <c r="BW52" s="182" cm="1">
        <f t="array" ref="BW5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BX52" s="182" cm="1">
        <f t="array" ref="BX5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BY52" s="182" cm="1">
        <f t="array" ref="BY5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BZ52" s="182" cm="1">
        <f t="array" ref="BZ5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CA52" s="183" cm="1">
        <f t="array" ref="CA5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(desp[data.pagamento]&gt;=$A52)*
    (desp[data.pagamento]&lt;EOMONTH($A52,0)+1)
  )
)</f>
        <v>0</v>
      </c>
      <c r="CB52" s="181">
        <f>COUNTIFS(
    estq[empresa], CB$6,
    estq[Data da venda / reserva], "&gt;=" &amp; $A52,
    estq[Data da venda / reserva], "&lt;"  &amp; EOMONTH($A52,0) + 1
)</f>
        <v>0</v>
      </c>
      <c r="CC52" s="182">
        <f ca="1">SUMIFS(rec.uni[2025-02-01],
INDIRECT("rec.uni[natureza]"),"pro.soluto",
INDIRECT("rec.uni[empresa]"),CC$6)</f>
        <v>0</v>
      </c>
      <c r="CD52" s="182">
        <f ca="1">SUMIFS(rec.uni[2025-02-01],
INDIRECT("rec.uni[natureza]"),"repasse.cef.obra",
INDIRECT("rec.uni[empresa]"),CD$6)</f>
        <v>0</v>
      </c>
      <c r="CE52" s="182">
        <f ca="1">SUMIFS(rec.uni[2025-02-01],
INDIRECT("rec.uni[natureza]"),"repasse.cef.terreno",
INDIRECT("rec.uni[empresa]"),CE$6)</f>
        <v>0</v>
      </c>
      <c r="CF52" s="182">
        <v>0</v>
      </c>
      <c r="CG52" s="182">
        <f ca="1">SUMIFS(rec.uni[2025-02-01],
INDIRECT("rec.uni[natureza]"),"taxa.extra",
INDIRECT("rec.uni[empresa]"),CG$6)</f>
        <v>0</v>
      </c>
      <c r="CH52" s="170"/>
      <c r="CI52" s="182" cm="1">
        <f t="array" ref="CI5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J52" s="182" cm="1">
        <f t="array" ref="CJ5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K52" s="182" cm="1">
        <f t="array" ref="CK5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L52" s="182" cm="1">
        <f t="array" ref="CL5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M52" s="183" cm="1">
        <f t="array" ref="CM5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CN52" s="181">
        <f>COUNTIFS(
    estq[empresa], CN$6,
    estq[Data da venda / reserva], "&gt;=" &amp; $A52,
    estq[Data da venda / reserva], "&lt;"  &amp; EOMONTH($A52,0) + 1
)</f>
        <v>0</v>
      </c>
      <c r="CO52" s="182">
        <f ca="1">SUMIFS(rec.uni[2025-02-01],
INDIRECT("rec.uni[natureza]"),"pro.soluto",
INDIRECT("rec.uni[empresa]"),CO$6)</f>
        <v>0</v>
      </c>
      <c r="CP52" s="182">
        <f ca="1">SUMIFS(rec.uni[2025-02-01],
INDIRECT("rec.uni[natureza]"),"repasse.cef.obra",
INDIRECT("rec.uni[empresa]"),CP$6)</f>
        <v>0</v>
      </c>
      <c r="CQ52" s="182">
        <f ca="1">SUMIFS(rec.uni[2025-02-01],
INDIRECT("rec.uni[natureza]"),"repasse.cef.terreno",
INDIRECT("rec.uni[empresa]"),CQ$6)</f>
        <v>0</v>
      </c>
      <c r="CR52" s="182">
        <v>0</v>
      </c>
      <c r="CS52" s="182">
        <f ca="1">SUMIFS(rec.uni[2025-02-01],
INDIRECT("rec.uni[natureza]"),"taxa.extra",
INDIRECT("rec.uni[empresa]"),CS$6)</f>
        <v>0</v>
      </c>
      <c r="CT52" s="170"/>
      <c r="CU52" s="182" cm="1">
        <f t="array" ref="CU5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V52" s="182" cm="1">
        <f t="array" ref="CV5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W52" s="182" cm="1">
        <f t="array" ref="CW5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X52" s="182" cm="1">
        <f t="array" ref="CX5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Y52" s="184" cm="1">
        <f t="array" ref="CY5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</row>
    <row r="53" spans="1:103" x14ac:dyDescent="0.25">
      <c r="A53" s="180">
        <v>45717</v>
      </c>
      <c r="B53" s="181">
        <f>COUNTIFS(
    estq[empresa], B$6,
    estq[Data da venda / reserva], "&gt;=" &amp; $A53,
    estq[Data da venda / reserva], "&lt;"  &amp; EOMONTH($A53,0) + 1
)</f>
        <v>0</v>
      </c>
      <c r="C53" s="182">
        <f ca="1">SUMIFS(rec.uni[2025-03-01],
INDIRECT("rec.uni[natureza]"),"pro.soluto",
INDIRECT("rec.uni[empresa]"),C$6)</f>
        <v>0</v>
      </c>
      <c r="D53" s="182">
        <f ca="1">SUMIFS(rec.uni[2025-03-01],
INDIRECT("rec.uni[natureza]"),"repasse.cef.obra",
INDIRECT("rec.uni[empresa]"),D$6)</f>
        <v>0</v>
      </c>
      <c r="E53" s="182">
        <f ca="1">SUMIFS(rec.uni[2025-03-01],
INDIRECT("rec.uni[natureza]"),"repasse.cef.terreno",
INDIRECT("rec.uni[empresa]"),E$6)</f>
        <v>0</v>
      </c>
      <c r="F53" s="182">
        <v>385006.39</v>
      </c>
      <c r="G53" s="182">
        <f ca="1">SUMIFS(rec.uni[2025-03-01],
INDIRECT("rec.uni[natureza]"),"taxa.extra",
INDIRECT("rec.uni[empresa]"),G$6)</f>
        <v>0</v>
      </c>
      <c r="H53" s="170"/>
      <c r="I53" s="182" cm="1">
        <f t="array" ref="I5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J53" s="182" cm="1">
        <f t="array" ref="J5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K53" s="182" cm="1">
        <f t="array" ref="K5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L53" s="182" cm="1">
        <f t="array" ref="L5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M53" s="183" cm="1">
        <f t="array" ref="M5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N53" s="181">
        <f>COUNTIFS(
    estq[empresa], N$6,
    estq[Data da venda / reserva], "&gt;=" &amp; $A53,
    estq[Data da venda / reserva], "&lt;"  &amp; EOMONTH($A53,0) + 1
)</f>
        <v>0</v>
      </c>
      <c r="O53" s="182">
        <f ca="1">SUMIFS(rec.uni[2025-03-01],
INDIRECT("rec.uni[natureza]"),"pro.soluto",
INDIRECT("rec.uni[empresa]"),O$6)</f>
        <v>0</v>
      </c>
      <c r="P53" s="182">
        <f ca="1">SUMIFS(rec.uni[2025-03-01],
INDIRECT("rec.uni[natureza]"),"repasse.cef.obra",
INDIRECT("rec.uni[empresa]"),P$6)</f>
        <v>0</v>
      </c>
      <c r="Q53" s="182">
        <f ca="1">SUMIFS(rec.uni[2025-03-01],
INDIRECT("rec.uni[natureza]"),"repasse.cef.terreno",
INDIRECT("rec.uni[empresa]"),Q$6)</f>
        <v>0</v>
      </c>
      <c r="R53" s="182">
        <v>0</v>
      </c>
      <c r="S53" s="182">
        <f ca="1">SUMIFS(rec.uni[2025-03-01],
INDIRECT("rec.uni[natureza]"),"taxa.extra",
INDIRECT("rec.uni[empresa]"),S$6)</f>
        <v>0</v>
      </c>
      <c r="T53" s="170"/>
      <c r="U53" s="182" cm="1">
        <f t="array" ref="U5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V53" s="182" cm="1">
        <f t="array" ref="V5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W53" s="182" cm="1">
        <f t="array" ref="W5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X53" s="182" cm="1">
        <f t="array" ref="X5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Y53" s="183" cm="1">
        <f t="array" ref="Y5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Z53" s="181">
        <f>COUNTIFS(
    estq[empresa], Z$6,
    estq[Data da venda / reserva], "&gt;=" &amp; $A53,
    estq[Data da venda / reserva], "&lt;"  &amp; EOMONTH($A53,0) + 1
)</f>
        <v>0</v>
      </c>
      <c r="AA53" s="182">
        <f ca="1">SUMIFS(rec.uni[2025-03-01],
INDIRECT("rec.uni[natureza]"),"pro.soluto",
INDIRECT("rec.uni[empresa]"),AA$6)</f>
        <v>0</v>
      </c>
      <c r="AB53" s="182">
        <f ca="1">SUMIFS(rec.uni[2025-03-01],
INDIRECT("rec.uni[natureza]"),"pro.soluto",
INDIRECT("rec.uni[empresa]"),AB$6)</f>
        <v>0</v>
      </c>
      <c r="AC53" s="182">
        <f ca="1">SUMIFS(rec.uni[2025-03-01],
INDIRECT("rec.uni[natureza]"),"taxa.extra",
INDIRECT("rec.uni[empresa]"),AC$6)</f>
        <v>0</v>
      </c>
      <c r="AD53" s="170"/>
      <c r="AE53" s="182" cm="1">
        <f t="array" ref="AE5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F53" s="182" cm="1">
        <f t="array" ref="AF5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G53" s="182" cm="1">
        <f t="array" ref="AG5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H53" s="182" cm="1">
        <f t="array" ref="AH5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I53" s="183" cm="1">
        <f t="array" ref="AI5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(desp[data.pagamento]&gt;=$A53)*
    (desp[data.pagamento]&lt;EOMONTH($A53,0)+1)
  )
)</f>
        <v>0</v>
      </c>
      <c r="AJ53" s="181">
        <f>COUNTIFS(
    estq[empresa], AJ$6,
    estq[Data da venda / reserva], "&gt;=" &amp; $A53,
    estq[Data da venda / reserva], "&lt;"  &amp; EOMONTH($A53,0) + 1
)</f>
        <v>0</v>
      </c>
      <c r="AK53" s="182">
        <f ca="1">SUMIFS(rec.uni[2025-03-01],
INDIRECT("rec.uni[natureza]"),"pro.soluto",
INDIRECT("rec.uni[empresa]"),AK$6)</f>
        <v>0</v>
      </c>
      <c r="AL53" s="182">
        <f ca="1">SUMIFS(rec.uni[2025-03-01],
INDIRECT("rec.uni[natureza]"),"repasse.cef.obra",
INDIRECT("rec.uni[empresa]"),AL$6)</f>
        <v>0</v>
      </c>
      <c r="AM53" s="182">
        <f ca="1">SUMIFS(rec.uni[2025-03-01],
INDIRECT("rec.uni[natureza]"),"repasse.cef.terreno",
INDIRECT("rec.uni[empresa]"),AM$6)</f>
        <v>0</v>
      </c>
      <c r="AN53" s="182">
        <v>0</v>
      </c>
      <c r="AO53" s="182">
        <f ca="1">SUMIFS(rec.uni[2025-03-01],
INDIRECT("rec.uni[natureza]"),"taxa.extra",
INDIRECT("rec.uni[empresa]"),AO$6)</f>
        <v>0</v>
      </c>
      <c r="AP53" s="170"/>
      <c r="AQ53" s="182" cm="1">
        <f t="array" ref="AQ5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R53" s="182" cm="1">
        <f t="array" ref="AR5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S53" s="182" cm="1">
        <f t="array" ref="AS5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T53" s="182" cm="1">
        <f t="array" ref="AT5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U53" s="183" cm="1">
        <f t="array" ref="AU5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V53" s="181">
        <f>COUNTIFS(
    estq[empresa], AV$6,
    estq[Data da venda / reserva], "&gt;=" &amp; $A53,
    estq[Data da venda / reserva], "&lt;"  &amp; EOMONTH($A53,0) + 1
)</f>
        <v>0</v>
      </c>
      <c r="AW53" s="182">
        <f ca="1">SUMIFS(rec.uni[2025-03-01],
INDIRECT("rec.uni[natureza]"),"pro.soluto",
INDIRECT("rec.uni[empresa]"),AW$6)</f>
        <v>0</v>
      </c>
      <c r="AX53" s="182">
        <f ca="1">SUMIFS(rec.uni[2025-03-01],
INDIRECT("rec.uni[natureza]"),"repasse.cef.obra",
INDIRECT("rec.uni[empresa]"),AX$6)</f>
        <v>0</v>
      </c>
      <c r="AY53" s="182">
        <f ca="1">SUMIFS(rec.uni[2025-03-01],
INDIRECT("rec.uni[natureza]"),"repasse.cef.terreno",
INDIRECT("rec.uni[empresa]"),AY$6)</f>
        <v>0</v>
      </c>
      <c r="AZ53" s="182">
        <v>0</v>
      </c>
      <c r="BA53" s="182">
        <f ca="1">SUMIFS(rec.uni[2025-03-01],
INDIRECT("rec.uni[natureza]"),"taxa.extra",
INDIRECT("rec.uni[empresa]"),BA$6)</f>
        <v>0</v>
      </c>
      <c r="BB53" s="170"/>
      <c r="BC53" s="182" cm="1">
        <f t="array" ref="BC5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D53" s="182" cm="1">
        <f t="array" ref="BD5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E53" s="182" cm="1">
        <f t="array" ref="BE5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F53" s="182" cm="1">
        <f t="array" ref="BF5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G53" s="183" cm="1">
        <f t="array" ref="BG5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BH53" s="181">
        <f>COUNTIFS(
    estq[empresa], BH$6,
    estq[Data da venda / reserva], "&gt;=" &amp; $A53,
    estq[Data da venda / reserva], "&lt;"  &amp; EOMONTH($A53,0) + 1
)</f>
        <v>0</v>
      </c>
      <c r="BI53" s="182">
        <f ca="1">SUMIFS(rec.uni[2025-03-01],
INDIRECT("rec.uni[natureza]"),"pro.soluto",
INDIRECT("rec.uni[empresa]"),BI$6)</f>
        <v>0</v>
      </c>
      <c r="BJ53" s="170">
        <f>2.61*94736</f>
        <v>247260.96</v>
      </c>
      <c r="BK53" s="182">
        <f ca="1">SUMIFS(rec.uni[2025-03-01],
INDIRECT("rec.uni[natureza]"),"taxa.extra",
INDIRECT("rec.uni[empresa]"),BK$6)</f>
        <v>0</v>
      </c>
      <c r="BL53" s="170"/>
      <c r="BM53" s="182" cm="1">
        <f t="array" ref="BM5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N53" s="182" cm="1">
        <f t="array" ref="BN5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O53" s="182" cm="1">
        <f t="array" ref="BO5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P53" s="182" cm="1">
        <f t="array" ref="BP5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Q53" s="183" cm="1">
        <f t="array" ref="BQ5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R53" s="181">
        <f>COUNTIFS(
    estq[empresa], BR$6,
    estq[Data da venda / reserva], "&gt;=" &amp; $A53,
    estq[Data da venda / reserva], "&lt;"  &amp; EOMONTH($A53,0) + 1
)</f>
        <v>0</v>
      </c>
      <c r="BS53" s="182">
        <f ca="1">SUMIFS(rec.uni[2025-03-01],
INDIRECT("rec.uni[natureza]"),"pro.soluto",
INDIRECT("rec.uni[empresa]"),BS$6)</f>
        <v>0</v>
      </c>
      <c r="BT53" s="182">
        <f ca="1">SUMIFS(rec.uni[2025-03-01],
INDIRECT("rec.uni[natureza]"),"pro.soluto",
INDIRECT("rec.uni[empresa]"),BT$6)</f>
        <v>0</v>
      </c>
      <c r="BU53" s="182">
        <f ca="1">SUMIFS(rec.uni[2025-03-01],
INDIRECT("rec.uni[natureza]"),"taxa.extra",
INDIRECT("rec.uni[empresa]"),BU$6)</f>
        <v>0</v>
      </c>
      <c r="BV53" s="170"/>
      <c r="BW53" s="182" cm="1">
        <f t="array" ref="BW5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BX53" s="182" cm="1">
        <f t="array" ref="BX5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BY53" s="182" cm="1">
        <f t="array" ref="BY5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BZ53" s="182" cm="1">
        <f t="array" ref="BZ5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CA53" s="183" cm="1">
        <f t="array" ref="CA5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(desp[data.pagamento]&gt;=$A53)*
    (desp[data.pagamento]&lt;EOMONTH($A53,0)+1)
  )
)</f>
        <v>0</v>
      </c>
      <c r="CB53" s="181">
        <f>COUNTIFS(
    estq[empresa], CB$6,
    estq[Data da venda / reserva], "&gt;=" &amp; $A53,
    estq[Data da venda / reserva], "&lt;"  &amp; EOMONTH($A53,0) + 1
)</f>
        <v>0</v>
      </c>
      <c r="CC53" s="182">
        <f ca="1">SUMIFS(rec.uni[2025-03-01],
INDIRECT("rec.uni[natureza]"),"pro.soluto",
INDIRECT("rec.uni[empresa]"),CC$6)</f>
        <v>0</v>
      </c>
      <c r="CD53" s="182">
        <f ca="1">SUMIFS(rec.uni[2025-03-01],
INDIRECT("rec.uni[natureza]"),"repasse.cef.obra",
INDIRECT("rec.uni[empresa]"),CD$6)</f>
        <v>0</v>
      </c>
      <c r="CE53" s="182">
        <f ca="1">SUMIFS(rec.uni[2025-03-01],
INDIRECT("rec.uni[natureza]"),"repasse.cef.terreno",
INDIRECT("rec.uni[empresa]"),CE$6)</f>
        <v>0</v>
      </c>
      <c r="CF53" s="182">
        <v>236708.67</v>
      </c>
      <c r="CG53" s="182">
        <f ca="1">SUMIFS(rec.uni[2025-03-01],
INDIRECT("rec.uni[natureza]"),"taxa.extra",
INDIRECT("rec.uni[empresa]"),CG$6)</f>
        <v>0</v>
      </c>
      <c r="CH53" s="170"/>
      <c r="CI53" s="182" cm="1">
        <f t="array" ref="CI5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J53" s="182" cm="1">
        <f t="array" ref="CJ5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K53" s="182" cm="1">
        <f t="array" ref="CK5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L53" s="182" cm="1">
        <f t="array" ref="CL5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M53" s="183" cm="1">
        <f t="array" ref="CM5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CN53" s="181">
        <f>COUNTIFS(
    estq[empresa], CN$6,
    estq[Data da venda / reserva], "&gt;=" &amp; $A53,
    estq[Data da venda / reserva], "&lt;"  &amp; EOMONTH($A53,0) + 1
)</f>
        <v>0</v>
      </c>
      <c r="CO53" s="182">
        <f ca="1">SUMIFS(rec.uni[2025-03-01],
INDIRECT("rec.uni[natureza]"),"pro.soluto",
INDIRECT("rec.uni[empresa]"),CO$6)</f>
        <v>0</v>
      </c>
      <c r="CP53" s="182">
        <f ca="1">SUMIFS(rec.uni[2025-03-01],
INDIRECT("rec.uni[natureza]"),"repasse.cef.obra",
INDIRECT("rec.uni[empresa]"),CP$6)</f>
        <v>0</v>
      </c>
      <c r="CQ53" s="182">
        <f ca="1">SUMIFS(rec.uni[2025-03-01],
INDIRECT("rec.uni[natureza]"),"repasse.cef.terreno",
INDIRECT("rec.uni[empresa]"),CQ$6)</f>
        <v>0</v>
      </c>
      <c r="CR53" s="182">
        <v>0</v>
      </c>
      <c r="CS53" s="182">
        <f ca="1">SUMIFS(rec.uni[2025-03-01],
INDIRECT("rec.uni[natureza]"),"taxa.extra",
INDIRECT("rec.uni[empresa]"),CS$6)</f>
        <v>0</v>
      </c>
      <c r="CT53" s="170"/>
      <c r="CU53" s="182" cm="1">
        <f t="array" ref="CU5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V53" s="182" cm="1">
        <f t="array" ref="CV5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W53" s="182" cm="1">
        <f t="array" ref="CW5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X53" s="182" cm="1">
        <f t="array" ref="CX5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Y53" s="184" cm="1">
        <f t="array" ref="CY5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</row>
    <row r="54" spans="1:103" x14ac:dyDescent="0.25">
      <c r="A54" s="180">
        <v>45748</v>
      </c>
      <c r="B54" s="181">
        <f>COUNTIFS(
    estq[empresa], B$6,
    estq[Data da venda / reserva], "&gt;=" &amp; $A54,
    estq[Data da venda / reserva], "&lt;"  &amp; EOMONTH($A54,0) + 1
)</f>
        <v>0</v>
      </c>
      <c r="C54" s="182">
        <f ca="1">SUMIFS(rec.uni[2025-04-01],
INDIRECT("rec.uni[natureza]"),"pro.soluto",
INDIRECT("rec.uni[empresa]"),C$6)</f>
        <v>0</v>
      </c>
      <c r="D54" s="182">
        <f ca="1">SUMIFS(rec.uni[2025-04-01],
INDIRECT("rec.uni[natureza]"),"repasse.cef.obra",
INDIRECT("rec.uni[empresa]"),D$6)</f>
        <v>0</v>
      </c>
      <c r="E54" s="182">
        <f ca="1">SUMIFS(rec.uni[2025-04-01],
INDIRECT("rec.uni[natureza]"),"repasse.cef.terreno",
INDIRECT("rec.uni[empresa]"),E$6)</f>
        <v>0</v>
      </c>
      <c r="F54" s="182">
        <v>223853.73</v>
      </c>
      <c r="G54" s="182">
        <f ca="1">SUMIFS(rec.uni[2025-04-01],
INDIRECT("rec.uni[natureza]"),"taxa.extra",
INDIRECT("rec.uni[empresa]"),G$6)</f>
        <v>0</v>
      </c>
      <c r="H54" s="170"/>
      <c r="I54" s="182" cm="1">
        <f t="array" ref="I5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J54" s="182" cm="1">
        <f t="array" ref="J5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K54" s="182" cm="1">
        <f t="array" ref="K5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L54" s="182" cm="1">
        <f t="array" ref="L5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M54" s="183" cm="1">
        <f t="array" ref="M5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N54" s="181">
        <f>COUNTIFS(
    estq[empresa], N$6,
    estq[Data da venda / reserva], "&gt;=" &amp; $A54,
    estq[Data da venda / reserva], "&lt;"  &amp; EOMONTH($A54,0) + 1
)</f>
        <v>0</v>
      </c>
      <c r="O54" s="182">
        <f ca="1">SUMIFS(rec.uni[2025-04-01],
INDIRECT("rec.uni[natureza]"),"pro.soluto",
INDIRECT("rec.uni[empresa]"),O$6)</f>
        <v>0</v>
      </c>
      <c r="P54" s="182">
        <f ca="1">SUMIFS(rec.uni[2025-04-01],
INDIRECT("rec.uni[natureza]"),"repasse.cef.obra",
INDIRECT("rec.uni[empresa]"),P$6)</f>
        <v>0</v>
      </c>
      <c r="Q54" s="182">
        <f ca="1">SUMIFS(rec.uni[2025-04-01],
INDIRECT("rec.uni[natureza]"),"repasse.cef.terreno",
INDIRECT("rec.uni[empresa]"),Q$6)</f>
        <v>0</v>
      </c>
      <c r="R54" s="182">
        <v>0</v>
      </c>
      <c r="S54" s="182">
        <f ca="1">SUMIFS(rec.uni[2025-04-01],
INDIRECT("rec.uni[natureza]"),"taxa.extra",
INDIRECT("rec.uni[empresa]"),S$6)</f>
        <v>0</v>
      </c>
      <c r="T54" s="170"/>
      <c r="U54" s="182" cm="1">
        <f t="array" ref="U5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V54" s="182" cm="1">
        <f t="array" ref="V5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W54" s="182" cm="1">
        <f t="array" ref="W5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X54" s="182" cm="1">
        <f t="array" ref="X5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Y54" s="183" cm="1">
        <f t="array" ref="Y5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Z54" s="181">
        <f>COUNTIFS(
    estq[empresa], Z$6,
    estq[Data da venda / reserva], "&gt;=" &amp; $A54,
    estq[Data da venda / reserva], "&lt;"  &amp; EOMONTH($A54,0) + 1
)</f>
        <v>0</v>
      </c>
      <c r="AA54" s="182">
        <f ca="1">SUMIFS(rec.uni[2025-04-01],
INDIRECT("rec.uni[natureza]"),"pro.soluto",
INDIRECT("rec.uni[empresa]"),AA$6)</f>
        <v>0</v>
      </c>
      <c r="AB54" s="182">
        <f ca="1">SUMIFS(rec.uni[2025-04-01],
INDIRECT("rec.uni[natureza]"),"pro.soluto",
INDIRECT("rec.uni[empresa]"),AB$6)</f>
        <v>0</v>
      </c>
      <c r="AC54" s="182">
        <f ca="1">SUMIFS(rec.uni[2025-04-01],
INDIRECT("rec.uni[natureza]"),"taxa.extra",
INDIRECT("rec.uni[empresa]"),AC$6)</f>
        <v>0</v>
      </c>
      <c r="AD54" s="170"/>
      <c r="AE54" s="182" cm="1">
        <f t="array" ref="AE5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F54" s="182" cm="1">
        <f t="array" ref="AF5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G54" s="182" cm="1">
        <f t="array" ref="AG5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H54" s="182" cm="1">
        <f t="array" ref="AH5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I54" s="183" cm="1">
        <f t="array" ref="AI5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(desp[data.pagamento]&gt;=$A54)*
    (desp[data.pagamento]&lt;EOMONTH($A54,0)+1)
  )
)</f>
        <v>0</v>
      </c>
      <c r="AJ54" s="181">
        <f>COUNTIFS(
    estq[empresa], AJ$6,
    estq[Data da venda / reserva], "&gt;=" &amp; $A54,
    estq[Data da venda / reserva], "&lt;"  &amp; EOMONTH($A54,0) + 1
)</f>
        <v>0</v>
      </c>
      <c r="AK54" s="182">
        <f ca="1">SUMIFS(rec.uni[2025-04-01],
INDIRECT("rec.uni[natureza]"),"pro.soluto",
INDIRECT("rec.uni[empresa]"),AK$6)</f>
        <v>0</v>
      </c>
      <c r="AL54" s="182">
        <f ca="1">SUMIFS(rec.uni[2025-04-01],
INDIRECT("rec.uni[natureza]"),"repasse.cef.obra",
INDIRECT("rec.uni[empresa]"),AL$6)</f>
        <v>0</v>
      </c>
      <c r="AM54" s="182">
        <f ca="1">SUMIFS(rec.uni[2025-04-01],
INDIRECT("rec.uni[natureza]"),"repasse.cef.terreno",
INDIRECT("rec.uni[empresa]"),AM$6)</f>
        <v>0</v>
      </c>
      <c r="AN54" s="182">
        <v>0</v>
      </c>
      <c r="AO54" s="182">
        <f ca="1">SUMIFS(rec.uni[2025-04-01],
INDIRECT("rec.uni[natureza]"),"taxa.extra",
INDIRECT("rec.uni[empresa]"),AO$6)</f>
        <v>0</v>
      </c>
      <c r="AP54" s="170"/>
      <c r="AQ54" s="182" cm="1">
        <f t="array" ref="AQ5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R54" s="182" cm="1">
        <f t="array" ref="AR5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S54" s="182" cm="1">
        <f t="array" ref="AS5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T54" s="182" cm="1">
        <f t="array" ref="AT5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U54" s="183" cm="1">
        <f t="array" ref="AU5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V54" s="181">
        <f>COUNTIFS(
    estq[empresa], AV$6,
    estq[Data da venda / reserva], "&gt;=" &amp; $A54,
    estq[Data da venda / reserva], "&lt;"  &amp; EOMONTH($A54,0) + 1
)</f>
        <v>0</v>
      </c>
      <c r="AW54" s="182">
        <f ca="1">SUMIFS(rec.uni[2025-04-01],
INDIRECT("rec.uni[natureza]"),"pro.soluto",
INDIRECT("rec.uni[empresa]"),AW$6)</f>
        <v>0</v>
      </c>
      <c r="AX54" s="182">
        <f ca="1">SUMIFS(rec.uni[2025-04-01],
INDIRECT("rec.uni[natureza]"),"repasse.cef.obra",
INDIRECT("rec.uni[empresa]"),AX$6)</f>
        <v>0</v>
      </c>
      <c r="AY54" s="182">
        <f ca="1">SUMIFS(rec.uni[2025-04-01],
INDIRECT("rec.uni[natureza]"),"repasse.cef.terreno",
INDIRECT("rec.uni[empresa]"),AY$6)</f>
        <v>0</v>
      </c>
      <c r="AZ54" s="182">
        <v>0</v>
      </c>
      <c r="BA54" s="182">
        <f ca="1">SUMIFS(rec.uni[2025-04-01],
INDIRECT("rec.uni[natureza]"),"taxa.extra",
INDIRECT("rec.uni[empresa]"),BA$6)</f>
        <v>0</v>
      </c>
      <c r="BB54" s="170"/>
      <c r="BC54" s="182" cm="1">
        <f t="array" ref="BC5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D54" s="182" cm="1">
        <f t="array" ref="BD5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E54" s="182" cm="1">
        <f t="array" ref="BE5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F54" s="182" cm="1">
        <f t="array" ref="BF5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G54" s="183" cm="1">
        <f t="array" ref="BG5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BH54" s="181">
        <f>COUNTIFS(
    estq[empresa], BH$6,
    estq[Data da venda / reserva], "&gt;=" &amp; $A54,
    estq[Data da venda / reserva], "&lt;"  &amp; EOMONTH($A54,0) + 1
)</f>
        <v>0</v>
      </c>
      <c r="BI54" s="182">
        <f ca="1">SUMIFS(rec.uni[2025-04-01],
INDIRECT("rec.uni[natureza]"),"pro.soluto",
INDIRECT("rec.uni[empresa]"),BI$6)</f>
        <v>0</v>
      </c>
      <c r="BJ54" s="170">
        <f>3.82*94736</f>
        <v>361891.51999999996</v>
      </c>
      <c r="BK54" s="182">
        <f ca="1">SUMIFS(rec.uni[2025-04-01],
INDIRECT("rec.uni[natureza]"),"taxa.extra",
INDIRECT("rec.uni[empresa]"),BK$6)</f>
        <v>0</v>
      </c>
      <c r="BL54" s="170"/>
      <c r="BM54" s="182" cm="1">
        <f t="array" ref="BM5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N54" s="182" cm="1">
        <f t="array" ref="BN5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O54" s="182" cm="1">
        <f t="array" ref="BO5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P54" s="182" cm="1">
        <f t="array" ref="BP5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Q54" s="183" cm="1">
        <f t="array" ref="BQ5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R54" s="181">
        <f>COUNTIFS(
    estq[empresa], BR$6,
    estq[Data da venda / reserva], "&gt;=" &amp; $A54,
    estq[Data da venda / reserva], "&lt;"  &amp; EOMONTH($A54,0) + 1
)</f>
        <v>0</v>
      </c>
      <c r="BS54" s="182">
        <f ca="1">SUMIFS(rec.uni[2025-04-01],
INDIRECT("rec.uni[natureza]"),"pro.soluto",
INDIRECT("rec.uni[empresa]"),BS$6)</f>
        <v>0</v>
      </c>
      <c r="BT54" s="182">
        <f ca="1">SUMIFS(rec.uni[2025-04-01],
INDIRECT("rec.uni[natureza]"),"pro.soluto",
INDIRECT("rec.uni[empresa]"),BT$6)</f>
        <v>0</v>
      </c>
      <c r="BU54" s="182">
        <f ca="1">SUMIFS(rec.uni[2025-04-01],
INDIRECT("rec.uni[natureza]"),"taxa.extra",
INDIRECT("rec.uni[empresa]"),BU$6)</f>
        <v>0</v>
      </c>
      <c r="BV54" s="170"/>
      <c r="BW54" s="182" cm="1">
        <f t="array" ref="BW5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BX54" s="182" cm="1">
        <f t="array" ref="BX5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BY54" s="182" cm="1">
        <f t="array" ref="BY5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BZ54" s="182" cm="1">
        <f t="array" ref="BZ5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CA54" s="183" cm="1">
        <f t="array" ref="CA5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(desp[data.pagamento]&gt;=$A54)*
    (desp[data.pagamento]&lt;EOMONTH($A54,0)+1)
  )
)</f>
        <v>0</v>
      </c>
      <c r="CB54" s="181">
        <f>COUNTIFS(
    estq[empresa], CB$6,
    estq[Data da venda / reserva], "&gt;=" &amp; $A54,
    estq[Data da venda / reserva], "&lt;"  &amp; EOMONTH($A54,0) + 1
)</f>
        <v>0</v>
      </c>
      <c r="CC54" s="182">
        <f ca="1">SUMIFS(rec.uni[2025-04-01],
INDIRECT("rec.uni[natureza]"),"pro.soluto",
INDIRECT("rec.uni[empresa]"),CC$6)</f>
        <v>0</v>
      </c>
      <c r="CD54" s="182">
        <f ca="1">SUMIFS(rec.uni[2025-04-01],
INDIRECT("rec.uni[natureza]"),"repasse.cef.obra",
INDIRECT("rec.uni[empresa]"),CD$6)</f>
        <v>0</v>
      </c>
      <c r="CE54" s="182">
        <f ca="1">SUMIFS(rec.uni[2025-04-01],
INDIRECT("rec.uni[natureza]"),"repasse.cef.terreno",
INDIRECT("rec.uni[empresa]"),CE$6)</f>
        <v>0</v>
      </c>
      <c r="CF54" s="182">
        <v>273233.02</v>
      </c>
      <c r="CG54" s="182">
        <f ca="1">SUMIFS(rec.uni[2025-04-01],
INDIRECT("rec.uni[natureza]"),"taxa.extra",
INDIRECT("rec.uni[empresa]"),CG$6)</f>
        <v>0</v>
      </c>
      <c r="CH54" s="170"/>
      <c r="CI54" s="182" cm="1">
        <f t="array" ref="CI5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J54" s="182" cm="1">
        <f t="array" ref="CJ5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K54" s="182" cm="1">
        <f t="array" ref="CK5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L54" s="182" cm="1">
        <f t="array" ref="CL5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M54" s="183" cm="1">
        <f t="array" ref="CM5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CN54" s="181">
        <f>COUNTIFS(
    estq[empresa], CN$6,
    estq[Data da venda / reserva], "&gt;=" &amp; $A54,
    estq[Data da venda / reserva], "&lt;"  &amp; EOMONTH($A54,0) + 1
)</f>
        <v>0</v>
      </c>
      <c r="CO54" s="182">
        <f ca="1">SUMIFS(rec.uni[2025-04-01],
INDIRECT("rec.uni[natureza]"),"pro.soluto",
INDIRECT("rec.uni[empresa]"),CO$6)</f>
        <v>0</v>
      </c>
      <c r="CP54" s="182">
        <f ca="1">SUMIFS(rec.uni[2025-04-01],
INDIRECT("rec.uni[natureza]"),"repasse.cef.obra",
INDIRECT("rec.uni[empresa]"),CP$6)</f>
        <v>0</v>
      </c>
      <c r="CQ54" s="182">
        <f ca="1">SUMIFS(rec.uni[2025-04-01],
INDIRECT("rec.uni[natureza]"),"repasse.cef.terreno",
INDIRECT("rec.uni[empresa]"),CQ$6)</f>
        <v>0</v>
      </c>
      <c r="CR54" s="182">
        <v>0</v>
      </c>
      <c r="CS54" s="182">
        <f ca="1">SUMIFS(rec.uni[2025-04-01],
INDIRECT("rec.uni[natureza]"),"taxa.extra",
INDIRECT("rec.uni[empresa]"),CS$6)</f>
        <v>0</v>
      </c>
      <c r="CT54" s="170"/>
      <c r="CU54" s="182" cm="1">
        <f t="array" ref="CU5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V54" s="182" cm="1">
        <f t="array" ref="CV5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W54" s="182" cm="1">
        <f t="array" ref="CW5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X54" s="182" cm="1">
        <f t="array" ref="CX5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Y54" s="184" cm="1">
        <f t="array" ref="CY5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</row>
    <row r="55" spans="1:103" x14ac:dyDescent="0.25">
      <c r="A55" s="180">
        <v>45778</v>
      </c>
      <c r="B55" s="181">
        <f>COUNTIFS(
    estq[empresa], B$6,
    estq[Data da venda / reserva], "&gt;=" &amp; $A55,
    estq[Data da venda / reserva], "&lt;"  &amp; EOMONTH($A55,0) + 1
)</f>
        <v>0</v>
      </c>
      <c r="C55" s="182">
        <f ca="1">SUMIFS(rec.uni[2025-05-01],
INDIRECT("rec.uni[natureza]"),"pro.soluto",
INDIRECT("rec.uni[empresa]"),C$6)</f>
        <v>0</v>
      </c>
      <c r="D55" s="182">
        <f ca="1">SUMIFS(rec.uni[2025-05-01],
INDIRECT("rec.uni[natureza]"),"repasse.cef.obra",
INDIRECT("rec.uni[empresa]"),D$6)</f>
        <v>0</v>
      </c>
      <c r="E55" s="182">
        <f ca="1">SUMIFS(rec.uni[2025-05-01],
INDIRECT("rec.uni[natureza]"),"repasse.cef.terreno",
INDIRECT("rec.uni[empresa]"),E$6)</f>
        <v>0</v>
      </c>
      <c r="F55" s="182">
        <v>134752.4</v>
      </c>
      <c r="G55" s="182">
        <f ca="1">SUMIFS(rec.uni[2025-05-01],
INDIRECT("rec.uni[natureza]"),"taxa.extra",
INDIRECT("rec.uni[empresa]"),G$6)</f>
        <v>0</v>
      </c>
      <c r="H55" s="170"/>
      <c r="I55" s="182" cm="1">
        <f t="array" ref="I5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J55" s="182" cm="1">
        <f t="array" ref="J5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K55" s="182" cm="1">
        <f t="array" ref="K5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L55" s="182" cm="1">
        <f t="array" ref="L5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M55" s="183" cm="1">
        <f t="array" ref="M5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N55" s="181">
        <f>COUNTIFS(
    estq[empresa], N$6,
    estq[Data da venda / reserva], "&gt;=" &amp; $A55,
    estq[Data da venda / reserva], "&lt;"  &amp; EOMONTH($A55,0) + 1
)</f>
        <v>0</v>
      </c>
      <c r="O55" s="182">
        <f ca="1">SUMIFS(rec.uni[2025-05-01],
INDIRECT("rec.uni[natureza]"),"pro.soluto",
INDIRECT("rec.uni[empresa]"),O$6)</f>
        <v>0</v>
      </c>
      <c r="P55" s="182">
        <f ca="1">SUMIFS(rec.uni[2025-05-01],
INDIRECT("rec.uni[natureza]"),"repasse.cef.obra",
INDIRECT("rec.uni[empresa]"),P$6)</f>
        <v>0</v>
      </c>
      <c r="Q55" s="182">
        <f ca="1">SUMIFS(rec.uni[2025-05-01],
INDIRECT("rec.uni[natureza]"),"repasse.cef.terreno",
INDIRECT("rec.uni[empresa]"),Q$6)</f>
        <v>0</v>
      </c>
      <c r="R55" s="182">
        <v>0</v>
      </c>
      <c r="S55" s="182">
        <f ca="1">SUMIFS(rec.uni[2025-05-01],
INDIRECT("rec.uni[natureza]"),"taxa.extra",
INDIRECT("rec.uni[empresa]"),S$6)</f>
        <v>0</v>
      </c>
      <c r="T55" s="170"/>
      <c r="U55" s="182" cm="1">
        <f t="array" ref="U5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V55" s="182" cm="1">
        <f t="array" ref="V5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W55" s="182" cm="1">
        <f t="array" ref="W5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X55" s="182" cm="1">
        <f t="array" ref="X5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Y55" s="183" cm="1">
        <f t="array" ref="Y5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Z55" s="181">
        <f>COUNTIFS(
    estq[empresa], Z$6,
    estq[Data da venda / reserva], "&gt;=" &amp; $A55,
    estq[Data da venda / reserva], "&lt;"  &amp; EOMONTH($A55,0) + 1
)</f>
        <v>0</v>
      </c>
      <c r="AA55" s="182">
        <f ca="1">SUMIFS(rec.uni[2025-05-01],
INDIRECT("rec.uni[natureza]"),"pro.soluto",
INDIRECT("rec.uni[empresa]"),AA$6)</f>
        <v>0</v>
      </c>
      <c r="AB55" s="182">
        <f ca="1">SUMIFS(rec.uni[2025-05-01],
INDIRECT("rec.uni[natureza]"),"pro.soluto",
INDIRECT("rec.uni[empresa]"),AB$6)</f>
        <v>0</v>
      </c>
      <c r="AC55" s="182">
        <f ca="1">SUMIFS(rec.uni[2025-05-01],
INDIRECT("rec.uni[natureza]"),"taxa.extra",
INDIRECT("rec.uni[empresa]"),AC$6)</f>
        <v>0</v>
      </c>
      <c r="AD55" s="170"/>
      <c r="AE55" s="182" cm="1">
        <f t="array" ref="AE5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F55" s="182" cm="1">
        <f t="array" ref="AF5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G55" s="182" cm="1">
        <f t="array" ref="AG5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H55" s="182" cm="1">
        <f t="array" ref="AH5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I55" s="183" cm="1">
        <f t="array" ref="AI5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(desp[data.pagamento]&gt;=$A55)*
    (desp[data.pagamento]&lt;EOMONTH($A55,0)+1)
  )
)</f>
        <v>0</v>
      </c>
      <c r="AJ55" s="181">
        <f>COUNTIFS(
    estq[empresa], AJ$6,
    estq[Data da venda / reserva], "&gt;=" &amp; $A55,
    estq[Data da venda / reserva], "&lt;"  &amp; EOMONTH($A55,0) + 1
)</f>
        <v>0</v>
      </c>
      <c r="AK55" s="182">
        <f ca="1">SUMIFS(rec.uni[2025-05-01],
INDIRECT("rec.uni[natureza]"),"pro.soluto",
INDIRECT("rec.uni[empresa]"),AK$6)</f>
        <v>0</v>
      </c>
      <c r="AL55" s="182">
        <f ca="1">SUMIFS(rec.uni[2025-05-01],
INDIRECT("rec.uni[natureza]"),"repasse.cef.obra",
INDIRECT("rec.uni[empresa]"),AL$6)</f>
        <v>0</v>
      </c>
      <c r="AM55" s="182">
        <f ca="1">SUMIFS(rec.uni[2025-05-01],
INDIRECT("rec.uni[natureza]"),"repasse.cef.terreno",
INDIRECT("rec.uni[empresa]"),AM$6)</f>
        <v>0</v>
      </c>
      <c r="AN55" s="182">
        <v>0</v>
      </c>
      <c r="AO55" s="182">
        <f ca="1">SUMIFS(rec.uni[2025-05-01],
INDIRECT("rec.uni[natureza]"),"taxa.extra",
INDIRECT("rec.uni[empresa]"),AO$6)</f>
        <v>0</v>
      </c>
      <c r="AP55" s="170"/>
      <c r="AQ55" s="182" cm="1">
        <f t="array" ref="AQ5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R55" s="182" cm="1">
        <f t="array" ref="AR5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S55" s="182" cm="1">
        <f t="array" ref="AS5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T55" s="182" cm="1">
        <f t="array" ref="AT5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U55" s="183" cm="1">
        <f t="array" ref="AU5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V55" s="181">
        <f>COUNTIFS(
    estq[empresa], AV$6,
    estq[Data da venda / reserva], "&gt;=" &amp; $A55,
    estq[Data da venda / reserva], "&lt;"  &amp; EOMONTH($A55,0) + 1
)</f>
        <v>0</v>
      </c>
      <c r="AW55" s="182">
        <f ca="1">SUMIFS(rec.uni[2025-05-01],
INDIRECT("rec.uni[natureza]"),"pro.soluto",
INDIRECT("rec.uni[empresa]"),AW$6)</f>
        <v>0</v>
      </c>
      <c r="AX55" s="182">
        <f ca="1">SUMIFS(rec.uni[2025-05-01],
INDIRECT("rec.uni[natureza]"),"repasse.cef.obra",
INDIRECT("rec.uni[empresa]"),AX$6)</f>
        <v>0</v>
      </c>
      <c r="AY55" s="182">
        <f ca="1">SUMIFS(rec.uni[2025-05-01],
INDIRECT("rec.uni[natureza]"),"repasse.cef.terreno",
INDIRECT("rec.uni[empresa]"),AY$6)</f>
        <v>0</v>
      </c>
      <c r="AZ55" s="182">
        <v>0</v>
      </c>
      <c r="BA55" s="182">
        <f ca="1">SUMIFS(rec.uni[2025-05-01],
INDIRECT("rec.uni[natureza]"),"taxa.extra",
INDIRECT("rec.uni[empresa]"),BA$6)</f>
        <v>0</v>
      </c>
      <c r="BB55" s="170"/>
      <c r="BC55" s="182" cm="1">
        <f t="array" ref="BC5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D55" s="182" cm="1">
        <f t="array" ref="BD5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E55" s="182" cm="1">
        <f t="array" ref="BE5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F55" s="182" cm="1">
        <f t="array" ref="BF5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G55" s="183" cm="1">
        <f t="array" ref="BG5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BH55" s="181">
        <f>COUNTIFS(
    estq[empresa], BH$6,
    estq[Data da venda / reserva], "&gt;=" &amp; $A55,
    estq[Data da venda / reserva], "&lt;"  &amp; EOMONTH($A55,0) + 1
)</f>
        <v>0</v>
      </c>
      <c r="BI55" s="182">
        <f ca="1">SUMIFS(rec.uni[2025-05-01],
INDIRECT("rec.uni[natureza]"),"pro.soluto",
INDIRECT("rec.uni[empresa]"),BI$6)</f>
        <v>0</v>
      </c>
      <c r="BJ55" s="170">
        <f>8.51*94736</f>
        <v>806203.36</v>
      </c>
      <c r="BK55" s="182">
        <f ca="1">SUMIFS(rec.uni[2025-05-01],
INDIRECT("rec.uni[natureza]"),"taxa.extra",
INDIRECT("rec.uni[empresa]"),BK$6)</f>
        <v>0</v>
      </c>
      <c r="BL55" s="170"/>
      <c r="BM55" s="182" cm="1">
        <f t="array" ref="BM5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N55" s="182" cm="1">
        <f t="array" ref="BN5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O55" s="182" cm="1">
        <f t="array" ref="BO5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P55" s="182" cm="1">
        <f t="array" ref="BP5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Q55" s="183" cm="1">
        <f t="array" ref="BQ5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R55" s="181">
        <f>COUNTIFS(
    estq[empresa], BR$6,
    estq[Data da venda / reserva], "&gt;=" &amp; $A55,
    estq[Data da venda / reserva], "&lt;"  &amp; EOMONTH($A55,0) + 1
)</f>
        <v>0</v>
      </c>
      <c r="BS55" s="182">
        <f ca="1">SUMIFS(rec.uni[2025-05-01],
INDIRECT("rec.uni[natureza]"),"pro.soluto",
INDIRECT("rec.uni[empresa]"),BS$6)</f>
        <v>0</v>
      </c>
      <c r="BT55" s="182">
        <f ca="1">SUMIFS(rec.uni[2025-05-01],
INDIRECT("rec.uni[natureza]"),"pro.soluto",
INDIRECT("rec.uni[empresa]"),BT$6)</f>
        <v>0</v>
      </c>
      <c r="BU55" s="182">
        <f ca="1">SUMIFS(rec.uni[2025-05-01],
INDIRECT("rec.uni[natureza]"),"taxa.extra",
INDIRECT("rec.uni[empresa]"),BU$6)</f>
        <v>0</v>
      </c>
      <c r="BV55" s="170"/>
      <c r="BW55" s="182" cm="1">
        <f t="array" ref="BW5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BX55" s="182" cm="1">
        <f t="array" ref="BX5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BY55" s="182" cm="1">
        <f t="array" ref="BY5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BZ55" s="182" cm="1">
        <f t="array" ref="BZ5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CA55" s="183" cm="1">
        <f t="array" ref="CA5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(desp[data.pagamento]&gt;=$A55)*
    (desp[data.pagamento]&lt;EOMONTH($A55,0)+1)
  )
)</f>
        <v>0</v>
      </c>
      <c r="CB55" s="181">
        <f>COUNTIFS(
    estq[empresa], CB$6,
    estq[Data da venda / reserva], "&gt;=" &amp; $A55,
    estq[Data da venda / reserva], "&lt;"  &amp; EOMONTH($A55,0) + 1
)</f>
        <v>0</v>
      </c>
      <c r="CC55" s="182">
        <f ca="1">SUMIFS(rec.uni[2025-05-01],
INDIRECT("rec.uni[natureza]"),"pro.soluto",
INDIRECT("rec.uni[empresa]"),CC$6)</f>
        <v>0</v>
      </c>
      <c r="CD55" s="182">
        <f ca="1">SUMIFS(rec.uni[2025-05-01],
INDIRECT("rec.uni[natureza]"),"repasse.cef.obra",
INDIRECT("rec.uni[empresa]"),CD$6)</f>
        <v>0</v>
      </c>
      <c r="CE55" s="182">
        <f ca="1">SUMIFS(rec.uni[2025-05-01],
INDIRECT("rec.uni[natureza]"),"repasse.cef.terreno",
INDIRECT("rec.uni[empresa]"),CE$6)</f>
        <v>0</v>
      </c>
      <c r="CF55" s="182">
        <v>0</v>
      </c>
      <c r="CG55" s="182">
        <f ca="1">SUMIFS(rec.uni[2025-05-01],
INDIRECT("rec.uni[natureza]"),"taxa.extra",
INDIRECT("rec.uni[empresa]"),CG$6)</f>
        <v>0</v>
      </c>
      <c r="CH55" s="170"/>
      <c r="CI55" s="182" cm="1">
        <f t="array" ref="CI5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J55" s="182" cm="1">
        <f t="array" ref="CJ5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K55" s="182" cm="1">
        <f t="array" ref="CK5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L55" s="182" cm="1">
        <f t="array" ref="CL5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M55" s="183" cm="1">
        <f t="array" ref="CM5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CN55" s="181">
        <f>COUNTIFS(
    estq[empresa], CN$6,
    estq[Data da venda / reserva], "&gt;=" &amp; $A55,
    estq[Data da venda / reserva], "&lt;"  &amp; EOMONTH($A55,0) + 1
)</f>
        <v>0</v>
      </c>
      <c r="CO55" s="182">
        <f ca="1">SUMIFS(rec.uni[2025-05-01],
INDIRECT("rec.uni[natureza]"),"pro.soluto",
INDIRECT("rec.uni[empresa]"),CO$6)</f>
        <v>0</v>
      </c>
      <c r="CP55" s="182">
        <f ca="1">SUMIFS(rec.uni[2025-05-01],
INDIRECT("rec.uni[natureza]"),"repasse.cef.obra",
INDIRECT("rec.uni[empresa]"),CP$6)</f>
        <v>0</v>
      </c>
      <c r="CQ55" s="182">
        <f ca="1">SUMIFS(rec.uni[2025-05-01],
INDIRECT("rec.uni[natureza]"),"repasse.cef.terreno",
INDIRECT("rec.uni[empresa]"),CQ$6)</f>
        <v>0</v>
      </c>
      <c r="CR55" s="182">
        <v>0</v>
      </c>
      <c r="CS55" s="182">
        <f ca="1">SUMIFS(rec.uni[2025-05-01],
INDIRECT("rec.uni[natureza]"),"taxa.extra",
INDIRECT("rec.uni[empresa]"),CS$6)</f>
        <v>0</v>
      </c>
      <c r="CT55" s="170"/>
      <c r="CU55" s="182" cm="1">
        <f t="array" ref="CU5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V55" s="182" cm="1">
        <f t="array" ref="CV5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W55" s="182" cm="1">
        <f t="array" ref="CW5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X55" s="182" cm="1">
        <f t="array" ref="CX5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Y55" s="184" cm="1">
        <f t="array" ref="CY5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</row>
    <row r="56" spans="1:103" x14ac:dyDescent="0.25">
      <c r="A56" s="180">
        <v>45809</v>
      </c>
      <c r="B56" s="181">
        <f>COUNTIFS(
    estq[empresa], B$6,
    estq[Data da venda / reserva], "&gt;=" &amp; $A56,
    estq[Data da venda / reserva], "&lt;"  &amp; EOMONTH($A56,0) + 1
)</f>
        <v>0</v>
      </c>
      <c r="C56" s="182">
        <f ca="1">SUMIFS(rec.uni[2025-06-01],
INDIRECT("rec.uni[natureza]"),"pro.soluto",
INDIRECT("rec.uni[empresa]"),C$6)</f>
        <v>0</v>
      </c>
      <c r="D56" s="182">
        <f ca="1">SUMIFS(rec.uni[2025-06-01],
INDIRECT("rec.uni[natureza]"),"repasse.cef.obra",
INDIRECT("rec.uni[empresa]"),D$6)</f>
        <v>0</v>
      </c>
      <c r="E56" s="182">
        <f ca="1">SUMIFS(rec.uni[2025-06-01],
INDIRECT("rec.uni[natureza]"),"repasse.cef.terreno",
INDIRECT("rec.uni[empresa]"),E$6)</f>
        <v>0</v>
      </c>
      <c r="F56" s="182">
        <v>289304.8</v>
      </c>
      <c r="G56" s="182">
        <f ca="1">SUMIFS(rec.uni[2025-06-01],
INDIRECT("rec.uni[natureza]"),"taxa.extra",
INDIRECT("rec.uni[empresa]"),G$6)</f>
        <v>0</v>
      </c>
      <c r="H56" s="170"/>
      <c r="I56" s="182" cm="1">
        <f t="array" ref="I5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J56" s="182" cm="1">
        <f t="array" ref="J5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K56" s="182" cm="1">
        <f t="array" ref="K5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L56" s="182" cm="1">
        <f t="array" ref="L5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M56" s="183" cm="1">
        <f t="array" ref="M5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N56" s="181">
        <f>COUNTIFS(
    estq[empresa], N$6,
    estq[Data da venda / reserva], "&gt;=" &amp; $A56,
    estq[Data da venda / reserva], "&lt;"  &amp; EOMONTH($A56,0) + 1
)</f>
        <v>0</v>
      </c>
      <c r="O56" s="182">
        <f ca="1">SUMIFS(rec.uni[2025-06-01],
INDIRECT("rec.uni[natureza]"),"pro.soluto",
INDIRECT("rec.uni[empresa]"),O$6)</f>
        <v>0</v>
      </c>
      <c r="P56" s="182">
        <f ca="1">SUMIFS(rec.uni[2025-06-01],
INDIRECT("rec.uni[natureza]"),"repasse.cef.obra",
INDIRECT("rec.uni[empresa]"),P$6)</f>
        <v>0</v>
      </c>
      <c r="Q56" s="182">
        <f ca="1">SUMIFS(rec.uni[2025-06-01],
INDIRECT("rec.uni[natureza]"),"repasse.cef.terreno",
INDIRECT("rec.uni[empresa]"),Q$6)</f>
        <v>0</v>
      </c>
      <c r="R56" s="182">
        <v>0</v>
      </c>
      <c r="S56" s="182">
        <f ca="1">SUMIFS(rec.uni[2025-06-01],
INDIRECT("rec.uni[natureza]"),"taxa.extra",
INDIRECT("rec.uni[empresa]"),S$6)</f>
        <v>0</v>
      </c>
      <c r="T56" s="170"/>
      <c r="U56" s="182" cm="1">
        <f t="array" ref="U5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V56" s="182" cm="1">
        <f t="array" ref="V5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W56" s="182" cm="1">
        <f t="array" ref="W5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X56" s="182" cm="1">
        <f t="array" ref="X5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Y56" s="183" cm="1">
        <f t="array" ref="Y5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Z56" s="181">
        <f>COUNTIFS(
    estq[empresa], Z$6,
    estq[Data da venda / reserva], "&gt;=" &amp; $A56,
    estq[Data da venda / reserva], "&lt;"  &amp; EOMONTH($A56,0) + 1
)</f>
        <v>0</v>
      </c>
      <c r="AA56" s="182">
        <f ca="1">SUMIFS(rec.uni[2025-06-01],
INDIRECT("rec.uni[natureza]"),"pro.soluto",
INDIRECT("rec.uni[empresa]"),AA$6)</f>
        <v>0</v>
      </c>
      <c r="AB56" s="182">
        <f ca="1">SUMIFS(rec.uni[2025-06-01],
INDIRECT("rec.uni[natureza]"),"pro.soluto",
INDIRECT("rec.uni[empresa]"),AB$6)</f>
        <v>0</v>
      </c>
      <c r="AC56" s="182">
        <f ca="1">SUMIFS(rec.uni[2025-06-01],
INDIRECT("rec.uni[natureza]"),"taxa.extra",
INDIRECT("rec.uni[empresa]"),AC$6)</f>
        <v>0</v>
      </c>
      <c r="AD56" s="170"/>
      <c r="AE56" s="182" cm="1">
        <f t="array" ref="AE5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F56" s="182" cm="1">
        <f t="array" ref="AF5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G56" s="182" cm="1">
        <f t="array" ref="AG5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H56" s="182" cm="1">
        <f t="array" ref="AH5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I56" s="183" cm="1">
        <f t="array" ref="AI5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(desp[data.pagamento]&gt;=$A56)*
    (desp[data.pagamento]&lt;EOMONTH($A56,0)+1)
  )
)</f>
        <v>0</v>
      </c>
      <c r="AJ56" s="181">
        <f>COUNTIFS(
    estq[empresa], AJ$6,
    estq[Data da venda / reserva], "&gt;=" &amp; $A56,
    estq[Data da venda / reserva], "&lt;"  &amp; EOMONTH($A56,0) + 1
)</f>
        <v>0</v>
      </c>
      <c r="AK56" s="182">
        <f ca="1">SUMIFS(rec.uni[2025-06-01],
INDIRECT("rec.uni[natureza]"),"pro.soluto",
INDIRECT("rec.uni[empresa]"),AK$6)</f>
        <v>0</v>
      </c>
      <c r="AL56" s="182">
        <f ca="1">SUMIFS(rec.uni[2025-06-01],
INDIRECT("rec.uni[natureza]"),"repasse.cef.obra",
INDIRECT("rec.uni[empresa]"),AL$6)</f>
        <v>0</v>
      </c>
      <c r="AM56" s="182">
        <f ca="1">SUMIFS(rec.uni[2025-06-01],
INDIRECT("rec.uni[natureza]"),"repasse.cef.terreno",
INDIRECT("rec.uni[empresa]"),AM$6)</f>
        <v>0</v>
      </c>
      <c r="AN56" s="182">
        <v>0</v>
      </c>
      <c r="AO56" s="182">
        <f ca="1">SUMIFS(rec.uni[2025-06-01],
INDIRECT("rec.uni[natureza]"),"taxa.extra",
INDIRECT("rec.uni[empresa]"),AO$6)</f>
        <v>0</v>
      </c>
      <c r="AP56" s="170"/>
      <c r="AQ56" s="182" cm="1">
        <f t="array" ref="AQ5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R56" s="182" cm="1">
        <f t="array" ref="AR5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S56" s="182" cm="1">
        <f t="array" ref="AS5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T56" s="182" cm="1">
        <f t="array" ref="AT5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U56" s="183" cm="1">
        <f t="array" ref="AU5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V56" s="181">
        <f>COUNTIFS(
    estq[empresa], AV$6,
    estq[Data da venda / reserva], "&gt;=" &amp; $A56,
    estq[Data da venda / reserva], "&lt;"  &amp; EOMONTH($A56,0) + 1
)</f>
        <v>0</v>
      </c>
      <c r="AW56" s="182">
        <f ca="1">SUMIFS(rec.uni[2025-06-01],
INDIRECT("rec.uni[natureza]"),"pro.soluto",
INDIRECT("rec.uni[empresa]"),AW$6)</f>
        <v>0</v>
      </c>
      <c r="AX56" s="182">
        <f ca="1">SUMIFS(rec.uni[2025-06-01],
INDIRECT("rec.uni[natureza]"),"repasse.cef.obra",
INDIRECT("rec.uni[empresa]"),AX$6)</f>
        <v>0</v>
      </c>
      <c r="AY56" s="182">
        <f ca="1">SUMIFS(rec.uni[2025-06-01],
INDIRECT("rec.uni[natureza]"),"repasse.cef.terreno",
INDIRECT("rec.uni[empresa]"),AY$6)</f>
        <v>0</v>
      </c>
      <c r="AZ56" s="182">
        <v>0</v>
      </c>
      <c r="BA56" s="182">
        <f ca="1">SUMIFS(rec.uni[2025-06-01],
INDIRECT("rec.uni[natureza]"),"taxa.extra",
INDIRECT("rec.uni[empresa]"),BA$6)</f>
        <v>0</v>
      </c>
      <c r="BB56" s="170"/>
      <c r="BC56" s="182" cm="1">
        <f t="array" ref="BC5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D56" s="182" cm="1">
        <f t="array" ref="BD5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E56" s="182" cm="1">
        <f t="array" ref="BE5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F56" s="182" cm="1">
        <f t="array" ref="BF5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G56" s="183" cm="1">
        <f t="array" ref="BG5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BH56" s="181">
        <f>COUNTIFS(
    estq[empresa], BH$6,
    estq[Data da venda / reserva], "&gt;=" &amp; $A56,
    estq[Data da venda / reserva], "&lt;"  &amp; EOMONTH($A56,0) + 1
)</f>
        <v>0</v>
      </c>
      <c r="BI56" s="182">
        <f ca="1">SUMIFS(rec.uni[2025-06-01],
INDIRECT("rec.uni[natureza]"),"pro.soluto",
INDIRECT("rec.uni[empresa]"),BI$6)</f>
        <v>0</v>
      </c>
      <c r="BJ56" s="170">
        <f>8.13*94736</f>
        <v>770203.68</v>
      </c>
      <c r="BK56" s="182">
        <f ca="1">SUMIFS(rec.uni[2025-06-01],
INDIRECT("rec.uni[natureza]"),"taxa.extra",
INDIRECT("rec.uni[empresa]"),BK$6)</f>
        <v>0</v>
      </c>
      <c r="BL56" s="170"/>
      <c r="BM56" s="182" cm="1">
        <f t="array" ref="BM5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N56" s="182" cm="1">
        <f t="array" ref="BN5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O56" s="182" cm="1">
        <f t="array" ref="BO5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P56" s="182" cm="1">
        <f t="array" ref="BP5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Q56" s="183" cm="1">
        <f t="array" ref="BQ5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R56" s="181">
        <f>COUNTIFS(
    estq[empresa], BR$6,
    estq[Data da venda / reserva], "&gt;=" &amp; $A56,
    estq[Data da venda / reserva], "&lt;"  &amp; EOMONTH($A56,0) + 1
)</f>
        <v>0</v>
      </c>
      <c r="BS56" s="182">
        <f ca="1">SUMIFS(rec.uni[2025-06-01],
INDIRECT("rec.uni[natureza]"),"pro.soluto",
INDIRECT("rec.uni[empresa]"),BS$6)</f>
        <v>0</v>
      </c>
      <c r="BT56" s="182">
        <f ca="1">SUMIFS(rec.uni[2025-06-01],
INDIRECT("rec.uni[natureza]"),"pro.soluto",
INDIRECT("rec.uni[empresa]"),BT$6)</f>
        <v>0</v>
      </c>
      <c r="BU56" s="182">
        <f ca="1">SUMIFS(rec.uni[2025-06-01],
INDIRECT("rec.uni[natureza]"),"taxa.extra",
INDIRECT("rec.uni[empresa]"),BU$6)</f>
        <v>0</v>
      </c>
      <c r="BV56" s="170"/>
      <c r="BW56" s="182" cm="1">
        <f t="array" ref="BW5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BX56" s="182" cm="1">
        <f t="array" ref="BX5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BY56" s="182" cm="1">
        <f t="array" ref="BY5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BZ56" s="182" cm="1">
        <f t="array" ref="BZ5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CA56" s="183" cm="1">
        <f t="array" ref="CA5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(desp[data.pagamento]&gt;=$A56)*
    (desp[data.pagamento]&lt;EOMONTH($A56,0)+1)
  )
)</f>
        <v>0</v>
      </c>
      <c r="CB56" s="181">
        <f>COUNTIFS(
    estq[empresa], CB$6,
    estq[Data da venda / reserva], "&gt;=" &amp; $A56,
    estq[Data da venda / reserva], "&lt;"  &amp; EOMONTH($A56,0) + 1
)</f>
        <v>0</v>
      </c>
      <c r="CC56" s="182">
        <f ca="1">SUMIFS(rec.uni[2025-06-01],
INDIRECT("rec.uni[natureza]"),"pro.soluto",
INDIRECT("rec.uni[empresa]"),CC$6)</f>
        <v>0</v>
      </c>
      <c r="CD56" s="182">
        <f ca="1">SUMIFS(rec.uni[2025-06-01],
INDIRECT("rec.uni[natureza]"),"repasse.cef.obra",
INDIRECT("rec.uni[empresa]"),CD$6)</f>
        <v>0</v>
      </c>
      <c r="CE56" s="182">
        <f ca="1">SUMIFS(rec.uni[2025-06-01],
INDIRECT("rec.uni[natureza]"),"repasse.cef.terreno",
INDIRECT("rec.uni[empresa]"),CE$6)</f>
        <v>0</v>
      </c>
      <c r="CF56" s="182">
        <v>0</v>
      </c>
      <c r="CG56" s="182">
        <f ca="1">SUMIFS(rec.uni[2025-06-01],
INDIRECT("rec.uni[natureza]"),"taxa.extra",
INDIRECT("rec.uni[empresa]"),CG$6)</f>
        <v>0</v>
      </c>
      <c r="CH56" s="170"/>
      <c r="CI56" s="182" cm="1">
        <f t="array" ref="CI5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J56" s="182" cm="1">
        <f t="array" ref="CJ5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K56" s="182" cm="1">
        <f t="array" ref="CK5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L56" s="182" cm="1">
        <f t="array" ref="CL5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M56" s="183" cm="1">
        <f t="array" ref="CM5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CN56" s="181">
        <f>COUNTIFS(
    estq[empresa], CN$6,
    estq[Data da venda / reserva], "&gt;=" &amp; $A56,
    estq[Data da venda / reserva], "&lt;"  &amp; EOMONTH($A56,0) + 1
)</f>
        <v>0</v>
      </c>
      <c r="CO56" s="182">
        <f ca="1">SUMIFS(rec.uni[2025-06-01],
INDIRECT("rec.uni[natureza]"),"pro.soluto",
INDIRECT("rec.uni[empresa]"),CO$6)</f>
        <v>0</v>
      </c>
      <c r="CP56" s="182">
        <f ca="1">SUMIFS(rec.uni[2025-06-01],
INDIRECT("rec.uni[natureza]"),"repasse.cef.obra",
INDIRECT("rec.uni[empresa]"),CP$6)</f>
        <v>0</v>
      </c>
      <c r="CQ56" s="182">
        <f ca="1">SUMIFS(rec.uni[2025-06-01],
INDIRECT("rec.uni[natureza]"),"repasse.cef.terreno",
INDIRECT("rec.uni[empresa]"),CQ$6)</f>
        <v>0</v>
      </c>
      <c r="CR56" s="182">
        <v>0</v>
      </c>
      <c r="CS56" s="182">
        <f ca="1">SUMIFS(rec.uni[2025-06-01],
INDIRECT("rec.uni[natureza]"),"taxa.extra",
INDIRECT("rec.uni[empresa]"),CS$6)</f>
        <v>0</v>
      </c>
      <c r="CT56" s="170"/>
      <c r="CU56" s="182" cm="1">
        <f t="array" ref="CU5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V56" s="182" cm="1">
        <f t="array" ref="CV5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W56" s="182" cm="1">
        <f t="array" ref="CW5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X56" s="182" cm="1">
        <f t="array" ref="CX5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Y56" s="184" cm="1">
        <f t="array" ref="CY5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</row>
    <row r="57" spans="1:103" x14ac:dyDescent="0.25">
      <c r="A57" s="180">
        <v>45839</v>
      </c>
      <c r="B57" s="181">
        <f>COUNTIFS(
    estq[empresa], B$6,
    estq[Data da venda / reserva], "&gt;=" &amp; $A57,
    estq[Data da venda / reserva], "&lt;"  &amp; EOMONTH($A57,0) + 1
)</f>
        <v>0</v>
      </c>
      <c r="C57" s="182">
        <f ca="1">SUMIFS(rec.uni[2025-07-01],
INDIRECT("rec.uni[natureza]"),"pro.soluto",
INDIRECT("rec.uni[empresa]"),C$6)</f>
        <v>0</v>
      </c>
      <c r="D57" s="182">
        <f ca="1">SUMIFS(rec.uni[2025-07-01],
INDIRECT("rec.uni[natureza]"),"repasse.cef.obra",
INDIRECT("rec.uni[empresa]"),D$6)</f>
        <v>0</v>
      </c>
      <c r="E57" s="182">
        <f ca="1">SUMIFS(rec.uni[2025-07-01],
INDIRECT("rec.uni[natureza]"),"repasse.cef.terreno",
INDIRECT("rec.uni[empresa]"),E$6)</f>
        <v>0</v>
      </c>
      <c r="F57" s="182">
        <v>171602.91</v>
      </c>
      <c r="G57" s="182">
        <f ca="1">SUMIFS(rec.uni[2025-07-01],
INDIRECT("rec.uni[natureza]"),"taxa.extra",
INDIRECT("rec.uni[empresa]"),G$6)</f>
        <v>0</v>
      </c>
      <c r="H57" s="170"/>
      <c r="I57" s="182" cm="1">
        <f t="array" ref="I5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J57" s="182" cm="1">
        <f t="array" ref="J5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K57" s="182" cm="1">
        <f t="array" ref="K5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L57" s="182" cm="1">
        <f t="array" ref="L5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M57" s="183" cm="1">
        <f t="array" ref="M5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N57" s="181">
        <f>COUNTIFS(
    estq[empresa], N$6,
    estq[Data da venda / reserva], "&gt;=" &amp; $A57,
    estq[Data da venda / reserva], "&lt;"  &amp; EOMONTH($A57,0) + 1
)</f>
        <v>0</v>
      </c>
      <c r="O57" s="182">
        <f ca="1">SUMIFS(rec.uni[2025-07-01],
INDIRECT("rec.uni[natureza]"),"pro.soluto",
INDIRECT("rec.uni[empresa]"),O$6)</f>
        <v>0</v>
      </c>
      <c r="P57" s="182">
        <f ca="1">SUMIFS(rec.uni[2025-07-01],
INDIRECT("rec.uni[natureza]"),"repasse.cef.obra",
INDIRECT("rec.uni[empresa]"),P$6)</f>
        <v>0</v>
      </c>
      <c r="Q57" s="182">
        <f ca="1">SUMIFS(rec.uni[2025-07-01],
INDIRECT("rec.uni[natureza]"),"repasse.cef.terreno",
INDIRECT("rec.uni[empresa]"),Q$6)</f>
        <v>0</v>
      </c>
      <c r="R57" s="182">
        <v>0</v>
      </c>
      <c r="S57" s="182">
        <f ca="1">SUMIFS(rec.uni[2025-07-01],
INDIRECT("rec.uni[natureza]"),"taxa.extra",
INDIRECT("rec.uni[empresa]"),S$6)</f>
        <v>0</v>
      </c>
      <c r="T57" s="170"/>
      <c r="U57" s="182" cm="1">
        <f t="array" ref="U5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V57" s="182" cm="1">
        <f t="array" ref="V5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W57" s="182" cm="1">
        <f t="array" ref="W5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X57" s="182" cm="1">
        <f t="array" ref="X5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Y57" s="183" cm="1">
        <f t="array" ref="Y5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Z57" s="181">
        <f>COUNTIFS(
    estq[empresa], Z$6,
    estq[Data da venda / reserva], "&gt;=" &amp; $A57,
    estq[Data da venda / reserva], "&lt;"  &amp; EOMONTH($A57,0) + 1
)</f>
        <v>0</v>
      </c>
      <c r="AA57" s="182">
        <f ca="1">SUMIFS(rec.uni[2025-07-01],
INDIRECT("rec.uni[natureza]"),"pro.soluto",
INDIRECT("rec.uni[empresa]"),AA$6)</f>
        <v>0</v>
      </c>
      <c r="AB57" s="182">
        <f ca="1">SUMIFS(rec.uni[2025-07-01],
INDIRECT("rec.uni[natureza]"),"pro.soluto",
INDIRECT("rec.uni[empresa]"),AB$6)</f>
        <v>0</v>
      </c>
      <c r="AC57" s="182">
        <f ca="1">SUMIFS(rec.uni[2025-07-01],
INDIRECT("rec.uni[natureza]"),"taxa.extra",
INDIRECT("rec.uni[empresa]"),AC$6)</f>
        <v>0</v>
      </c>
      <c r="AD57" s="170"/>
      <c r="AE57" s="182" cm="1">
        <f t="array" ref="AE5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F57" s="182" cm="1">
        <f t="array" ref="AF5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G57" s="182" cm="1">
        <f t="array" ref="AG5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H57" s="182" cm="1">
        <f t="array" ref="AH5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I57" s="183" cm="1">
        <f t="array" ref="AI5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(desp[data.pagamento]&gt;=$A57)*
    (desp[data.pagamento]&lt;EOMONTH($A57,0)+1)
  )
)</f>
        <v>0</v>
      </c>
      <c r="AJ57" s="181">
        <f>COUNTIFS(
    estq[empresa], AJ$6,
    estq[Data da venda / reserva], "&gt;=" &amp; $A57,
    estq[Data da venda / reserva], "&lt;"  &amp; EOMONTH($A57,0) + 1
)</f>
        <v>0</v>
      </c>
      <c r="AK57" s="182">
        <f ca="1">SUMIFS(rec.uni[2025-07-01],
INDIRECT("rec.uni[natureza]"),"pro.soluto",
INDIRECT("rec.uni[empresa]"),AK$6)</f>
        <v>0</v>
      </c>
      <c r="AL57" s="182">
        <f ca="1">SUMIFS(rec.uni[2025-07-01],
INDIRECT("rec.uni[natureza]"),"repasse.cef.obra",
INDIRECT("rec.uni[empresa]"),AL$6)</f>
        <v>0</v>
      </c>
      <c r="AM57" s="182">
        <f ca="1">SUMIFS(rec.uni[2025-07-01],
INDIRECT("rec.uni[natureza]"),"repasse.cef.terreno",
INDIRECT("rec.uni[empresa]"),AM$6)</f>
        <v>0</v>
      </c>
      <c r="AN57" s="182">
        <v>493410.63</v>
      </c>
      <c r="AO57" s="182">
        <f ca="1">SUMIFS(rec.uni[2025-07-01],
INDIRECT("rec.uni[natureza]"),"taxa.extra",
INDIRECT("rec.uni[empresa]"),AO$6)</f>
        <v>0</v>
      </c>
      <c r="AP57" s="170"/>
      <c r="AQ57" s="182" cm="1">
        <f t="array" ref="AQ5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R57" s="182" cm="1">
        <f t="array" ref="AR5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S57" s="182" cm="1">
        <f t="array" ref="AS5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T57" s="182" cm="1">
        <f t="array" ref="AT5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U57" s="183" cm="1">
        <f t="array" ref="AU5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V57" s="181">
        <f>COUNTIFS(
    estq[empresa], AV$6,
    estq[Data da venda / reserva], "&gt;=" &amp; $A57,
    estq[Data da venda / reserva], "&lt;"  &amp; EOMONTH($A57,0) + 1
)</f>
        <v>0</v>
      </c>
      <c r="AW57" s="182">
        <f ca="1">SUMIFS(rec.uni[2025-07-01],
INDIRECT("rec.uni[natureza]"),"pro.soluto",
INDIRECT("rec.uni[empresa]"),AW$6)</f>
        <v>0</v>
      </c>
      <c r="AX57" s="182">
        <f ca="1">SUMIFS(rec.uni[2025-07-01],
INDIRECT("rec.uni[natureza]"),"repasse.cef.obra",
INDIRECT("rec.uni[empresa]"),AX$6)</f>
        <v>0</v>
      </c>
      <c r="AY57" s="182">
        <f ca="1">SUMIFS(rec.uni[2025-07-01],
INDIRECT("rec.uni[natureza]"),"repasse.cef.terreno",
INDIRECT("rec.uni[empresa]"),AY$6)</f>
        <v>0</v>
      </c>
      <c r="AZ57" s="182">
        <v>0</v>
      </c>
      <c r="BA57" s="182">
        <f ca="1">SUMIFS(rec.uni[2025-07-01],
INDIRECT("rec.uni[natureza]"),"taxa.extra",
INDIRECT("rec.uni[empresa]"),BA$6)</f>
        <v>0</v>
      </c>
      <c r="BB57" s="170"/>
      <c r="BC57" s="182" cm="1">
        <f t="array" ref="BC5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D57" s="182" cm="1">
        <f t="array" ref="BD5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E57" s="182" cm="1">
        <f t="array" ref="BE5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F57" s="182" cm="1">
        <f t="array" ref="BF5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G57" s="183" cm="1">
        <f t="array" ref="BG5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BH57" s="181">
        <f>COUNTIFS(
    estq[empresa], BH$6,
    estq[Data da venda / reserva], "&gt;=" &amp; $A57,
    estq[Data da venda / reserva], "&lt;"  &amp; EOMONTH($A57,0) + 1
)</f>
        <v>0</v>
      </c>
      <c r="BI57" s="182">
        <f ca="1">SUMIFS(rec.uni[2025-07-01],
INDIRECT("rec.uni[natureza]"),"pro.soluto",
INDIRECT("rec.uni[empresa]"),BI$6)</f>
        <v>0</v>
      </c>
      <c r="BJ57" s="170">
        <f>10.89*94736</f>
        <v>1031675.04</v>
      </c>
      <c r="BK57" s="182">
        <f ca="1">SUMIFS(rec.uni[2025-07-01],
INDIRECT("rec.uni[natureza]"),"taxa.extra",
INDIRECT("rec.uni[empresa]"),BK$6)</f>
        <v>0</v>
      </c>
      <c r="BL57" s="170"/>
      <c r="BM57" s="182" cm="1">
        <f t="array" ref="BM5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N57" s="182" cm="1">
        <f t="array" ref="BN5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O57" s="182" cm="1">
        <f t="array" ref="BO5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P57" s="182" cm="1">
        <f t="array" ref="BP5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Q57" s="183" cm="1">
        <f t="array" ref="BQ5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R57" s="181">
        <f>COUNTIFS(
    estq[empresa], BR$6,
    estq[Data da venda / reserva], "&gt;=" &amp; $A57,
    estq[Data da venda / reserva], "&lt;"  &amp; EOMONTH($A57,0) + 1
)</f>
        <v>0</v>
      </c>
      <c r="BS57" s="182">
        <f ca="1">SUMIFS(rec.uni[2025-07-01],
INDIRECT("rec.uni[natureza]"),"pro.soluto",
INDIRECT("rec.uni[empresa]"),BS$6)</f>
        <v>0</v>
      </c>
      <c r="BT57" s="182">
        <f ca="1">SUMIFS(rec.uni[2025-07-01],
INDIRECT("rec.uni[natureza]"),"pro.soluto",
INDIRECT("rec.uni[empresa]"),BT$6)</f>
        <v>0</v>
      </c>
      <c r="BU57" s="182">
        <f ca="1">SUMIFS(rec.uni[2025-07-01],
INDIRECT("rec.uni[natureza]"),"taxa.extra",
INDIRECT("rec.uni[empresa]"),BU$6)</f>
        <v>0</v>
      </c>
      <c r="BV57" s="170"/>
      <c r="BW57" s="182" cm="1">
        <f t="array" ref="BW5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BX57" s="182" cm="1">
        <f t="array" ref="BX5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BY57" s="182" cm="1">
        <f t="array" ref="BY5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BZ57" s="182" cm="1">
        <f t="array" ref="BZ5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CA57" s="183" cm="1">
        <f t="array" ref="CA5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(desp[data.pagamento]&gt;=$A57)*
    (desp[data.pagamento]&lt;EOMONTH($A57,0)+1)
  )
)</f>
        <v>0</v>
      </c>
      <c r="CB57" s="181">
        <f>COUNTIFS(
    estq[empresa], CB$6,
    estq[Data da venda / reserva], "&gt;=" &amp; $A57,
    estq[Data da venda / reserva], "&lt;"  &amp; EOMONTH($A57,0) + 1
)</f>
        <v>0</v>
      </c>
      <c r="CC57" s="182">
        <f ca="1">SUMIFS(rec.uni[2025-07-01],
INDIRECT("rec.uni[natureza]"),"pro.soluto",
INDIRECT("rec.uni[empresa]"),CC$6)</f>
        <v>0</v>
      </c>
      <c r="CD57" s="182">
        <f ca="1">SUMIFS(rec.uni[2025-07-01],
INDIRECT("rec.uni[natureza]"),"repasse.cef.obra",
INDIRECT("rec.uni[empresa]"),CD$6)</f>
        <v>0</v>
      </c>
      <c r="CE57" s="182">
        <f ca="1">SUMIFS(rec.uni[2025-07-01],
INDIRECT("rec.uni[natureza]"),"repasse.cef.terreno",
INDIRECT("rec.uni[empresa]"),CE$6)</f>
        <v>0</v>
      </c>
      <c r="CF57" s="182">
        <v>504350.63</v>
      </c>
      <c r="CG57" s="182">
        <f ca="1">SUMIFS(rec.uni[2025-07-01],
INDIRECT("rec.uni[natureza]"),"taxa.extra",
INDIRECT("rec.uni[empresa]"),CG$6)</f>
        <v>0</v>
      </c>
      <c r="CH57" s="170"/>
      <c r="CI57" s="182" cm="1">
        <f t="array" ref="CI5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J57" s="182" cm="1">
        <f t="array" ref="CJ5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K57" s="182" cm="1">
        <f t="array" ref="CK5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L57" s="182" cm="1">
        <f t="array" ref="CL5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M57" s="183" cm="1">
        <f t="array" ref="CM5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CN57" s="181">
        <f>COUNTIFS(
    estq[empresa], CN$6,
    estq[Data da venda / reserva], "&gt;=" &amp; $A57,
    estq[Data da venda / reserva], "&lt;"  &amp; EOMONTH($A57,0) + 1
)</f>
        <v>0</v>
      </c>
      <c r="CO57" s="182">
        <f ca="1">SUMIFS(rec.uni[2025-07-01],
INDIRECT("rec.uni[natureza]"),"pro.soluto",
INDIRECT("rec.uni[empresa]"),CO$6)</f>
        <v>0</v>
      </c>
      <c r="CP57" s="182">
        <f ca="1">SUMIFS(rec.uni[2025-07-01],
INDIRECT("rec.uni[natureza]"),"repasse.cef.obra",
INDIRECT("rec.uni[empresa]"),CP$6)</f>
        <v>0</v>
      </c>
      <c r="CQ57" s="182">
        <f ca="1">SUMIFS(rec.uni[2025-07-01],
INDIRECT("rec.uni[natureza]"),"repasse.cef.terreno",
INDIRECT("rec.uni[empresa]"),CQ$6)</f>
        <v>0</v>
      </c>
      <c r="CR57" s="182">
        <v>0</v>
      </c>
      <c r="CS57" s="182">
        <f ca="1">SUMIFS(rec.uni[2025-07-01],
INDIRECT("rec.uni[natureza]"),"taxa.extra",
INDIRECT("rec.uni[empresa]"),CS$6)</f>
        <v>0</v>
      </c>
      <c r="CT57" s="170"/>
      <c r="CU57" s="182" cm="1">
        <f t="array" ref="CU5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V57" s="182" cm="1">
        <f t="array" ref="CV5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W57" s="182" cm="1">
        <f t="array" ref="CW5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X57" s="182" cm="1">
        <f t="array" ref="CX5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Y57" s="184" cm="1">
        <f t="array" ref="CY5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</row>
    <row r="58" spans="1:103" x14ac:dyDescent="0.25">
      <c r="A58" s="180">
        <v>45870</v>
      </c>
      <c r="B58" s="181">
        <f>COUNTIFS(
    estq[empresa], B$6,
    estq[Data da venda / reserva], "&gt;=" &amp; $A58,
    estq[Data da venda / reserva], "&lt;"  &amp; EOMONTH($A58,0) + 1
)</f>
        <v>0</v>
      </c>
      <c r="C58" s="182">
        <f ca="1">SUMIFS(rec.uni[2025-08-01],
INDIRECT("rec.uni[natureza]"),"pro.soluto",
INDIRECT("rec.uni[empresa]"),C$6)</f>
        <v>0</v>
      </c>
      <c r="D58" s="182">
        <f ca="1">SUMIFS(rec.uni[2025-08-01],
INDIRECT("rec.uni[natureza]"),"repasse.cef.obra",
INDIRECT("rec.uni[empresa]"),D$6)</f>
        <v>0</v>
      </c>
      <c r="E58" s="182">
        <f ca="1">SUMIFS(rec.uni[2025-08-01],
INDIRECT("rec.uni[natureza]"),"repasse.cef.terreno",
INDIRECT("rec.uni[empresa]"),E$6)</f>
        <v>0</v>
      </c>
      <c r="F58" s="182">
        <v>366306.04</v>
      </c>
      <c r="G58" s="182">
        <f ca="1">SUMIFS(rec.uni[2025-08-01],
INDIRECT("rec.uni[natureza]"),"taxa.extra",
INDIRECT("rec.uni[empresa]"),G$6)</f>
        <v>0</v>
      </c>
      <c r="H58" s="170"/>
      <c r="I58" s="182" cm="1">
        <f t="array" ref="I5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J58" s="182" cm="1">
        <f t="array" ref="J5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K58" s="182" cm="1">
        <f t="array" ref="K5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L58" s="182" cm="1">
        <f t="array" ref="L5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M58" s="183" cm="1">
        <f t="array" ref="M5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N58" s="181">
        <f>COUNTIFS(
    estq[empresa], N$6,
    estq[Data da venda / reserva], "&gt;=" &amp; $A58,
    estq[Data da venda / reserva], "&lt;"  &amp; EOMONTH($A58,0) + 1
)</f>
        <v>0</v>
      </c>
      <c r="O58" s="182">
        <f ca="1">SUMIFS(rec.uni[2025-08-01],
INDIRECT("rec.uni[natureza]"),"pro.soluto",
INDIRECT("rec.uni[empresa]"),O$6)</f>
        <v>0</v>
      </c>
      <c r="P58" s="182">
        <f ca="1">SUMIFS(rec.uni[2025-08-01],
INDIRECT("rec.uni[natureza]"),"repasse.cef.obra",
INDIRECT("rec.uni[empresa]"),P$6)</f>
        <v>0</v>
      </c>
      <c r="Q58" s="182">
        <f ca="1">SUMIFS(rec.uni[2025-08-01],
INDIRECT("rec.uni[natureza]"),"repasse.cef.terreno",
INDIRECT("rec.uni[empresa]"),Q$6)</f>
        <v>0</v>
      </c>
      <c r="R58" s="182">
        <v>0</v>
      </c>
      <c r="S58" s="182">
        <f ca="1">SUMIFS(rec.uni[2025-08-01],
INDIRECT("rec.uni[natureza]"),"taxa.extra",
INDIRECT("rec.uni[empresa]"),S$6)</f>
        <v>0</v>
      </c>
      <c r="T58" s="170"/>
      <c r="U58" s="182" cm="1">
        <f t="array" ref="U5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V58" s="182" cm="1">
        <f t="array" ref="V5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W58" s="182" cm="1">
        <f t="array" ref="W5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X58" s="182" cm="1">
        <f t="array" ref="X5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Y58" s="183" cm="1">
        <f t="array" ref="Y5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Z58" s="181">
        <f>COUNTIFS(
    estq[empresa], Z$6,
    estq[Data da venda / reserva], "&gt;=" &amp; $A58,
    estq[Data da venda / reserva], "&lt;"  &amp; EOMONTH($A58,0) + 1
)</f>
        <v>0</v>
      </c>
      <c r="AA58" s="182">
        <f ca="1">SUMIFS(rec.uni[2025-08-01],
INDIRECT("rec.uni[natureza]"),"pro.soluto",
INDIRECT("rec.uni[empresa]"),AA$6)</f>
        <v>0</v>
      </c>
      <c r="AB58" s="182">
        <f ca="1">SUMIFS(rec.uni[2025-08-01],
INDIRECT("rec.uni[natureza]"),"pro.soluto",
INDIRECT("rec.uni[empresa]"),AB$6)</f>
        <v>0</v>
      </c>
      <c r="AC58" s="182">
        <f ca="1">SUMIFS(rec.uni[2025-08-01],
INDIRECT("rec.uni[natureza]"),"taxa.extra",
INDIRECT("rec.uni[empresa]"),AC$6)</f>
        <v>0</v>
      </c>
      <c r="AD58" s="170"/>
      <c r="AE58" s="182" cm="1">
        <f t="array" ref="AE5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F58" s="182" cm="1">
        <f t="array" ref="AF5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G58" s="182" cm="1">
        <f t="array" ref="AG5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H58" s="182" cm="1">
        <f t="array" ref="AH5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I58" s="183" cm="1">
        <f t="array" ref="AI5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(desp[data.pagamento]&gt;=$A58)*
    (desp[data.pagamento]&lt;EOMONTH($A58,0)+1)
  )
)</f>
        <v>0</v>
      </c>
      <c r="AJ58" s="181">
        <f>COUNTIFS(
    estq[empresa], AJ$6,
    estq[Data da venda / reserva], "&gt;=" &amp; $A58,
    estq[Data da venda / reserva], "&lt;"  &amp; EOMONTH($A58,0) + 1
)</f>
        <v>0</v>
      </c>
      <c r="AK58" s="182">
        <f ca="1">SUMIFS(rec.uni[2025-08-01],
INDIRECT("rec.uni[natureza]"),"pro.soluto",
INDIRECT("rec.uni[empresa]"),AK$6)</f>
        <v>0</v>
      </c>
      <c r="AL58" s="182">
        <f ca="1">SUMIFS(rec.uni[2025-08-01],
INDIRECT("rec.uni[natureza]"),"repasse.cef.obra",
INDIRECT("rec.uni[empresa]"),AL$6)</f>
        <v>0</v>
      </c>
      <c r="AM58" s="182">
        <f ca="1">SUMIFS(rec.uni[2025-08-01],
INDIRECT("rec.uni[natureza]"),"repasse.cef.terreno",
INDIRECT("rec.uni[empresa]"),AM$6)</f>
        <v>0</v>
      </c>
      <c r="AN58" s="182">
        <v>831222.47</v>
      </c>
      <c r="AO58" s="182">
        <f ca="1">SUMIFS(rec.uni[2025-08-01],
INDIRECT("rec.uni[natureza]"),"taxa.extra",
INDIRECT("rec.uni[empresa]"),AO$6)</f>
        <v>0</v>
      </c>
      <c r="AP58" s="170"/>
      <c r="AQ58" s="182" cm="1">
        <f t="array" ref="AQ5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R58" s="182" cm="1">
        <f t="array" ref="AR5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S58" s="182" cm="1">
        <f t="array" ref="AS5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T58" s="182" cm="1">
        <f t="array" ref="AT5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U58" s="183" cm="1">
        <f t="array" ref="AU5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V58" s="181">
        <f>COUNTIFS(
    estq[empresa], AV$6,
    estq[Data da venda / reserva], "&gt;=" &amp; $A58,
    estq[Data da venda / reserva], "&lt;"  &amp; EOMONTH($A58,0) + 1
)</f>
        <v>0</v>
      </c>
      <c r="AW58" s="182">
        <f ca="1">SUMIFS(rec.uni[2025-08-01],
INDIRECT("rec.uni[natureza]"),"pro.soluto",
INDIRECT("rec.uni[empresa]"),AW$6)</f>
        <v>0</v>
      </c>
      <c r="AX58" s="182">
        <f ca="1">SUMIFS(rec.uni[2025-08-01],
INDIRECT("rec.uni[natureza]"),"repasse.cef.obra",
INDIRECT("rec.uni[empresa]"),AX$6)</f>
        <v>0</v>
      </c>
      <c r="AY58" s="182">
        <f ca="1">SUMIFS(rec.uni[2025-08-01],
INDIRECT("rec.uni[natureza]"),"repasse.cef.terreno",
INDIRECT("rec.uni[empresa]"),AY$6)</f>
        <v>0</v>
      </c>
      <c r="AZ58" s="182">
        <v>0</v>
      </c>
      <c r="BA58" s="182">
        <f ca="1">SUMIFS(rec.uni[2025-08-01],
INDIRECT("rec.uni[natureza]"),"taxa.extra",
INDIRECT("rec.uni[empresa]"),BA$6)</f>
        <v>0</v>
      </c>
      <c r="BB58" s="170"/>
      <c r="BC58" s="182" cm="1">
        <f t="array" ref="BC5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D58" s="182" cm="1">
        <f t="array" ref="BD5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E58" s="182" cm="1">
        <f t="array" ref="BE5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F58" s="182" cm="1">
        <f t="array" ref="BF5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G58" s="183" cm="1">
        <f t="array" ref="BG5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BH58" s="181">
        <f>COUNTIFS(
    estq[empresa], BH$6,
    estq[Data da venda / reserva], "&gt;=" &amp; $A58,
    estq[Data da venda / reserva], "&lt;"  &amp; EOMONTH($A58,0) + 1
)</f>
        <v>0</v>
      </c>
      <c r="BI58" s="182">
        <f ca="1">SUMIFS(rec.uni[2025-08-01],
INDIRECT("rec.uni[natureza]"),"pro.soluto",
INDIRECT("rec.uni[empresa]"),BI$6)</f>
        <v>0</v>
      </c>
      <c r="BJ58" s="170">
        <f>4.23*94736</f>
        <v>400733.28</v>
      </c>
      <c r="BK58" s="182">
        <f ca="1">SUMIFS(rec.uni[2025-08-01],
INDIRECT("rec.uni[natureza]"),"taxa.extra",
INDIRECT("rec.uni[empresa]"),BK$6)</f>
        <v>0</v>
      </c>
      <c r="BL58" s="170"/>
      <c r="BM58" s="182" cm="1">
        <f t="array" ref="BM5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N58" s="182" cm="1">
        <f t="array" ref="BN5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O58" s="182" cm="1">
        <f t="array" ref="BO5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P58" s="182" cm="1">
        <f t="array" ref="BP5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Q58" s="183" cm="1">
        <f t="array" ref="BQ5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R58" s="181">
        <f>COUNTIFS(
    estq[empresa], BR$6,
    estq[Data da venda / reserva], "&gt;=" &amp; $A58,
    estq[Data da venda / reserva], "&lt;"  &amp; EOMONTH($A58,0) + 1
)</f>
        <v>0</v>
      </c>
      <c r="BS58" s="182">
        <f ca="1">SUMIFS(rec.uni[2025-08-01],
INDIRECT("rec.uni[natureza]"),"pro.soluto",
INDIRECT("rec.uni[empresa]"),BS$6)</f>
        <v>0</v>
      </c>
      <c r="BT58" s="182">
        <f ca="1">SUMIFS(rec.uni[2025-08-01],
INDIRECT("rec.uni[natureza]"),"pro.soluto",
INDIRECT("rec.uni[empresa]"),BT$6)</f>
        <v>0</v>
      </c>
      <c r="BU58" s="182">
        <f ca="1">SUMIFS(rec.uni[2025-08-01],
INDIRECT("rec.uni[natureza]"),"taxa.extra",
INDIRECT("rec.uni[empresa]"),BU$6)</f>
        <v>0</v>
      </c>
      <c r="BV58" s="170"/>
      <c r="BW58" s="182" cm="1">
        <f t="array" ref="BW5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BX58" s="182" cm="1">
        <f t="array" ref="BX5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BY58" s="182" cm="1">
        <f t="array" ref="BY5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BZ58" s="182" cm="1">
        <f t="array" ref="BZ5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CA58" s="183" cm="1">
        <f t="array" ref="CA5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(desp[data.pagamento]&gt;=$A58)*
    (desp[data.pagamento]&lt;EOMONTH($A58,0)+1)
  )
)</f>
        <v>0</v>
      </c>
      <c r="CB58" s="181">
        <f>COUNTIFS(
    estq[empresa], CB$6,
    estq[Data da venda / reserva], "&gt;=" &amp; $A58,
    estq[Data da venda / reserva], "&lt;"  &amp; EOMONTH($A58,0) + 1
)</f>
        <v>0</v>
      </c>
      <c r="CC58" s="182">
        <f ca="1">SUMIFS(rec.uni[2025-08-01],
INDIRECT("rec.uni[natureza]"),"pro.soluto",
INDIRECT("rec.uni[empresa]"),CC$6)</f>
        <v>0</v>
      </c>
      <c r="CD58" s="182">
        <f ca="1">SUMIFS(rec.uni[2025-08-01],
INDIRECT("rec.uni[natureza]"),"repasse.cef.obra",
INDIRECT("rec.uni[empresa]"),CD$6)</f>
        <v>0</v>
      </c>
      <c r="CE58" s="182">
        <f ca="1">SUMIFS(rec.uni[2025-08-01],
INDIRECT("rec.uni[natureza]"),"repasse.cef.terreno",
INDIRECT("rec.uni[empresa]"),CE$6)</f>
        <v>0</v>
      </c>
      <c r="CF58" s="182">
        <v>249520.85</v>
      </c>
      <c r="CG58" s="182">
        <f ca="1">SUMIFS(rec.uni[2025-08-01],
INDIRECT("rec.uni[natureza]"),"taxa.extra",
INDIRECT("rec.uni[empresa]"),CG$6)</f>
        <v>0</v>
      </c>
      <c r="CH58" s="170"/>
      <c r="CI58" s="182" cm="1">
        <f t="array" ref="CI5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J58" s="182" cm="1">
        <f t="array" ref="CJ5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K58" s="182" cm="1">
        <f t="array" ref="CK5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L58" s="182" cm="1">
        <f t="array" ref="CL5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M58" s="183" cm="1">
        <f t="array" ref="CM5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CN58" s="181">
        <f>COUNTIFS(
    estq[empresa], CN$6,
    estq[Data da venda / reserva], "&gt;=" &amp; $A58,
    estq[Data da venda / reserva], "&lt;"  &amp; EOMONTH($A58,0) + 1
)</f>
        <v>0</v>
      </c>
      <c r="CO58" s="182">
        <f ca="1">SUMIFS(rec.uni[2025-08-01],
INDIRECT("rec.uni[natureza]"),"pro.soluto",
INDIRECT("rec.uni[empresa]"),CO$6)</f>
        <v>0</v>
      </c>
      <c r="CP58" s="182">
        <f ca="1">SUMIFS(rec.uni[2025-08-01],
INDIRECT("rec.uni[natureza]"),"repasse.cef.obra",
INDIRECT("rec.uni[empresa]"),CP$6)</f>
        <v>0</v>
      </c>
      <c r="CQ58" s="182">
        <f ca="1">SUMIFS(rec.uni[2025-08-01],
INDIRECT("rec.uni[natureza]"),"repasse.cef.terreno",
INDIRECT("rec.uni[empresa]"),CQ$6)</f>
        <v>0</v>
      </c>
      <c r="CR58" s="182">
        <v>0</v>
      </c>
      <c r="CS58" s="182">
        <f ca="1">SUMIFS(rec.uni[2025-08-01],
INDIRECT("rec.uni[natureza]"),"taxa.extra",
INDIRECT("rec.uni[empresa]"),CS$6)</f>
        <v>0</v>
      </c>
      <c r="CT58" s="170"/>
      <c r="CU58" s="182" cm="1">
        <f t="array" ref="CU5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V58" s="182" cm="1">
        <f t="array" ref="CV5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W58" s="182" cm="1">
        <f t="array" ref="CW5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X58" s="182" cm="1">
        <f t="array" ref="CX5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Y58" s="184" cm="1">
        <f t="array" ref="CY5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</row>
    <row r="59" spans="1:103" x14ac:dyDescent="0.25">
      <c r="A59" s="180">
        <v>45901</v>
      </c>
      <c r="B59" s="181">
        <f>COUNTIFS(
    estq[empresa], B$6,
    estq[Data da venda / reserva], "&gt;=" &amp; $A59,
    estq[Data da venda / reserva], "&lt;"  &amp; EOMONTH($A59,0) + 1
)</f>
        <v>0</v>
      </c>
      <c r="C59" s="182">
        <f ca="1">SUMIFS(rec.uni[2025-09-01],
INDIRECT("rec.uni[natureza]"),"pro.soluto",
INDIRECT("rec.uni[empresa]"),C$6)</f>
        <v>0</v>
      </c>
      <c r="D59" s="182">
        <f ca="1">SUMIFS(rec.uni[2025-09-01],
INDIRECT("rec.uni[natureza]"),"repasse.cef.obra",
INDIRECT("rec.uni[empresa]"),D$6)</f>
        <v>0</v>
      </c>
      <c r="E59" s="182">
        <f ca="1">SUMIFS(rec.uni[2025-09-01],
INDIRECT("rec.uni[natureza]"),"repasse.cef.terreno",
INDIRECT("rec.uni[empresa]"),E$6)</f>
        <v>0</v>
      </c>
      <c r="F59" s="182">
        <v>181081.21</v>
      </c>
      <c r="G59" s="182">
        <f ca="1">SUMIFS(rec.uni[2025-09-01],
INDIRECT("rec.uni[natureza]"),"taxa.extra",
INDIRECT("rec.uni[empresa]"),G$6)</f>
        <v>0</v>
      </c>
      <c r="H59" s="170"/>
      <c r="I59" s="182" cm="1">
        <f t="array" ref="I5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J59" s="182" cm="1">
        <f t="array" ref="J5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K59" s="182" cm="1">
        <f t="array" ref="K5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L59" s="182" cm="1">
        <f t="array" ref="L5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M59" s="183" cm="1">
        <f t="array" ref="M5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N59" s="181">
        <f>COUNTIFS(
    estq[empresa], N$6,
    estq[Data da venda / reserva], "&gt;=" &amp; $A59,
    estq[Data da venda / reserva], "&lt;"  &amp; EOMONTH($A59,0) + 1
)</f>
        <v>0</v>
      </c>
      <c r="O59" s="182">
        <f ca="1">SUMIFS(rec.uni[2025-09-01],
INDIRECT("rec.uni[natureza]"),"pro.soluto",
INDIRECT("rec.uni[empresa]"),O$6)</f>
        <v>0</v>
      </c>
      <c r="P59" s="182">
        <f ca="1">SUMIFS(rec.uni[2025-09-01],
INDIRECT("rec.uni[natureza]"),"repasse.cef.obra",
INDIRECT("rec.uni[empresa]"),P$6)</f>
        <v>0</v>
      </c>
      <c r="Q59" s="182">
        <f ca="1">SUMIFS(rec.uni[2025-09-01],
INDIRECT("rec.uni[natureza]"),"repasse.cef.terreno",
INDIRECT("rec.uni[empresa]"),Q$6)</f>
        <v>0</v>
      </c>
      <c r="R59" s="182">
        <v>0</v>
      </c>
      <c r="S59" s="182">
        <f ca="1">SUMIFS(rec.uni[2025-09-01],
INDIRECT("rec.uni[natureza]"),"taxa.extra",
INDIRECT("rec.uni[empresa]"),S$6)</f>
        <v>0</v>
      </c>
      <c r="T59" s="170"/>
      <c r="U59" s="182" cm="1">
        <f t="array" ref="U5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V59" s="182" cm="1">
        <f t="array" ref="V5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W59" s="182" cm="1">
        <f t="array" ref="W5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X59" s="182" cm="1">
        <f t="array" ref="X5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Y59" s="183" cm="1">
        <f t="array" ref="Y5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Z59" s="181">
        <f>COUNTIFS(
    estq[empresa], Z$6,
    estq[Data da venda / reserva], "&gt;=" &amp; $A59,
    estq[Data da venda / reserva], "&lt;"  &amp; EOMONTH($A59,0) + 1
)</f>
        <v>0</v>
      </c>
      <c r="AA59" s="182">
        <f ca="1">SUMIFS(rec.uni[2025-09-01],
INDIRECT("rec.uni[natureza]"),"pro.soluto",
INDIRECT("rec.uni[empresa]"),AA$6)</f>
        <v>0</v>
      </c>
      <c r="AB59" s="182">
        <f ca="1">SUMIFS(rec.uni[2025-09-01],
INDIRECT("rec.uni[natureza]"),"pro.soluto",
INDIRECT("rec.uni[empresa]"),AB$6)</f>
        <v>0</v>
      </c>
      <c r="AC59" s="182">
        <f ca="1">SUMIFS(rec.uni[2025-09-01],
INDIRECT("rec.uni[natureza]"),"taxa.extra",
INDIRECT("rec.uni[empresa]"),AC$6)</f>
        <v>0</v>
      </c>
      <c r="AD59" s="170"/>
      <c r="AE59" s="182" cm="1">
        <f t="array" ref="AE5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F59" s="182" cm="1">
        <f t="array" ref="AF5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G59" s="182" cm="1">
        <f t="array" ref="AG5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H59" s="182" cm="1">
        <f t="array" ref="AH5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I59" s="183" cm="1">
        <f t="array" ref="AI5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(desp[data.pagamento]&gt;=$A59)*
    (desp[data.pagamento]&lt;EOMONTH($A59,0)+1)
  )
)</f>
        <v>0</v>
      </c>
      <c r="AJ59" s="181">
        <f>COUNTIFS(
    estq[empresa], AJ$6,
    estq[Data da venda / reserva], "&gt;=" &amp; $A59,
    estq[Data da venda / reserva], "&lt;"  &amp; EOMONTH($A59,0) + 1
)</f>
        <v>0</v>
      </c>
      <c r="AK59" s="182">
        <f ca="1">SUMIFS(rec.uni[2025-09-01],
INDIRECT("rec.uni[natureza]"),"pro.soluto",
INDIRECT("rec.uni[empresa]"),AK$6)</f>
        <v>0</v>
      </c>
      <c r="AL59" s="182">
        <f ca="1">SUMIFS(rec.uni[2025-09-01],
INDIRECT("rec.uni[natureza]"),"repasse.cef.obra",
INDIRECT("rec.uni[empresa]"),AL$6)</f>
        <v>0</v>
      </c>
      <c r="AM59" s="182">
        <f ca="1">SUMIFS(rec.uni[2025-09-01],
INDIRECT("rec.uni[natureza]"),"repasse.cef.terreno",
INDIRECT("rec.uni[empresa]"),AM$6)</f>
        <v>0</v>
      </c>
      <c r="AN59" s="182">
        <v>229516.7</v>
      </c>
      <c r="AO59" s="182">
        <f ca="1">SUMIFS(rec.uni[2025-09-01],
INDIRECT("rec.uni[natureza]"),"taxa.extra",
INDIRECT("rec.uni[empresa]"),AO$6)</f>
        <v>0</v>
      </c>
      <c r="AP59" s="170"/>
      <c r="AQ59" s="182" cm="1">
        <f t="array" ref="AQ5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R59" s="182" cm="1">
        <f t="array" ref="AR5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S59" s="182" cm="1">
        <f t="array" ref="AS5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T59" s="182" cm="1">
        <f t="array" ref="AT5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U59" s="183" cm="1">
        <f t="array" ref="AU5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V59" s="181">
        <f>COUNTIFS(
    estq[empresa], AV$6,
    estq[Data da venda / reserva], "&gt;=" &amp; $A59,
    estq[Data da venda / reserva], "&lt;"  &amp; EOMONTH($A59,0) + 1
)</f>
        <v>0</v>
      </c>
      <c r="AW59" s="182">
        <f ca="1">SUMIFS(rec.uni[2025-09-01],
INDIRECT("rec.uni[natureza]"),"pro.soluto",
INDIRECT("rec.uni[empresa]"),AW$6)</f>
        <v>0</v>
      </c>
      <c r="AX59" s="182">
        <f ca="1">SUMIFS(rec.uni[2025-09-01],
INDIRECT("rec.uni[natureza]"),"repasse.cef.obra",
INDIRECT("rec.uni[empresa]"),AX$6)</f>
        <v>0</v>
      </c>
      <c r="AY59" s="182">
        <f ca="1">SUMIFS(rec.uni[2025-09-01],
INDIRECT("rec.uni[natureza]"),"repasse.cef.terreno",
INDIRECT("rec.uni[empresa]"),AY$6)</f>
        <v>0</v>
      </c>
      <c r="AZ59" s="182">
        <v>0</v>
      </c>
      <c r="BA59" s="182">
        <f ca="1">SUMIFS(rec.uni[2025-09-01],
INDIRECT("rec.uni[natureza]"),"taxa.extra",
INDIRECT("rec.uni[empresa]"),BA$6)</f>
        <v>0</v>
      </c>
      <c r="BB59" s="170"/>
      <c r="BC59" s="182" cm="1">
        <f t="array" ref="BC5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D59" s="182" cm="1">
        <f t="array" ref="BD5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E59" s="182" cm="1">
        <f t="array" ref="BE5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F59" s="182" cm="1">
        <f t="array" ref="BF5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G59" s="183" cm="1">
        <f t="array" ref="BG5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BH59" s="181">
        <f>COUNTIFS(
    estq[empresa], BH$6,
    estq[Data da venda / reserva], "&gt;=" &amp; $A59,
    estq[Data da venda / reserva], "&lt;"  &amp; EOMONTH($A59,0) + 1
)</f>
        <v>0</v>
      </c>
      <c r="BI59" s="182">
        <f ca="1">SUMIFS(rec.uni[2025-09-01],
INDIRECT("rec.uni[natureza]"),"pro.soluto",
INDIRECT("rec.uni[empresa]"),BI$6)</f>
        <v>0</v>
      </c>
      <c r="BJ59" s="170">
        <f>3.65*94736</f>
        <v>345786.39999999997</v>
      </c>
      <c r="BK59" s="182">
        <f ca="1">SUMIFS(rec.uni[2025-09-01],
INDIRECT("rec.uni[natureza]"),"taxa.extra",
INDIRECT("rec.uni[empresa]"),BK$6)</f>
        <v>0</v>
      </c>
      <c r="BL59" s="170"/>
      <c r="BM59" s="182" cm="1">
        <f t="array" ref="BM5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N59" s="182" cm="1">
        <f t="array" ref="BN5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O59" s="182" cm="1">
        <f t="array" ref="BO5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P59" s="182" cm="1">
        <f t="array" ref="BP5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Q59" s="183" cm="1">
        <f t="array" ref="BQ5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R59" s="181">
        <f>COUNTIFS(
    estq[empresa], BR$6,
    estq[Data da venda / reserva], "&gt;=" &amp; $A59,
    estq[Data da venda / reserva], "&lt;"  &amp; EOMONTH($A59,0) + 1
)</f>
        <v>0</v>
      </c>
      <c r="BS59" s="182">
        <f ca="1">SUMIFS(rec.uni[2025-09-01],
INDIRECT("rec.uni[natureza]"),"pro.soluto",
INDIRECT("rec.uni[empresa]"),BS$6)</f>
        <v>0</v>
      </c>
      <c r="BT59" s="182">
        <f ca="1">SUMIFS(rec.uni[2025-09-01],
INDIRECT("rec.uni[natureza]"),"pro.soluto",
INDIRECT("rec.uni[empresa]"),BT$6)</f>
        <v>0</v>
      </c>
      <c r="BU59" s="182">
        <f ca="1">SUMIFS(rec.uni[2025-09-01],
INDIRECT("rec.uni[natureza]"),"taxa.extra",
INDIRECT("rec.uni[empresa]"),BU$6)</f>
        <v>0</v>
      </c>
      <c r="BV59" s="170"/>
      <c r="BW59" s="182" cm="1">
        <f t="array" ref="BW5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BX59" s="182" cm="1">
        <f t="array" ref="BX5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BY59" s="182" cm="1">
        <f t="array" ref="BY5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BZ59" s="182" cm="1">
        <f t="array" ref="BZ5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CA59" s="183" cm="1">
        <f t="array" ref="CA5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(desp[data.pagamento]&gt;=$A59)*
    (desp[data.pagamento]&lt;EOMONTH($A59,0)+1)
  )
)</f>
        <v>0</v>
      </c>
      <c r="CB59" s="181">
        <f>COUNTIFS(
    estq[empresa], CB$6,
    estq[Data da venda / reserva], "&gt;=" &amp; $A59,
    estq[Data da venda / reserva], "&lt;"  &amp; EOMONTH($A59,0) + 1
)</f>
        <v>0</v>
      </c>
      <c r="CC59" s="182">
        <f ca="1">SUMIFS(rec.uni[2025-09-01],
INDIRECT("rec.uni[natureza]"),"pro.soluto",
INDIRECT("rec.uni[empresa]"),CC$6)</f>
        <v>0</v>
      </c>
      <c r="CD59" s="182">
        <f ca="1">SUMIFS(rec.uni[2025-09-01],
INDIRECT("rec.uni[natureza]"),"repasse.cef.obra",
INDIRECT("rec.uni[empresa]"),CD$6)</f>
        <v>0</v>
      </c>
      <c r="CE59" s="182">
        <f ca="1">SUMIFS(rec.uni[2025-09-01],
INDIRECT("rec.uni[natureza]"),"repasse.cef.terreno",
INDIRECT("rec.uni[empresa]"),CE$6)</f>
        <v>0</v>
      </c>
      <c r="CF59" s="182">
        <v>315799.90000000002</v>
      </c>
      <c r="CG59" s="182">
        <f ca="1">SUMIFS(rec.uni[2025-09-01],
INDIRECT("rec.uni[natureza]"),"taxa.extra",
INDIRECT("rec.uni[empresa]"),CG$6)</f>
        <v>0</v>
      </c>
      <c r="CH59" s="170"/>
      <c r="CI59" s="182" cm="1">
        <f t="array" ref="CI5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J59" s="182" cm="1">
        <f t="array" ref="CJ5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K59" s="182" cm="1">
        <f t="array" ref="CK5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L59" s="182" cm="1">
        <f t="array" ref="CL5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M59" s="183" cm="1">
        <f t="array" ref="CM5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CN59" s="181">
        <f>COUNTIFS(
    estq[empresa], CN$6,
    estq[Data da venda / reserva], "&gt;=" &amp; $A59,
    estq[Data da venda / reserva], "&lt;"  &amp; EOMONTH($A59,0) + 1
)</f>
        <v>0</v>
      </c>
      <c r="CO59" s="182">
        <f ca="1">SUMIFS(rec.uni[2025-09-01],
INDIRECT("rec.uni[natureza]"),"pro.soluto",
INDIRECT("rec.uni[empresa]"),CO$6)</f>
        <v>0</v>
      </c>
      <c r="CP59" s="182">
        <f ca="1">SUMIFS(rec.uni[2025-09-01],
INDIRECT("rec.uni[natureza]"),"repasse.cef.obra",
INDIRECT("rec.uni[empresa]"),CP$6)</f>
        <v>0</v>
      </c>
      <c r="CQ59" s="182">
        <f ca="1">SUMIFS(rec.uni[2025-09-01],
INDIRECT("rec.uni[natureza]"),"repasse.cef.terreno",
INDIRECT("rec.uni[empresa]"),CQ$6)</f>
        <v>0</v>
      </c>
      <c r="CR59" s="182">
        <v>0</v>
      </c>
      <c r="CS59" s="182">
        <f ca="1">SUMIFS(rec.uni[2025-09-01],
INDIRECT("rec.uni[natureza]"),"taxa.extra",
INDIRECT("rec.uni[empresa]"),CS$6)</f>
        <v>0</v>
      </c>
      <c r="CT59" s="170"/>
      <c r="CU59" s="182" cm="1">
        <f t="array" ref="CU5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V59" s="182" cm="1">
        <f t="array" ref="CV5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W59" s="182" cm="1">
        <f t="array" ref="CW5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X59" s="182" cm="1">
        <f t="array" ref="CX5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Y59" s="184" cm="1">
        <f t="array" ref="CY5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</row>
    <row r="60" spans="1:103" x14ac:dyDescent="0.25">
      <c r="A60" s="180">
        <v>45931</v>
      </c>
      <c r="B60" s="181">
        <f>COUNTIFS(
    estq[empresa], B$6,
    estq[Data da venda / reserva], "&gt;=" &amp; $A60,
    estq[Data da venda / reserva], "&lt;"  &amp; EOMONTH($A60,0) + 1
)</f>
        <v>0</v>
      </c>
      <c r="C60" s="182">
        <f ca="1">SUMIFS(rec.uni[2025-10-01],
INDIRECT("rec.uni[natureza]"),"pro.soluto",
INDIRECT("rec.uni[empresa]"),C$6)</f>
        <v>0</v>
      </c>
      <c r="D60" s="182">
        <f ca="1">SUMIFS(rec.uni[2025-10-01],
INDIRECT("rec.uni[natureza]"),"repasse.cef.obra",
INDIRECT("rec.uni[empresa]"),D$6)</f>
        <v>0</v>
      </c>
      <c r="E60" s="182">
        <f ca="1">SUMIFS(rec.uni[2025-10-01],
INDIRECT("rec.uni[natureza]"),"repasse.cef.terreno",
INDIRECT("rec.uni[empresa]"),E$6)</f>
        <v>0</v>
      </c>
      <c r="F60" s="182">
        <v>266613.7</v>
      </c>
      <c r="G60" s="182">
        <f ca="1">SUMIFS(rec.uni[2025-10-01],
INDIRECT("rec.uni[natureza]"),"taxa.extra",
INDIRECT("rec.uni[empresa]"),G$6)</f>
        <v>0</v>
      </c>
      <c r="H60" s="170"/>
      <c r="I60" s="182" cm="1">
        <f t="array" ref="I6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J60" s="182" cm="1">
        <f t="array" ref="J6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K60" s="182" cm="1">
        <f t="array" ref="K6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L60" s="182" cm="1">
        <f t="array" ref="L6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M60" s="183" cm="1">
        <f t="array" ref="M6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N60" s="181">
        <f>COUNTIFS(
    estq[empresa], N$6,
    estq[Data da venda / reserva], "&gt;=" &amp; $A60,
    estq[Data da venda / reserva], "&lt;"  &amp; EOMONTH($A60,0) + 1
)</f>
        <v>0</v>
      </c>
      <c r="O60" s="182">
        <f ca="1">SUMIFS(rec.uni[2025-10-01],
INDIRECT("rec.uni[natureza]"),"pro.soluto",
INDIRECT("rec.uni[empresa]"),O$6)</f>
        <v>0</v>
      </c>
      <c r="P60" s="182">
        <f ca="1">SUMIFS(rec.uni[2025-10-01],
INDIRECT("rec.uni[natureza]"),"repasse.cef.obra",
INDIRECT("rec.uni[empresa]"),P$6)</f>
        <v>0</v>
      </c>
      <c r="Q60" s="182">
        <f ca="1">SUMIFS(rec.uni[2025-10-01],
INDIRECT("rec.uni[natureza]"),"repasse.cef.terreno",
INDIRECT("rec.uni[empresa]"),Q$6)</f>
        <v>0</v>
      </c>
      <c r="R60" s="182">
        <v>0</v>
      </c>
      <c r="S60" s="182">
        <f ca="1">SUMIFS(rec.uni[2025-10-01],
INDIRECT("rec.uni[natureza]"),"taxa.extra",
INDIRECT("rec.uni[empresa]"),S$6)</f>
        <v>0</v>
      </c>
      <c r="T60" s="170"/>
      <c r="U60" s="182" cm="1">
        <f t="array" ref="U6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V60" s="182" cm="1">
        <f t="array" ref="V6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W60" s="182" cm="1">
        <f t="array" ref="W6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X60" s="182" cm="1">
        <f t="array" ref="X6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Y60" s="183" cm="1">
        <f t="array" ref="Y6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Z60" s="181">
        <f>COUNTIFS(
    estq[empresa], Z$6,
    estq[Data da venda / reserva], "&gt;=" &amp; $A60,
    estq[Data da venda / reserva], "&lt;"  &amp; EOMONTH($A60,0) + 1
)</f>
        <v>0</v>
      </c>
      <c r="AA60" s="182">
        <f ca="1">SUMIFS(rec.uni[2025-10-01],
INDIRECT("rec.uni[natureza]"),"pro.soluto",
INDIRECT("rec.uni[empresa]"),AA$6)</f>
        <v>0</v>
      </c>
      <c r="AB60" s="182">
        <f ca="1">SUMIFS(rec.uni[2025-10-01],
INDIRECT("rec.uni[natureza]"),"pro.soluto",
INDIRECT("rec.uni[empresa]"),AB$6)</f>
        <v>0</v>
      </c>
      <c r="AC60" s="182">
        <f ca="1">SUMIFS(rec.uni[2025-10-01],
INDIRECT("rec.uni[natureza]"),"taxa.extra",
INDIRECT("rec.uni[empresa]"),AC$6)</f>
        <v>0</v>
      </c>
      <c r="AD60" s="170"/>
      <c r="AE60" s="182" cm="1">
        <f t="array" ref="AE6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F60" s="182" cm="1">
        <f t="array" ref="AF6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G60" s="182" cm="1">
        <f t="array" ref="AG6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H60" s="182" cm="1">
        <f t="array" ref="AH6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I60" s="183" cm="1">
        <f t="array" ref="AI6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(desp[data.pagamento]&gt;=$A60)*
    (desp[data.pagamento]&lt;EOMONTH($A60,0)+1)
  )
)</f>
        <v>0</v>
      </c>
      <c r="AJ60" s="181">
        <f>COUNTIFS(
    estq[empresa], AJ$6,
    estq[Data da venda / reserva], "&gt;=" &amp; $A60,
    estq[Data da venda / reserva], "&lt;"  &amp; EOMONTH($A60,0) + 1
)</f>
        <v>0</v>
      </c>
      <c r="AK60" s="182">
        <f ca="1">SUMIFS(rec.uni[2025-10-01],
INDIRECT("rec.uni[natureza]"),"pro.soluto",
INDIRECT("rec.uni[empresa]"),AK$6)</f>
        <v>0</v>
      </c>
      <c r="AL60" s="182">
        <f ca="1">SUMIFS(rec.uni[2025-10-01],
INDIRECT("rec.uni[natureza]"),"repasse.cef.obra",
INDIRECT("rec.uni[empresa]"),AL$6)</f>
        <v>0</v>
      </c>
      <c r="AM60" s="182">
        <f ca="1">SUMIFS(rec.uni[2025-10-01],
INDIRECT("rec.uni[natureza]"),"repasse.cef.terreno",
INDIRECT("rec.uni[empresa]"),AM$6)</f>
        <v>0</v>
      </c>
      <c r="AN60" s="182">
        <v>314892.83</v>
      </c>
      <c r="AO60" s="182">
        <f ca="1">SUMIFS(rec.uni[2025-10-01],
INDIRECT("rec.uni[natureza]"),"taxa.extra",
INDIRECT("rec.uni[empresa]"),AO$6)</f>
        <v>0</v>
      </c>
      <c r="AP60" s="170"/>
      <c r="AQ60" s="182" cm="1">
        <f t="array" ref="AQ6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R60" s="182" cm="1">
        <f t="array" ref="AR6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S60" s="182" cm="1">
        <f t="array" ref="AS6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T60" s="182" cm="1">
        <f t="array" ref="AT6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U60" s="183" cm="1">
        <f t="array" ref="AU6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V60" s="181">
        <f>COUNTIFS(
    estq[empresa], AV$6,
    estq[Data da venda / reserva], "&gt;=" &amp; $A60,
    estq[Data da venda / reserva], "&lt;"  &amp; EOMONTH($A60,0) + 1
)</f>
        <v>0</v>
      </c>
      <c r="AW60" s="182">
        <f ca="1">SUMIFS(rec.uni[2025-10-01],
INDIRECT("rec.uni[natureza]"),"pro.soluto",
INDIRECT("rec.uni[empresa]"),AW$6)</f>
        <v>0</v>
      </c>
      <c r="AX60" s="182">
        <f ca="1">SUMIFS(rec.uni[2025-10-01],
INDIRECT("rec.uni[natureza]"),"repasse.cef.obra",
INDIRECT("rec.uni[empresa]"),AX$6)</f>
        <v>0</v>
      </c>
      <c r="AY60" s="182">
        <f ca="1">SUMIFS(rec.uni[2025-10-01],
INDIRECT("rec.uni[natureza]"),"repasse.cef.terreno",
INDIRECT("rec.uni[empresa]"),AY$6)</f>
        <v>0</v>
      </c>
      <c r="AZ60" s="182">
        <v>0</v>
      </c>
      <c r="BA60" s="182">
        <f ca="1">SUMIFS(rec.uni[2025-10-01],
INDIRECT("rec.uni[natureza]"),"taxa.extra",
INDIRECT("rec.uni[empresa]"),BA$6)</f>
        <v>0</v>
      </c>
      <c r="BB60" s="170"/>
      <c r="BC60" s="182" cm="1">
        <f t="array" ref="BC6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D60" s="182" cm="1">
        <f t="array" ref="BD6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E60" s="182" cm="1">
        <f t="array" ref="BE6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F60" s="182" cm="1">
        <f t="array" ref="BF6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G60" s="183" cm="1">
        <f t="array" ref="BG6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BH60" s="181">
        <f>COUNTIFS(
    estq[empresa], BH$6,
    estq[Data da venda / reserva], "&gt;=" &amp; $A60,
    estq[Data da venda / reserva], "&lt;"  &amp; EOMONTH($A60,0) + 1
)</f>
        <v>0</v>
      </c>
      <c r="BI60" s="182">
        <f ca="1">SUMIFS(rec.uni[2025-10-01],
INDIRECT("rec.uni[natureza]"),"pro.soluto",
INDIRECT("rec.uni[empresa]"),BI$6)</f>
        <v>0</v>
      </c>
      <c r="BJ60" s="170">
        <f>6.57*94736</f>
        <v>622415.52</v>
      </c>
      <c r="BK60" s="182">
        <f ca="1">SUMIFS(rec.uni[2025-10-01],
INDIRECT("rec.uni[natureza]"),"taxa.extra",
INDIRECT("rec.uni[empresa]"),BK$6)</f>
        <v>0</v>
      </c>
      <c r="BL60" s="170"/>
      <c r="BM60" s="182" cm="1">
        <f t="array" ref="BM6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N60" s="182" cm="1">
        <f t="array" ref="BN6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O60" s="182" cm="1">
        <f t="array" ref="BO6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P60" s="182" cm="1">
        <f t="array" ref="BP6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Q60" s="183" cm="1">
        <f t="array" ref="BQ6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R60" s="181">
        <f>COUNTIFS(
    estq[empresa], BR$6,
    estq[Data da venda / reserva], "&gt;=" &amp; $A60,
    estq[Data da venda / reserva], "&lt;"  &amp; EOMONTH($A60,0) + 1
)</f>
        <v>0</v>
      </c>
      <c r="BS60" s="182">
        <f ca="1">SUMIFS(rec.uni[2025-10-01],
INDIRECT("rec.uni[natureza]"),"pro.soluto",
INDIRECT("rec.uni[empresa]"),BS$6)</f>
        <v>0</v>
      </c>
      <c r="BT60" s="182">
        <f ca="1">SUMIFS(rec.uni[2025-10-01],
INDIRECT("rec.uni[natureza]"),"pro.soluto",
INDIRECT("rec.uni[empresa]"),BT$6)</f>
        <v>0</v>
      </c>
      <c r="BU60" s="182">
        <f ca="1">SUMIFS(rec.uni[2025-10-01],
INDIRECT("rec.uni[natureza]"),"taxa.extra",
INDIRECT("rec.uni[empresa]"),BU$6)</f>
        <v>0</v>
      </c>
      <c r="BV60" s="170"/>
      <c r="BW60" s="182" cm="1">
        <f t="array" ref="BW6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BX60" s="182" cm="1">
        <f t="array" ref="BX6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BY60" s="182" cm="1">
        <f t="array" ref="BY6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BZ60" s="182" cm="1">
        <f t="array" ref="BZ6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CA60" s="183" cm="1">
        <f t="array" ref="CA6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(desp[data.pagamento]&gt;=$A60)*
    (desp[data.pagamento]&lt;EOMONTH($A60,0)+1)
  )
)</f>
        <v>0</v>
      </c>
      <c r="CB60" s="181">
        <f>COUNTIFS(
    estq[empresa], CB$6,
    estq[Data da venda / reserva], "&gt;=" &amp; $A60,
    estq[Data da venda / reserva], "&lt;"  &amp; EOMONTH($A60,0) + 1
)</f>
        <v>0</v>
      </c>
      <c r="CC60" s="182">
        <f ca="1">SUMIFS(rec.uni[2025-10-01],
INDIRECT("rec.uni[natureza]"),"pro.soluto",
INDIRECT("rec.uni[empresa]"),CC$6)</f>
        <v>0</v>
      </c>
      <c r="CD60" s="182">
        <f ca="1">SUMIFS(rec.uni[2025-10-01],
INDIRECT("rec.uni[natureza]"),"repasse.cef.obra",
INDIRECT("rec.uni[empresa]"),CD$6)</f>
        <v>0</v>
      </c>
      <c r="CE60" s="182">
        <f ca="1">SUMIFS(rec.uni[2025-10-01],
INDIRECT("rec.uni[natureza]"),"repasse.cef.terreno",
INDIRECT("rec.uni[empresa]"),CE$6)</f>
        <v>0</v>
      </c>
      <c r="CF60" s="182">
        <v>165252.20000000001</v>
      </c>
      <c r="CG60" s="182">
        <f ca="1">SUMIFS(rec.uni[2025-10-01],
INDIRECT("rec.uni[natureza]"),"taxa.extra",
INDIRECT("rec.uni[empresa]"),CG$6)</f>
        <v>0</v>
      </c>
      <c r="CH60" s="170"/>
      <c r="CI60" s="182" cm="1">
        <f t="array" ref="CI6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J60" s="182" cm="1">
        <f t="array" ref="CJ6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K60" s="182" cm="1">
        <f t="array" ref="CK6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L60" s="182" cm="1">
        <f t="array" ref="CL6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M60" s="183" cm="1">
        <f t="array" ref="CM6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CN60" s="181">
        <f>COUNTIFS(
    estq[empresa], CN$6,
    estq[Data da venda / reserva], "&gt;=" &amp; $A60,
    estq[Data da venda / reserva], "&lt;"  &amp; EOMONTH($A60,0) + 1
)</f>
        <v>0</v>
      </c>
      <c r="CO60" s="182">
        <f ca="1">SUMIFS(rec.uni[2025-10-01],
INDIRECT("rec.uni[natureza]"),"pro.soluto",
INDIRECT("rec.uni[empresa]"),CO$6)</f>
        <v>0</v>
      </c>
      <c r="CP60" s="182">
        <f ca="1">SUMIFS(rec.uni[2025-10-01],
INDIRECT("rec.uni[natureza]"),"repasse.cef.obra",
INDIRECT("rec.uni[empresa]"),CP$6)</f>
        <v>0</v>
      </c>
      <c r="CQ60" s="182">
        <f ca="1">SUMIFS(rec.uni[2025-10-01],
INDIRECT("rec.uni[natureza]"),"repasse.cef.terreno",
INDIRECT("rec.uni[empresa]"),CQ$6)</f>
        <v>0</v>
      </c>
      <c r="CR60" s="182">
        <v>0</v>
      </c>
      <c r="CS60" s="182">
        <f ca="1">SUMIFS(rec.uni[2025-10-01],
INDIRECT("rec.uni[natureza]"),"taxa.extra",
INDIRECT("rec.uni[empresa]"),CS$6)</f>
        <v>0</v>
      </c>
      <c r="CT60" s="170"/>
      <c r="CU60" s="182" cm="1">
        <f t="array" ref="CU6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V60" s="182" cm="1">
        <f t="array" ref="CV6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W60" s="182" cm="1">
        <f t="array" ref="CW6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X60" s="182" cm="1">
        <f t="array" ref="CX6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Y60" s="184" cm="1">
        <f t="array" ref="CY6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</row>
    <row r="61" spans="1:103" x14ac:dyDescent="0.25">
      <c r="A61" s="180">
        <v>45962</v>
      </c>
      <c r="B61" s="181">
        <f>COUNTIFS(
    estq[empresa], B$6,
    estq[Data da venda / reserva], "&gt;=" &amp; $A61,
    estq[Data da venda / reserva], "&lt;"  &amp; EOMONTH($A61,0) + 1
)</f>
        <v>0</v>
      </c>
      <c r="C61" s="182">
        <f ca="1">SUMIFS(rec.uni[2025-11-01],
INDIRECT("rec.uni[natureza]"),"pro.soluto",
INDIRECT("rec.uni[empresa]"),C$6)</f>
        <v>0</v>
      </c>
      <c r="D61" s="182">
        <f ca="1">SUMIFS(rec.uni[2025-11-01],
INDIRECT("rec.uni[natureza]"),"repasse.cef.obra",
INDIRECT("rec.uni[empresa]"),D$6)</f>
        <v>0</v>
      </c>
      <c r="E61" s="182">
        <f ca="1">SUMIFS(rec.uni[2025-11-01],
INDIRECT("rec.uni[natureza]"),"repasse.cef.terreno",
INDIRECT("rec.uni[empresa]"),E$6)</f>
        <v>0</v>
      </c>
      <c r="F61" s="185">
        <v>230479.34</v>
      </c>
      <c r="G61" s="182">
        <f ca="1">SUMIFS(rec.uni[2025-11-01],
INDIRECT("rec.uni[natureza]"),"taxa.extra",
INDIRECT("rec.uni[empresa]"),G$6)</f>
        <v>0</v>
      </c>
      <c r="H61" s="170"/>
      <c r="I61" s="182" cm="1">
        <f t="array" ref="I6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J61" s="182" cm="1">
        <f t="array" ref="J6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K61" s="182" cm="1">
        <f t="array" ref="K6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L61" s="182" cm="1">
        <f t="array" ref="L6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M61" s="183" cm="1">
        <f t="array" ref="M6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N61" s="181">
        <f>COUNTIFS(
    estq[empresa], N$6,
    estq[Data da venda / reserva], "&gt;=" &amp; $A61,
    estq[Data da venda / reserva], "&lt;"  &amp; EOMONTH($A61,0) + 1
)</f>
        <v>0</v>
      </c>
      <c r="O61" s="182">
        <f ca="1">SUMIFS(rec.uni[2025-11-01],
INDIRECT("rec.uni[natureza]"),"pro.soluto",
INDIRECT("rec.uni[empresa]"),O$6)</f>
        <v>0</v>
      </c>
      <c r="P61" s="182">
        <f ca="1">SUMIFS(rec.uni[2025-11-01],
INDIRECT("rec.uni[natureza]"),"repasse.cef.obra",
INDIRECT("rec.uni[empresa]"),P$6)</f>
        <v>0</v>
      </c>
      <c r="Q61" s="182">
        <f ca="1">SUMIFS(rec.uni[2025-11-01],
INDIRECT("rec.uni[natureza]"),"repasse.cef.terreno",
INDIRECT("rec.uni[empresa]"),Q$6)</f>
        <v>0</v>
      </c>
      <c r="R61" s="185">
        <v>0</v>
      </c>
      <c r="S61" s="182">
        <f ca="1">SUMIFS(rec.uni[2025-11-01],
INDIRECT("rec.uni[natureza]"),"taxa.extra",
INDIRECT("rec.uni[empresa]"),S$6)</f>
        <v>0</v>
      </c>
      <c r="T61" s="170"/>
      <c r="U61" s="182" cm="1">
        <f t="array" ref="U6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V61" s="182" cm="1">
        <f t="array" ref="V6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W61" s="182" cm="1">
        <f t="array" ref="W6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X61" s="182" cm="1">
        <f t="array" ref="X6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Y61" s="183" cm="1">
        <f t="array" ref="Y6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Z61" s="181">
        <f>COUNTIFS(
    estq[empresa], Z$6,
    estq[Data da venda / reserva], "&gt;=" &amp; $A61,
    estq[Data da venda / reserva], "&lt;"  &amp; EOMONTH($A61,0) + 1
)</f>
        <v>0</v>
      </c>
      <c r="AA61" s="182">
        <f ca="1">SUMIFS(rec.uni[2025-11-01],
INDIRECT("rec.uni[natureza]"),"pro.soluto",
INDIRECT("rec.uni[empresa]"),AA$6)</f>
        <v>0</v>
      </c>
      <c r="AB61" s="182">
        <f ca="1">SUMIFS(rec.uni[2025-11-01],
INDIRECT("rec.uni[natureza]"),"pro.soluto",
INDIRECT("rec.uni[empresa]"),AB$6)</f>
        <v>0</v>
      </c>
      <c r="AC61" s="182">
        <f ca="1">SUMIFS(rec.uni[2025-11-01],
INDIRECT("rec.uni[natureza]"),"taxa.extra",
INDIRECT("rec.uni[empresa]"),AC$6)</f>
        <v>0</v>
      </c>
      <c r="AD61" s="170"/>
      <c r="AE61" s="182" cm="1">
        <f t="array" ref="AE6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F61" s="182" cm="1">
        <f t="array" ref="AF6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G61" s="182" cm="1">
        <f t="array" ref="AG6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H61" s="182" cm="1">
        <f t="array" ref="AH6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I61" s="183" cm="1">
        <f t="array" ref="AI6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(desp[data.pagamento]&gt;=$A61)*
    (desp[data.pagamento]&lt;EOMONTH($A61,0)+1)
  )
)</f>
        <v>0</v>
      </c>
      <c r="AJ61" s="181">
        <f>COUNTIFS(
    estq[empresa], AJ$6,
    estq[Data da venda / reserva], "&gt;=" &amp; $A61,
    estq[Data da venda / reserva], "&lt;"  &amp; EOMONTH($A61,0) + 1
)</f>
        <v>0</v>
      </c>
      <c r="AK61" s="182">
        <f ca="1">SUMIFS(rec.uni[2025-11-01],
INDIRECT("rec.uni[natureza]"),"pro.soluto",
INDIRECT("rec.uni[empresa]"),AK$6)</f>
        <v>0</v>
      </c>
      <c r="AL61" s="182">
        <f ca="1">SUMIFS(rec.uni[2025-11-01],
INDIRECT("rec.uni[natureza]"),"repasse.cef.obra",
INDIRECT("rec.uni[empresa]"),AL$6)</f>
        <v>0</v>
      </c>
      <c r="AM61" s="185">
        <f ca="1">SUMIFS(rec.uni[2025-11-01],
INDIRECT("rec.uni[natureza]"),"repasse.cef.terreno",
INDIRECT("rec.uni[empresa]"),AM$6)</f>
        <v>0</v>
      </c>
      <c r="AN61" s="185">
        <v>378061.31</v>
      </c>
      <c r="AO61" s="182">
        <f ca="1">SUMIFS(rec.uni[2025-11-01],
INDIRECT("rec.uni[natureza]"),"taxa.extra",
INDIRECT("rec.uni[empresa]"),AO$6)</f>
        <v>0</v>
      </c>
      <c r="AP61" s="170"/>
      <c r="AQ61" s="182" cm="1">
        <f t="array" ref="AQ6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R61" s="182" cm="1">
        <f t="array" ref="AR6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S61" s="182" cm="1">
        <f t="array" ref="AS6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T61" s="182" cm="1">
        <f t="array" ref="AT6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U61" s="183" cm="1">
        <f t="array" ref="AU6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V61" s="181">
        <f>COUNTIFS(
    estq[empresa], AV$6,
    estq[Data da venda / reserva], "&gt;=" &amp; $A61,
    estq[Data da venda / reserva], "&lt;"  &amp; EOMONTH($A61,0) + 1
)</f>
        <v>0</v>
      </c>
      <c r="AW61" s="182">
        <f ca="1">SUMIFS(rec.uni[2025-11-01],
INDIRECT("rec.uni[natureza]"),"pro.soluto",
INDIRECT("rec.uni[empresa]"),AW$6)</f>
        <v>0</v>
      </c>
      <c r="AX61" s="182">
        <f ca="1">SUMIFS(rec.uni[2025-11-01],
INDIRECT("rec.uni[natureza]"),"repasse.cef.obra",
INDIRECT("rec.uni[empresa]"),AX$6)</f>
        <v>0</v>
      </c>
      <c r="AY61" s="185">
        <f ca="1">SUMIFS(rec.uni[2025-11-01],
INDIRECT("rec.uni[natureza]"),"repasse.cef.terreno",
INDIRECT("rec.uni[empresa]"),AY$6)</f>
        <v>0</v>
      </c>
      <c r="AZ61" s="185">
        <v>0</v>
      </c>
      <c r="BA61" s="182">
        <f ca="1">SUMIFS(rec.uni[2025-11-01],
INDIRECT("rec.uni[natureza]"),"taxa.extra",
INDIRECT("rec.uni[empresa]"),BA$6)</f>
        <v>0</v>
      </c>
      <c r="BB61" s="170"/>
      <c r="BC61" s="182" cm="1">
        <f t="array" ref="BC6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D61" s="182" cm="1">
        <f t="array" ref="BD6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E61" s="182" cm="1">
        <f t="array" ref="BE6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F61" s="182" cm="1">
        <f t="array" ref="BF6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G61" s="183" cm="1">
        <f t="array" ref="BG6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BH61" s="181">
        <f>COUNTIFS(
    estq[empresa], BH$6,
    estq[Data da venda / reserva], "&gt;=" &amp; $A61,
    estq[Data da venda / reserva], "&lt;"  &amp; EOMONTH($A61,0) + 1
)</f>
        <v>0</v>
      </c>
      <c r="BI61" s="182">
        <f ca="1">SUMIFS(rec.uni[2025-11-01],
INDIRECT("rec.uni[natureza]"),"pro.soluto",
INDIRECT("rec.uni[empresa]"),BI$6)</f>
        <v>0</v>
      </c>
      <c r="BJ61" s="170">
        <f>4*94736</f>
        <v>378944</v>
      </c>
      <c r="BK61" s="182">
        <f ca="1">SUMIFS(rec.uni[2025-11-01],
INDIRECT("rec.uni[natureza]"),"taxa.extra",
INDIRECT("rec.uni[empresa]"),BK$6)</f>
        <v>0</v>
      </c>
      <c r="BL61" s="170"/>
      <c r="BM61" s="182" cm="1">
        <f t="array" ref="BM6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N61" s="182" cm="1">
        <f t="array" ref="BN6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O61" s="182" cm="1">
        <f t="array" ref="BO6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P61" s="182" cm="1">
        <f t="array" ref="BP6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Q61" s="183" cm="1">
        <f t="array" ref="BQ6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R61" s="181">
        <f>COUNTIFS(
    estq[empresa], BR$6,
    estq[Data da venda / reserva], "&gt;=" &amp; $A61,
    estq[Data da venda / reserva], "&lt;"  &amp; EOMONTH($A61,0) + 1
)</f>
        <v>0</v>
      </c>
      <c r="BS61" s="182">
        <f ca="1">SUMIFS(rec.uni[2025-11-01],
INDIRECT("rec.uni[natureza]"),"pro.soluto",
INDIRECT("rec.uni[empresa]"),BS$6)</f>
        <v>0</v>
      </c>
      <c r="BT61" s="182">
        <f ca="1">SUMIFS(rec.uni[2025-11-01],
INDIRECT("rec.uni[natureza]"),"pro.soluto",
INDIRECT("rec.uni[empresa]"),BT$6)</f>
        <v>0</v>
      </c>
      <c r="BU61" s="182">
        <f ca="1">SUMIFS(rec.uni[2025-11-01],
INDIRECT("rec.uni[natureza]"),"taxa.extra",
INDIRECT("rec.uni[empresa]"),BU$6)</f>
        <v>0</v>
      </c>
      <c r="BV61" s="170"/>
      <c r="BW61" s="182" cm="1">
        <f t="array" ref="BW6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BX61" s="182" cm="1">
        <f t="array" ref="BX6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BY61" s="182" cm="1">
        <f t="array" ref="BY6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BZ61" s="182" cm="1">
        <f t="array" ref="BZ6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CA61" s="183" cm="1">
        <f t="array" ref="CA6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(desp[data.pagamento]&gt;=$A61)*
    (desp[data.pagamento]&lt;EOMONTH($A61,0)+1)
  )
)</f>
        <v>0</v>
      </c>
      <c r="CB61" s="181">
        <f>COUNTIFS(
    estq[empresa], CB$6,
    estq[Data da venda / reserva], "&gt;=" &amp; $A61,
    estq[Data da venda / reserva], "&lt;"  &amp; EOMONTH($A61,0) + 1
)</f>
        <v>0</v>
      </c>
      <c r="CC61" s="182">
        <f ca="1">SUMIFS(rec.uni[2025-11-01],
INDIRECT("rec.uni[natureza]"),"pro.soluto",
INDIRECT("rec.uni[empresa]"),CC$6)</f>
        <v>0</v>
      </c>
      <c r="CD61" s="182">
        <f ca="1">SUMIFS(rec.uni[2025-11-01],
INDIRECT("rec.uni[natureza]"),"repasse.cef.obra",
INDIRECT("rec.uni[empresa]"),CD$6)</f>
        <v>0</v>
      </c>
      <c r="CE61" s="185">
        <f ca="1">SUMIFS(rec.uni[2025-11-01],
INDIRECT("rec.uni[natureza]"),"repasse.cef.terreno",
INDIRECT("rec.uni[empresa]"),CE$6)</f>
        <v>0</v>
      </c>
      <c r="CF61" s="185">
        <v>200573.37</v>
      </c>
      <c r="CG61" s="182">
        <f ca="1">SUMIFS(rec.uni[2025-11-01],
INDIRECT("rec.uni[natureza]"),"taxa.extra",
INDIRECT("rec.uni[empresa]"),CG$6)</f>
        <v>0</v>
      </c>
      <c r="CH61" s="170"/>
      <c r="CI61" s="182" cm="1">
        <f t="array" ref="CI6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J61" s="182" cm="1">
        <f t="array" ref="CJ6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K61" s="182" cm="1">
        <f t="array" ref="CK6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L61" s="182" cm="1">
        <f t="array" ref="CL6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M61" s="183" cm="1">
        <f t="array" ref="CM6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CN61" s="181">
        <f>COUNTIFS(
    estq[empresa], CN$6,
    estq[Data da venda / reserva], "&gt;=" &amp; $A61,
    estq[Data da venda / reserva], "&lt;"  &amp; EOMONTH($A61,0) + 1
)</f>
        <v>0</v>
      </c>
      <c r="CO61" s="182">
        <f ca="1">SUMIFS(rec.uni[2025-11-01],
INDIRECT("rec.uni[natureza]"),"pro.soluto",
INDIRECT("rec.uni[empresa]"),CO$6)</f>
        <v>0</v>
      </c>
      <c r="CP61" s="182">
        <f ca="1">SUMIFS(rec.uni[2025-11-01],
INDIRECT("rec.uni[natureza]"),"repasse.cef.obra",
INDIRECT("rec.uni[empresa]"),CP$6)</f>
        <v>0</v>
      </c>
      <c r="CQ61" s="185">
        <f ca="1">SUMIFS(rec.uni[2025-11-01],
INDIRECT("rec.uni[natureza]"),"repasse.cef.terreno",
INDIRECT("rec.uni[empresa]"),CQ$6)</f>
        <v>0</v>
      </c>
      <c r="CR61" s="185">
        <v>0</v>
      </c>
      <c r="CS61" s="182">
        <f ca="1">SUMIFS(rec.uni[2025-11-01],
INDIRECT("rec.uni[natureza]"),"taxa.extra",
INDIRECT("rec.uni[empresa]"),CS$6)</f>
        <v>0</v>
      </c>
      <c r="CT61" s="170"/>
      <c r="CU61" s="182" cm="1">
        <f t="array" ref="CU6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V61" s="182" cm="1">
        <f t="array" ref="CV6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W61" s="182" cm="1">
        <f t="array" ref="CW6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X61" s="182" cm="1">
        <f t="array" ref="CX6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Y61" s="184" cm="1">
        <f t="array" ref="CY6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</row>
    <row r="62" spans="1:103" x14ac:dyDescent="0.25">
      <c r="A62" s="180">
        <v>45992</v>
      </c>
      <c r="B62" s="181">
        <f>COUNTIFS(
    estq[empresa], B$6,
    estq[Data da venda / reserva], "&gt;=" &amp; $A62,
    estq[Data da venda / reserva], "&lt;"  &amp; EOMONTH($A62,0) + 1
)</f>
        <v>0</v>
      </c>
      <c r="C62" s="182">
        <f ca="1">SUMIFS(rec.uni[2025-12-01],
INDIRECT("rec.uni[natureza]"),"pro.soluto",
INDIRECT("rec.uni[empresa]"),C$6)</f>
        <v>0</v>
      </c>
      <c r="D62" s="182">
        <f ca="1">SUMIFS(rec.uni[2025-12-01],
INDIRECT("rec.uni[natureza]"),"repasse.cef.obra",
INDIRECT("rec.uni[empresa]"),D$6)</f>
        <v>0</v>
      </c>
      <c r="E62" s="182">
        <f ca="1">SUMIFS(rec.uni[2025-12-01],
INDIRECT("rec.uni[natureza]"),"repasse.cef.terreno",
INDIRECT("rec.uni[empresa]"),E$6)</f>
        <v>0</v>
      </c>
      <c r="F62" s="185">
        <v>471701.2</v>
      </c>
      <c r="G62" s="182">
        <f ca="1">SUMIFS(rec.uni[2025-12-01],
INDIRECT("rec.uni[natureza]"),"taxa.extra",
INDIRECT("rec.uni[empresa]"),G$6)</f>
        <v>0</v>
      </c>
      <c r="H62" s="170"/>
      <c r="I62" s="182" cm="1">
        <f t="array" ref="I6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J62" s="182" cm="1">
        <f t="array" ref="J6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K62" s="182" cm="1">
        <f t="array" ref="K6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L62" s="182" cm="1">
        <f t="array" ref="L6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M62" s="183" cm="1">
        <f t="array" ref="M6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N62" s="181">
        <f>COUNTIFS(
    estq[empresa], N$6,
    estq[Data da venda / reserva], "&gt;=" &amp; $A62,
    estq[Data da venda / reserva], "&lt;"  &amp; EOMONTH($A62,0) + 1
)</f>
        <v>0</v>
      </c>
      <c r="O62" s="182">
        <f ca="1">SUMIFS(rec.uni[2025-12-01],
INDIRECT("rec.uni[natureza]"),"pro.soluto",
INDIRECT("rec.uni[empresa]"),O$6)</f>
        <v>0</v>
      </c>
      <c r="P62" s="182">
        <f ca="1">SUMIFS(rec.uni[2025-12-01],
INDIRECT("rec.uni[natureza]"),"repasse.cef.obra",
INDIRECT("rec.uni[empresa]"),P$6)</f>
        <v>0</v>
      </c>
      <c r="Q62" s="182">
        <f ca="1">SUMIFS(rec.uni[2025-12-01],
INDIRECT("rec.uni[natureza]"),"repasse.cef.terreno",
INDIRECT("rec.uni[empresa]"),Q$6)</f>
        <v>0</v>
      </c>
      <c r="R62" s="185">
        <v>0</v>
      </c>
      <c r="S62" s="182">
        <f ca="1">SUMIFS(rec.uni[2025-12-01],
INDIRECT("rec.uni[natureza]"),"taxa.extra",
INDIRECT("rec.uni[empresa]"),S$6)</f>
        <v>0</v>
      </c>
      <c r="T62" s="170"/>
      <c r="U62" s="182" cm="1">
        <f t="array" ref="U6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V62" s="182" cm="1">
        <f t="array" ref="V6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W62" s="182" cm="1">
        <f t="array" ref="W6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X62" s="182" cm="1">
        <f t="array" ref="X6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Y62" s="183" cm="1">
        <f t="array" ref="Y6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Z62" s="181">
        <f>COUNTIFS(
    estq[empresa], Z$6,
    estq[Data da venda / reserva], "&gt;=" &amp; $A62,
    estq[Data da venda / reserva], "&lt;"  &amp; EOMONTH($A62,0) + 1
)</f>
        <v>0</v>
      </c>
      <c r="AA62" s="182">
        <f ca="1">SUMIFS(rec.uni[2025-12-01],
INDIRECT("rec.uni[natureza]"),"pro.soluto",
INDIRECT("rec.uni[empresa]"),AA$6)</f>
        <v>0</v>
      </c>
      <c r="AB62" s="182">
        <f ca="1">SUMIFS(rec.uni[2025-12-01],
INDIRECT("rec.uni[natureza]"),"pro.soluto",
INDIRECT("rec.uni[empresa]"),AB$6)</f>
        <v>0</v>
      </c>
      <c r="AC62" s="182">
        <f ca="1">SUMIFS(rec.uni[2025-12-01],
INDIRECT("rec.uni[natureza]"),"taxa.extra",
INDIRECT("rec.uni[empresa]"),AC$6)</f>
        <v>0</v>
      </c>
      <c r="AD62" s="170"/>
      <c r="AE62" s="182" cm="1">
        <f t="array" ref="AE6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F62" s="182" cm="1">
        <f t="array" ref="AF6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G62" s="182" cm="1">
        <f t="array" ref="AG6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H62" s="182" cm="1">
        <f t="array" ref="AH6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I62" s="183" cm="1">
        <f t="array" ref="AI6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(desp[data.pagamento]&gt;=$A62)*
    (desp[data.pagamento]&lt;EOMONTH($A62,0)+1)
  )
)</f>
        <v>0</v>
      </c>
      <c r="AJ62" s="181">
        <f>COUNTIFS(
    estq[empresa], AJ$6,
    estq[Data da venda / reserva], "&gt;=" &amp; $A62,
    estq[Data da venda / reserva], "&lt;"  &amp; EOMONTH($A62,0) + 1
)</f>
        <v>0</v>
      </c>
      <c r="AK62" s="182">
        <f ca="1">SUMIFS(rec.uni[2025-12-01],
INDIRECT("rec.uni[natureza]"),"pro.soluto",
INDIRECT("rec.uni[empresa]"),AK$6)</f>
        <v>0</v>
      </c>
      <c r="AL62" s="182">
        <f ca="1">SUMIFS(rec.uni[2025-12-01],
INDIRECT("rec.uni[natureza]"),"repasse.cef.obra",
INDIRECT("rec.uni[empresa]"),AL$6)</f>
        <v>0</v>
      </c>
      <c r="AM62" s="185">
        <f ca="1">SUMIFS(rec.uni[2025-12-01],
INDIRECT("rec.uni[natureza]"),"repasse.cef.terreno",
INDIRECT("rec.uni[empresa]"),AM$6)</f>
        <v>0</v>
      </c>
      <c r="AN62" s="185">
        <v>0</v>
      </c>
      <c r="AO62" s="182">
        <f ca="1">SUMIFS(rec.uni[2025-12-01],
INDIRECT("rec.uni[natureza]"),"taxa.extra",
INDIRECT("rec.uni[empresa]"),AO$6)</f>
        <v>0</v>
      </c>
      <c r="AP62" s="170"/>
      <c r="AQ62" s="182" cm="1">
        <f t="array" ref="AQ6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R62" s="182" cm="1">
        <f t="array" ref="AR6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S62" s="182" cm="1">
        <f t="array" ref="AS6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T62" s="182" cm="1">
        <f t="array" ref="AT6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U62" s="183" cm="1">
        <f t="array" ref="AU6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V62" s="181">
        <f>COUNTIFS(
    estq[empresa], AV$6,
    estq[Data da venda / reserva], "&gt;=" &amp; $A62,
    estq[Data da venda / reserva], "&lt;"  &amp; EOMONTH($A62,0) + 1
)</f>
        <v>0</v>
      </c>
      <c r="AW62" s="182">
        <f ca="1">SUMIFS(rec.uni[2025-12-01],
INDIRECT("rec.uni[natureza]"),"pro.soluto",
INDIRECT("rec.uni[empresa]"),AW$6)</f>
        <v>0</v>
      </c>
      <c r="AX62" s="182">
        <f ca="1">SUMIFS(rec.uni[2025-12-01],
INDIRECT("rec.uni[natureza]"),"repasse.cef.obra",
INDIRECT("rec.uni[empresa]"),AX$6)</f>
        <v>0</v>
      </c>
      <c r="AY62" s="185">
        <f ca="1">SUMIFS(rec.uni[2025-12-01],
INDIRECT("rec.uni[natureza]"),"repasse.cef.terreno",
INDIRECT("rec.uni[empresa]"),AY$6)</f>
        <v>0</v>
      </c>
      <c r="AZ62" s="185">
        <v>0</v>
      </c>
      <c r="BA62" s="182">
        <f ca="1">SUMIFS(rec.uni[2025-12-01],
INDIRECT("rec.uni[natureza]"),"taxa.extra",
INDIRECT("rec.uni[empresa]"),BA$6)</f>
        <v>0</v>
      </c>
      <c r="BB62" s="170"/>
      <c r="BC62" s="182" cm="1">
        <f t="array" ref="BC6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D62" s="182" cm="1">
        <f t="array" ref="BD6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E62" s="182" cm="1">
        <f t="array" ref="BE6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F62" s="182" cm="1">
        <f t="array" ref="BF6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G62" s="183" cm="1">
        <f t="array" ref="BG6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BH62" s="181">
        <f>COUNTIFS(
    estq[empresa], BH$6,
    estq[Data da venda / reserva], "&gt;=" &amp; $A62,
    estq[Data da venda / reserva], "&lt;"  &amp; EOMONTH($A62,0) + 1
)</f>
        <v>0</v>
      </c>
      <c r="BI62" s="182">
        <f ca="1">SUMIFS(rec.uni[2025-12-01],
INDIRECT("rec.uni[natureza]"),"pro.soluto",
INDIRECT("rec.uni[empresa]"),BI$6)</f>
        <v>0</v>
      </c>
      <c r="BJ62" s="170">
        <f>3.43*94736</f>
        <v>324944.48000000004</v>
      </c>
      <c r="BK62" s="182">
        <f ca="1">SUMIFS(rec.uni[2025-12-01],
INDIRECT("rec.uni[natureza]"),"taxa.extra",
INDIRECT("rec.uni[empresa]"),BK$6)</f>
        <v>0</v>
      </c>
      <c r="BL62" s="170"/>
      <c r="BM62" s="182" cm="1">
        <f t="array" ref="BM6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N62" s="182" cm="1">
        <f t="array" ref="BN6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O62" s="182" cm="1">
        <f t="array" ref="BO6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P62" s="182" cm="1">
        <f t="array" ref="BP6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Q62" s="183" cm="1">
        <f t="array" ref="BQ6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R62" s="181">
        <f>COUNTIFS(
    estq[empresa], BR$6,
    estq[Data da venda / reserva], "&gt;=" &amp; $A62,
    estq[Data da venda / reserva], "&lt;"  &amp; EOMONTH($A62,0) + 1
)</f>
        <v>0</v>
      </c>
      <c r="BS62" s="182">
        <f ca="1">SUMIFS(rec.uni[2025-12-01],
INDIRECT("rec.uni[natureza]"),"pro.soluto",
INDIRECT("rec.uni[empresa]"),BS$6)</f>
        <v>0</v>
      </c>
      <c r="BT62" s="182">
        <f ca="1">SUMIFS(rec.uni[2025-12-01],
INDIRECT("rec.uni[natureza]"),"pro.soluto",
INDIRECT("rec.uni[empresa]"),BT$6)</f>
        <v>0</v>
      </c>
      <c r="BU62" s="182">
        <f ca="1">SUMIFS(rec.uni[2025-12-01],
INDIRECT("rec.uni[natureza]"),"taxa.extra",
INDIRECT("rec.uni[empresa]"),BU$6)</f>
        <v>0</v>
      </c>
      <c r="BV62" s="170"/>
      <c r="BW62" s="182" cm="1">
        <f t="array" ref="BW6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BX62" s="182" cm="1">
        <f t="array" ref="BX6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BY62" s="182" cm="1">
        <f t="array" ref="BY6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BZ62" s="182" cm="1">
        <f t="array" ref="BZ6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CA62" s="183" cm="1">
        <f t="array" ref="CA6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(desp[data.pagamento]&gt;=$A62)*
    (desp[data.pagamento]&lt;EOMONTH($A62,0)+1)
  )
)</f>
        <v>0</v>
      </c>
      <c r="CB62" s="181">
        <f>COUNTIFS(
    estq[empresa], CB$6,
    estq[Data da venda / reserva], "&gt;=" &amp; $A62,
    estq[Data da venda / reserva], "&lt;"  &amp; EOMONTH($A62,0) + 1
)</f>
        <v>0</v>
      </c>
      <c r="CC62" s="182">
        <f ca="1">SUMIFS(rec.uni[2025-12-01],
INDIRECT("rec.uni[natureza]"),"pro.soluto",
INDIRECT("rec.uni[empresa]"),CC$6)</f>
        <v>0</v>
      </c>
      <c r="CD62" s="182">
        <f ca="1">SUMIFS(rec.uni[2025-12-01],
INDIRECT("rec.uni[natureza]"),"repasse.cef.obra",
INDIRECT("rec.uni[empresa]"),CD$6)</f>
        <v>0</v>
      </c>
      <c r="CE62" s="185">
        <f ca="1">SUMIFS(rec.uni[2025-12-01],
INDIRECT("rec.uni[natureza]"),"repasse.cef.terreno",
INDIRECT("rec.uni[empresa]"),CE$6)</f>
        <v>0</v>
      </c>
      <c r="CF62" s="185">
        <v>0</v>
      </c>
      <c r="CG62" s="182">
        <f ca="1">SUMIFS(rec.uni[2025-12-01],
INDIRECT("rec.uni[natureza]"),"taxa.extra",
INDIRECT("rec.uni[empresa]"),CG$6)</f>
        <v>0</v>
      </c>
      <c r="CH62" s="170"/>
      <c r="CI62" s="182" cm="1">
        <f t="array" ref="CI6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J62" s="182" cm="1">
        <f t="array" ref="CJ6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K62" s="182" cm="1">
        <f t="array" ref="CK6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L62" s="182" cm="1">
        <f t="array" ref="CL6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M62" s="183" cm="1">
        <f t="array" ref="CM6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CN62" s="181">
        <f>COUNTIFS(
    estq[empresa], CN$6,
    estq[Data da venda / reserva], "&gt;=" &amp; $A62,
    estq[Data da venda / reserva], "&lt;"  &amp; EOMONTH($A62,0) + 1
)</f>
        <v>0</v>
      </c>
      <c r="CO62" s="182">
        <f ca="1">SUMIFS(rec.uni[2025-12-01],
INDIRECT("rec.uni[natureza]"),"pro.soluto",
INDIRECT("rec.uni[empresa]"),CO$6)</f>
        <v>0</v>
      </c>
      <c r="CP62" s="182">
        <f ca="1">SUMIFS(rec.uni[2025-12-01],
INDIRECT("rec.uni[natureza]"),"repasse.cef.obra",
INDIRECT("rec.uni[empresa]"),CP$6)</f>
        <v>0</v>
      </c>
      <c r="CQ62" s="185">
        <f ca="1">SUMIFS(rec.uni[2025-12-01],
INDIRECT("rec.uni[natureza]"),"repasse.cef.terreno",
INDIRECT("rec.uni[empresa]"),CQ$6)</f>
        <v>0</v>
      </c>
      <c r="CR62" s="185">
        <v>0</v>
      </c>
      <c r="CS62" s="182">
        <f ca="1">SUMIFS(rec.uni[2025-12-01],
INDIRECT("rec.uni[natureza]"),"taxa.extra",
INDIRECT("rec.uni[empresa]"),CS$6)</f>
        <v>0</v>
      </c>
      <c r="CT62" s="170"/>
      <c r="CU62" s="182" cm="1">
        <f t="array" ref="CU6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V62" s="182" cm="1">
        <f t="array" ref="CV6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W62" s="182" cm="1">
        <f t="array" ref="CW6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X62" s="182" cm="1">
        <f t="array" ref="CX6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Y62" s="184" cm="1">
        <f t="array" ref="CY6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</row>
    <row r="63" spans="1:103" x14ac:dyDescent="0.25">
      <c r="A63" s="180">
        <v>46023</v>
      </c>
      <c r="B63" s="181">
        <f>COUNTIFS(
    estq[empresa], B$6,
    estq[Data da venda / reserva], "&gt;=" &amp; $A63,
    estq[Data da venda / reserva], "&lt;"  &amp; EOMONTH($A63,0) + 1
)</f>
        <v>0</v>
      </c>
      <c r="C63" s="182">
        <f ca="1">SUMIFS(rec.uni[2026-01-01],
INDIRECT("rec.uni[natureza]"),"pro.soluto",
INDIRECT("rec.uni[empresa]"),C$6)</f>
        <v>0</v>
      </c>
      <c r="D63" s="182">
        <f ca="1">SUMIFS(rec.uni[2026-01-01],
INDIRECT("rec.uni[natureza]"),"repasse.cef.obra",
INDIRECT("rec.uni[empresa]"),D$6)</f>
        <v>0</v>
      </c>
      <c r="E63" s="182">
        <f ca="1">SUMIFS(rec.uni[2026-01-01],
INDIRECT("rec.uni[natureza]"),"repasse.cef.terreno",
INDIRECT("rec.uni[empresa]"),E$6)</f>
        <v>0</v>
      </c>
      <c r="F63" s="185">
        <v>0</v>
      </c>
      <c r="G63" s="182">
        <f ca="1">SUMIFS(rec.uni[2026-01-01],
INDIRECT("rec.uni[natureza]"),"taxa.extra",
INDIRECT("rec.uni[empresa]"),G$6)</f>
        <v>0</v>
      </c>
      <c r="H63" s="170"/>
      <c r="I63" s="182" cm="1">
        <f t="array" ref="I6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J63" s="182" cm="1">
        <f t="array" ref="J6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K63" s="182" cm="1">
        <f t="array" ref="K6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L63" s="182" cm="1">
        <f t="array" ref="L6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M63" s="183" cm="1">
        <f t="array" ref="M6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N63" s="181">
        <f>COUNTIFS(
    estq[empresa], N$6,
    estq[Data da venda / reserva], "&gt;=" &amp; $A63,
    estq[Data da venda / reserva], "&lt;"  &amp; EOMONTH($A63,0) + 1
)</f>
        <v>0</v>
      </c>
      <c r="O63" s="182">
        <f ca="1">SUMIFS(rec.uni[2026-01-01],
INDIRECT("rec.uni[natureza]"),"pro.soluto",
INDIRECT("rec.uni[empresa]"),O$6)</f>
        <v>0</v>
      </c>
      <c r="P63" s="182">
        <f ca="1">SUMIFS(rec.uni[2026-01-01],
INDIRECT("rec.uni[natureza]"),"repasse.cef.obra",
INDIRECT("rec.uni[empresa]"),P$6)</f>
        <v>0</v>
      </c>
      <c r="Q63" s="182">
        <f ca="1">SUMIFS(rec.uni[2026-01-01],
INDIRECT("rec.uni[natureza]"),"repasse.cef.terreno",
INDIRECT("rec.uni[empresa]"),Q$6)</f>
        <v>0</v>
      </c>
      <c r="R63" s="185">
        <v>0</v>
      </c>
      <c r="S63" s="182">
        <f ca="1">SUMIFS(rec.uni[2026-01-01],
INDIRECT("rec.uni[natureza]"),"taxa.extra",
INDIRECT("rec.uni[empresa]"),S$6)</f>
        <v>0</v>
      </c>
      <c r="T63" s="170"/>
      <c r="U63" s="182" cm="1">
        <f t="array" ref="U6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V63" s="182" cm="1">
        <f t="array" ref="V6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W63" s="182" cm="1">
        <f t="array" ref="W6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X63" s="182" cm="1">
        <f t="array" ref="X6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Y63" s="183" cm="1">
        <f t="array" ref="Y6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Z63" s="181">
        <f>COUNTIFS(
    estq[empresa], Z$6,
    estq[Data da venda / reserva], "&gt;=" &amp; $A63,
    estq[Data da venda / reserva], "&lt;"  &amp; EOMONTH($A63,0) + 1
)</f>
        <v>0</v>
      </c>
      <c r="AA63" s="182">
        <f ca="1">SUMIFS(rec.uni[2026-01-01],
INDIRECT("rec.uni[natureza]"),"pro.soluto",
INDIRECT("rec.uni[empresa]"),AA$6)</f>
        <v>0</v>
      </c>
      <c r="AB63" s="182">
        <f ca="1">SUMIFS(rec.uni[2026-01-01],
INDIRECT("rec.uni[natureza]"),"pro.soluto",
INDIRECT("rec.uni[empresa]"),AB$6)</f>
        <v>0</v>
      </c>
      <c r="AC63" s="182">
        <f ca="1">SUMIFS(rec.uni[2026-01-01],
INDIRECT("rec.uni[natureza]"),"taxa.extra",
INDIRECT("rec.uni[empresa]"),AC$6)</f>
        <v>0</v>
      </c>
      <c r="AD63" s="170"/>
      <c r="AE63" s="182" cm="1">
        <f t="array" ref="AE6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F63" s="182" cm="1">
        <f t="array" ref="AF6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G63" s="182" cm="1">
        <f t="array" ref="AG6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H63" s="182" cm="1">
        <f t="array" ref="AH6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I63" s="183" cm="1">
        <f t="array" ref="AI6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(desp[data.pagamento]&gt;=$A63)*
    (desp[data.pagamento]&lt;EOMONTH($A63,0)+1)
  )
)</f>
        <v>0</v>
      </c>
      <c r="AJ63" s="181">
        <f>COUNTIFS(
    estq[empresa], AJ$6,
    estq[Data da venda / reserva], "&gt;=" &amp; $A63,
    estq[Data da venda / reserva], "&lt;"  &amp; EOMONTH($A63,0) + 1
)</f>
        <v>0</v>
      </c>
      <c r="AK63" s="182">
        <f ca="1">SUMIFS(rec.uni[2026-01-01],
INDIRECT("rec.uni[natureza]"),"pro.soluto",
INDIRECT("rec.uni[empresa]"),AK$6)</f>
        <v>0</v>
      </c>
      <c r="AL63" s="182">
        <f ca="1">SUMIFS(rec.uni[2026-01-01],
INDIRECT("rec.uni[natureza]"),"repasse.cef.obra",
INDIRECT("rec.uni[empresa]"),AL$6)</f>
        <v>0</v>
      </c>
      <c r="AM63" s="185">
        <f ca="1">SUMIFS(rec.uni[2026-01-01],
INDIRECT("rec.uni[natureza]"),"repasse.cef.terreno",
INDIRECT("rec.uni[empresa]"),AM$6)</f>
        <v>0</v>
      </c>
      <c r="AN63" s="185">
        <v>313227.59000000003</v>
      </c>
      <c r="AO63" s="182">
        <f ca="1">SUMIFS(rec.uni[2026-01-01],
INDIRECT("rec.uni[natureza]"),"taxa.extra",
INDIRECT("rec.uni[empresa]"),AO$6)</f>
        <v>0</v>
      </c>
      <c r="AP63" s="170"/>
      <c r="AQ63" s="182" cm="1">
        <f t="array" ref="AQ6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R63" s="182" cm="1">
        <f t="array" ref="AR6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S63" s="182" cm="1">
        <f t="array" ref="AS6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T63" s="182" cm="1">
        <f t="array" ref="AT6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U63" s="183" cm="1">
        <f t="array" ref="AU6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V63" s="181">
        <f>COUNTIFS(
    estq[empresa], AV$6,
    estq[Data da venda / reserva], "&gt;=" &amp; $A63,
    estq[Data da venda / reserva], "&lt;"  &amp; EOMONTH($A63,0) + 1
)</f>
        <v>0</v>
      </c>
      <c r="AW63" s="182">
        <f ca="1">SUMIFS(rec.uni[2026-01-01],
INDIRECT("rec.uni[natureza]"),"pro.soluto",
INDIRECT("rec.uni[empresa]"),AW$6)</f>
        <v>0</v>
      </c>
      <c r="AX63" s="182">
        <f ca="1">SUMIFS(rec.uni[2026-01-01],
INDIRECT("rec.uni[natureza]"),"repasse.cef.obra",
INDIRECT("rec.uni[empresa]"),AX$6)</f>
        <v>0</v>
      </c>
      <c r="AY63" s="185">
        <f ca="1">SUMIFS(rec.uni[2026-01-01],
INDIRECT("rec.uni[natureza]"),"repasse.cef.terreno",
INDIRECT("rec.uni[empresa]"),AY$6)</f>
        <v>0</v>
      </c>
      <c r="AZ63" s="185">
        <v>513271.28</v>
      </c>
      <c r="BA63" s="182">
        <f ca="1">SUMIFS(rec.uni[2026-01-01],
INDIRECT("rec.uni[natureza]"),"taxa.extra",
INDIRECT("rec.uni[empresa]"),BA$6)</f>
        <v>0</v>
      </c>
      <c r="BB63" s="170"/>
      <c r="BC63" s="182" cm="1">
        <f t="array" ref="BC6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D63" s="182" cm="1">
        <f t="array" ref="BD6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E63" s="182" cm="1">
        <f t="array" ref="BE6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F63" s="182" cm="1">
        <f t="array" ref="BF6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G63" s="183" cm="1">
        <f t="array" ref="BG6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BH63" s="181">
        <f>COUNTIFS(
    estq[empresa], BH$6,
    estq[Data da venda / reserva], "&gt;=" &amp; $A63,
    estq[Data da venda / reserva], "&lt;"  &amp; EOMONTH($A63,0) + 1
)</f>
        <v>0</v>
      </c>
      <c r="BI63" s="182">
        <f ca="1">SUMIFS(rec.uni[2026-01-01],
INDIRECT("rec.uni[natureza]"),"pro.soluto",
INDIRECT("rec.uni[empresa]"),BI$6)</f>
        <v>0</v>
      </c>
      <c r="BJ63" s="170">
        <f>1.9*94736</f>
        <v>179998.4</v>
      </c>
      <c r="BK63" s="182">
        <f ca="1">SUMIFS(rec.uni[2026-01-01],
INDIRECT("rec.uni[natureza]"),"taxa.extra",
INDIRECT("rec.uni[empresa]"),BK$6)</f>
        <v>0</v>
      </c>
      <c r="BL63" s="170"/>
      <c r="BM63" s="182" cm="1">
        <f t="array" ref="BM6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N63" s="182" cm="1">
        <f t="array" ref="BN6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O63" s="182" cm="1">
        <f t="array" ref="BO6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P63" s="182" cm="1">
        <f t="array" ref="BP6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Q63" s="183" cm="1">
        <f t="array" ref="BQ6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R63" s="181">
        <f>COUNTIFS(
    estq[empresa], BR$6,
    estq[Data da venda / reserva], "&gt;=" &amp; $A63,
    estq[Data da venda / reserva], "&lt;"  &amp; EOMONTH($A63,0) + 1
)</f>
        <v>0</v>
      </c>
      <c r="BS63" s="182">
        <f ca="1">SUMIFS(rec.uni[2026-01-01],
INDIRECT("rec.uni[natureza]"),"pro.soluto",
INDIRECT("rec.uni[empresa]"),BS$6)</f>
        <v>0</v>
      </c>
      <c r="BT63" s="182">
        <f ca="1">SUMIFS(rec.uni[2026-01-01],
INDIRECT("rec.uni[natureza]"),"pro.soluto",
INDIRECT("rec.uni[empresa]"),BT$6)</f>
        <v>0</v>
      </c>
      <c r="BU63" s="182">
        <f ca="1">SUMIFS(rec.uni[2026-01-01],
INDIRECT("rec.uni[natureza]"),"taxa.extra",
INDIRECT("rec.uni[empresa]"),BU$6)</f>
        <v>0</v>
      </c>
      <c r="BV63" s="170"/>
      <c r="BW63" s="182" cm="1">
        <f t="array" ref="BW6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BX63" s="182" cm="1">
        <f t="array" ref="BX6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BY63" s="182" cm="1">
        <f t="array" ref="BY6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BZ63" s="182" cm="1">
        <f t="array" ref="BZ6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CA63" s="183" cm="1">
        <f t="array" ref="CA6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(desp[data.pagamento]&gt;=$A63)*
    (desp[data.pagamento]&lt;EOMONTH($A63,0)+1)
  )
)</f>
        <v>0</v>
      </c>
      <c r="CB63" s="181">
        <f>COUNTIFS(
    estq[empresa], CB$6,
    estq[Data da venda / reserva], "&gt;=" &amp; $A63,
    estq[Data da venda / reserva], "&lt;"  &amp; EOMONTH($A63,0) + 1
)</f>
        <v>0</v>
      </c>
      <c r="CC63" s="182">
        <f ca="1">SUMIFS(rec.uni[2026-01-01],
INDIRECT("rec.uni[natureza]"),"pro.soluto",
INDIRECT("rec.uni[empresa]"),CC$6)</f>
        <v>0</v>
      </c>
      <c r="CD63" s="182">
        <f ca="1">SUMIFS(rec.uni[2026-01-01],
INDIRECT("rec.uni[natureza]"),"repasse.cef.obra",
INDIRECT("rec.uni[empresa]"),CD$6)</f>
        <v>0</v>
      </c>
      <c r="CE63" s="185">
        <f ca="1">SUMIFS(rec.uni[2026-01-01],
INDIRECT("rec.uni[natureza]"),"repasse.cef.terreno",
INDIRECT("rec.uni[empresa]"),CE$6)</f>
        <v>0</v>
      </c>
      <c r="CF63" s="185">
        <v>311984.76</v>
      </c>
      <c r="CG63" s="182">
        <f ca="1">SUMIFS(rec.uni[2026-01-01],
INDIRECT("rec.uni[natureza]"),"taxa.extra",
INDIRECT("rec.uni[empresa]"),CG$6)</f>
        <v>0</v>
      </c>
      <c r="CH63" s="170"/>
      <c r="CI63" s="182" cm="1">
        <f t="array" ref="CI6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J63" s="182" cm="1">
        <f t="array" ref="CJ6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K63" s="182" cm="1">
        <f t="array" ref="CK6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L63" s="182" cm="1">
        <f t="array" ref="CL6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M63" s="183" cm="1">
        <f t="array" ref="CM6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CN63" s="181">
        <f>COUNTIFS(
    estq[empresa], CN$6,
    estq[Data da venda / reserva], "&gt;=" &amp; $A63,
    estq[Data da venda / reserva], "&lt;"  &amp; EOMONTH($A63,0) + 1
)</f>
        <v>0</v>
      </c>
      <c r="CO63" s="182">
        <f ca="1">SUMIFS(rec.uni[2026-01-01],
INDIRECT("rec.uni[natureza]"),"pro.soluto",
INDIRECT("rec.uni[empresa]"),CO$6)</f>
        <v>0</v>
      </c>
      <c r="CP63" s="182">
        <f ca="1">SUMIFS(rec.uni[2026-01-01],
INDIRECT("rec.uni[natureza]"),"repasse.cef.obra",
INDIRECT("rec.uni[empresa]"),CP$6)</f>
        <v>0</v>
      </c>
      <c r="CQ63" s="185">
        <f ca="1">SUMIFS(rec.uni[2026-01-01],
INDIRECT("rec.uni[natureza]"),"repasse.cef.terreno",
INDIRECT("rec.uni[empresa]"),CQ$6)</f>
        <v>0</v>
      </c>
      <c r="CR63" s="185">
        <v>0</v>
      </c>
      <c r="CS63" s="182">
        <f ca="1">SUMIFS(rec.uni[2026-01-01],
INDIRECT("rec.uni[natureza]"),"taxa.extra",
INDIRECT("rec.uni[empresa]"),CS$6)</f>
        <v>0</v>
      </c>
      <c r="CT63" s="170"/>
      <c r="CU63" s="182" cm="1">
        <f t="array" ref="CU6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V63" s="182" cm="1">
        <f t="array" ref="CV6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W63" s="182" cm="1">
        <f t="array" ref="CW6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X63" s="182" cm="1">
        <f t="array" ref="CX6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Y63" s="294" cm="1">
        <f t="array" ref="CY6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</row>
    <row r="64" spans="1:103" x14ac:dyDescent="0.25">
      <c r="A64" s="180">
        <v>46054</v>
      </c>
      <c r="B64" s="181">
        <f>COUNTIFS(
    estq[empresa], B$6,
    estq[Data da venda / reserva], "&gt;=" &amp; $A64,
    estq[Data da venda / reserva], "&lt;"  &amp; EOMONTH($A64,0) + 1
)</f>
        <v>0</v>
      </c>
      <c r="C64" s="182">
        <f ca="1">SUMIFS(rec.uni[2026-02-01],
INDIRECT("rec.uni[natureza]"),"pro.soluto",
INDIRECT("rec.uni[empresa]"),C$6)</f>
        <v>0</v>
      </c>
      <c r="D64" s="182">
        <f ca="1">SUMIFS(rec.uni[2026-02-01],
INDIRECT("rec.uni[natureza]"),"repasse.cef.obra",
INDIRECT("rec.uni[empresa]"),D$6)</f>
        <v>0</v>
      </c>
      <c r="E64" s="182">
        <f ca="1">SUMIFS(rec.uni[2026-02-01],
INDIRECT("rec.uni[natureza]"),"repasse.cef.terreno",
INDIRECT("rec.uni[empresa]"),E$6)</f>
        <v>0</v>
      </c>
      <c r="F64" s="185">
        <v>46792.36</v>
      </c>
      <c r="G64" s="182">
        <f ca="1">SUMIFS(rec.uni[2026-02-01],
INDIRECT("rec.uni[natureza]"),"taxa.extra",
INDIRECT("rec.uni[empresa]"),G$6)</f>
        <v>0</v>
      </c>
      <c r="H64" s="182"/>
      <c r="I64" s="182" cm="1">
        <f t="array" ref="I6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J64" s="182" cm="1">
        <f t="array" ref="J6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K64" s="182" cm="1">
        <f t="array" ref="K6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L64" s="182" cm="1">
        <f t="array" ref="L6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M64" s="182" cm="1">
        <f t="array" ref="M6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(desp[data.pagamento]&gt;=$A64)*
    (desp[data.pagamento]&lt;EOMONTH($A64,0)+1)
  )
)</f>
        <v>0</v>
      </c>
      <c r="N64" s="181">
        <f>COUNTIFS(
    estq[empresa], N$6,
    estq[Data da venda / reserva], "&gt;=" &amp; $A64,
    estq[Data da venda / reserva], "&lt;"  &amp; EOMONTH($A64,0) + 1
)</f>
        <v>0</v>
      </c>
      <c r="O64" s="182">
        <f ca="1">SUMIFS(rec.uni[2026-02-01],
INDIRECT("rec.uni[natureza]"),"pro.soluto",
INDIRECT("rec.uni[empresa]"),O$6)</f>
        <v>0</v>
      </c>
      <c r="P64" s="182">
        <f ca="1">SUMIFS(rec.uni[2026-02-01],
INDIRECT("rec.uni[natureza]"),"repasse.cef.obra",
INDIRECT("rec.uni[empresa]"),P$6)</f>
        <v>0</v>
      </c>
      <c r="Q64" s="182">
        <f ca="1">SUMIFS(rec.uni[2026-02-01],
INDIRECT("rec.uni[natureza]"),"repasse.cef.terreno",
INDIRECT("rec.uni[empresa]"),Q$6)</f>
        <v>0</v>
      </c>
      <c r="R64" s="185">
        <v>0</v>
      </c>
      <c r="S64" s="182">
        <f ca="1">SUMIFS(rec.uni[2026-02-01],
INDIRECT("rec.uni[natureza]"),"taxa.extra",
INDIRECT("rec.uni[empresa]"),S$6)</f>
        <v>0</v>
      </c>
      <c r="T64" s="182"/>
      <c r="U64" s="182" cm="1">
        <f t="array" ref="U6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V64" s="182" cm="1">
        <f t="array" ref="V6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W64" s="182" cm="1">
        <f t="array" ref="W6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X64" s="182" cm="1">
        <f t="array" ref="X6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Y64" s="182" cm="1">
        <f t="array" ref="Y6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(desp[data.pagamento]&gt;=$A64)*
    (desp[data.pagamento]&lt;EOMONTH($A64,0)+1)
  )
)</f>
        <v>0</v>
      </c>
      <c r="Z64" s="181">
        <f>COUNTIFS(
    estq[empresa], Z$6,
    estq[Data da venda / reserva], "&gt;=" &amp; $A64,
    estq[Data da venda / reserva], "&lt;"  &amp; EOMONTH($A64,0) + 1
)</f>
        <v>0</v>
      </c>
      <c r="AA64" s="182">
        <f ca="1">SUMIFS(rec.uni[2026-02-01],
INDIRECT("rec.uni[natureza]"),"pro.soluto",
INDIRECT("rec.uni[empresa]"),AA$6)</f>
        <v>0</v>
      </c>
      <c r="AB64" s="185">
        <f ca="1">SUMIFS(rec.uni[2026-02-01],
INDIRECT("rec.uni[natureza]"),"pro.soluto",
INDIRECT("rec.uni[empresa]"),AB$6)</f>
        <v>0</v>
      </c>
      <c r="AC64" s="182">
        <f ca="1">SUMIFS(rec.uni[2026-02-01],
INDIRECT("rec.uni[natureza]"),"taxa.extra",
INDIRECT("rec.uni[empresa]"),AC$6)</f>
        <v>0</v>
      </c>
      <c r="AD64" s="182"/>
      <c r="AE64" s="182" cm="1">
        <f t="array" ref="AE6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F64" s="182" cm="1">
        <f t="array" ref="AF6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G64" s="182" cm="1">
        <f t="array" ref="AG6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H64" s="182" cm="1">
        <f t="array" ref="AH6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I64" s="182" cm="1">
        <f t="array" ref="AI6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(desp[data.pagamento]&gt;=$A64)*
    (desp[data.pagamento]&lt;EOMONTH($A64,0)+1)
  )
)</f>
        <v>0</v>
      </c>
      <c r="AJ64" s="181">
        <f>COUNTIFS(
    estq[empresa], AJ$6,
    estq[Data da venda / reserva], "&gt;=" &amp; $A64,
    estq[Data da venda / reserva], "&lt;"  &amp; EOMONTH($A64,0) + 1
)</f>
        <v>0</v>
      </c>
      <c r="AK64" s="182">
        <f ca="1">SUMIFS(rec.uni[2026-02-01],
INDIRECT("rec.uni[natureza]"),"pro.soluto",
INDIRECT("rec.uni[empresa]"),AK$6)</f>
        <v>0</v>
      </c>
      <c r="AL64" s="182">
        <f ca="1">SUMIFS(rec.uni[2026-02-01],
INDIRECT("rec.uni[natureza]"),"repasse.cef.obra",
INDIRECT("rec.uni[empresa]"),AL$6)</f>
        <v>0</v>
      </c>
      <c r="AM64" s="185">
        <f ca="1">SUMIFS(rec.uni[2026-02-01],
INDIRECT("rec.uni[natureza]"),"repasse.cef.terreno",
INDIRECT("rec.uni[empresa]"),AM$6)</f>
        <v>0</v>
      </c>
      <c r="AN64" s="185">
        <v>0</v>
      </c>
      <c r="AO64" s="182">
        <f ca="1">SUMIFS(rec.uni[2026-02-01],
INDIRECT("rec.uni[natureza]"),"taxa.extra",
INDIRECT("rec.uni[empresa]"),AO$6)</f>
        <v>0</v>
      </c>
      <c r="AP64" s="182"/>
      <c r="AQ64" s="182" cm="1">
        <f t="array" ref="AQ6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R64" s="182" cm="1">
        <f t="array" ref="AR6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S64" s="182" cm="1">
        <f t="array" ref="AS6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T64" s="182" cm="1">
        <f t="array" ref="AT6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U64" s="182" cm="1">
        <f t="array" ref="AU6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(desp[data.pagamento]&gt;=$A64)*
    (desp[data.pagamento]&lt;EOMONTH($A64,0)+1)
  )
)</f>
        <v>0</v>
      </c>
      <c r="AV64" s="181">
        <f>COUNTIFS(
    estq[empresa], AV$6,
    estq[Data da venda / reserva], "&gt;=" &amp; $A64,
    estq[Data da venda / reserva], "&lt;"  &amp; EOMONTH($A64,0) + 1
)</f>
        <v>0</v>
      </c>
      <c r="AW64" s="182">
        <f ca="1">SUMIFS(rec.uni[2026-02-01],
INDIRECT("rec.uni[natureza]"),"pro.soluto",
INDIRECT("rec.uni[empresa]"),AW$6)</f>
        <v>0</v>
      </c>
      <c r="AX64" s="182">
        <f ca="1">SUMIFS(rec.uni[2026-02-01],
INDIRECT("rec.uni[natureza]"),"repasse.cef.obra",
INDIRECT("rec.uni[empresa]"),AX$6)</f>
        <v>0</v>
      </c>
      <c r="AY64" s="185">
        <f ca="1">SUMIFS(rec.uni[2026-02-01],
INDIRECT("rec.uni[natureza]"),"repasse.cef.terreno",
INDIRECT("rec.uni[empresa]"),AY$6)</f>
        <v>0</v>
      </c>
      <c r="AZ64" s="185">
        <v>272968.38</v>
      </c>
      <c r="BA64" s="182">
        <f ca="1">SUMIFS(rec.uni[2026-02-01],
INDIRECT("rec.uni[natureza]"),"taxa.extra",
INDIRECT("rec.uni[empresa]"),BA$6)</f>
        <v>0</v>
      </c>
      <c r="BB64" s="182"/>
      <c r="BC64" s="182" cm="1">
        <f t="array" ref="BC6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D64" s="182" cm="1">
        <f t="array" ref="BD6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E64" s="182" cm="1">
        <f t="array" ref="BE6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F64" s="182" cm="1">
        <f t="array" ref="BF6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G64" s="182" cm="1">
        <f t="array" ref="BG6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(desp[data.pagamento]&gt;=$A64)*
    (desp[data.pagamento]&lt;EOMONTH($A64,0)+1)
  )
)</f>
        <v>0</v>
      </c>
      <c r="BH64" s="181">
        <f>COUNTIFS(
    estq[empresa], BH$6,
    estq[Data da venda / reserva], "&gt;=" &amp; $A64,
    estq[Data da venda / reserva], "&lt;"  &amp; EOMONTH($A64,0) + 1
)</f>
        <v>0</v>
      </c>
      <c r="BI64" s="182">
        <f ca="1">SUMIFS(rec.uni[2026-02-01],
INDIRECT("rec.uni[natureza]"),"pro.soluto",
INDIRECT("rec.uni[empresa]"),BI$6)</f>
        <v>0</v>
      </c>
      <c r="BJ64" s="185">
        <f>2.88*94736</f>
        <v>272839.67999999999</v>
      </c>
      <c r="BK64" s="182">
        <f ca="1">SUMIFS(rec.uni[2026-02-01],
INDIRECT("rec.uni[natureza]"),"taxa.extra",
INDIRECT("rec.uni[empresa]"),BK$6)</f>
        <v>0</v>
      </c>
      <c r="BL64" s="182"/>
      <c r="BM64" s="182" cm="1">
        <f t="array" ref="BM6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N64" s="182" cm="1">
        <f t="array" ref="BN6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O64" s="182" cm="1">
        <f t="array" ref="BO6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P64" s="182" cm="1">
        <f t="array" ref="BP6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Q64" s="182" cm="1">
        <f t="array" ref="BQ6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(desp[data.pagamento]&gt;=$A64)*
    (desp[data.pagamento]&lt;EOMONTH($A64,0)+1)
  )
)</f>
        <v>0</v>
      </c>
      <c r="BR64" s="181">
        <f>COUNTIFS(
    estq[empresa], BR$6,
    estq[Data da venda / reserva], "&gt;=" &amp; $A64,
    estq[Data da venda / reserva], "&lt;"  &amp; EOMONTH($A64,0) + 1
)</f>
        <v>0</v>
      </c>
      <c r="BS64" s="182">
        <f ca="1">SUMIFS(rec.uni[2026-02-01],
INDIRECT("rec.uni[natureza]"),"pro.soluto",
INDIRECT("rec.uni[empresa]"),BS$6)</f>
        <v>0</v>
      </c>
      <c r="BT64" s="185">
        <f ca="1">SUMIFS(rec.uni[2026-02-01],
INDIRECT("rec.uni[natureza]"),"pro.soluto",
INDIRECT("rec.uni[empresa]"),BT$6)</f>
        <v>0</v>
      </c>
      <c r="BU64" s="182">
        <f ca="1">SUMIFS(rec.uni[2026-02-01],
INDIRECT("rec.uni[natureza]"),"taxa.extra",
INDIRECT("rec.uni[empresa]"),BU$6)</f>
        <v>0</v>
      </c>
      <c r="BV64" s="182"/>
      <c r="BW64" s="182" cm="1">
        <f t="array" ref="BW6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BX64" s="182" cm="1">
        <f t="array" ref="BX6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BY64" s="182" cm="1">
        <f t="array" ref="BY6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BZ64" s="182" cm="1">
        <f t="array" ref="BZ6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CA64" s="182" cm="1">
        <f t="array" ref="CA6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(desp[data.pagamento]&gt;=$A64)*
    (desp[data.pagamento]&lt;EOMONTH($A64,0)+1)
  )
)</f>
        <v>0</v>
      </c>
      <c r="CB64" s="181">
        <f>COUNTIFS(
    estq[empresa], CB$6,
    estq[Data da venda / reserva], "&gt;=" &amp; $A64,
    estq[Data da venda / reserva], "&lt;"  &amp; EOMONTH($A64,0) + 1
)</f>
        <v>0</v>
      </c>
      <c r="CC64" s="182">
        <f ca="1">SUMIFS(rec.uni[2026-02-01],
INDIRECT("rec.uni[natureza]"),"pro.soluto",
INDIRECT("rec.uni[empresa]"),CC$6)</f>
        <v>0</v>
      </c>
      <c r="CD64" s="182">
        <f ca="1">SUMIFS(rec.uni[2026-02-01],
INDIRECT("rec.uni[natureza]"),"repasse.cef.obra",
INDIRECT("rec.uni[empresa]"),CD$6)</f>
        <v>0</v>
      </c>
      <c r="CE64" s="185">
        <f ca="1">SUMIFS(rec.uni[2026-02-01],
INDIRECT("rec.uni[natureza]"),"repasse.cef.terreno",
INDIRECT("rec.uni[empresa]"),CE$6)</f>
        <v>0</v>
      </c>
      <c r="CF64" s="185">
        <v>378029.53</v>
      </c>
      <c r="CG64" s="182">
        <f ca="1">SUMIFS(rec.uni[2026-02-01],
INDIRECT("rec.uni[natureza]"),"taxa.extra",
INDIRECT("rec.uni[empresa]"),CG$6)</f>
        <v>0</v>
      </c>
      <c r="CH64" s="182"/>
      <c r="CI64" s="182" cm="1">
        <f t="array" ref="CI6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J64" s="182" cm="1">
        <f t="array" ref="CJ6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K64" s="182" cm="1">
        <f t="array" ref="CK6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L64" s="182" cm="1">
        <f t="array" ref="CL6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M64" s="182" cm="1">
        <f t="array" ref="CM6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(desp[data.pagamento]&gt;=$A64)*
    (desp[data.pagamento]&lt;EOMONTH($A64,0)+1)
  )
)</f>
        <v>0</v>
      </c>
      <c r="CN64" s="181">
        <f>COUNTIFS(
    estq[empresa], CN$6,
    estq[Data da venda / reserva], "&gt;=" &amp; $A64,
    estq[Data da venda / reserva], "&lt;"  &amp; EOMONTH($A64,0) + 1
)</f>
        <v>0</v>
      </c>
      <c r="CO64" s="182">
        <f ca="1">SUMIFS(rec.uni[2026-02-01],
INDIRECT("rec.uni[natureza]"),"pro.soluto",
INDIRECT("rec.uni[empresa]"),CO$6)</f>
        <v>0</v>
      </c>
      <c r="CP64" s="182">
        <f ca="1">SUMIFS(rec.uni[2026-02-01],
INDIRECT("rec.uni[natureza]"),"repasse.cef.obra",
INDIRECT("rec.uni[empresa]"),CP$6)</f>
        <v>0</v>
      </c>
      <c r="CQ64" s="185">
        <f ca="1">SUMIFS(rec.uni[2026-02-01],
INDIRECT("rec.uni[natureza]"),"repasse.cef.terreno",
INDIRECT("rec.uni[empresa]"),CQ$6)</f>
        <v>0</v>
      </c>
      <c r="CR64" s="185"/>
      <c r="CS64" s="182">
        <f ca="1">SUMIFS(rec.uni[2026-02-01],
INDIRECT("rec.uni[natureza]"),"taxa.extra",
INDIRECT("rec.uni[empresa]"),CS$6)</f>
        <v>0</v>
      </c>
      <c r="CT64" s="182"/>
      <c r="CU64" s="182" cm="1">
        <f t="array" ref="CU6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  <c r="CV64" s="182" cm="1">
        <f t="array" ref="CV6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  <c r="CW64" s="182" cm="1">
        <f t="array" ref="CW6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  <c r="CX64" s="182" cm="1">
        <f t="array" ref="CX6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  <c r="CY64" s="294" cm="1">
        <f t="array" ref="CY6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(desp[data.pagamento]&gt;=$A64)*
    (desp[data.pagamento]&lt;EOMONTH($A64,0)+1)
  )
)</f>
        <v>0</v>
      </c>
    </row>
    <row r="65" spans="1:103" x14ac:dyDescent="0.25">
      <c r="A65" s="180">
        <v>46082</v>
      </c>
      <c r="B65" s="181">
        <f>COUNTIFS(
    estq[empresa], B$6,
    estq[Data da venda / reserva], "&gt;=" &amp; $A65,
    estq[Data da venda / reserva], "&lt;"  &amp; EOMONTH($A65,0) + 1
)</f>
        <v>0</v>
      </c>
      <c r="C65" s="182">
        <f ca="1">SUMIFS(rec.uni[2026-03-01],
INDIRECT("rec.uni[natureza]"),"pro.soluto",
INDIRECT("rec.uni[empresa]"),C$6)</f>
        <v>0</v>
      </c>
      <c r="D65" s="182">
        <f ca="1">SUMIFS(rec.uni[2026-03-01],
INDIRECT("rec.uni[natureza]"),"repasse.cef.obra",
INDIRECT("rec.uni[empresa]"),D$6)</f>
        <v>0</v>
      </c>
      <c r="E65" s="182">
        <f ca="1">SUMIFS(rec.uni[2026-03-01],
INDIRECT("rec.uni[natureza]"),"repasse.cef.terreno",
INDIRECT("rec.uni[empresa]"),E$6)</f>
        <v>0</v>
      </c>
      <c r="F65" s="186"/>
      <c r="G65" s="182">
        <f ca="1">SUMIFS(rec.uni[2026-03-01],
INDIRECT("rec.uni[natureza]"),"taxa.extra",
INDIRECT("rec.uni[empresa]"),G$6)</f>
        <v>0</v>
      </c>
      <c r="H65" s="170"/>
      <c r="I65" s="170" cm="1">
        <f t="array" ref="I6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J65" s="170" cm="1">
        <f t="array" ref="J6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K65" s="170" cm="1">
        <f t="array" ref="K6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L65" s="170" cm="1">
        <f t="array" ref="L6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M65" s="170" cm="1">
        <f t="array" ref="M6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(desp[data.pagamento]&gt;=$A65)*
    (desp[data.pagamento]&lt;EOMONTH($A65,0)+1)
  )
)</f>
        <v>0</v>
      </c>
      <c r="N65" s="181">
        <f>COUNTIFS(
    estq[empresa], N$6,
    estq[Data da venda / reserva], "&gt;=" &amp; $A65,
    estq[Data da venda / reserva], "&lt;"  &amp; EOMONTH($A65,0) + 1
)</f>
        <v>0</v>
      </c>
      <c r="O65" s="182">
        <f ca="1">SUMIFS(rec.uni[2026-03-01],
INDIRECT("rec.uni[natureza]"),"pro.soluto",
INDIRECT("rec.uni[empresa]"),O$6)</f>
        <v>0</v>
      </c>
      <c r="P65" s="182">
        <f ca="1">SUMIFS(rec.uni[2026-03-01],
INDIRECT("rec.uni[natureza]"),"repasse.cef.obra",
INDIRECT("rec.uni[empresa]"),P$6)</f>
        <v>0</v>
      </c>
      <c r="Q65" s="182">
        <f ca="1">SUMIFS(rec.uni[2026-03-01],
INDIRECT("rec.uni[natureza]"),"repasse.cef.terreno",
INDIRECT("rec.uni[empresa]"),Q$6)</f>
        <v>0</v>
      </c>
      <c r="R65" s="186"/>
      <c r="S65" s="182">
        <f ca="1">SUMIFS(rec.uni[2026-03-01],
INDIRECT("rec.uni[natureza]"),"taxa.extra",
INDIRECT("rec.uni[empresa]"),S$6)</f>
        <v>0</v>
      </c>
      <c r="T65" s="170"/>
      <c r="U65" s="170" cm="1">
        <f t="array" ref="U6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V65" s="170" cm="1">
        <f t="array" ref="V6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W65" s="170" cm="1">
        <f t="array" ref="W6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X65" s="170" cm="1">
        <f t="array" ref="X6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Y65" s="170" cm="1">
        <f t="array" ref="Y6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(desp[data.pagamento]&gt;=$A65)*
    (desp[data.pagamento]&lt;EOMONTH($A65,0)+1)
  )
)</f>
        <v>0</v>
      </c>
      <c r="Z65" s="181">
        <f>COUNTIFS(
    estq[empresa], Z$6,
    estq[Data da venda / reserva], "&gt;=" &amp; $A65,
    estq[Data da venda / reserva], "&lt;"  &amp; EOMONTH($A65,0) + 1
)</f>
        <v>0</v>
      </c>
      <c r="AA65" s="182">
        <f ca="1">SUMIFS(rec.uni[2026-03-01],
INDIRECT("rec.uni[natureza]"),"pro.soluto",
INDIRECT("rec.uni[empresa]"),AA$6)</f>
        <v>0</v>
      </c>
      <c r="AB65" s="186">
        <f ca="1">SUMIFS(rec.uni[2026-03-01],
INDIRECT("rec.uni[natureza]"),"pro.soluto",
INDIRECT("rec.uni[empresa]"),AB$6)</f>
        <v>0</v>
      </c>
      <c r="AC65" s="182">
        <f ca="1">SUMIFS(rec.uni[2026-03-01],
INDIRECT("rec.uni[natureza]"),"taxa.extra",
INDIRECT("rec.uni[empresa]"),AC$6)</f>
        <v>0</v>
      </c>
      <c r="AD65" s="170"/>
      <c r="AE65" s="170" cm="1">
        <f t="array" ref="AE6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F65" s="170" cm="1">
        <f t="array" ref="AF6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G65" s="170" cm="1">
        <f t="array" ref="AG6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H65" s="170" cm="1">
        <f t="array" ref="AH6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I65" s="170" cm="1">
        <f t="array" ref="AI6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(desp[data.pagamento]&gt;=$A65)*
    (desp[data.pagamento]&lt;EOMONTH($A65,0)+1)
  )
)</f>
        <v>0</v>
      </c>
      <c r="AJ65" s="181">
        <f>COUNTIFS(
    estq[empresa], AJ$6,
    estq[Data da venda / reserva], "&gt;=" &amp; $A65,
    estq[Data da venda / reserva], "&lt;"  &amp; EOMONTH($A65,0) + 1
)</f>
        <v>0</v>
      </c>
      <c r="AK65" s="182">
        <f ca="1">SUMIFS(rec.uni[2026-03-01],
INDIRECT("rec.uni[natureza]"),"pro.soluto",
INDIRECT("rec.uni[empresa]"),AK$6)</f>
        <v>0</v>
      </c>
      <c r="AL65" s="182">
        <f ca="1">SUMIFS(rec.uni[2026-03-01],
INDIRECT("rec.uni[natureza]"),"repasse.cef.obra",
INDIRECT("rec.uni[empresa]"),AL$6)</f>
        <v>0</v>
      </c>
      <c r="AM65" s="185">
        <f ca="1">SUMIFS(rec.uni[2026-03-01],
INDIRECT("rec.uni[natureza]"),"repasse.cef.terreno",
INDIRECT("rec.uni[empresa]"),AM$6)</f>
        <v>0</v>
      </c>
      <c r="AN65" s="186"/>
      <c r="AO65" s="182">
        <f ca="1">SUMIFS(rec.uni[2026-03-01],
INDIRECT("rec.uni[natureza]"),"taxa.extra",
INDIRECT("rec.uni[empresa]"),AO$6)</f>
        <v>0</v>
      </c>
      <c r="AP65" s="170"/>
      <c r="AQ65" s="170" cm="1">
        <f t="array" ref="AQ6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R65" s="170" cm="1">
        <f t="array" ref="AR6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S65" s="170" cm="1">
        <f t="array" ref="AS6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T65" s="170" cm="1">
        <f t="array" ref="AT6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U65" s="170" cm="1">
        <f t="array" ref="AU6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(desp[data.pagamento]&gt;=$A65)*
    (desp[data.pagamento]&lt;EOMONTH($A65,0)+1)
  )
)</f>
        <v>0</v>
      </c>
      <c r="AV65" s="181">
        <f>COUNTIFS(
    estq[empresa], AV$6,
    estq[Data da venda / reserva], "&gt;=" &amp; $A65,
    estq[Data da venda / reserva], "&lt;"  &amp; EOMONTH($A65,0) + 1
)</f>
        <v>0</v>
      </c>
      <c r="AW65" s="182">
        <f ca="1">SUMIFS(rec.uni[2026-03-01],
INDIRECT("rec.uni[natureza]"),"pro.soluto",
INDIRECT("rec.uni[empresa]"),AW$6)</f>
        <v>0</v>
      </c>
      <c r="AX65" s="182">
        <f ca="1">SUMIFS(rec.uni[2026-03-01],
INDIRECT("rec.uni[natureza]"),"repasse.cef.obra",
INDIRECT("rec.uni[empresa]"),AX$6)</f>
        <v>0</v>
      </c>
      <c r="AY65" s="185">
        <f ca="1">SUMIFS(rec.uni[2026-03-01],
INDIRECT("rec.uni[natureza]"),"repasse.cef.terreno",
INDIRECT("rec.uni[empresa]"),AY$6)</f>
        <v>0</v>
      </c>
      <c r="AZ65" s="186"/>
      <c r="BA65" s="182">
        <f ca="1">SUMIFS(rec.uni[2026-03-01],
INDIRECT("rec.uni[natureza]"),"taxa.extra",
INDIRECT("rec.uni[empresa]"),BA$6)</f>
        <v>0</v>
      </c>
      <c r="BB65" s="170"/>
      <c r="BC65" s="170" cm="1">
        <f t="array" ref="BC6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D65" s="170" cm="1">
        <f t="array" ref="BD6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E65" s="170" cm="1">
        <f t="array" ref="BE6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F65" s="170" cm="1">
        <f t="array" ref="BF6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G65" s="170" cm="1">
        <f t="array" ref="BG6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(desp[data.pagamento]&gt;=$A65)*
    (desp[data.pagamento]&lt;EOMONTH($A65,0)+1)
  )
)</f>
        <v>0</v>
      </c>
      <c r="BH65" s="181">
        <f>COUNTIFS(
    estq[empresa], BH$6,
    estq[Data da venda / reserva], "&gt;=" &amp; $A65,
    estq[Data da venda / reserva], "&lt;"  &amp; EOMONTH($A65,0) + 1
)</f>
        <v>0</v>
      </c>
      <c r="BI65" s="182">
        <f ca="1">SUMIFS(rec.uni[2026-03-01],
INDIRECT("rec.uni[natureza]"),"pro.soluto",
INDIRECT("rec.uni[empresa]"),BI$6)</f>
        <v>0</v>
      </c>
      <c r="BJ65" s="186">
        <f>6.76*94736</f>
        <v>640415.36</v>
      </c>
      <c r="BK65" s="182">
        <f ca="1">SUMIFS(rec.uni[2026-03-01],
INDIRECT("rec.uni[natureza]"),"taxa.extra",
INDIRECT("rec.uni[empresa]"),BK$6)</f>
        <v>0</v>
      </c>
      <c r="BL65" s="170"/>
      <c r="BM65" s="170" cm="1">
        <f t="array" ref="BM6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N65" s="170" cm="1">
        <f t="array" ref="BN6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O65" s="170" cm="1">
        <f t="array" ref="BO6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P65" s="170" cm="1">
        <f t="array" ref="BP6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Q65" s="170" cm="1">
        <f t="array" ref="BQ6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(desp[data.pagamento]&gt;=$A65)*
    (desp[data.pagamento]&lt;EOMONTH($A65,0)+1)
  )
)</f>
        <v>0</v>
      </c>
      <c r="BR65" s="181">
        <f>COUNTIFS(
    estq[empresa], BR$6,
    estq[Data da venda / reserva], "&gt;=" &amp; $A65,
    estq[Data da venda / reserva], "&lt;"  &amp; EOMONTH($A65,0) + 1
)</f>
        <v>0</v>
      </c>
      <c r="BS65" s="182">
        <f ca="1">SUMIFS(rec.uni[2026-03-01],
INDIRECT("rec.uni[natureza]"),"pro.soluto",
INDIRECT("rec.uni[empresa]"),BS$6)</f>
        <v>0</v>
      </c>
      <c r="BT65" s="186">
        <f ca="1">SUMIFS(rec.uni[2026-03-01],
INDIRECT("rec.uni[natureza]"),"pro.soluto",
INDIRECT("rec.uni[empresa]"),BT$6)</f>
        <v>0</v>
      </c>
      <c r="BU65" s="182">
        <f ca="1">SUMIFS(rec.uni[2026-03-01],
INDIRECT("rec.uni[natureza]"),"taxa.extra",
INDIRECT("rec.uni[empresa]"),BU$6)</f>
        <v>0</v>
      </c>
      <c r="BV65" s="170"/>
      <c r="BW65" s="170" cm="1">
        <f t="array" ref="BW6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BX65" s="170" cm="1">
        <f t="array" ref="BX6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BY65" s="170" cm="1">
        <f t="array" ref="BY6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BZ65" s="170" cm="1">
        <f t="array" ref="BZ6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CA65" s="170" cm="1">
        <f t="array" ref="CA6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(desp[data.pagamento]&gt;=$A65)*
    (desp[data.pagamento]&lt;EOMONTH($A65,0)+1)
  )
)</f>
        <v>0</v>
      </c>
      <c r="CB65" s="181">
        <f>COUNTIFS(
    estq[empresa], CB$6,
    estq[Data da venda / reserva], "&gt;=" &amp; $A65,
    estq[Data da venda / reserva], "&lt;"  &amp; EOMONTH($A65,0) + 1
)</f>
        <v>0</v>
      </c>
      <c r="CC65" s="182">
        <f ca="1">SUMIFS(rec.uni[2026-03-01],
INDIRECT("rec.uni[natureza]"),"pro.soluto",
INDIRECT("rec.uni[empresa]"),CC$6)</f>
        <v>0</v>
      </c>
      <c r="CD65" s="182">
        <f ca="1">SUMIFS(rec.uni[2026-03-01],
INDIRECT("rec.uni[natureza]"),"repasse.cef.obra",
INDIRECT("rec.uni[empresa]"),CD$6)</f>
        <v>0</v>
      </c>
      <c r="CE65" s="185">
        <f ca="1">SUMIFS(rec.uni[2026-03-01],
INDIRECT("rec.uni[natureza]"),"repasse.cef.terreno",
INDIRECT("rec.uni[empresa]"),CE$6)</f>
        <v>0</v>
      </c>
      <c r="CF65" s="186"/>
      <c r="CG65" s="182">
        <f ca="1">SUMIFS(rec.uni[2026-03-01],
INDIRECT("rec.uni[natureza]"),"taxa.extra",
INDIRECT("rec.uni[empresa]"),CG$6)</f>
        <v>0</v>
      </c>
      <c r="CH65" s="170"/>
      <c r="CI65" s="170" cm="1">
        <f t="array" ref="CI6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J65" s="170" cm="1">
        <f t="array" ref="CJ6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K65" s="170" cm="1">
        <f t="array" ref="CK6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L65" s="170" cm="1">
        <f t="array" ref="CL6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M65" s="170" cm="1">
        <f t="array" ref="CM6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(desp[data.pagamento]&gt;=$A65)*
    (desp[data.pagamento]&lt;EOMONTH($A65,0)+1)
  )
)</f>
        <v>0</v>
      </c>
      <c r="CN65" s="181">
        <f>COUNTIFS(
    estq[empresa], CN$6,
    estq[Data da venda / reserva], "&gt;=" &amp; $A65,
    estq[Data da venda / reserva], "&lt;"  &amp; EOMONTH($A65,0) + 1
)</f>
        <v>0</v>
      </c>
      <c r="CO65" s="182">
        <f ca="1">SUMIFS(rec.uni[2026-03-01],
INDIRECT("rec.uni[natureza]"),"pro.soluto",
INDIRECT("rec.uni[empresa]"),CO$6)</f>
        <v>0</v>
      </c>
      <c r="CP65" s="182">
        <f ca="1">SUMIFS(rec.uni[2026-03-01],
INDIRECT("rec.uni[natureza]"),"repasse.cef.obra",
INDIRECT("rec.uni[empresa]"),CP$6)</f>
        <v>0</v>
      </c>
      <c r="CQ65" s="185">
        <f ca="1">SUMIFS(rec.uni[2026-03-01],
INDIRECT("rec.uni[natureza]"),"repasse.cef.terreno",
INDIRECT("rec.uni[empresa]"),CQ$6)</f>
        <v>0</v>
      </c>
      <c r="CR65" s="186"/>
      <c r="CS65" s="182">
        <f ca="1">SUMIFS(rec.uni[2026-03-01],
INDIRECT("rec.uni[natureza]"),"taxa.extra",
INDIRECT("rec.uni[empresa]"),CS$6)</f>
        <v>0</v>
      </c>
      <c r="CT65" s="170"/>
      <c r="CU65" s="170" cm="1">
        <f t="array" ref="CU6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  <c r="CV65" s="170" cm="1">
        <f t="array" ref="CV6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  <c r="CW65" s="170" cm="1">
        <f t="array" ref="CW6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  <c r="CX65" s="170" cm="1">
        <f t="array" ref="CX6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  <c r="CY65" s="295" cm="1">
        <f t="array" ref="CY6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(desp[data.pagamento]&gt;=$A65)*
    (desp[data.pagamento]&lt;EOMONTH($A65,0)+1)
  )
)</f>
        <v>0</v>
      </c>
    </row>
    <row r="66" spans="1:103" x14ac:dyDescent="0.25">
      <c r="A66" s="180">
        <v>46113</v>
      </c>
      <c r="B66" s="181">
        <f>COUNTIFS(
    estq[empresa], B$6,
    estq[Data da venda / reserva], "&gt;=" &amp; $A66,
    estq[Data da venda / reserva], "&lt;"  &amp; EOMONTH($A66,0) + 1
)</f>
        <v>0</v>
      </c>
      <c r="C66" s="182">
        <f ca="1">SUMIFS(rec.uni[2026-04-01],
INDIRECT("rec.uni[natureza]"),"pro.soluto",
INDIRECT("rec.uni[empresa]"),C$6)</f>
        <v>0</v>
      </c>
      <c r="D66" s="182">
        <f ca="1">SUMIFS(rec.uni[2026-04-01],
INDIRECT("rec.uni[natureza]"),"repasse.cef.obra",
INDIRECT("rec.uni[empresa]"),D$6)</f>
        <v>0</v>
      </c>
      <c r="E66" s="182">
        <f ca="1">SUMIFS(rec.uni[2026-04-01],
INDIRECT("rec.uni[natureza]"),"repasse.cef.terreno",
INDIRECT("rec.uni[empresa]"),E$6)</f>
        <v>0</v>
      </c>
      <c r="F66" s="186"/>
      <c r="G66" s="182">
        <f ca="1">SUMIFS(rec.uni[2026-04-01],
INDIRECT("rec.uni[natureza]"),"taxa.extra",
INDIRECT("rec.uni[empresa]"),G$6)</f>
        <v>0</v>
      </c>
      <c r="H66" s="170"/>
      <c r="I66" s="170" cm="1">
        <f t="array" ref="I6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J66" s="170" cm="1">
        <f t="array" ref="J6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K66" s="170" cm="1">
        <f t="array" ref="K6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L66" s="170" cm="1">
        <f t="array" ref="L6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M66" s="170" cm="1">
        <f t="array" ref="M6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(desp[data.pagamento]&gt;=$A66)*
    (desp[data.pagamento]&lt;EOMONTH($A66,0)+1)
  )
)</f>
        <v>0</v>
      </c>
      <c r="N66" s="181">
        <f>COUNTIFS(
    estq[empresa], N$6,
    estq[Data da venda / reserva], "&gt;=" &amp; $A66,
    estq[Data da venda / reserva], "&lt;"  &amp; EOMONTH($A66,0) + 1
)</f>
        <v>0</v>
      </c>
      <c r="O66" s="182">
        <f ca="1">SUMIFS(rec.uni[2026-04-01],
INDIRECT("rec.uni[natureza]"),"pro.soluto",
INDIRECT("rec.uni[empresa]"),O$6)</f>
        <v>0</v>
      </c>
      <c r="P66" s="182">
        <f ca="1">SUMIFS(rec.uni[2026-04-01],
INDIRECT("rec.uni[natureza]"),"repasse.cef.obra",
INDIRECT("rec.uni[empresa]"),P$6)</f>
        <v>0</v>
      </c>
      <c r="Q66" s="182">
        <f ca="1">SUMIFS(rec.uni[2026-04-01],
INDIRECT("rec.uni[natureza]"),"repasse.cef.terreno",
INDIRECT("rec.uni[empresa]"),Q$6)</f>
        <v>0</v>
      </c>
      <c r="R66" s="186"/>
      <c r="S66" s="182">
        <f ca="1">SUMIFS(rec.uni[2026-04-01],
INDIRECT("rec.uni[natureza]"),"taxa.extra",
INDIRECT("rec.uni[empresa]"),S$6)</f>
        <v>0</v>
      </c>
      <c r="T66" s="170"/>
      <c r="U66" s="170" cm="1">
        <f t="array" ref="U6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V66" s="170" cm="1">
        <f t="array" ref="V6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W66" s="170" cm="1">
        <f t="array" ref="W6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X66" s="170" cm="1">
        <f t="array" ref="X6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Y66" s="170" cm="1">
        <f t="array" ref="Y6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(desp[data.pagamento]&gt;=$A66)*
    (desp[data.pagamento]&lt;EOMONTH($A66,0)+1)
  )
)</f>
        <v>0</v>
      </c>
      <c r="Z66" s="181">
        <f>COUNTIFS(
    estq[empresa], Z$6,
    estq[Data da venda / reserva], "&gt;=" &amp; $A66,
    estq[Data da venda / reserva], "&lt;"  &amp; EOMONTH($A66,0) + 1
)</f>
        <v>0</v>
      </c>
      <c r="AA66" s="182">
        <f ca="1">SUMIFS(rec.uni[2026-04-01],
INDIRECT("rec.uni[natureza]"),"pro.soluto",
INDIRECT("rec.uni[empresa]"),AA$6)</f>
        <v>0</v>
      </c>
      <c r="AB66" s="186">
        <f ca="1">SUMIFS(rec.uni[2026-04-01],
INDIRECT("rec.uni[natureza]"),"pro.soluto",
INDIRECT("rec.uni[empresa]"),AB$6)</f>
        <v>0</v>
      </c>
      <c r="AC66" s="182">
        <f ca="1">SUMIFS(rec.uni[2026-04-01],
INDIRECT("rec.uni[natureza]"),"taxa.extra",
INDIRECT("rec.uni[empresa]"),AC$6)</f>
        <v>0</v>
      </c>
      <c r="AD66" s="170"/>
      <c r="AE66" s="170" cm="1">
        <f t="array" ref="AE6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F66" s="170" cm="1">
        <f t="array" ref="AF6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G66" s="170" cm="1">
        <f t="array" ref="AG6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H66" s="170" cm="1">
        <f t="array" ref="AH6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I66" s="170" cm="1">
        <f t="array" ref="AI6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(desp[data.pagamento]&gt;=$A66)*
    (desp[data.pagamento]&lt;EOMONTH($A66,0)+1)
  )
)</f>
        <v>0</v>
      </c>
      <c r="AJ66" s="181">
        <f>COUNTIFS(
    estq[empresa], AJ$6,
    estq[Data da venda / reserva], "&gt;=" &amp; $A66,
    estq[Data da venda / reserva], "&lt;"  &amp; EOMONTH($A66,0) + 1
)</f>
        <v>0</v>
      </c>
      <c r="AK66" s="182">
        <f ca="1">SUMIFS(rec.uni[2026-04-01],
INDIRECT("rec.uni[natureza]"),"pro.soluto",
INDIRECT("rec.uni[empresa]"),AK$6)</f>
        <v>0</v>
      </c>
      <c r="AL66" s="182">
        <f ca="1">SUMIFS(rec.uni[2026-04-01],
INDIRECT("rec.uni[natureza]"),"repasse.cef.obra",
INDIRECT("rec.uni[empresa]"),AL$6)</f>
        <v>0</v>
      </c>
      <c r="AM66" s="185">
        <f ca="1">SUMIFS(rec.uni[2026-04-01],
INDIRECT("rec.uni[natureza]"),"repasse.cef.terreno",
INDIRECT("rec.uni[empresa]"),AM$6)</f>
        <v>0</v>
      </c>
      <c r="AN66" s="186"/>
      <c r="AO66" s="182">
        <f ca="1">SUMIFS(rec.uni[2026-04-01],
INDIRECT("rec.uni[natureza]"),"taxa.extra",
INDIRECT("rec.uni[empresa]"),AO$6)</f>
        <v>0</v>
      </c>
      <c r="AP66" s="170"/>
      <c r="AQ66" s="170" cm="1">
        <f t="array" ref="AQ6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R66" s="170" cm="1">
        <f t="array" ref="AR6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S66" s="170" cm="1">
        <f t="array" ref="AS6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T66" s="170" cm="1">
        <f t="array" ref="AT6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U66" s="170" cm="1">
        <f t="array" ref="AU6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(desp[data.pagamento]&gt;=$A66)*
    (desp[data.pagamento]&lt;EOMONTH($A66,0)+1)
  )
)</f>
        <v>0</v>
      </c>
      <c r="AV66" s="181">
        <f>COUNTIFS(
    estq[empresa], AV$6,
    estq[Data da venda / reserva], "&gt;=" &amp; $A66,
    estq[Data da venda / reserva], "&lt;"  &amp; EOMONTH($A66,0) + 1
)</f>
        <v>0</v>
      </c>
      <c r="AW66" s="182">
        <f ca="1">SUMIFS(rec.uni[2026-04-01],
INDIRECT("rec.uni[natureza]"),"pro.soluto",
INDIRECT("rec.uni[empresa]"),AW$6)</f>
        <v>0</v>
      </c>
      <c r="AX66" s="182">
        <f ca="1">SUMIFS(rec.uni[2026-04-01],
INDIRECT("rec.uni[natureza]"),"repasse.cef.obra",
INDIRECT("rec.uni[empresa]"),AX$6)</f>
        <v>0</v>
      </c>
      <c r="AY66" s="185">
        <f ca="1">SUMIFS(rec.uni[2026-04-01],
INDIRECT("rec.uni[natureza]"),"repasse.cef.terreno",
INDIRECT("rec.uni[empresa]"),AY$6)</f>
        <v>0</v>
      </c>
      <c r="AZ66" s="186"/>
      <c r="BA66" s="182">
        <f ca="1">SUMIFS(rec.uni[2026-04-01],
INDIRECT("rec.uni[natureza]"),"taxa.extra",
INDIRECT("rec.uni[empresa]"),BA$6)</f>
        <v>0</v>
      </c>
      <c r="BB66" s="170"/>
      <c r="BC66" s="170" cm="1">
        <f t="array" ref="BC6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D66" s="170" cm="1">
        <f t="array" ref="BD6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E66" s="170" cm="1">
        <f t="array" ref="BE6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F66" s="170" cm="1">
        <f t="array" ref="BF6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G66" s="170" cm="1">
        <f t="array" ref="BG6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(desp[data.pagamento]&gt;=$A66)*
    (desp[data.pagamento]&lt;EOMONTH($A66,0)+1)
  )
)</f>
        <v>0</v>
      </c>
      <c r="BH66" s="181">
        <f>COUNTIFS(
    estq[empresa], BH$6,
    estq[Data da venda / reserva], "&gt;=" &amp; $A66,
    estq[Data da venda / reserva], "&lt;"  &amp; EOMONTH($A66,0) + 1
)</f>
        <v>0</v>
      </c>
      <c r="BI66" s="182">
        <f ca="1">SUMIFS(rec.uni[2026-04-01],
INDIRECT("rec.uni[natureza]"),"pro.soluto",
INDIRECT("rec.uni[empresa]"),BI$6)</f>
        <v>0</v>
      </c>
      <c r="BJ66" s="186">
        <f ca="1">SUMIFS(rec.uni[2026-04-01],
INDIRECT("rec.uni[natureza]"),"parcela.fin.total.ik",
INDIRECT("rec.uni[empresa]"),BJ$6)</f>
        <v>0</v>
      </c>
      <c r="BK66" s="182">
        <f ca="1">SUMIFS(rec.uni[2026-04-01],
INDIRECT("rec.uni[natureza]"),"taxa.extra",
INDIRECT("rec.uni[empresa]"),BK$6)</f>
        <v>0</v>
      </c>
      <c r="BL66" s="170"/>
      <c r="BM66" s="170" cm="1">
        <f t="array" ref="BM6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N66" s="170" cm="1">
        <f t="array" ref="BN6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O66" s="170" cm="1">
        <f t="array" ref="BO6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P66" s="170" cm="1">
        <f t="array" ref="BP6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Q66" s="170" cm="1">
        <f t="array" ref="BQ6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(desp[data.pagamento]&gt;=$A66)*
    (desp[data.pagamento]&lt;EOMONTH($A66,0)+1)
  )
)</f>
        <v>0</v>
      </c>
      <c r="BR66" s="181">
        <f>COUNTIFS(
    estq[empresa], BR$6,
    estq[Data da venda / reserva], "&gt;=" &amp; $A66,
    estq[Data da venda / reserva], "&lt;"  &amp; EOMONTH($A66,0) + 1
)</f>
        <v>0</v>
      </c>
      <c r="BS66" s="182">
        <f ca="1">SUMIFS(rec.uni[2026-04-01],
INDIRECT("rec.uni[natureza]"),"pro.soluto",
INDIRECT("rec.uni[empresa]"),BS$6)</f>
        <v>0</v>
      </c>
      <c r="BT66" s="186">
        <f ca="1">SUMIFS(rec.uni[2026-04-01],
INDIRECT("rec.uni[natureza]"),"pro.soluto",
INDIRECT("rec.uni[empresa]"),BT$6)</f>
        <v>0</v>
      </c>
      <c r="BU66" s="182">
        <f ca="1">SUMIFS(rec.uni[2026-04-01],
INDIRECT("rec.uni[natureza]"),"taxa.extra",
INDIRECT("rec.uni[empresa]"),BU$6)</f>
        <v>0</v>
      </c>
      <c r="BV66" s="170"/>
      <c r="BW66" s="170" cm="1">
        <f t="array" ref="BW6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BX66" s="170" cm="1">
        <f t="array" ref="BX6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BY66" s="170" cm="1">
        <f t="array" ref="BY6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BZ66" s="170" cm="1">
        <f t="array" ref="BZ6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CA66" s="170" cm="1">
        <f t="array" ref="CA6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(desp[data.pagamento]&gt;=$A66)*
    (desp[data.pagamento]&lt;EOMONTH($A66,0)+1)
  )
)</f>
        <v>0</v>
      </c>
      <c r="CB66" s="181">
        <f>COUNTIFS(
    estq[empresa], CB$6,
    estq[Data da venda / reserva], "&gt;=" &amp; $A66,
    estq[Data da venda / reserva], "&lt;"  &amp; EOMONTH($A66,0) + 1
)</f>
        <v>0</v>
      </c>
      <c r="CC66" s="182">
        <f ca="1">SUMIFS(rec.uni[2026-04-01],
INDIRECT("rec.uni[natureza]"),"pro.soluto",
INDIRECT("rec.uni[empresa]"),CC$6)</f>
        <v>0</v>
      </c>
      <c r="CD66" s="182">
        <f ca="1">SUMIFS(rec.uni[2026-04-01],
INDIRECT("rec.uni[natureza]"),"repasse.cef.obra",
INDIRECT("rec.uni[empresa]"),CD$6)</f>
        <v>0</v>
      </c>
      <c r="CE66" s="185">
        <f ca="1">SUMIFS(rec.uni[2026-04-01],
INDIRECT("rec.uni[natureza]"),"repasse.cef.terreno",
INDIRECT("rec.uni[empresa]"),CE$6)</f>
        <v>0</v>
      </c>
      <c r="CF66" s="186"/>
      <c r="CG66" s="182">
        <f ca="1">SUMIFS(rec.uni[2026-04-01],
INDIRECT("rec.uni[natureza]"),"taxa.extra",
INDIRECT("rec.uni[empresa]"),CG$6)</f>
        <v>0</v>
      </c>
      <c r="CH66" s="170"/>
      <c r="CI66" s="170" cm="1">
        <f t="array" ref="CI6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J66" s="170" cm="1">
        <f t="array" ref="CJ6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K66" s="170" cm="1">
        <f t="array" ref="CK6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L66" s="170" cm="1">
        <f t="array" ref="CL6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M66" s="170" cm="1">
        <f t="array" ref="CM6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(desp[data.pagamento]&gt;=$A66)*
    (desp[data.pagamento]&lt;EOMONTH($A66,0)+1)
  )
)</f>
        <v>0</v>
      </c>
      <c r="CN66" s="181">
        <f>COUNTIFS(
    estq[empresa], CN$6,
    estq[Data da venda / reserva], "&gt;=" &amp; $A66,
    estq[Data da venda / reserva], "&lt;"  &amp; EOMONTH($A66,0) + 1
)</f>
        <v>0</v>
      </c>
      <c r="CO66" s="182">
        <f ca="1">SUMIFS(rec.uni[2026-04-01],
INDIRECT("rec.uni[natureza]"),"pro.soluto",
INDIRECT("rec.uni[empresa]"),CO$6)</f>
        <v>0</v>
      </c>
      <c r="CP66" s="182">
        <f ca="1">SUMIFS(rec.uni[2026-04-01],
INDIRECT("rec.uni[natureza]"),"repasse.cef.obra",
INDIRECT("rec.uni[empresa]"),CP$6)</f>
        <v>0</v>
      </c>
      <c r="CQ66" s="185">
        <f ca="1">SUMIFS(rec.uni[2026-04-01],
INDIRECT("rec.uni[natureza]"),"repasse.cef.terreno",
INDIRECT("rec.uni[empresa]"),CQ$6)</f>
        <v>0</v>
      </c>
      <c r="CR66" s="186"/>
      <c r="CS66" s="182">
        <f ca="1">SUMIFS(rec.uni[2026-04-01],
INDIRECT("rec.uni[natureza]"),"taxa.extra",
INDIRECT("rec.uni[empresa]"),CS$6)</f>
        <v>0</v>
      </c>
      <c r="CT66" s="170"/>
      <c r="CU66" s="170" cm="1">
        <f t="array" ref="CU6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  <c r="CV66" s="170" cm="1">
        <f t="array" ref="CV6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  <c r="CW66" s="170" cm="1">
        <f t="array" ref="CW6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  <c r="CX66" s="170" cm="1">
        <f t="array" ref="CX6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  <c r="CY66" s="295" cm="1">
        <f t="array" ref="CY6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(desp[data.pagamento]&gt;=$A66)*
    (desp[data.pagamento]&lt;EOMONTH($A66,0)+1)
  )
)</f>
        <v>0</v>
      </c>
    </row>
    <row r="67" spans="1:103" x14ac:dyDescent="0.25">
      <c r="A67" s="180">
        <v>46143</v>
      </c>
      <c r="B67" s="181">
        <f>COUNTIFS(
    estq[empresa], B$6,
    estq[Data da venda / reserva], "&gt;=" &amp; $A67,
    estq[Data da venda / reserva], "&lt;"  &amp; EOMONTH($A67,0) + 1
)</f>
        <v>0</v>
      </c>
      <c r="C67" s="182">
        <f ca="1">SUMIFS(rec.uni[2026-05-01],
INDIRECT("rec.uni[natureza]"),"pro.soluto",
INDIRECT("rec.uni[empresa]"),C$6)</f>
        <v>0</v>
      </c>
      <c r="D67" s="182">
        <f ca="1">SUMIFS(rec.uni[2026-05-01],
INDIRECT("rec.uni[natureza]"),"repasse.cef.obra",
INDIRECT("rec.uni[empresa]"),D$6)</f>
        <v>0</v>
      </c>
      <c r="E67" s="182">
        <f ca="1">SUMIFS(rec.uni[2026-05-01],
INDIRECT("rec.uni[natureza]"),"repasse.cef.terreno",
INDIRECT("rec.uni[empresa]"),E$6)</f>
        <v>0</v>
      </c>
      <c r="F67" s="186"/>
      <c r="G67" s="182">
        <f ca="1">SUMIFS(rec.uni[2026-05-01],
INDIRECT("rec.uni[natureza]"),"taxa.extra",
INDIRECT("rec.uni[empresa]"),G$6)</f>
        <v>0</v>
      </c>
      <c r="H67" s="170"/>
      <c r="I67" s="170" cm="1">
        <f t="array" ref="I6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J67" s="170" cm="1">
        <f t="array" ref="J6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K67" s="170" cm="1">
        <f t="array" ref="K6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L67" s="170" cm="1">
        <f t="array" ref="L6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M67" s="170" cm="1">
        <f t="array" ref="M6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(desp[data.pagamento]&gt;=$A67)*
    (desp[data.pagamento]&lt;EOMONTH($A67,0)+1)
  )
)</f>
        <v>0</v>
      </c>
      <c r="N67" s="181">
        <f>COUNTIFS(
    estq[empresa], N$6,
    estq[Data da venda / reserva], "&gt;=" &amp; $A67,
    estq[Data da venda / reserva], "&lt;"  &amp; EOMONTH($A67,0) + 1
)</f>
        <v>0</v>
      </c>
      <c r="O67" s="182">
        <f ca="1">SUMIFS(rec.uni[2026-05-01],
INDIRECT("rec.uni[natureza]"),"pro.soluto",
INDIRECT("rec.uni[empresa]"),O$6)</f>
        <v>0</v>
      </c>
      <c r="P67" s="182">
        <f ca="1">SUMIFS(rec.uni[2026-05-01],
INDIRECT("rec.uni[natureza]"),"repasse.cef.obra",
INDIRECT("rec.uni[empresa]"),P$6)</f>
        <v>0</v>
      </c>
      <c r="Q67" s="182">
        <f ca="1">SUMIFS(rec.uni[2026-05-01],
INDIRECT("rec.uni[natureza]"),"repasse.cef.terreno",
INDIRECT("rec.uni[empresa]"),Q$6)</f>
        <v>0</v>
      </c>
      <c r="R67" s="186"/>
      <c r="S67" s="182">
        <f ca="1">SUMIFS(rec.uni[2026-05-01],
INDIRECT("rec.uni[natureza]"),"taxa.extra",
INDIRECT("rec.uni[empresa]"),S$6)</f>
        <v>0</v>
      </c>
      <c r="T67" s="170"/>
      <c r="U67" s="170" cm="1">
        <f t="array" ref="U6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V67" s="170" cm="1">
        <f t="array" ref="V6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W67" s="170" cm="1">
        <f t="array" ref="W6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X67" s="170" cm="1">
        <f t="array" ref="X6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Y67" s="170" cm="1">
        <f t="array" ref="Y6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(desp[data.pagamento]&gt;=$A67)*
    (desp[data.pagamento]&lt;EOMONTH($A67,0)+1)
  )
)</f>
        <v>0</v>
      </c>
      <c r="Z67" s="181">
        <f>COUNTIFS(
    estq[empresa], Z$6,
    estq[Data da venda / reserva], "&gt;=" &amp; $A67,
    estq[Data da venda / reserva], "&lt;"  &amp; EOMONTH($A67,0) + 1
)</f>
        <v>0</v>
      </c>
      <c r="AA67" s="182">
        <f ca="1">SUMIFS(rec.uni[2026-05-01],
INDIRECT("rec.uni[natureza]"),"pro.soluto",
INDIRECT("rec.uni[empresa]"),AA$6)</f>
        <v>0</v>
      </c>
      <c r="AB67" s="186">
        <f ca="1">SUMIFS(rec.uni[2026-05-01],
INDIRECT("rec.uni[natureza]"),"pro.soluto",
INDIRECT("rec.uni[empresa]"),AB$6)</f>
        <v>0</v>
      </c>
      <c r="AC67" s="182">
        <f ca="1">SUMIFS(rec.uni[2026-05-01],
INDIRECT("rec.uni[natureza]"),"taxa.extra",
INDIRECT("rec.uni[empresa]"),AC$6)</f>
        <v>0</v>
      </c>
      <c r="AD67" s="170"/>
      <c r="AE67" s="170" cm="1">
        <f t="array" ref="AE6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F67" s="170" cm="1">
        <f t="array" ref="AF6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G67" s="170" cm="1">
        <f t="array" ref="AG6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H67" s="170" cm="1">
        <f t="array" ref="AH6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I67" s="170" cm="1">
        <f t="array" ref="AI6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(desp[data.pagamento]&gt;=$A67)*
    (desp[data.pagamento]&lt;EOMONTH($A67,0)+1)
  )
)</f>
        <v>0</v>
      </c>
      <c r="AJ67" s="181">
        <f>COUNTIFS(
    estq[empresa], AJ$6,
    estq[Data da venda / reserva], "&gt;=" &amp; $A67,
    estq[Data da venda / reserva], "&lt;"  &amp; EOMONTH($A67,0) + 1
)</f>
        <v>0</v>
      </c>
      <c r="AK67" s="182">
        <f ca="1">SUMIFS(rec.uni[2026-05-01],
INDIRECT("rec.uni[natureza]"),"pro.soluto",
INDIRECT("rec.uni[empresa]"),AK$6)</f>
        <v>0</v>
      </c>
      <c r="AL67" s="182">
        <f ca="1">SUMIFS(rec.uni[2026-05-01],
INDIRECT("rec.uni[natureza]"),"repasse.cef.obra",
INDIRECT("rec.uni[empresa]"),AL$6)</f>
        <v>0</v>
      </c>
      <c r="AM67" s="185">
        <f ca="1">SUMIFS(rec.uni[2026-05-01],
INDIRECT("rec.uni[natureza]"),"repasse.cef.terreno",
INDIRECT("rec.uni[empresa]"),AM$6)</f>
        <v>0</v>
      </c>
      <c r="AN67" s="186"/>
      <c r="AO67" s="182">
        <f ca="1">SUMIFS(rec.uni[2026-05-01],
INDIRECT("rec.uni[natureza]"),"taxa.extra",
INDIRECT("rec.uni[empresa]"),AO$6)</f>
        <v>0</v>
      </c>
      <c r="AP67" s="170"/>
      <c r="AQ67" s="170" cm="1">
        <f t="array" ref="AQ6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R67" s="170" cm="1">
        <f t="array" ref="AR6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S67" s="170" cm="1">
        <f t="array" ref="AS6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T67" s="170" cm="1">
        <f t="array" ref="AT6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U67" s="170" cm="1">
        <f t="array" ref="AU6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(desp[data.pagamento]&gt;=$A67)*
    (desp[data.pagamento]&lt;EOMONTH($A67,0)+1)
  )
)</f>
        <v>0</v>
      </c>
      <c r="AV67" s="181">
        <f>COUNTIFS(
    estq[empresa], AV$6,
    estq[Data da venda / reserva], "&gt;=" &amp; $A67,
    estq[Data da venda / reserva], "&lt;"  &amp; EOMONTH($A67,0) + 1
)</f>
        <v>0</v>
      </c>
      <c r="AW67" s="182">
        <f ca="1">SUMIFS(rec.uni[2026-05-01],
INDIRECT("rec.uni[natureza]"),"pro.soluto",
INDIRECT("rec.uni[empresa]"),AW$6)</f>
        <v>0</v>
      </c>
      <c r="AX67" s="182">
        <f ca="1">SUMIFS(rec.uni[2026-05-01],
INDIRECT("rec.uni[natureza]"),"repasse.cef.obra",
INDIRECT("rec.uni[empresa]"),AX$6)</f>
        <v>0</v>
      </c>
      <c r="AY67" s="185">
        <f ca="1">SUMIFS(rec.uni[2026-05-01],
INDIRECT("rec.uni[natureza]"),"repasse.cef.terreno",
INDIRECT("rec.uni[empresa]"),AY$6)</f>
        <v>0</v>
      </c>
      <c r="AZ67" s="186"/>
      <c r="BA67" s="182">
        <f ca="1">SUMIFS(rec.uni[2026-05-01],
INDIRECT("rec.uni[natureza]"),"taxa.extra",
INDIRECT("rec.uni[empresa]"),BA$6)</f>
        <v>0</v>
      </c>
      <c r="BB67" s="170"/>
      <c r="BC67" s="170" cm="1">
        <f t="array" ref="BC6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D67" s="170" cm="1">
        <f t="array" ref="BD6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E67" s="170" cm="1">
        <f t="array" ref="BE6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F67" s="170" cm="1">
        <f t="array" ref="BF6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G67" s="170" cm="1">
        <f t="array" ref="BG6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(desp[data.pagamento]&gt;=$A67)*
    (desp[data.pagamento]&lt;EOMONTH($A67,0)+1)
  )
)</f>
        <v>0</v>
      </c>
      <c r="BH67" s="181">
        <f>COUNTIFS(
    estq[empresa], BH$6,
    estq[Data da venda / reserva], "&gt;=" &amp; $A67,
    estq[Data da venda / reserva], "&lt;"  &amp; EOMONTH($A67,0) + 1
)</f>
        <v>0</v>
      </c>
      <c r="BI67" s="182">
        <f ca="1">SUMIFS(rec.uni[2026-05-01],
INDIRECT("rec.uni[natureza]"),"pro.soluto",
INDIRECT("rec.uni[empresa]"),BI$6)</f>
        <v>0</v>
      </c>
      <c r="BJ67" s="186">
        <f ca="1">SUMIFS(rec.uni[2026-05-01],
INDIRECT("rec.uni[natureza]"),"parcela.fin.total.ik",
INDIRECT("rec.uni[empresa]"),BJ$6)</f>
        <v>0</v>
      </c>
      <c r="BK67" s="182">
        <f ca="1">SUMIFS(rec.uni[2026-05-01],
INDIRECT("rec.uni[natureza]"),"taxa.extra",
INDIRECT("rec.uni[empresa]"),BK$6)</f>
        <v>0</v>
      </c>
      <c r="BL67" s="170"/>
      <c r="BM67" s="170" cm="1">
        <f t="array" ref="BM6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N67" s="170" cm="1">
        <f t="array" ref="BN6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O67" s="170" cm="1">
        <f t="array" ref="BO6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P67" s="170" cm="1">
        <f t="array" ref="BP6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Q67" s="170" cm="1">
        <f t="array" ref="BQ6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(desp[data.pagamento]&gt;=$A67)*
    (desp[data.pagamento]&lt;EOMONTH($A67,0)+1)
  )
)</f>
        <v>0</v>
      </c>
      <c r="BR67" s="181">
        <f>COUNTIFS(
    estq[empresa], BR$6,
    estq[Data da venda / reserva], "&gt;=" &amp; $A67,
    estq[Data da venda / reserva], "&lt;"  &amp; EOMONTH($A67,0) + 1
)</f>
        <v>0</v>
      </c>
      <c r="BS67" s="182">
        <f ca="1">SUMIFS(rec.uni[2026-05-01],
INDIRECT("rec.uni[natureza]"),"pro.soluto",
INDIRECT("rec.uni[empresa]"),BS$6)</f>
        <v>0</v>
      </c>
      <c r="BT67" s="186">
        <f ca="1">SUMIFS(rec.uni[2026-05-01],
INDIRECT("rec.uni[natureza]"),"pro.soluto",
INDIRECT("rec.uni[empresa]"),BT$6)</f>
        <v>0</v>
      </c>
      <c r="BU67" s="182">
        <f ca="1">SUMIFS(rec.uni[2026-05-01],
INDIRECT("rec.uni[natureza]"),"taxa.extra",
INDIRECT("rec.uni[empresa]"),BU$6)</f>
        <v>0</v>
      </c>
      <c r="BV67" s="170"/>
      <c r="BW67" s="170" cm="1">
        <f t="array" ref="BW6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BX67" s="170" cm="1">
        <f t="array" ref="BX6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BY67" s="170" cm="1">
        <f t="array" ref="BY6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BZ67" s="170" cm="1">
        <f t="array" ref="BZ6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CA67" s="170" cm="1">
        <f t="array" ref="CA6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(desp[data.pagamento]&gt;=$A67)*
    (desp[data.pagamento]&lt;EOMONTH($A67,0)+1)
  )
)</f>
        <v>0</v>
      </c>
      <c r="CB67" s="181">
        <f>COUNTIFS(
    estq[empresa], CB$6,
    estq[Data da venda / reserva], "&gt;=" &amp; $A67,
    estq[Data da venda / reserva], "&lt;"  &amp; EOMONTH($A67,0) + 1
)</f>
        <v>0</v>
      </c>
      <c r="CC67" s="182">
        <f ca="1">SUMIFS(rec.uni[2026-05-01],
INDIRECT("rec.uni[natureza]"),"pro.soluto",
INDIRECT("rec.uni[empresa]"),CC$6)</f>
        <v>0</v>
      </c>
      <c r="CD67" s="182">
        <f ca="1">SUMIFS(rec.uni[2026-05-01],
INDIRECT("rec.uni[natureza]"),"repasse.cef.obra",
INDIRECT("rec.uni[empresa]"),CD$6)</f>
        <v>0</v>
      </c>
      <c r="CE67" s="185">
        <f ca="1">SUMIFS(rec.uni[2026-05-01],
INDIRECT("rec.uni[natureza]"),"repasse.cef.terreno",
INDIRECT("rec.uni[empresa]"),CE$6)</f>
        <v>0</v>
      </c>
      <c r="CF67" s="186"/>
      <c r="CG67" s="182">
        <f ca="1">SUMIFS(rec.uni[2026-05-01],
INDIRECT("rec.uni[natureza]"),"taxa.extra",
INDIRECT("rec.uni[empresa]"),CG$6)</f>
        <v>0</v>
      </c>
      <c r="CH67" s="170"/>
      <c r="CI67" s="170" cm="1">
        <f t="array" ref="CI6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J67" s="170" cm="1">
        <f t="array" ref="CJ6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K67" s="170" cm="1">
        <f t="array" ref="CK6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L67" s="170" cm="1">
        <f t="array" ref="CL6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M67" s="170" cm="1">
        <f t="array" ref="CM6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(desp[data.pagamento]&gt;=$A67)*
    (desp[data.pagamento]&lt;EOMONTH($A67,0)+1)
  )
)</f>
        <v>0</v>
      </c>
      <c r="CN67" s="181">
        <f>COUNTIFS(
    estq[empresa], CN$6,
    estq[Data da venda / reserva], "&gt;=" &amp; $A67,
    estq[Data da venda / reserva], "&lt;"  &amp; EOMONTH($A67,0) + 1
)</f>
        <v>0</v>
      </c>
      <c r="CO67" s="182">
        <f ca="1">SUMIFS(rec.uni[2026-05-01],
INDIRECT("rec.uni[natureza]"),"pro.soluto",
INDIRECT("rec.uni[empresa]"),CO$6)</f>
        <v>0</v>
      </c>
      <c r="CP67" s="182">
        <f ca="1">SUMIFS(rec.uni[2026-05-01],
INDIRECT("rec.uni[natureza]"),"repasse.cef.obra",
INDIRECT("rec.uni[empresa]"),CP$6)</f>
        <v>0</v>
      </c>
      <c r="CQ67" s="185">
        <f ca="1">SUMIFS(rec.uni[2026-05-01],
INDIRECT("rec.uni[natureza]"),"repasse.cef.terreno",
INDIRECT("rec.uni[empresa]"),CQ$6)</f>
        <v>0</v>
      </c>
      <c r="CR67" s="186"/>
      <c r="CS67" s="182">
        <f ca="1">SUMIFS(rec.uni[2026-05-01],
INDIRECT("rec.uni[natureza]"),"taxa.extra",
INDIRECT("rec.uni[empresa]"),CS$6)</f>
        <v>0</v>
      </c>
      <c r="CT67" s="170"/>
      <c r="CU67" s="170" cm="1">
        <f t="array" ref="CU6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  <c r="CV67" s="170" cm="1">
        <f t="array" ref="CV6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  <c r="CW67" s="170" cm="1">
        <f t="array" ref="CW6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  <c r="CX67" s="170" cm="1">
        <f t="array" ref="CX6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  <c r="CY67" s="295" cm="1">
        <f t="array" ref="CY6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(desp[data.pagamento]&gt;=$A67)*
    (desp[data.pagamento]&lt;EOMONTH($A67,0)+1)
  )
)</f>
        <v>0</v>
      </c>
    </row>
    <row r="68" spans="1:103" x14ac:dyDescent="0.25">
      <c r="A68" s="180">
        <v>46174</v>
      </c>
      <c r="B68" s="181">
        <f>COUNTIFS(
    estq[empresa], B$6,
    estq[Data da venda / reserva], "&gt;=" &amp; $A68,
    estq[Data da venda / reserva], "&lt;"  &amp; EOMONTH($A68,0) + 1
)</f>
        <v>0</v>
      </c>
      <c r="C68" s="182">
        <f ca="1">SUMIFS(rec.uni[2026-06-01],
INDIRECT("rec.uni[natureza]"),"pro.soluto",
INDIRECT("rec.uni[empresa]"),C$6)</f>
        <v>0</v>
      </c>
      <c r="D68" s="182">
        <f ca="1">SUMIFS(rec.uni[2026-06-01],
INDIRECT("rec.uni[natureza]"),"repasse.cef.obra",
INDIRECT("rec.uni[empresa]"),D$6)</f>
        <v>0</v>
      </c>
      <c r="E68" s="182">
        <f ca="1">SUMIFS(rec.uni[2026-06-01],
INDIRECT("rec.uni[natureza]"),"repasse.cef.terreno",
INDIRECT("rec.uni[empresa]"),E$6)</f>
        <v>0</v>
      </c>
      <c r="F68" s="186"/>
      <c r="G68" s="182">
        <f ca="1">SUMIFS(rec.uni[2026-06-01],
INDIRECT("rec.uni[natureza]"),"taxa.extra",
INDIRECT("rec.uni[empresa]"),G$6)</f>
        <v>0</v>
      </c>
      <c r="H68" s="170"/>
      <c r="I68" s="170" cm="1">
        <f t="array" ref="I6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J68" s="170" cm="1">
        <f t="array" ref="J6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K68" s="170" cm="1">
        <f t="array" ref="K6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L68" s="170" cm="1">
        <f t="array" ref="L6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M68" s="170" cm="1">
        <f t="array" ref="M6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(desp[data.pagamento]&gt;=$A68)*
    (desp[data.pagamento]&lt;EOMONTH($A68,0)+1)
  )
)</f>
        <v>0</v>
      </c>
      <c r="N68" s="181">
        <f>COUNTIFS(
    estq[empresa], N$6,
    estq[Data da venda / reserva], "&gt;=" &amp; $A68,
    estq[Data da venda / reserva], "&lt;"  &amp; EOMONTH($A68,0) + 1
)</f>
        <v>0</v>
      </c>
      <c r="O68" s="182">
        <f ca="1">SUMIFS(rec.uni[2026-06-01],
INDIRECT("rec.uni[natureza]"),"pro.soluto",
INDIRECT("rec.uni[empresa]"),O$6)</f>
        <v>0</v>
      </c>
      <c r="P68" s="182">
        <f ca="1">SUMIFS(rec.uni[2026-06-01],
INDIRECT("rec.uni[natureza]"),"repasse.cef.obra",
INDIRECT("rec.uni[empresa]"),P$6)</f>
        <v>0</v>
      </c>
      <c r="Q68" s="182">
        <f ca="1">SUMIFS(rec.uni[2026-06-01],
INDIRECT("rec.uni[natureza]"),"repasse.cef.terreno",
INDIRECT("rec.uni[empresa]"),Q$6)</f>
        <v>0</v>
      </c>
      <c r="R68" s="186"/>
      <c r="S68" s="182">
        <f ca="1">SUMIFS(rec.uni[2026-06-01],
INDIRECT("rec.uni[natureza]"),"taxa.extra",
INDIRECT("rec.uni[empresa]"),S$6)</f>
        <v>0</v>
      </c>
      <c r="T68" s="170"/>
      <c r="U68" s="170" cm="1">
        <f t="array" ref="U6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V68" s="170" cm="1">
        <f t="array" ref="V6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W68" s="170" cm="1">
        <f t="array" ref="W6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X68" s="170" cm="1">
        <f t="array" ref="X6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Y68" s="170" cm="1">
        <f t="array" ref="Y6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(desp[data.pagamento]&gt;=$A68)*
    (desp[data.pagamento]&lt;EOMONTH($A68,0)+1)
  )
)</f>
        <v>0</v>
      </c>
      <c r="Z68" s="181">
        <f>COUNTIFS(
    estq[empresa], Z$6,
    estq[Data da venda / reserva], "&gt;=" &amp; $A68,
    estq[Data da venda / reserva], "&lt;"  &amp; EOMONTH($A68,0) + 1
)</f>
        <v>0</v>
      </c>
      <c r="AA68" s="182">
        <f ca="1">SUMIFS(rec.uni[2026-06-01],
INDIRECT("rec.uni[natureza]"),"pro.soluto",
INDIRECT("rec.uni[empresa]"),AA$6)</f>
        <v>0</v>
      </c>
      <c r="AB68" s="186">
        <f ca="1">SUMIFS(rec.uni[2026-06-01],
INDIRECT("rec.uni[natureza]"),"pro.soluto",
INDIRECT("rec.uni[empresa]"),AB$6)</f>
        <v>0</v>
      </c>
      <c r="AC68" s="182">
        <f ca="1">SUMIFS(rec.uni[2026-06-01],
INDIRECT("rec.uni[natureza]"),"taxa.extra",
INDIRECT("rec.uni[empresa]"),AC$6)</f>
        <v>0</v>
      </c>
      <c r="AD68" s="170"/>
      <c r="AE68" s="170" cm="1">
        <f t="array" ref="AE6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F68" s="170" cm="1">
        <f t="array" ref="AF6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G68" s="170" cm="1">
        <f t="array" ref="AG6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H68" s="170" cm="1">
        <f t="array" ref="AH6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I68" s="170" cm="1">
        <f t="array" ref="AI6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(desp[data.pagamento]&gt;=$A68)*
    (desp[data.pagamento]&lt;EOMONTH($A68,0)+1)
  )
)</f>
        <v>0</v>
      </c>
      <c r="AJ68" s="181">
        <f>COUNTIFS(
    estq[empresa], AJ$6,
    estq[Data da venda / reserva], "&gt;=" &amp; $A68,
    estq[Data da venda / reserva], "&lt;"  &amp; EOMONTH($A68,0) + 1
)</f>
        <v>0</v>
      </c>
      <c r="AK68" s="182">
        <f ca="1">SUMIFS(rec.uni[2026-06-01],
INDIRECT("rec.uni[natureza]"),"pro.soluto",
INDIRECT("rec.uni[empresa]"),AK$6)</f>
        <v>0</v>
      </c>
      <c r="AL68" s="182">
        <f ca="1">SUMIFS(rec.uni[2026-06-01],
INDIRECT("rec.uni[natureza]"),"repasse.cef.obra",
INDIRECT("rec.uni[empresa]"),AL$6)</f>
        <v>0</v>
      </c>
      <c r="AM68" s="185">
        <f ca="1">SUMIFS(rec.uni[2026-06-01],
INDIRECT("rec.uni[natureza]"),"repasse.cef.terreno",
INDIRECT("rec.uni[empresa]"),AM$6)</f>
        <v>0</v>
      </c>
      <c r="AN68" s="186"/>
      <c r="AO68" s="182">
        <f ca="1">SUMIFS(rec.uni[2026-06-01],
INDIRECT("rec.uni[natureza]"),"taxa.extra",
INDIRECT("rec.uni[empresa]"),AO$6)</f>
        <v>0</v>
      </c>
      <c r="AP68" s="170"/>
      <c r="AQ68" s="170" cm="1">
        <f t="array" ref="AQ6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R68" s="170" cm="1">
        <f t="array" ref="AR6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S68" s="170" cm="1">
        <f t="array" ref="AS6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T68" s="170" cm="1">
        <f t="array" ref="AT6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U68" s="170" cm="1">
        <f t="array" ref="AU6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(desp[data.pagamento]&gt;=$A68)*
    (desp[data.pagamento]&lt;EOMONTH($A68,0)+1)
  )
)</f>
        <v>0</v>
      </c>
      <c r="AV68" s="181">
        <f>COUNTIFS(
    estq[empresa], AV$6,
    estq[Data da venda / reserva], "&gt;=" &amp; $A68,
    estq[Data da venda / reserva], "&lt;"  &amp; EOMONTH($A68,0) + 1
)</f>
        <v>0</v>
      </c>
      <c r="AW68" s="182">
        <f ca="1">SUMIFS(rec.uni[2026-06-01],
INDIRECT("rec.uni[natureza]"),"pro.soluto",
INDIRECT("rec.uni[empresa]"),AW$6)</f>
        <v>0</v>
      </c>
      <c r="AX68" s="182">
        <f ca="1">SUMIFS(rec.uni[2026-06-01],
INDIRECT("rec.uni[natureza]"),"repasse.cef.obra",
INDIRECT("rec.uni[empresa]"),AX$6)</f>
        <v>0</v>
      </c>
      <c r="AY68" s="185">
        <f ca="1">SUMIFS(rec.uni[2026-06-01],
INDIRECT("rec.uni[natureza]"),"repasse.cef.terreno",
INDIRECT("rec.uni[empresa]"),AY$6)</f>
        <v>0</v>
      </c>
      <c r="AZ68" s="186"/>
      <c r="BA68" s="182">
        <f ca="1">SUMIFS(rec.uni[2026-06-01],
INDIRECT("rec.uni[natureza]"),"taxa.extra",
INDIRECT("rec.uni[empresa]"),BA$6)</f>
        <v>0</v>
      </c>
      <c r="BB68" s="170"/>
      <c r="BC68" s="170" cm="1">
        <f t="array" ref="BC6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D68" s="170" cm="1">
        <f t="array" ref="BD6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E68" s="170" cm="1">
        <f t="array" ref="BE6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F68" s="170" cm="1">
        <f t="array" ref="BF6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G68" s="170" cm="1">
        <f t="array" ref="BG6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(desp[data.pagamento]&gt;=$A68)*
    (desp[data.pagamento]&lt;EOMONTH($A68,0)+1)
  )
)</f>
        <v>0</v>
      </c>
      <c r="BH68" s="181">
        <f>COUNTIFS(
    estq[empresa], BH$6,
    estq[Data da venda / reserva], "&gt;=" &amp; $A68,
    estq[Data da venda / reserva], "&lt;"  &amp; EOMONTH($A68,0) + 1
)</f>
        <v>0</v>
      </c>
      <c r="BI68" s="182">
        <f ca="1">SUMIFS(rec.uni[2026-06-01],
INDIRECT("rec.uni[natureza]"),"pro.soluto",
INDIRECT("rec.uni[empresa]"),BI$6)</f>
        <v>0</v>
      </c>
      <c r="BJ68" s="186">
        <f ca="1">SUMIFS(rec.uni[2026-06-01],
INDIRECT("rec.uni[natureza]"),"parcela.fin.total.ik",
INDIRECT("rec.uni[empresa]"),BJ$6)</f>
        <v>0</v>
      </c>
      <c r="BK68" s="182">
        <f ca="1">SUMIFS(rec.uni[2026-06-01],
INDIRECT("rec.uni[natureza]"),"taxa.extra",
INDIRECT("rec.uni[empresa]"),BK$6)</f>
        <v>0</v>
      </c>
      <c r="BL68" s="170"/>
      <c r="BM68" s="170" cm="1">
        <f t="array" ref="BM6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N68" s="170" cm="1">
        <f t="array" ref="BN6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O68" s="170" cm="1">
        <f t="array" ref="BO6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P68" s="170" cm="1">
        <f t="array" ref="BP6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Q68" s="170" cm="1">
        <f t="array" ref="BQ6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(desp[data.pagamento]&gt;=$A68)*
    (desp[data.pagamento]&lt;EOMONTH($A68,0)+1)
  )
)</f>
        <v>0</v>
      </c>
      <c r="BR68" s="181">
        <f>COUNTIFS(
    estq[empresa], BR$6,
    estq[Data da venda / reserva], "&gt;=" &amp; $A68,
    estq[Data da venda / reserva], "&lt;"  &amp; EOMONTH($A68,0) + 1
)</f>
        <v>0</v>
      </c>
      <c r="BS68" s="182">
        <f ca="1">SUMIFS(rec.uni[2026-06-01],
INDIRECT("rec.uni[natureza]"),"pro.soluto",
INDIRECT("rec.uni[empresa]"),BS$6)</f>
        <v>0</v>
      </c>
      <c r="BT68" s="186">
        <f ca="1">SUMIFS(rec.uni[2026-06-01],
INDIRECT("rec.uni[natureza]"),"pro.soluto",
INDIRECT("rec.uni[empresa]"),BT$6)</f>
        <v>0</v>
      </c>
      <c r="BU68" s="182">
        <f ca="1">SUMIFS(rec.uni[2026-06-01],
INDIRECT("rec.uni[natureza]"),"taxa.extra",
INDIRECT("rec.uni[empresa]"),BU$6)</f>
        <v>0</v>
      </c>
      <c r="BV68" s="170"/>
      <c r="BW68" s="170" cm="1">
        <f t="array" ref="BW6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BX68" s="170" cm="1">
        <f t="array" ref="BX6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BY68" s="170" cm="1">
        <f t="array" ref="BY6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BZ68" s="170" cm="1">
        <f t="array" ref="BZ6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CA68" s="170" cm="1">
        <f t="array" ref="CA6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(desp[data.pagamento]&gt;=$A68)*
    (desp[data.pagamento]&lt;EOMONTH($A68,0)+1)
  )
)</f>
        <v>0</v>
      </c>
      <c r="CB68" s="181">
        <f>COUNTIFS(
    estq[empresa], CB$6,
    estq[Data da venda / reserva], "&gt;=" &amp; $A68,
    estq[Data da venda / reserva], "&lt;"  &amp; EOMONTH($A68,0) + 1
)</f>
        <v>0</v>
      </c>
      <c r="CC68" s="182">
        <f ca="1">SUMIFS(rec.uni[2026-06-01],
INDIRECT("rec.uni[natureza]"),"pro.soluto",
INDIRECT("rec.uni[empresa]"),CC$6)</f>
        <v>0</v>
      </c>
      <c r="CD68" s="182">
        <f ca="1">SUMIFS(rec.uni[2026-06-01],
INDIRECT("rec.uni[natureza]"),"repasse.cef.obra",
INDIRECT("rec.uni[empresa]"),CD$6)</f>
        <v>0</v>
      </c>
      <c r="CE68" s="185">
        <f ca="1">SUMIFS(rec.uni[2026-06-01],
INDIRECT("rec.uni[natureza]"),"repasse.cef.terreno",
INDIRECT("rec.uni[empresa]"),CE$6)</f>
        <v>0</v>
      </c>
      <c r="CF68" s="186"/>
      <c r="CG68" s="182">
        <f ca="1">SUMIFS(rec.uni[2026-06-01],
INDIRECT("rec.uni[natureza]"),"taxa.extra",
INDIRECT("rec.uni[empresa]"),CG$6)</f>
        <v>0</v>
      </c>
      <c r="CH68" s="170"/>
      <c r="CI68" s="170" cm="1">
        <f t="array" ref="CI6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J68" s="170" cm="1">
        <f t="array" ref="CJ6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K68" s="170" cm="1">
        <f t="array" ref="CK6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L68" s="170" cm="1">
        <f t="array" ref="CL6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M68" s="170" cm="1">
        <f t="array" ref="CM6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(desp[data.pagamento]&gt;=$A68)*
    (desp[data.pagamento]&lt;EOMONTH($A68,0)+1)
  )
)</f>
        <v>0</v>
      </c>
      <c r="CN68" s="181">
        <f>COUNTIFS(
    estq[empresa], CN$6,
    estq[Data da venda / reserva], "&gt;=" &amp; $A68,
    estq[Data da venda / reserva], "&lt;"  &amp; EOMONTH($A68,0) + 1
)</f>
        <v>0</v>
      </c>
      <c r="CO68" s="182">
        <f ca="1">SUMIFS(rec.uni[2026-06-01],
INDIRECT("rec.uni[natureza]"),"pro.soluto",
INDIRECT("rec.uni[empresa]"),CO$6)</f>
        <v>0</v>
      </c>
      <c r="CP68" s="182">
        <f ca="1">SUMIFS(rec.uni[2026-06-01],
INDIRECT("rec.uni[natureza]"),"repasse.cef.obra",
INDIRECT("rec.uni[empresa]"),CP$6)</f>
        <v>0</v>
      </c>
      <c r="CQ68" s="185">
        <f ca="1">SUMIFS(rec.uni[2026-06-01],
INDIRECT("rec.uni[natureza]"),"repasse.cef.terreno",
INDIRECT("rec.uni[empresa]"),CQ$6)</f>
        <v>0</v>
      </c>
      <c r="CR68" s="186"/>
      <c r="CS68" s="182">
        <f ca="1">SUMIFS(rec.uni[2026-06-01],
INDIRECT("rec.uni[natureza]"),"taxa.extra",
INDIRECT("rec.uni[empresa]"),CS$6)</f>
        <v>0</v>
      </c>
      <c r="CT68" s="170"/>
      <c r="CU68" s="170" cm="1">
        <f t="array" ref="CU6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  <c r="CV68" s="170" cm="1">
        <f t="array" ref="CV6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  <c r="CW68" s="170" cm="1">
        <f t="array" ref="CW6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  <c r="CX68" s="170" cm="1">
        <f t="array" ref="CX6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  <c r="CY68" s="295" cm="1">
        <f t="array" ref="CY6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(desp[data.pagamento]&gt;=$A68)*
    (desp[data.pagamento]&lt;EOMONTH($A68,0)+1)
  )
)</f>
        <v>0</v>
      </c>
    </row>
    <row r="69" spans="1:103" x14ac:dyDescent="0.25">
      <c r="A69" s="180">
        <v>46204</v>
      </c>
      <c r="B69" s="181">
        <f>COUNTIFS(
    estq[empresa], B$6,
    estq[Data da venda / reserva], "&gt;=" &amp; $A69,
    estq[Data da venda / reserva], "&lt;"  &amp; EOMONTH($A69,0) + 1
)</f>
        <v>0</v>
      </c>
      <c r="C69" s="182">
        <f ca="1">SUMIFS(rec.uni[2026-07-01],
INDIRECT("rec.uni[natureza]"),"pro.soluto",
INDIRECT("rec.uni[empresa]"),C$6)</f>
        <v>0</v>
      </c>
      <c r="D69" s="182">
        <f ca="1">SUMIFS(rec.uni[2026-07-01],
INDIRECT("rec.uni[natureza]"),"repasse.cef.obra",
INDIRECT("rec.uni[empresa]"),D$6)</f>
        <v>0</v>
      </c>
      <c r="E69" s="182">
        <f ca="1">SUMIFS(rec.uni[2026-07-01],
INDIRECT("rec.uni[natureza]"),"repasse.cef.terreno",
INDIRECT("rec.uni[empresa]"),E$6)</f>
        <v>0</v>
      </c>
      <c r="F69" s="186"/>
      <c r="G69" s="182">
        <f ca="1">SUMIFS(rec.uni[2026-07-01],
INDIRECT("rec.uni[natureza]"),"taxa.extra",
INDIRECT("rec.uni[empresa]"),G$6)</f>
        <v>0</v>
      </c>
      <c r="H69" s="170"/>
      <c r="I69" s="170" cm="1">
        <f t="array" ref="I6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J69" s="170" cm="1">
        <f t="array" ref="J6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K69" s="170" cm="1">
        <f t="array" ref="K6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L69" s="170" cm="1">
        <f t="array" ref="L6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M69" s="170" cm="1">
        <f t="array" ref="M6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(desp[data.pagamento]&gt;=$A69)*
    (desp[data.pagamento]&lt;EOMONTH($A69,0)+1)
  )
)</f>
        <v>0</v>
      </c>
      <c r="N69" s="181">
        <f>COUNTIFS(
    estq[empresa], N$6,
    estq[Data da venda / reserva], "&gt;=" &amp; $A69,
    estq[Data da venda / reserva], "&lt;"  &amp; EOMONTH($A69,0) + 1
)</f>
        <v>0</v>
      </c>
      <c r="O69" s="182">
        <f ca="1">SUMIFS(rec.uni[2026-07-01],
INDIRECT("rec.uni[natureza]"),"pro.soluto",
INDIRECT("rec.uni[empresa]"),O$6)</f>
        <v>0</v>
      </c>
      <c r="P69" s="182">
        <f ca="1">SUMIFS(rec.uni[2026-07-01],
INDIRECT("rec.uni[natureza]"),"repasse.cef.obra",
INDIRECT("rec.uni[empresa]"),P$6)</f>
        <v>0</v>
      </c>
      <c r="Q69" s="182">
        <f ca="1">SUMIFS(rec.uni[2026-07-01],
INDIRECT("rec.uni[natureza]"),"repasse.cef.terreno",
INDIRECT("rec.uni[empresa]"),Q$6)</f>
        <v>0</v>
      </c>
      <c r="R69" s="186"/>
      <c r="S69" s="182">
        <f ca="1">SUMIFS(rec.uni[2026-07-01],
INDIRECT("rec.uni[natureza]"),"taxa.extra",
INDIRECT("rec.uni[empresa]"),S$6)</f>
        <v>0</v>
      </c>
      <c r="T69" s="170"/>
      <c r="U69" s="170" cm="1">
        <f t="array" ref="U6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V69" s="170" cm="1">
        <f t="array" ref="V6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W69" s="170" cm="1">
        <f t="array" ref="W6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X69" s="170" cm="1">
        <f t="array" ref="X6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Y69" s="170" cm="1">
        <f t="array" ref="Y6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(desp[data.pagamento]&gt;=$A69)*
    (desp[data.pagamento]&lt;EOMONTH($A69,0)+1)
  )
)</f>
        <v>0</v>
      </c>
      <c r="Z69" s="181">
        <f>COUNTIFS(
    estq[empresa], Z$6,
    estq[Data da venda / reserva], "&gt;=" &amp; $A69,
    estq[Data da venda / reserva], "&lt;"  &amp; EOMONTH($A69,0) + 1
)</f>
        <v>0</v>
      </c>
      <c r="AA69" s="182">
        <f ca="1">SUMIFS(rec.uni[2026-07-01],
INDIRECT("rec.uni[natureza]"),"pro.soluto",
INDIRECT("rec.uni[empresa]"),AA$6)</f>
        <v>0</v>
      </c>
      <c r="AB69" s="186">
        <f ca="1">SUMIFS(rec.uni[2026-07-01],
INDIRECT("rec.uni[natureza]"),"pro.soluto",
INDIRECT("rec.uni[empresa]"),AB$6)</f>
        <v>0</v>
      </c>
      <c r="AC69" s="182">
        <f ca="1">SUMIFS(rec.uni[2026-07-01],
INDIRECT("rec.uni[natureza]"),"taxa.extra",
INDIRECT("rec.uni[empresa]"),AC$6)</f>
        <v>0</v>
      </c>
      <c r="AD69" s="170"/>
      <c r="AE69" s="170" cm="1">
        <f t="array" ref="AE6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F69" s="170" cm="1">
        <f t="array" ref="AF6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G69" s="170" cm="1">
        <f t="array" ref="AG6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H69" s="170" cm="1">
        <f t="array" ref="AH6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I69" s="170" cm="1">
        <f t="array" ref="AI6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(desp[data.pagamento]&gt;=$A69)*
    (desp[data.pagamento]&lt;EOMONTH($A69,0)+1)
  )
)</f>
        <v>0</v>
      </c>
      <c r="AJ69" s="181">
        <f>COUNTIFS(
    estq[empresa], AJ$6,
    estq[Data da venda / reserva], "&gt;=" &amp; $A69,
    estq[Data da venda / reserva], "&lt;"  &amp; EOMONTH($A69,0) + 1
)</f>
        <v>0</v>
      </c>
      <c r="AK69" s="182">
        <f ca="1">SUMIFS(rec.uni[2026-07-01],
INDIRECT("rec.uni[natureza]"),"pro.soluto",
INDIRECT("rec.uni[empresa]"),AK$6)</f>
        <v>0</v>
      </c>
      <c r="AL69" s="182">
        <f ca="1">SUMIFS(rec.uni[2026-07-01],
INDIRECT("rec.uni[natureza]"),"repasse.cef.obra",
INDIRECT("rec.uni[empresa]"),AL$6)</f>
        <v>0</v>
      </c>
      <c r="AM69" s="185">
        <f ca="1">SUMIFS(rec.uni[2026-07-01],
INDIRECT("rec.uni[natureza]"),"repasse.cef.terreno",
INDIRECT("rec.uni[empresa]"),AM$6)</f>
        <v>0</v>
      </c>
      <c r="AN69" s="186"/>
      <c r="AO69" s="182">
        <f ca="1">SUMIFS(rec.uni[2026-07-01],
INDIRECT("rec.uni[natureza]"),"taxa.extra",
INDIRECT("rec.uni[empresa]"),AO$6)</f>
        <v>0</v>
      </c>
      <c r="AP69" s="170"/>
      <c r="AQ69" s="170" cm="1">
        <f t="array" ref="AQ6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R69" s="170" cm="1">
        <f t="array" ref="AR6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S69" s="170" cm="1">
        <f t="array" ref="AS6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T69" s="170" cm="1">
        <f t="array" ref="AT6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U69" s="170" cm="1">
        <f t="array" ref="AU6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(desp[data.pagamento]&gt;=$A69)*
    (desp[data.pagamento]&lt;EOMONTH($A69,0)+1)
  )
)</f>
        <v>0</v>
      </c>
      <c r="AV69" s="181">
        <f>COUNTIFS(
    estq[empresa], AV$6,
    estq[Data da venda / reserva], "&gt;=" &amp; $A69,
    estq[Data da venda / reserva], "&lt;"  &amp; EOMONTH($A69,0) + 1
)</f>
        <v>0</v>
      </c>
      <c r="AW69" s="182">
        <f ca="1">SUMIFS(rec.uni[2026-07-01],
INDIRECT("rec.uni[natureza]"),"pro.soluto",
INDIRECT("rec.uni[empresa]"),AW$6)</f>
        <v>0</v>
      </c>
      <c r="AX69" s="182">
        <f ca="1">SUMIFS(rec.uni[2026-07-01],
INDIRECT("rec.uni[natureza]"),"repasse.cef.obra",
INDIRECT("rec.uni[empresa]"),AX$6)</f>
        <v>0</v>
      </c>
      <c r="AY69" s="185">
        <f ca="1">SUMIFS(rec.uni[2026-07-01],
INDIRECT("rec.uni[natureza]"),"repasse.cef.terreno",
INDIRECT("rec.uni[empresa]"),AY$6)</f>
        <v>0</v>
      </c>
      <c r="AZ69" s="186"/>
      <c r="BA69" s="182">
        <f ca="1">SUMIFS(rec.uni[2026-07-01],
INDIRECT("rec.uni[natureza]"),"taxa.extra",
INDIRECT("rec.uni[empresa]"),BA$6)</f>
        <v>0</v>
      </c>
      <c r="BB69" s="170"/>
      <c r="BC69" s="170" cm="1">
        <f t="array" ref="BC6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D69" s="170" cm="1">
        <f t="array" ref="BD6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E69" s="170" cm="1">
        <f t="array" ref="BE6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F69" s="170" cm="1">
        <f t="array" ref="BF6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G69" s="170" cm="1">
        <f t="array" ref="BG6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(desp[data.pagamento]&gt;=$A69)*
    (desp[data.pagamento]&lt;EOMONTH($A69,0)+1)
  )
)</f>
        <v>0</v>
      </c>
      <c r="BH69" s="181">
        <f>COUNTIFS(
    estq[empresa], BH$6,
    estq[Data da venda / reserva], "&gt;=" &amp; $A69,
    estq[Data da venda / reserva], "&lt;"  &amp; EOMONTH($A69,0) + 1
)</f>
        <v>0</v>
      </c>
      <c r="BI69" s="182">
        <f ca="1">SUMIFS(rec.uni[2026-07-01],
INDIRECT("rec.uni[natureza]"),"pro.soluto",
INDIRECT("rec.uni[empresa]"),BI$6)</f>
        <v>0</v>
      </c>
      <c r="BJ69" s="186">
        <f ca="1">SUMIFS(rec.uni[2026-07-01],
INDIRECT("rec.uni[natureza]"),"parcela.fin.total.ik",
INDIRECT("rec.uni[empresa]"),BJ$6)</f>
        <v>0</v>
      </c>
      <c r="BK69" s="182">
        <f ca="1">SUMIFS(rec.uni[2026-07-01],
INDIRECT("rec.uni[natureza]"),"taxa.extra",
INDIRECT("rec.uni[empresa]"),BK$6)</f>
        <v>0</v>
      </c>
      <c r="BL69" s="170"/>
      <c r="BM69" s="170" cm="1">
        <f t="array" ref="BM6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N69" s="170" cm="1">
        <f t="array" ref="BN6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O69" s="170" cm="1">
        <f t="array" ref="BO6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P69" s="170" cm="1">
        <f t="array" ref="BP6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Q69" s="170" cm="1">
        <f t="array" ref="BQ6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(desp[data.pagamento]&gt;=$A69)*
    (desp[data.pagamento]&lt;EOMONTH($A69,0)+1)
  )
)</f>
        <v>0</v>
      </c>
      <c r="BR69" s="181">
        <f>COUNTIFS(
    estq[empresa], BR$6,
    estq[Data da venda / reserva], "&gt;=" &amp; $A69,
    estq[Data da venda / reserva], "&lt;"  &amp; EOMONTH($A69,0) + 1
)</f>
        <v>0</v>
      </c>
      <c r="BS69" s="182">
        <f ca="1">SUMIFS(rec.uni[2026-07-01],
INDIRECT("rec.uni[natureza]"),"pro.soluto",
INDIRECT("rec.uni[empresa]"),BS$6)</f>
        <v>0</v>
      </c>
      <c r="BT69" s="186">
        <f ca="1">SUMIFS(rec.uni[2026-07-01],
INDIRECT("rec.uni[natureza]"),"pro.soluto",
INDIRECT("rec.uni[empresa]"),BT$6)</f>
        <v>0</v>
      </c>
      <c r="BU69" s="182">
        <f ca="1">SUMIFS(rec.uni[2026-07-01],
INDIRECT("rec.uni[natureza]"),"taxa.extra",
INDIRECT("rec.uni[empresa]"),BU$6)</f>
        <v>0</v>
      </c>
      <c r="BV69" s="170"/>
      <c r="BW69" s="170" cm="1">
        <f t="array" ref="BW6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BX69" s="170" cm="1">
        <f t="array" ref="BX6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BY69" s="170" cm="1">
        <f t="array" ref="BY6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BZ69" s="170" cm="1">
        <f t="array" ref="BZ6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CA69" s="170" cm="1">
        <f t="array" ref="CA6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(desp[data.pagamento]&gt;=$A69)*
    (desp[data.pagamento]&lt;EOMONTH($A69,0)+1)
  )
)</f>
        <v>0</v>
      </c>
      <c r="CB69" s="181">
        <f>COUNTIFS(
    estq[empresa], CB$6,
    estq[Data da venda / reserva], "&gt;=" &amp; $A69,
    estq[Data da venda / reserva], "&lt;"  &amp; EOMONTH($A69,0) + 1
)</f>
        <v>0</v>
      </c>
      <c r="CC69" s="182">
        <f ca="1">SUMIFS(rec.uni[2026-07-01],
INDIRECT("rec.uni[natureza]"),"pro.soluto",
INDIRECT("rec.uni[empresa]"),CC$6)</f>
        <v>0</v>
      </c>
      <c r="CD69" s="182">
        <f ca="1">SUMIFS(rec.uni[2026-07-01],
INDIRECT("rec.uni[natureza]"),"repasse.cef.obra",
INDIRECT("rec.uni[empresa]"),CD$6)</f>
        <v>0</v>
      </c>
      <c r="CE69" s="185">
        <f ca="1">SUMIFS(rec.uni[2026-07-01],
INDIRECT("rec.uni[natureza]"),"repasse.cef.terreno",
INDIRECT("rec.uni[empresa]"),CE$6)</f>
        <v>0</v>
      </c>
      <c r="CF69" s="186"/>
      <c r="CG69" s="182">
        <f ca="1">SUMIFS(rec.uni[2026-07-01],
INDIRECT("rec.uni[natureza]"),"taxa.extra",
INDIRECT("rec.uni[empresa]"),CG$6)</f>
        <v>0</v>
      </c>
      <c r="CH69" s="170"/>
      <c r="CI69" s="170" cm="1">
        <f t="array" ref="CI6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J69" s="170" cm="1">
        <f t="array" ref="CJ6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K69" s="170" cm="1">
        <f t="array" ref="CK6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L69" s="170" cm="1">
        <f t="array" ref="CL6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M69" s="170" cm="1">
        <f t="array" ref="CM6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(desp[data.pagamento]&gt;=$A69)*
    (desp[data.pagamento]&lt;EOMONTH($A69,0)+1)
  )
)</f>
        <v>0</v>
      </c>
      <c r="CN69" s="181">
        <f>COUNTIFS(
    estq[empresa], CN$6,
    estq[Data da venda / reserva], "&gt;=" &amp; $A69,
    estq[Data da venda / reserva], "&lt;"  &amp; EOMONTH($A69,0) + 1
)</f>
        <v>0</v>
      </c>
      <c r="CO69" s="182">
        <f ca="1">SUMIFS(rec.uni[2026-07-01],
INDIRECT("rec.uni[natureza]"),"pro.soluto",
INDIRECT("rec.uni[empresa]"),CO$6)</f>
        <v>0</v>
      </c>
      <c r="CP69" s="182">
        <f ca="1">SUMIFS(rec.uni[2026-07-01],
INDIRECT("rec.uni[natureza]"),"repasse.cef.obra",
INDIRECT("rec.uni[empresa]"),CP$6)</f>
        <v>0</v>
      </c>
      <c r="CQ69" s="185">
        <f ca="1">SUMIFS(rec.uni[2026-07-01],
INDIRECT("rec.uni[natureza]"),"repasse.cef.terreno",
INDIRECT("rec.uni[empresa]"),CQ$6)</f>
        <v>0</v>
      </c>
      <c r="CR69" s="186"/>
      <c r="CS69" s="182">
        <f ca="1">SUMIFS(rec.uni[2026-07-01],
INDIRECT("rec.uni[natureza]"),"taxa.extra",
INDIRECT("rec.uni[empresa]"),CS$6)</f>
        <v>0</v>
      </c>
      <c r="CT69" s="170"/>
      <c r="CU69" s="170" cm="1">
        <f t="array" ref="CU6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  <c r="CV69" s="170" cm="1">
        <f t="array" ref="CV6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  <c r="CW69" s="170" cm="1">
        <f t="array" ref="CW6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  <c r="CX69" s="170" cm="1">
        <f t="array" ref="CX6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  <c r="CY69" s="295" cm="1">
        <f t="array" ref="CY6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(desp[data.pagamento]&gt;=$A69)*
    (desp[data.pagamento]&lt;EOMONTH($A69,0)+1)
  )
)</f>
        <v>0</v>
      </c>
    </row>
    <row r="70" spans="1:103" x14ac:dyDescent="0.25">
      <c r="A70" s="180">
        <v>46235</v>
      </c>
      <c r="B70" s="181">
        <f>COUNTIFS(
    estq[empresa], B$6,
    estq[Data da venda / reserva], "&gt;=" &amp; $A70,
    estq[Data da venda / reserva], "&lt;"  &amp; EOMONTH($A70,0) + 1
)</f>
        <v>0</v>
      </c>
      <c r="C70" s="182">
        <f ca="1">SUMIFS(rec.uni[2026-08-01],
INDIRECT("rec.uni[natureza]"),"pro.soluto",
INDIRECT("rec.uni[empresa]"),C$6)</f>
        <v>0</v>
      </c>
      <c r="D70" s="182">
        <f ca="1">SUMIFS(rec.uni[2026-08-01],
INDIRECT("rec.uni[natureza]"),"repasse.cef.obra",
INDIRECT("rec.uni[empresa]"),D$6)</f>
        <v>0</v>
      </c>
      <c r="E70" s="182">
        <f ca="1">SUMIFS(rec.uni[2026-08-01],
INDIRECT("rec.uni[natureza]"),"repasse.cef.terreno",
INDIRECT("rec.uni[empresa]"),E$6)</f>
        <v>0</v>
      </c>
      <c r="F70" s="186"/>
      <c r="G70" s="182">
        <f ca="1">SUMIFS(rec.uni[2026-08-01],
INDIRECT("rec.uni[natureza]"),"taxa.extra",
INDIRECT("rec.uni[empresa]"),G$6)</f>
        <v>0</v>
      </c>
      <c r="H70" s="170"/>
      <c r="I70" s="170" cm="1">
        <f t="array" ref="I7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J70" s="170" cm="1">
        <f t="array" ref="J7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K70" s="170" cm="1">
        <f t="array" ref="K7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L70" s="170" cm="1">
        <f t="array" ref="L7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M70" s="170" cm="1">
        <f t="array" ref="M7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(desp[data.pagamento]&gt;=$A70)*
    (desp[data.pagamento]&lt;EOMONTH($A70,0)+1)
  )
)</f>
        <v>0</v>
      </c>
      <c r="N70" s="181">
        <f>COUNTIFS(
    estq[empresa], N$6,
    estq[Data da venda / reserva], "&gt;=" &amp; $A70,
    estq[Data da venda / reserva], "&lt;"  &amp; EOMONTH($A70,0) + 1
)</f>
        <v>0</v>
      </c>
      <c r="O70" s="182">
        <f ca="1">SUMIFS(rec.uni[2026-08-01],
INDIRECT("rec.uni[natureza]"),"pro.soluto",
INDIRECT("rec.uni[empresa]"),O$6)</f>
        <v>0</v>
      </c>
      <c r="P70" s="182">
        <f ca="1">SUMIFS(rec.uni[2026-08-01],
INDIRECT("rec.uni[natureza]"),"repasse.cef.obra",
INDIRECT("rec.uni[empresa]"),P$6)</f>
        <v>0</v>
      </c>
      <c r="Q70" s="182">
        <f ca="1">SUMIFS(rec.uni[2026-08-01],
INDIRECT("rec.uni[natureza]"),"repasse.cef.terreno",
INDIRECT("rec.uni[empresa]"),Q$6)</f>
        <v>0</v>
      </c>
      <c r="R70" s="186"/>
      <c r="S70" s="182">
        <f ca="1">SUMIFS(rec.uni[2026-08-01],
INDIRECT("rec.uni[natureza]"),"taxa.extra",
INDIRECT("rec.uni[empresa]"),S$6)</f>
        <v>0</v>
      </c>
      <c r="T70" s="170"/>
      <c r="U70" s="170" cm="1">
        <f t="array" ref="U7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V70" s="170" cm="1">
        <f t="array" ref="V7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W70" s="170" cm="1">
        <f t="array" ref="W7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X70" s="170" cm="1">
        <f t="array" ref="X7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Y70" s="170" cm="1">
        <f t="array" ref="Y7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(desp[data.pagamento]&gt;=$A70)*
    (desp[data.pagamento]&lt;EOMONTH($A70,0)+1)
  )
)</f>
        <v>0</v>
      </c>
      <c r="Z70" s="181">
        <f>COUNTIFS(
    estq[empresa], Z$6,
    estq[Data da venda / reserva], "&gt;=" &amp; $A70,
    estq[Data da venda / reserva], "&lt;"  &amp; EOMONTH($A70,0) + 1
)</f>
        <v>0</v>
      </c>
      <c r="AA70" s="182">
        <f ca="1">SUMIFS(rec.uni[2026-08-01],
INDIRECT("rec.uni[natureza]"),"pro.soluto",
INDIRECT("rec.uni[empresa]"),AA$6)</f>
        <v>0</v>
      </c>
      <c r="AB70" s="186">
        <f ca="1">SUMIFS(rec.uni[2026-08-01],
INDIRECT("rec.uni[natureza]"),"pro.soluto",
INDIRECT("rec.uni[empresa]"),AB$6)</f>
        <v>0</v>
      </c>
      <c r="AC70" s="182">
        <f ca="1">SUMIFS(rec.uni[2026-08-01],
INDIRECT("rec.uni[natureza]"),"taxa.extra",
INDIRECT("rec.uni[empresa]"),AC$6)</f>
        <v>0</v>
      </c>
      <c r="AD70" s="170"/>
      <c r="AE70" s="170" cm="1">
        <f t="array" ref="AE7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F70" s="170" cm="1">
        <f t="array" ref="AF7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G70" s="170" cm="1">
        <f t="array" ref="AG7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H70" s="170" cm="1">
        <f t="array" ref="AH7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I70" s="170" cm="1">
        <f t="array" ref="AI7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(desp[data.pagamento]&gt;=$A70)*
    (desp[data.pagamento]&lt;EOMONTH($A70,0)+1)
  )
)</f>
        <v>0</v>
      </c>
      <c r="AJ70" s="181">
        <f>COUNTIFS(
    estq[empresa], AJ$6,
    estq[Data da venda / reserva], "&gt;=" &amp; $A70,
    estq[Data da venda / reserva], "&lt;"  &amp; EOMONTH($A70,0) + 1
)</f>
        <v>0</v>
      </c>
      <c r="AK70" s="182">
        <f ca="1">SUMIFS(rec.uni[2026-08-01],
INDIRECT("rec.uni[natureza]"),"pro.soluto",
INDIRECT("rec.uni[empresa]"),AK$6)</f>
        <v>0</v>
      </c>
      <c r="AL70" s="182">
        <f ca="1">SUMIFS(rec.uni[2026-08-01],
INDIRECT("rec.uni[natureza]"),"repasse.cef.obra",
INDIRECT("rec.uni[empresa]"),AL$6)</f>
        <v>0</v>
      </c>
      <c r="AM70" s="185">
        <f ca="1">SUMIFS(rec.uni[2026-08-01],
INDIRECT("rec.uni[natureza]"),"repasse.cef.terreno",
INDIRECT("rec.uni[empresa]"),AM$6)</f>
        <v>0</v>
      </c>
      <c r="AN70" s="186"/>
      <c r="AO70" s="182">
        <f ca="1">SUMIFS(rec.uni[2026-08-01],
INDIRECT("rec.uni[natureza]"),"taxa.extra",
INDIRECT("rec.uni[empresa]"),AO$6)</f>
        <v>0</v>
      </c>
      <c r="AP70" s="170"/>
      <c r="AQ70" s="170" cm="1">
        <f t="array" ref="AQ7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R70" s="170" cm="1">
        <f t="array" ref="AR7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S70" s="170" cm="1">
        <f t="array" ref="AS7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T70" s="170" cm="1">
        <f t="array" ref="AT7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U70" s="170" cm="1">
        <f t="array" ref="AU7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(desp[data.pagamento]&gt;=$A70)*
    (desp[data.pagamento]&lt;EOMONTH($A70,0)+1)
  )
)</f>
        <v>0</v>
      </c>
      <c r="AV70" s="181">
        <f>COUNTIFS(
    estq[empresa], AV$6,
    estq[Data da venda / reserva], "&gt;=" &amp; $A70,
    estq[Data da venda / reserva], "&lt;"  &amp; EOMONTH($A70,0) + 1
)</f>
        <v>0</v>
      </c>
      <c r="AW70" s="182">
        <f ca="1">SUMIFS(rec.uni[2026-08-01],
INDIRECT("rec.uni[natureza]"),"pro.soluto",
INDIRECT("rec.uni[empresa]"),AW$6)</f>
        <v>0</v>
      </c>
      <c r="AX70" s="182">
        <f ca="1">SUMIFS(rec.uni[2026-08-01],
INDIRECT("rec.uni[natureza]"),"repasse.cef.obra",
INDIRECT("rec.uni[empresa]"),AX$6)</f>
        <v>0</v>
      </c>
      <c r="AY70" s="185">
        <f ca="1">SUMIFS(rec.uni[2026-08-01],
INDIRECT("rec.uni[natureza]"),"repasse.cef.terreno",
INDIRECT("rec.uni[empresa]"),AY$6)</f>
        <v>0</v>
      </c>
      <c r="AZ70" s="186"/>
      <c r="BA70" s="182">
        <f ca="1">SUMIFS(rec.uni[2026-08-01],
INDIRECT("rec.uni[natureza]"),"taxa.extra",
INDIRECT("rec.uni[empresa]"),BA$6)</f>
        <v>0</v>
      </c>
      <c r="BB70" s="170"/>
      <c r="BC70" s="170" cm="1">
        <f t="array" ref="BC7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D70" s="170" cm="1">
        <f t="array" ref="BD7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E70" s="170" cm="1">
        <f t="array" ref="BE7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F70" s="170" cm="1">
        <f t="array" ref="BF7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G70" s="170" cm="1">
        <f t="array" ref="BG7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(desp[data.pagamento]&gt;=$A70)*
    (desp[data.pagamento]&lt;EOMONTH($A70,0)+1)
  )
)</f>
        <v>0</v>
      </c>
      <c r="BH70" s="181">
        <f>COUNTIFS(
    estq[empresa], BH$6,
    estq[Data da venda / reserva], "&gt;=" &amp; $A70,
    estq[Data da venda / reserva], "&lt;"  &amp; EOMONTH($A70,0) + 1
)</f>
        <v>0</v>
      </c>
      <c r="BI70" s="182">
        <f ca="1">SUMIFS(rec.uni[2026-08-01],
INDIRECT("rec.uni[natureza]"),"pro.soluto",
INDIRECT("rec.uni[empresa]"),BI$6)</f>
        <v>0</v>
      </c>
      <c r="BJ70" s="186">
        <f ca="1">SUMIFS(rec.uni[2026-08-01],
INDIRECT("rec.uni[natureza]"),"parcela.fin.total.ik",
INDIRECT("rec.uni[empresa]"),BJ$6)</f>
        <v>0</v>
      </c>
      <c r="BK70" s="182">
        <f ca="1">SUMIFS(rec.uni[2026-08-01],
INDIRECT("rec.uni[natureza]"),"taxa.extra",
INDIRECT("rec.uni[empresa]"),BK$6)</f>
        <v>0</v>
      </c>
      <c r="BL70" s="170"/>
      <c r="BM70" s="170" cm="1">
        <f t="array" ref="BM7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N70" s="170" cm="1">
        <f t="array" ref="BN7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O70" s="170" cm="1">
        <f t="array" ref="BO7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P70" s="170" cm="1">
        <f t="array" ref="BP7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Q70" s="170" cm="1">
        <f t="array" ref="BQ7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(desp[data.pagamento]&gt;=$A70)*
    (desp[data.pagamento]&lt;EOMONTH($A70,0)+1)
  )
)</f>
        <v>0</v>
      </c>
      <c r="BR70" s="181">
        <f>COUNTIFS(
    estq[empresa], BR$6,
    estq[Data da venda / reserva], "&gt;=" &amp; $A70,
    estq[Data da venda / reserva], "&lt;"  &amp; EOMONTH($A70,0) + 1
)</f>
        <v>0</v>
      </c>
      <c r="BS70" s="182">
        <f ca="1">SUMIFS(rec.uni[2026-08-01],
INDIRECT("rec.uni[natureza]"),"pro.soluto",
INDIRECT("rec.uni[empresa]"),BS$6)</f>
        <v>0</v>
      </c>
      <c r="BT70" s="186">
        <f ca="1">SUMIFS(rec.uni[2026-08-01],
INDIRECT("rec.uni[natureza]"),"pro.soluto",
INDIRECT("rec.uni[empresa]"),BT$6)</f>
        <v>0</v>
      </c>
      <c r="BU70" s="182">
        <f ca="1">SUMIFS(rec.uni[2026-08-01],
INDIRECT("rec.uni[natureza]"),"taxa.extra",
INDIRECT("rec.uni[empresa]"),BU$6)</f>
        <v>0</v>
      </c>
      <c r="BV70" s="170"/>
      <c r="BW70" s="170" cm="1">
        <f t="array" ref="BW7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BX70" s="170" cm="1">
        <f t="array" ref="BX7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BY70" s="170" cm="1">
        <f t="array" ref="BY7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BZ70" s="170" cm="1">
        <f t="array" ref="BZ7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CA70" s="170" cm="1">
        <f t="array" ref="CA7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(desp[data.pagamento]&gt;=$A70)*
    (desp[data.pagamento]&lt;EOMONTH($A70,0)+1)
  )
)</f>
        <v>0</v>
      </c>
      <c r="CB70" s="181">
        <f>COUNTIFS(
    estq[empresa], CB$6,
    estq[Data da venda / reserva], "&gt;=" &amp; $A70,
    estq[Data da venda / reserva], "&lt;"  &amp; EOMONTH($A70,0) + 1
)</f>
        <v>0</v>
      </c>
      <c r="CC70" s="182">
        <f ca="1">SUMIFS(rec.uni[2026-08-01],
INDIRECT("rec.uni[natureza]"),"pro.soluto",
INDIRECT("rec.uni[empresa]"),CC$6)</f>
        <v>0</v>
      </c>
      <c r="CD70" s="182">
        <f ca="1">SUMIFS(rec.uni[2026-08-01],
INDIRECT("rec.uni[natureza]"),"repasse.cef.obra",
INDIRECT("rec.uni[empresa]"),CD$6)</f>
        <v>0</v>
      </c>
      <c r="CE70" s="185">
        <f ca="1">SUMIFS(rec.uni[2026-08-01],
INDIRECT("rec.uni[natureza]"),"repasse.cef.terreno",
INDIRECT("rec.uni[empresa]"),CE$6)</f>
        <v>0</v>
      </c>
      <c r="CF70" s="186"/>
      <c r="CG70" s="182">
        <f ca="1">SUMIFS(rec.uni[2026-08-01],
INDIRECT("rec.uni[natureza]"),"taxa.extra",
INDIRECT("rec.uni[empresa]"),CG$6)</f>
        <v>0</v>
      </c>
      <c r="CH70" s="170"/>
      <c r="CI70" s="170" cm="1">
        <f t="array" ref="CI7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J70" s="170" cm="1">
        <f t="array" ref="CJ7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K70" s="170" cm="1">
        <f t="array" ref="CK7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L70" s="170" cm="1">
        <f t="array" ref="CL7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M70" s="170" cm="1">
        <f t="array" ref="CM7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(desp[data.pagamento]&gt;=$A70)*
    (desp[data.pagamento]&lt;EOMONTH($A70,0)+1)
  )
)</f>
        <v>0</v>
      </c>
      <c r="CN70" s="181">
        <f>COUNTIFS(
    estq[empresa], CN$6,
    estq[Data da venda / reserva], "&gt;=" &amp; $A70,
    estq[Data da venda / reserva], "&lt;"  &amp; EOMONTH($A70,0) + 1
)</f>
        <v>0</v>
      </c>
      <c r="CO70" s="182">
        <f ca="1">SUMIFS(rec.uni[2026-08-01],
INDIRECT("rec.uni[natureza]"),"pro.soluto",
INDIRECT("rec.uni[empresa]"),CO$6)</f>
        <v>0</v>
      </c>
      <c r="CP70" s="182">
        <f ca="1">SUMIFS(rec.uni[2026-08-01],
INDIRECT("rec.uni[natureza]"),"repasse.cef.obra",
INDIRECT("rec.uni[empresa]"),CP$6)</f>
        <v>0</v>
      </c>
      <c r="CQ70" s="185">
        <f ca="1">SUMIFS(rec.uni[2026-08-01],
INDIRECT("rec.uni[natureza]"),"repasse.cef.terreno",
INDIRECT("rec.uni[empresa]"),CQ$6)</f>
        <v>0</v>
      </c>
      <c r="CR70" s="186"/>
      <c r="CS70" s="182">
        <f ca="1">SUMIFS(rec.uni[2026-08-01],
INDIRECT("rec.uni[natureza]"),"taxa.extra",
INDIRECT("rec.uni[empresa]"),CS$6)</f>
        <v>0</v>
      </c>
      <c r="CT70" s="170"/>
      <c r="CU70" s="170" cm="1">
        <f t="array" ref="CU7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  <c r="CV70" s="170" cm="1">
        <f t="array" ref="CV7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  <c r="CW70" s="170" cm="1">
        <f t="array" ref="CW7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  <c r="CX70" s="170" cm="1">
        <f t="array" ref="CX7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  <c r="CY70" s="295" cm="1">
        <f t="array" ref="CY7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(desp[data.pagamento]&gt;=$A70)*
    (desp[data.pagamento]&lt;EOMONTH($A70,0)+1)
  )
)</f>
        <v>0</v>
      </c>
    </row>
    <row r="71" spans="1:103" x14ac:dyDescent="0.25">
      <c r="A71" s="180">
        <v>46266</v>
      </c>
      <c r="B71" s="181">
        <f>COUNTIFS(
    estq[empresa], B$6,
    estq[Data da venda / reserva], "&gt;=" &amp; $A71,
    estq[Data da venda / reserva], "&lt;"  &amp; EOMONTH($A71,0) + 1
)</f>
        <v>0</v>
      </c>
      <c r="C71" s="182">
        <f ca="1">SUMIFS(rec.uni[2026-09-01],
INDIRECT("rec.uni[natureza]"),"pro.soluto",
INDIRECT("rec.uni[empresa]"),C$6)</f>
        <v>0</v>
      </c>
      <c r="D71" s="182">
        <f ca="1">SUMIFS(rec.uni[2026-09-01],
INDIRECT("rec.uni[natureza]"),"repasse.cef.obra",
INDIRECT("rec.uni[empresa]"),D$6)</f>
        <v>0</v>
      </c>
      <c r="E71" s="182">
        <f ca="1">SUMIFS(rec.uni[2026-09-01],
INDIRECT("rec.uni[natureza]"),"repasse.cef.terreno",
INDIRECT("rec.uni[empresa]"),E$6)</f>
        <v>0</v>
      </c>
      <c r="F71" s="186"/>
      <c r="G71" s="182">
        <f ca="1">SUMIFS(rec.uni[2026-09-01],
INDIRECT("rec.uni[natureza]"),"taxa.extra",
INDIRECT("rec.uni[empresa]"),G$6)</f>
        <v>0</v>
      </c>
      <c r="H71" s="170"/>
      <c r="I71" s="170" cm="1">
        <f t="array" ref="I7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J71" s="170" cm="1">
        <f t="array" ref="J7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K71" s="170" cm="1">
        <f t="array" ref="K7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L71" s="170" cm="1">
        <f t="array" ref="L7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M71" s="170" cm="1">
        <f t="array" ref="M7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(desp[data.pagamento]&gt;=$A71)*
    (desp[data.pagamento]&lt;EOMONTH($A71,0)+1)
  )
)</f>
        <v>0</v>
      </c>
      <c r="N71" s="181">
        <f>COUNTIFS(
    estq[empresa], N$6,
    estq[Data da venda / reserva], "&gt;=" &amp; $A71,
    estq[Data da venda / reserva], "&lt;"  &amp; EOMONTH($A71,0) + 1
)</f>
        <v>0</v>
      </c>
      <c r="O71" s="182">
        <f ca="1">SUMIFS(rec.uni[2026-09-01],
INDIRECT("rec.uni[natureza]"),"pro.soluto",
INDIRECT("rec.uni[empresa]"),O$6)</f>
        <v>0</v>
      </c>
      <c r="P71" s="182">
        <f ca="1">SUMIFS(rec.uni[2026-09-01],
INDIRECT("rec.uni[natureza]"),"repasse.cef.obra",
INDIRECT("rec.uni[empresa]"),P$6)</f>
        <v>0</v>
      </c>
      <c r="Q71" s="182">
        <f ca="1">SUMIFS(rec.uni[2026-09-01],
INDIRECT("rec.uni[natureza]"),"repasse.cef.terreno",
INDIRECT("rec.uni[empresa]"),Q$6)</f>
        <v>0</v>
      </c>
      <c r="R71" s="186"/>
      <c r="S71" s="182">
        <f ca="1">SUMIFS(rec.uni[2026-09-01],
INDIRECT("rec.uni[natureza]"),"taxa.extra",
INDIRECT("rec.uni[empresa]"),S$6)</f>
        <v>0</v>
      </c>
      <c r="T71" s="170"/>
      <c r="U71" s="170" cm="1">
        <f t="array" ref="U7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V71" s="170" cm="1">
        <f t="array" ref="V7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W71" s="170" cm="1">
        <f t="array" ref="W7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X71" s="170" cm="1">
        <f t="array" ref="X7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Y71" s="170" cm="1">
        <f t="array" ref="Y7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(desp[data.pagamento]&gt;=$A71)*
    (desp[data.pagamento]&lt;EOMONTH($A71,0)+1)
  )
)</f>
        <v>0</v>
      </c>
      <c r="Z71" s="181">
        <f>COUNTIFS(
    estq[empresa], Z$6,
    estq[Data da venda / reserva], "&gt;=" &amp; $A71,
    estq[Data da venda / reserva], "&lt;"  &amp; EOMONTH($A71,0) + 1
)</f>
        <v>0</v>
      </c>
      <c r="AA71" s="182">
        <f ca="1">SUMIFS(rec.uni[2026-09-01],
INDIRECT("rec.uni[natureza]"),"pro.soluto",
INDIRECT("rec.uni[empresa]"),AA$6)</f>
        <v>0</v>
      </c>
      <c r="AB71" s="186">
        <f ca="1">SUMIFS(rec.uni[2026-09-01],
INDIRECT("rec.uni[natureza]"),"pro.soluto",
INDIRECT("rec.uni[empresa]"),AB$6)</f>
        <v>0</v>
      </c>
      <c r="AC71" s="182">
        <f ca="1">SUMIFS(rec.uni[2026-09-01],
INDIRECT("rec.uni[natureza]"),"taxa.extra",
INDIRECT("rec.uni[empresa]"),AC$6)</f>
        <v>0</v>
      </c>
      <c r="AD71" s="170"/>
      <c r="AE71" s="170" cm="1">
        <f t="array" ref="AE7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F71" s="170" cm="1">
        <f t="array" ref="AF7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G71" s="170" cm="1">
        <f t="array" ref="AG7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H71" s="170" cm="1">
        <f t="array" ref="AH7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I71" s="170" cm="1">
        <f t="array" ref="AI7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(desp[data.pagamento]&gt;=$A71)*
    (desp[data.pagamento]&lt;EOMONTH($A71,0)+1)
  )
)</f>
        <v>0</v>
      </c>
      <c r="AJ71" s="181">
        <f>COUNTIFS(
    estq[empresa], AJ$6,
    estq[Data da venda / reserva], "&gt;=" &amp; $A71,
    estq[Data da venda / reserva], "&lt;"  &amp; EOMONTH($A71,0) + 1
)</f>
        <v>0</v>
      </c>
      <c r="AK71" s="182">
        <f ca="1">SUMIFS(rec.uni[2026-09-01],
INDIRECT("rec.uni[natureza]"),"pro.soluto",
INDIRECT("rec.uni[empresa]"),AK$6)</f>
        <v>0</v>
      </c>
      <c r="AL71" s="182">
        <f ca="1">SUMIFS(rec.uni[2026-09-01],
INDIRECT("rec.uni[natureza]"),"repasse.cef.obra",
INDIRECT("rec.uni[empresa]"),AL$6)</f>
        <v>0</v>
      </c>
      <c r="AM71" s="185">
        <f ca="1">SUMIFS(rec.uni[2026-09-01],
INDIRECT("rec.uni[natureza]"),"repasse.cef.terreno",
INDIRECT("rec.uni[empresa]"),AM$6)</f>
        <v>0</v>
      </c>
      <c r="AN71" s="186"/>
      <c r="AO71" s="182">
        <f ca="1">SUMIFS(rec.uni[2026-09-01],
INDIRECT("rec.uni[natureza]"),"taxa.extra",
INDIRECT("rec.uni[empresa]"),AO$6)</f>
        <v>0</v>
      </c>
      <c r="AP71" s="170"/>
      <c r="AQ71" s="170" cm="1">
        <f t="array" ref="AQ7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R71" s="170" cm="1">
        <f t="array" ref="AR7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S71" s="170" cm="1">
        <f t="array" ref="AS7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T71" s="170" cm="1">
        <f t="array" ref="AT7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U71" s="170" cm="1">
        <f t="array" ref="AU7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(desp[data.pagamento]&gt;=$A71)*
    (desp[data.pagamento]&lt;EOMONTH($A71,0)+1)
  )
)</f>
        <v>0</v>
      </c>
      <c r="AV71" s="181">
        <f>COUNTIFS(
    estq[empresa], AV$6,
    estq[Data da venda / reserva], "&gt;=" &amp; $A71,
    estq[Data da venda / reserva], "&lt;"  &amp; EOMONTH($A71,0) + 1
)</f>
        <v>0</v>
      </c>
      <c r="AW71" s="182">
        <f ca="1">SUMIFS(rec.uni[2026-09-01],
INDIRECT("rec.uni[natureza]"),"pro.soluto",
INDIRECT("rec.uni[empresa]"),AW$6)</f>
        <v>0</v>
      </c>
      <c r="AX71" s="182">
        <f ca="1">SUMIFS(rec.uni[2026-09-01],
INDIRECT("rec.uni[natureza]"),"repasse.cef.obra",
INDIRECT("rec.uni[empresa]"),AX$6)</f>
        <v>0</v>
      </c>
      <c r="AY71" s="185">
        <f ca="1">SUMIFS(rec.uni[2026-09-01],
INDIRECT("rec.uni[natureza]"),"repasse.cef.terreno",
INDIRECT("rec.uni[empresa]"),AY$6)</f>
        <v>0</v>
      </c>
      <c r="AZ71" s="186"/>
      <c r="BA71" s="182">
        <f ca="1">SUMIFS(rec.uni[2026-09-01],
INDIRECT("rec.uni[natureza]"),"taxa.extra",
INDIRECT("rec.uni[empresa]"),BA$6)</f>
        <v>0</v>
      </c>
      <c r="BB71" s="170"/>
      <c r="BC71" s="170" cm="1">
        <f t="array" ref="BC7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D71" s="170" cm="1">
        <f t="array" ref="BD7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E71" s="170" cm="1">
        <f t="array" ref="BE7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F71" s="170" cm="1">
        <f t="array" ref="BF7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G71" s="170" cm="1">
        <f t="array" ref="BG7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(desp[data.pagamento]&gt;=$A71)*
    (desp[data.pagamento]&lt;EOMONTH($A71,0)+1)
  )
)</f>
        <v>0</v>
      </c>
      <c r="BH71" s="181">
        <f>COUNTIFS(
    estq[empresa], BH$6,
    estq[Data da venda / reserva], "&gt;=" &amp; $A71,
    estq[Data da venda / reserva], "&lt;"  &amp; EOMONTH($A71,0) + 1
)</f>
        <v>0</v>
      </c>
      <c r="BI71" s="182">
        <f ca="1">SUMIFS(rec.uni[2026-09-01],
INDIRECT("rec.uni[natureza]"),"pro.soluto",
INDIRECT("rec.uni[empresa]"),BI$6)</f>
        <v>0</v>
      </c>
      <c r="BJ71" s="186">
        <f ca="1">SUMIFS(rec.uni[2026-09-01],
INDIRECT("rec.uni[natureza]"),"parcela.fin.total.ik",
INDIRECT("rec.uni[empresa]"),BJ$6)</f>
        <v>0</v>
      </c>
      <c r="BK71" s="182">
        <f ca="1">SUMIFS(rec.uni[2026-09-01],
INDIRECT("rec.uni[natureza]"),"taxa.extra",
INDIRECT("rec.uni[empresa]"),BK$6)</f>
        <v>0</v>
      </c>
      <c r="BL71" s="170"/>
      <c r="BM71" s="170" cm="1">
        <f t="array" ref="BM7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N71" s="170" cm="1">
        <f t="array" ref="BN7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O71" s="170" cm="1">
        <f t="array" ref="BO7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P71" s="170" cm="1">
        <f t="array" ref="BP7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Q71" s="170" cm="1">
        <f t="array" ref="BQ7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(desp[data.pagamento]&gt;=$A71)*
    (desp[data.pagamento]&lt;EOMONTH($A71,0)+1)
  )
)</f>
        <v>0</v>
      </c>
      <c r="BR71" s="181">
        <f>COUNTIFS(
    estq[empresa], BR$6,
    estq[Data da venda / reserva], "&gt;=" &amp; $A71,
    estq[Data da venda / reserva], "&lt;"  &amp; EOMONTH($A71,0) + 1
)</f>
        <v>0</v>
      </c>
      <c r="BS71" s="182">
        <f ca="1">SUMIFS(rec.uni[2026-09-01],
INDIRECT("rec.uni[natureza]"),"pro.soluto",
INDIRECT("rec.uni[empresa]"),BS$6)</f>
        <v>0</v>
      </c>
      <c r="BT71" s="186">
        <f ca="1">SUMIFS(rec.uni[2026-09-01],
INDIRECT("rec.uni[natureza]"),"pro.soluto",
INDIRECT("rec.uni[empresa]"),BT$6)</f>
        <v>0</v>
      </c>
      <c r="BU71" s="182">
        <f ca="1">SUMIFS(rec.uni[2026-09-01],
INDIRECT("rec.uni[natureza]"),"taxa.extra",
INDIRECT("rec.uni[empresa]"),BU$6)</f>
        <v>0</v>
      </c>
      <c r="BV71" s="170"/>
      <c r="BW71" s="170" cm="1">
        <f t="array" ref="BW7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BX71" s="170" cm="1">
        <f t="array" ref="BX7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BY71" s="170" cm="1">
        <f t="array" ref="BY7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BZ71" s="170" cm="1">
        <f t="array" ref="BZ7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CA71" s="170" cm="1">
        <f t="array" ref="CA7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(desp[data.pagamento]&gt;=$A71)*
    (desp[data.pagamento]&lt;EOMONTH($A71,0)+1)
  )
)</f>
        <v>0</v>
      </c>
      <c r="CB71" s="181">
        <f>COUNTIFS(
    estq[empresa], CB$6,
    estq[Data da venda / reserva], "&gt;=" &amp; $A71,
    estq[Data da venda / reserva], "&lt;"  &amp; EOMONTH($A71,0) + 1
)</f>
        <v>0</v>
      </c>
      <c r="CC71" s="182">
        <f ca="1">SUMIFS(rec.uni[2026-09-01],
INDIRECT("rec.uni[natureza]"),"pro.soluto",
INDIRECT("rec.uni[empresa]"),CC$6)</f>
        <v>0</v>
      </c>
      <c r="CD71" s="182">
        <f ca="1">SUMIFS(rec.uni[2026-09-01],
INDIRECT("rec.uni[natureza]"),"repasse.cef.obra",
INDIRECT("rec.uni[empresa]"),CD$6)</f>
        <v>0</v>
      </c>
      <c r="CE71" s="185">
        <f ca="1">SUMIFS(rec.uni[2026-09-01],
INDIRECT("rec.uni[natureza]"),"repasse.cef.terreno",
INDIRECT("rec.uni[empresa]"),CE$6)</f>
        <v>0</v>
      </c>
      <c r="CF71" s="186"/>
      <c r="CG71" s="182">
        <f ca="1">SUMIFS(rec.uni[2026-09-01],
INDIRECT("rec.uni[natureza]"),"taxa.extra",
INDIRECT("rec.uni[empresa]"),CG$6)</f>
        <v>0</v>
      </c>
      <c r="CH71" s="170"/>
      <c r="CI71" s="170" cm="1">
        <f t="array" ref="CI7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J71" s="170" cm="1">
        <f t="array" ref="CJ7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K71" s="170" cm="1">
        <f t="array" ref="CK7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L71" s="170" cm="1">
        <f t="array" ref="CL7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M71" s="170" cm="1">
        <f t="array" ref="CM7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(desp[data.pagamento]&gt;=$A71)*
    (desp[data.pagamento]&lt;EOMONTH($A71,0)+1)
  )
)</f>
        <v>0</v>
      </c>
      <c r="CN71" s="181">
        <f>COUNTIFS(
    estq[empresa], CN$6,
    estq[Data da venda / reserva], "&gt;=" &amp; $A71,
    estq[Data da venda / reserva], "&lt;"  &amp; EOMONTH($A71,0) + 1
)</f>
        <v>0</v>
      </c>
      <c r="CO71" s="182">
        <f ca="1">SUMIFS(rec.uni[2026-09-01],
INDIRECT("rec.uni[natureza]"),"pro.soluto",
INDIRECT("rec.uni[empresa]"),CO$6)</f>
        <v>0</v>
      </c>
      <c r="CP71" s="182">
        <f ca="1">SUMIFS(rec.uni[2026-09-01],
INDIRECT("rec.uni[natureza]"),"repasse.cef.obra",
INDIRECT("rec.uni[empresa]"),CP$6)</f>
        <v>0</v>
      </c>
      <c r="CQ71" s="185">
        <f ca="1">SUMIFS(rec.uni[2026-09-01],
INDIRECT("rec.uni[natureza]"),"repasse.cef.terreno",
INDIRECT("rec.uni[empresa]"),CQ$6)</f>
        <v>0</v>
      </c>
      <c r="CR71" s="186"/>
      <c r="CS71" s="182">
        <f ca="1">SUMIFS(rec.uni[2026-09-01],
INDIRECT("rec.uni[natureza]"),"taxa.extra",
INDIRECT("rec.uni[empresa]"),CS$6)</f>
        <v>0</v>
      </c>
      <c r="CT71" s="170"/>
      <c r="CU71" s="170" cm="1">
        <f t="array" ref="CU7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  <c r="CV71" s="170" cm="1">
        <f t="array" ref="CV7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  <c r="CW71" s="170" cm="1">
        <f t="array" ref="CW7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  <c r="CX71" s="170" cm="1">
        <f t="array" ref="CX7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  <c r="CY71" s="295" cm="1">
        <f t="array" ref="CY7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(desp[data.pagamento]&gt;=$A71)*
    (desp[data.pagamento]&lt;EOMONTH($A71,0)+1)
  )
)</f>
        <v>0</v>
      </c>
    </row>
    <row r="72" spans="1:103" x14ac:dyDescent="0.25">
      <c r="A72" s="180">
        <v>46296</v>
      </c>
      <c r="B72" s="181">
        <f>COUNTIFS(
    estq[empresa], B$6,
    estq[Data da venda / reserva], "&gt;=" &amp; $A72,
    estq[Data da venda / reserva], "&lt;"  &amp; EOMONTH($A72,0) + 1
)</f>
        <v>0</v>
      </c>
      <c r="C72" s="182">
        <f ca="1">SUMIFS(rec.uni[2026-10-01],
INDIRECT("rec.uni[natureza]"),"pro.soluto",
INDIRECT("rec.uni[empresa]"),C$6)</f>
        <v>0</v>
      </c>
      <c r="D72" s="182">
        <f ca="1">SUMIFS(rec.uni[2026-10-01],
INDIRECT("rec.uni[natureza]"),"repasse.cef.obra",
INDIRECT("rec.uni[empresa]"),D$6)</f>
        <v>0</v>
      </c>
      <c r="E72" s="182">
        <f ca="1">SUMIFS(rec.uni[2026-10-01],
INDIRECT("rec.uni[natureza]"),"repasse.cef.terreno",
INDIRECT("rec.uni[empresa]"),E$6)</f>
        <v>0</v>
      </c>
      <c r="F72" s="186"/>
      <c r="G72" s="182">
        <f ca="1">SUMIFS(rec.uni[2026-10-01],
INDIRECT("rec.uni[natureza]"),"taxa.extra",
INDIRECT("rec.uni[empresa]"),G$6)</f>
        <v>0</v>
      </c>
      <c r="H72" s="170"/>
      <c r="I72" s="170" cm="1">
        <f t="array" ref="I7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J72" s="170" cm="1">
        <f t="array" ref="J7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K72" s="170" cm="1">
        <f t="array" ref="K7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L72" s="170" cm="1">
        <f t="array" ref="L7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M72" s="170" cm="1">
        <f t="array" ref="M7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(desp[data.pagamento]&gt;=$A72)*
    (desp[data.pagamento]&lt;EOMONTH($A72,0)+1)
  )
)</f>
        <v>0</v>
      </c>
      <c r="N72" s="181">
        <f>COUNTIFS(
    estq[empresa], N$6,
    estq[Data da venda / reserva], "&gt;=" &amp; $A72,
    estq[Data da venda / reserva], "&lt;"  &amp; EOMONTH($A72,0) + 1
)</f>
        <v>0</v>
      </c>
      <c r="O72" s="182">
        <f ca="1">SUMIFS(rec.uni[2026-10-01],
INDIRECT("rec.uni[natureza]"),"pro.soluto",
INDIRECT("rec.uni[empresa]"),O$6)</f>
        <v>0</v>
      </c>
      <c r="P72" s="182">
        <f ca="1">SUMIFS(rec.uni[2026-10-01],
INDIRECT("rec.uni[natureza]"),"repasse.cef.obra",
INDIRECT("rec.uni[empresa]"),P$6)</f>
        <v>0</v>
      </c>
      <c r="Q72" s="182">
        <f ca="1">SUMIFS(rec.uni[2026-10-01],
INDIRECT("rec.uni[natureza]"),"repasse.cef.terreno",
INDIRECT("rec.uni[empresa]"),Q$6)</f>
        <v>0</v>
      </c>
      <c r="R72" s="186"/>
      <c r="S72" s="182">
        <f ca="1">SUMIFS(rec.uni[2026-10-01],
INDIRECT("rec.uni[natureza]"),"taxa.extra",
INDIRECT("rec.uni[empresa]"),S$6)</f>
        <v>0</v>
      </c>
      <c r="T72" s="170"/>
      <c r="U72" s="170" cm="1">
        <f t="array" ref="U7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V72" s="170" cm="1">
        <f t="array" ref="V7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W72" s="170" cm="1">
        <f t="array" ref="W7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X72" s="170" cm="1">
        <f t="array" ref="X7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Y72" s="170" cm="1">
        <f t="array" ref="Y7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(desp[data.pagamento]&gt;=$A72)*
    (desp[data.pagamento]&lt;EOMONTH($A72,0)+1)
  )
)</f>
        <v>0</v>
      </c>
      <c r="Z72" s="181">
        <f>COUNTIFS(
    estq[empresa], Z$6,
    estq[Data da venda / reserva], "&gt;=" &amp; $A72,
    estq[Data da venda / reserva], "&lt;"  &amp; EOMONTH($A72,0) + 1
)</f>
        <v>0</v>
      </c>
      <c r="AA72" s="182">
        <f ca="1">SUMIFS(rec.uni[2026-10-01],
INDIRECT("rec.uni[natureza]"),"pro.soluto",
INDIRECT("rec.uni[empresa]"),AA$6)</f>
        <v>0</v>
      </c>
      <c r="AB72" s="186">
        <f ca="1">SUMIFS(rec.uni[2026-10-01],
INDIRECT("rec.uni[natureza]"),"pro.soluto",
INDIRECT("rec.uni[empresa]"),AB$6)</f>
        <v>0</v>
      </c>
      <c r="AC72" s="182">
        <f ca="1">SUMIFS(rec.uni[2026-10-01],
INDIRECT("rec.uni[natureza]"),"taxa.extra",
INDIRECT("rec.uni[empresa]"),AC$6)</f>
        <v>0</v>
      </c>
      <c r="AD72" s="170"/>
      <c r="AE72" s="170" cm="1">
        <f t="array" ref="AE7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F72" s="170" cm="1">
        <f t="array" ref="AF7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G72" s="170" cm="1">
        <f t="array" ref="AG7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H72" s="170" cm="1">
        <f t="array" ref="AH7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I72" s="170" cm="1">
        <f t="array" ref="AI7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(desp[data.pagamento]&gt;=$A72)*
    (desp[data.pagamento]&lt;EOMONTH($A72,0)+1)
  )
)</f>
        <v>0</v>
      </c>
      <c r="AJ72" s="181">
        <f>COUNTIFS(
    estq[empresa], AJ$6,
    estq[Data da venda / reserva], "&gt;=" &amp; $A72,
    estq[Data da venda / reserva], "&lt;"  &amp; EOMONTH($A72,0) + 1
)</f>
        <v>0</v>
      </c>
      <c r="AK72" s="182">
        <f ca="1">SUMIFS(rec.uni[2026-10-01],
INDIRECT("rec.uni[natureza]"),"pro.soluto",
INDIRECT("rec.uni[empresa]"),AK$6)</f>
        <v>0</v>
      </c>
      <c r="AL72" s="182">
        <f ca="1">SUMIFS(rec.uni[2026-10-01],
INDIRECT("rec.uni[natureza]"),"repasse.cef.obra",
INDIRECT("rec.uni[empresa]"),AL$6)</f>
        <v>0</v>
      </c>
      <c r="AM72" s="185">
        <f ca="1">SUMIFS(rec.uni[2026-10-01],
INDIRECT("rec.uni[natureza]"),"repasse.cef.terreno",
INDIRECT("rec.uni[empresa]"),AM$6)</f>
        <v>0</v>
      </c>
      <c r="AN72" s="186"/>
      <c r="AO72" s="182">
        <f ca="1">SUMIFS(rec.uni[2026-10-01],
INDIRECT("rec.uni[natureza]"),"taxa.extra",
INDIRECT("rec.uni[empresa]"),AO$6)</f>
        <v>0</v>
      </c>
      <c r="AP72" s="170"/>
      <c r="AQ72" s="170" cm="1">
        <f t="array" ref="AQ7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R72" s="170" cm="1">
        <f t="array" ref="AR7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S72" s="170" cm="1">
        <f t="array" ref="AS7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T72" s="170" cm="1">
        <f t="array" ref="AT7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U72" s="170" cm="1">
        <f t="array" ref="AU7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(desp[data.pagamento]&gt;=$A72)*
    (desp[data.pagamento]&lt;EOMONTH($A72,0)+1)
  )
)</f>
        <v>0</v>
      </c>
      <c r="AV72" s="181">
        <f>COUNTIFS(
    estq[empresa], AV$6,
    estq[Data da venda / reserva], "&gt;=" &amp; $A72,
    estq[Data da venda / reserva], "&lt;"  &amp; EOMONTH($A72,0) + 1
)</f>
        <v>0</v>
      </c>
      <c r="AW72" s="182">
        <f ca="1">SUMIFS(rec.uni[2026-10-01],
INDIRECT("rec.uni[natureza]"),"pro.soluto",
INDIRECT("rec.uni[empresa]"),AW$6)</f>
        <v>0</v>
      </c>
      <c r="AX72" s="182">
        <f ca="1">SUMIFS(rec.uni[2026-10-01],
INDIRECT("rec.uni[natureza]"),"repasse.cef.obra",
INDIRECT("rec.uni[empresa]"),AX$6)</f>
        <v>0</v>
      </c>
      <c r="AY72" s="185">
        <f ca="1">SUMIFS(rec.uni[2026-10-01],
INDIRECT("rec.uni[natureza]"),"repasse.cef.terreno",
INDIRECT("rec.uni[empresa]"),AY$6)</f>
        <v>0</v>
      </c>
      <c r="AZ72" s="186"/>
      <c r="BA72" s="182">
        <f ca="1">SUMIFS(rec.uni[2026-10-01],
INDIRECT("rec.uni[natureza]"),"taxa.extra",
INDIRECT("rec.uni[empresa]"),BA$6)</f>
        <v>0</v>
      </c>
      <c r="BB72" s="170"/>
      <c r="BC72" s="170" cm="1">
        <f t="array" ref="BC7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D72" s="170" cm="1">
        <f t="array" ref="BD7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E72" s="170" cm="1">
        <f t="array" ref="BE7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F72" s="170" cm="1">
        <f t="array" ref="BF7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G72" s="170" cm="1">
        <f t="array" ref="BG7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(desp[data.pagamento]&gt;=$A72)*
    (desp[data.pagamento]&lt;EOMONTH($A72,0)+1)
  )
)</f>
        <v>0</v>
      </c>
      <c r="BH72" s="181">
        <f>COUNTIFS(
    estq[empresa], BH$6,
    estq[Data da venda / reserva], "&gt;=" &amp; $A72,
    estq[Data da venda / reserva], "&lt;"  &amp; EOMONTH($A72,0) + 1
)</f>
        <v>0</v>
      </c>
      <c r="BI72" s="182">
        <f ca="1">SUMIFS(rec.uni[2026-10-01],
INDIRECT("rec.uni[natureza]"),"pro.soluto",
INDIRECT("rec.uni[empresa]"),BI$6)</f>
        <v>0</v>
      </c>
      <c r="BJ72" s="186">
        <f ca="1">SUMIFS(rec.uni[2026-10-01],
INDIRECT("rec.uni[natureza]"),"parcela.fin.total.ik",
INDIRECT("rec.uni[empresa]"),BJ$6)</f>
        <v>0</v>
      </c>
      <c r="BK72" s="182">
        <f ca="1">SUMIFS(rec.uni[2026-10-01],
INDIRECT("rec.uni[natureza]"),"taxa.extra",
INDIRECT("rec.uni[empresa]"),BK$6)</f>
        <v>0</v>
      </c>
      <c r="BL72" s="170"/>
      <c r="BM72" s="170" cm="1">
        <f t="array" ref="BM7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N72" s="170" cm="1">
        <f t="array" ref="BN7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O72" s="170" cm="1">
        <f t="array" ref="BO7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P72" s="170" cm="1">
        <f t="array" ref="BP7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Q72" s="170" cm="1">
        <f t="array" ref="BQ7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(desp[data.pagamento]&gt;=$A72)*
    (desp[data.pagamento]&lt;EOMONTH($A72,0)+1)
  )
)</f>
        <v>0</v>
      </c>
      <c r="BR72" s="181">
        <f>COUNTIFS(
    estq[empresa], BR$6,
    estq[Data da venda / reserva], "&gt;=" &amp; $A72,
    estq[Data da venda / reserva], "&lt;"  &amp; EOMONTH($A72,0) + 1
)</f>
        <v>0</v>
      </c>
      <c r="BS72" s="182">
        <f ca="1">SUMIFS(rec.uni[2026-10-01],
INDIRECT("rec.uni[natureza]"),"pro.soluto",
INDIRECT("rec.uni[empresa]"),BS$6)</f>
        <v>0</v>
      </c>
      <c r="BT72" s="186">
        <f ca="1">SUMIFS(rec.uni[2026-10-01],
INDIRECT("rec.uni[natureza]"),"pro.soluto",
INDIRECT("rec.uni[empresa]"),BT$6)</f>
        <v>0</v>
      </c>
      <c r="BU72" s="182">
        <f ca="1">SUMIFS(rec.uni[2026-10-01],
INDIRECT("rec.uni[natureza]"),"taxa.extra",
INDIRECT("rec.uni[empresa]"),BU$6)</f>
        <v>0</v>
      </c>
      <c r="BV72" s="170"/>
      <c r="BW72" s="170" cm="1">
        <f t="array" ref="BW7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BX72" s="170" cm="1">
        <f t="array" ref="BX7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BY72" s="170" cm="1">
        <f t="array" ref="BY7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BZ72" s="170" cm="1">
        <f t="array" ref="BZ7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CA72" s="170" cm="1">
        <f t="array" ref="CA7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(desp[data.pagamento]&gt;=$A72)*
    (desp[data.pagamento]&lt;EOMONTH($A72,0)+1)
  )
)</f>
        <v>0</v>
      </c>
      <c r="CB72" s="181">
        <f>COUNTIFS(
    estq[empresa], CB$6,
    estq[Data da venda / reserva], "&gt;=" &amp; $A72,
    estq[Data da venda / reserva], "&lt;"  &amp; EOMONTH($A72,0) + 1
)</f>
        <v>0</v>
      </c>
      <c r="CC72" s="182">
        <f ca="1">SUMIFS(rec.uni[2026-10-01],
INDIRECT("rec.uni[natureza]"),"pro.soluto",
INDIRECT("rec.uni[empresa]"),CC$6)</f>
        <v>0</v>
      </c>
      <c r="CD72" s="182">
        <f ca="1">SUMIFS(rec.uni[2026-10-01],
INDIRECT("rec.uni[natureza]"),"repasse.cef.obra",
INDIRECT("rec.uni[empresa]"),CD$6)</f>
        <v>0</v>
      </c>
      <c r="CE72" s="185">
        <f ca="1">SUMIFS(rec.uni[2026-10-01],
INDIRECT("rec.uni[natureza]"),"repasse.cef.terreno",
INDIRECT("rec.uni[empresa]"),CE$6)</f>
        <v>0</v>
      </c>
      <c r="CF72" s="186"/>
      <c r="CG72" s="182">
        <f ca="1">SUMIFS(rec.uni[2026-10-01],
INDIRECT("rec.uni[natureza]"),"taxa.extra",
INDIRECT("rec.uni[empresa]"),CG$6)</f>
        <v>0</v>
      </c>
      <c r="CH72" s="170"/>
      <c r="CI72" s="170" cm="1">
        <f t="array" ref="CI7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J72" s="170" cm="1">
        <f t="array" ref="CJ7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K72" s="170" cm="1">
        <f t="array" ref="CK7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L72" s="170" cm="1">
        <f t="array" ref="CL7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M72" s="170" cm="1">
        <f t="array" ref="CM7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(desp[data.pagamento]&gt;=$A72)*
    (desp[data.pagamento]&lt;EOMONTH($A72,0)+1)
  )
)</f>
        <v>0</v>
      </c>
      <c r="CN72" s="181">
        <f>COUNTIFS(
    estq[empresa], CN$6,
    estq[Data da venda / reserva], "&gt;=" &amp; $A72,
    estq[Data da venda / reserva], "&lt;"  &amp; EOMONTH($A72,0) + 1
)</f>
        <v>0</v>
      </c>
      <c r="CO72" s="182">
        <f ca="1">SUMIFS(rec.uni[2026-10-01],
INDIRECT("rec.uni[natureza]"),"pro.soluto",
INDIRECT("rec.uni[empresa]"),CO$6)</f>
        <v>0</v>
      </c>
      <c r="CP72" s="182">
        <f ca="1">SUMIFS(rec.uni[2026-10-01],
INDIRECT("rec.uni[natureza]"),"repasse.cef.obra",
INDIRECT("rec.uni[empresa]"),CP$6)</f>
        <v>0</v>
      </c>
      <c r="CQ72" s="185">
        <f ca="1">SUMIFS(rec.uni[2026-10-01],
INDIRECT("rec.uni[natureza]"),"repasse.cef.terreno",
INDIRECT("rec.uni[empresa]"),CQ$6)</f>
        <v>0</v>
      </c>
      <c r="CR72" s="186"/>
      <c r="CS72" s="182">
        <f ca="1">SUMIFS(rec.uni[2026-10-01],
INDIRECT("rec.uni[natureza]"),"taxa.extra",
INDIRECT("rec.uni[empresa]"),CS$6)</f>
        <v>0</v>
      </c>
      <c r="CT72" s="170"/>
      <c r="CU72" s="170" cm="1">
        <f t="array" ref="CU7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  <c r="CV72" s="170" cm="1">
        <f t="array" ref="CV7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  <c r="CW72" s="170" cm="1">
        <f t="array" ref="CW7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  <c r="CX72" s="170" cm="1">
        <f t="array" ref="CX7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  <c r="CY72" s="295" cm="1">
        <f t="array" ref="CY7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(desp[data.pagamento]&gt;=$A72)*
    (desp[data.pagamento]&lt;EOMONTH($A72,0)+1)
  )
)</f>
        <v>0</v>
      </c>
    </row>
    <row r="73" spans="1:103" x14ac:dyDescent="0.25">
      <c r="A73" s="180">
        <v>46327</v>
      </c>
      <c r="B73" s="181">
        <f>COUNTIFS(
    estq[empresa], B$6,
    estq[Data da venda / reserva], "&gt;=" &amp; $A73,
    estq[Data da venda / reserva], "&lt;"  &amp; EOMONTH($A73,0) + 1
)</f>
        <v>0</v>
      </c>
      <c r="C73" s="182">
        <f ca="1">SUMIFS(rec.uni[2026-11-01],
INDIRECT("rec.uni[natureza]"),"pro.soluto",
INDIRECT("rec.uni[empresa]"),C$6)</f>
        <v>0</v>
      </c>
      <c r="D73" s="182">
        <f ca="1">SUMIFS(rec.uni[2026-11-01],
INDIRECT("rec.uni[natureza]"),"repasse.cef.obra",
INDIRECT("rec.uni[empresa]"),D$6)</f>
        <v>0</v>
      </c>
      <c r="E73" s="182">
        <f ca="1">SUMIFS(rec.uni[2026-11-01],
INDIRECT("rec.uni[natureza]"),"repasse.cef.terreno",
INDIRECT("rec.uni[empresa]"),E$6)</f>
        <v>0</v>
      </c>
      <c r="F73" s="186"/>
      <c r="G73" s="182">
        <f ca="1">SUMIFS(rec.uni[2026-11-01],
INDIRECT("rec.uni[natureza]"),"taxa.extra",
INDIRECT("rec.uni[empresa]"),G$6)</f>
        <v>0</v>
      </c>
      <c r="H73" s="170"/>
      <c r="I73" s="170" cm="1">
        <f t="array" ref="I7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J73" s="170" cm="1">
        <f t="array" ref="J7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K73" s="170" cm="1">
        <f t="array" ref="K7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L73" s="170" cm="1">
        <f t="array" ref="L7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M73" s="170" cm="1">
        <f t="array" ref="M7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(desp[data.pagamento]&gt;=$A73)*
    (desp[data.pagamento]&lt;EOMONTH($A73,0)+1)
  )
)</f>
        <v>0</v>
      </c>
      <c r="N73" s="181">
        <f>COUNTIFS(
    estq[empresa], N$6,
    estq[Data da venda / reserva], "&gt;=" &amp; $A73,
    estq[Data da venda / reserva], "&lt;"  &amp; EOMONTH($A73,0) + 1
)</f>
        <v>0</v>
      </c>
      <c r="O73" s="182">
        <f ca="1">SUMIFS(rec.uni[2026-11-01],
INDIRECT("rec.uni[natureza]"),"pro.soluto",
INDIRECT("rec.uni[empresa]"),O$6)</f>
        <v>0</v>
      </c>
      <c r="P73" s="182">
        <f ca="1">SUMIFS(rec.uni[2026-11-01],
INDIRECT("rec.uni[natureza]"),"repasse.cef.obra",
INDIRECT("rec.uni[empresa]"),P$6)</f>
        <v>0</v>
      </c>
      <c r="Q73" s="182">
        <f ca="1">SUMIFS(rec.uni[2026-11-01],
INDIRECT("rec.uni[natureza]"),"repasse.cef.terreno",
INDIRECT("rec.uni[empresa]"),Q$6)</f>
        <v>0</v>
      </c>
      <c r="R73" s="186"/>
      <c r="S73" s="182">
        <f ca="1">SUMIFS(rec.uni[2026-11-01],
INDIRECT("rec.uni[natureza]"),"taxa.extra",
INDIRECT("rec.uni[empresa]"),S$6)</f>
        <v>0</v>
      </c>
      <c r="T73" s="170"/>
      <c r="U73" s="170" cm="1">
        <f t="array" ref="U7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V73" s="170" cm="1">
        <f t="array" ref="V7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W73" s="170" cm="1">
        <f t="array" ref="W7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X73" s="170" cm="1">
        <f t="array" ref="X7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Y73" s="170" cm="1">
        <f t="array" ref="Y7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(desp[data.pagamento]&gt;=$A73)*
    (desp[data.pagamento]&lt;EOMONTH($A73,0)+1)
  )
)</f>
        <v>0</v>
      </c>
      <c r="Z73" s="181">
        <f>COUNTIFS(
    estq[empresa], Z$6,
    estq[Data da venda / reserva], "&gt;=" &amp; $A73,
    estq[Data da venda / reserva], "&lt;"  &amp; EOMONTH($A73,0) + 1
)</f>
        <v>0</v>
      </c>
      <c r="AA73" s="182">
        <f ca="1">SUMIFS(rec.uni[2026-11-01],
INDIRECT("rec.uni[natureza]"),"pro.soluto",
INDIRECT("rec.uni[empresa]"),AA$6)</f>
        <v>0</v>
      </c>
      <c r="AB73" s="186">
        <f ca="1">SUMIFS(rec.uni[2026-11-01],
INDIRECT("rec.uni[natureza]"),"pro.soluto",
INDIRECT("rec.uni[empresa]"),AB$6)</f>
        <v>0</v>
      </c>
      <c r="AC73" s="182">
        <f ca="1">SUMIFS(rec.uni[2026-11-01],
INDIRECT("rec.uni[natureza]"),"taxa.extra",
INDIRECT("rec.uni[empresa]"),AC$6)</f>
        <v>0</v>
      </c>
      <c r="AD73" s="170"/>
      <c r="AE73" s="170" cm="1">
        <f t="array" ref="AE7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F73" s="170" cm="1">
        <f t="array" ref="AF7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G73" s="170" cm="1">
        <f t="array" ref="AG7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H73" s="170" cm="1">
        <f t="array" ref="AH7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I73" s="170" cm="1">
        <f t="array" ref="AI7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(desp[data.pagamento]&gt;=$A73)*
    (desp[data.pagamento]&lt;EOMONTH($A73,0)+1)
  )
)</f>
        <v>0</v>
      </c>
      <c r="AJ73" s="181">
        <f>COUNTIFS(
    estq[empresa], AJ$6,
    estq[Data da venda / reserva], "&gt;=" &amp; $A73,
    estq[Data da venda / reserva], "&lt;"  &amp; EOMONTH($A73,0) + 1
)</f>
        <v>0</v>
      </c>
      <c r="AK73" s="182">
        <f ca="1">SUMIFS(rec.uni[2026-11-01],
INDIRECT("rec.uni[natureza]"),"pro.soluto",
INDIRECT("rec.uni[empresa]"),AK$6)</f>
        <v>0</v>
      </c>
      <c r="AL73" s="182">
        <f ca="1">SUMIFS(rec.uni[2026-11-01],
INDIRECT("rec.uni[natureza]"),"repasse.cef.obra",
INDIRECT("rec.uni[empresa]"),AL$6)</f>
        <v>0</v>
      </c>
      <c r="AM73" s="185">
        <f ca="1">SUMIFS(rec.uni[2026-11-01],
INDIRECT("rec.uni[natureza]"),"repasse.cef.terreno",
INDIRECT("rec.uni[empresa]"),AM$6)</f>
        <v>0</v>
      </c>
      <c r="AN73" s="186"/>
      <c r="AO73" s="182">
        <f ca="1">SUMIFS(rec.uni[2026-11-01],
INDIRECT("rec.uni[natureza]"),"taxa.extra",
INDIRECT("rec.uni[empresa]"),AO$6)</f>
        <v>0</v>
      </c>
      <c r="AP73" s="170"/>
      <c r="AQ73" s="170" cm="1">
        <f t="array" ref="AQ7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R73" s="170" cm="1">
        <f t="array" ref="AR7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S73" s="170" cm="1">
        <f t="array" ref="AS7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T73" s="170" cm="1">
        <f t="array" ref="AT7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U73" s="170" cm="1">
        <f t="array" ref="AU7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(desp[data.pagamento]&gt;=$A73)*
    (desp[data.pagamento]&lt;EOMONTH($A73,0)+1)
  )
)</f>
        <v>0</v>
      </c>
      <c r="AV73" s="181">
        <f>COUNTIFS(
    estq[empresa], AV$6,
    estq[Data da venda / reserva], "&gt;=" &amp; $A73,
    estq[Data da venda / reserva], "&lt;"  &amp; EOMONTH($A73,0) + 1
)</f>
        <v>0</v>
      </c>
      <c r="AW73" s="182">
        <f ca="1">SUMIFS(rec.uni[2026-11-01],
INDIRECT("rec.uni[natureza]"),"pro.soluto",
INDIRECT("rec.uni[empresa]"),AW$6)</f>
        <v>0</v>
      </c>
      <c r="AX73" s="182">
        <f ca="1">SUMIFS(rec.uni[2026-11-01],
INDIRECT("rec.uni[natureza]"),"repasse.cef.obra",
INDIRECT("rec.uni[empresa]"),AX$6)</f>
        <v>0</v>
      </c>
      <c r="AY73" s="185">
        <f ca="1">SUMIFS(rec.uni[2026-11-01],
INDIRECT("rec.uni[natureza]"),"repasse.cef.terreno",
INDIRECT("rec.uni[empresa]"),AY$6)</f>
        <v>0</v>
      </c>
      <c r="AZ73" s="186"/>
      <c r="BA73" s="182">
        <f ca="1">SUMIFS(rec.uni[2026-11-01],
INDIRECT("rec.uni[natureza]"),"taxa.extra",
INDIRECT("rec.uni[empresa]"),BA$6)</f>
        <v>0</v>
      </c>
      <c r="BB73" s="170"/>
      <c r="BC73" s="170" cm="1">
        <f t="array" ref="BC7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D73" s="170" cm="1">
        <f t="array" ref="BD7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E73" s="170" cm="1">
        <f t="array" ref="BE7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F73" s="170" cm="1">
        <f t="array" ref="BF7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G73" s="170" cm="1">
        <f t="array" ref="BG7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(desp[data.pagamento]&gt;=$A73)*
    (desp[data.pagamento]&lt;EOMONTH($A73,0)+1)
  )
)</f>
        <v>0</v>
      </c>
      <c r="BH73" s="181">
        <f>COUNTIFS(
    estq[empresa], BH$6,
    estq[Data da venda / reserva], "&gt;=" &amp; $A73,
    estq[Data da venda / reserva], "&lt;"  &amp; EOMONTH($A73,0) + 1
)</f>
        <v>0</v>
      </c>
      <c r="BI73" s="182">
        <f ca="1">SUMIFS(rec.uni[2026-11-01],
INDIRECT("rec.uni[natureza]"),"pro.soluto",
INDIRECT("rec.uni[empresa]"),BI$6)</f>
        <v>0</v>
      </c>
      <c r="BJ73" s="186">
        <f ca="1">SUMIFS(rec.uni[2026-11-01],
INDIRECT("rec.uni[natureza]"),"parcela.fin.total.ik",
INDIRECT("rec.uni[empresa]"),BJ$6)</f>
        <v>0</v>
      </c>
      <c r="BK73" s="182">
        <f ca="1">SUMIFS(rec.uni[2026-11-01],
INDIRECT("rec.uni[natureza]"),"taxa.extra",
INDIRECT("rec.uni[empresa]"),BK$6)</f>
        <v>0</v>
      </c>
      <c r="BL73" s="170"/>
      <c r="BM73" s="170" cm="1">
        <f t="array" ref="BM7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N73" s="170" cm="1">
        <f t="array" ref="BN7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O73" s="170" cm="1">
        <f t="array" ref="BO7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P73" s="170" cm="1">
        <f t="array" ref="BP7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Q73" s="170" cm="1">
        <f t="array" ref="BQ7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(desp[data.pagamento]&gt;=$A73)*
    (desp[data.pagamento]&lt;EOMONTH($A73,0)+1)
  )
)</f>
        <v>0</v>
      </c>
      <c r="BR73" s="181">
        <f>COUNTIFS(
    estq[empresa], BR$6,
    estq[Data da venda / reserva], "&gt;=" &amp; $A73,
    estq[Data da venda / reserva], "&lt;"  &amp; EOMONTH($A73,0) + 1
)</f>
        <v>0</v>
      </c>
      <c r="BS73" s="182">
        <f ca="1">SUMIFS(rec.uni[2026-11-01],
INDIRECT("rec.uni[natureza]"),"pro.soluto",
INDIRECT("rec.uni[empresa]"),BS$6)</f>
        <v>0</v>
      </c>
      <c r="BT73" s="186">
        <f ca="1">SUMIFS(rec.uni[2026-11-01],
INDIRECT("rec.uni[natureza]"),"pro.soluto",
INDIRECT("rec.uni[empresa]"),BT$6)</f>
        <v>0</v>
      </c>
      <c r="BU73" s="182">
        <f ca="1">SUMIFS(rec.uni[2026-11-01],
INDIRECT("rec.uni[natureza]"),"taxa.extra",
INDIRECT("rec.uni[empresa]"),BU$6)</f>
        <v>0</v>
      </c>
      <c r="BV73" s="170"/>
      <c r="BW73" s="170" cm="1">
        <f t="array" ref="BW7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BX73" s="170" cm="1">
        <f t="array" ref="BX7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BY73" s="170" cm="1">
        <f t="array" ref="BY7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BZ73" s="170" cm="1">
        <f t="array" ref="BZ7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CA73" s="170" cm="1">
        <f t="array" ref="CA7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(desp[data.pagamento]&gt;=$A73)*
    (desp[data.pagamento]&lt;EOMONTH($A73,0)+1)
  )
)</f>
        <v>0</v>
      </c>
      <c r="CB73" s="181">
        <f>COUNTIFS(
    estq[empresa], CB$6,
    estq[Data da venda / reserva], "&gt;=" &amp; $A73,
    estq[Data da venda / reserva], "&lt;"  &amp; EOMONTH($A73,0) + 1
)</f>
        <v>0</v>
      </c>
      <c r="CC73" s="182">
        <f ca="1">SUMIFS(rec.uni[2026-11-01],
INDIRECT("rec.uni[natureza]"),"pro.soluto",
INDIRECT("rec.uni[empresa]"),CC$6)</f>
        <v>0</v>
      </c>
      <c r="CD73" s="182">
        <f ca="1">SUMIFS(rec.uni[2026-11-01],
INDIRECT("rec.uni[natureza]"),"repasse.cef.obra",
INDIRECT("rec.uni[empresa]"),CD$6)</f>
        <v>0</v>
      </c>
      <c r="CE73" s="185">
        <f ca="1">SUMIFS(rec.uni[2026-11-01],
INDIRECT("rec.uni[natureza]"),"repasse.cef.terreno",
INDIRECT("rec.uni[empresa]"),CE$6)</f>
        <v>0</v>
      </c>
      <c r="CF73" s="186"/>
      <c r="CG73" s="182">
        <f ca="1">SUMIFS(rec.uni[2026-11-01],
INDIRECT("rec.uni[natureza]"),"taxa.extra",
INDIRECT("rec.uni[empresa]"),CG$6)</f>
        <v>0</v>
      </c>
      <c r="CH73" s="170"/>
      <c r="CI73" s="170" cm="1">
        <f t="array" ref="CI7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J73" s="170" cm="1">
        <f t="array" ref="CJ7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K73" s="170" cm="1">
        <f t="array" ref="CK7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L73" s="170" cm="1">
        <f t="array" ref="CL7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M73" s="170" cm="1">
        <f t="array" ref="CM7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(desp[data.pagamento]&gt;=$A73)*
    (desp[data.pagamento]&lt;EOMONTH($A73,0)+1)
  )
)</f>
        <v>0</v>
      </c>
      <c r="CN73" s="181">
        <f>COUNTIFS(
    estq[empresa], CN$6,
    estq[Data da venda / reserva], "&gt;=" &amp; $A73,
    estq[Data da venda / reserva], "&lt;"  &amp; EOMONTH($A73,0) + 1
)</f>
        <v>0</v>
      </c>
      <c r="CO73" s="182">
        <f ca="1">SUMIFS(rec.uni[2026-11-01],
INDIRECT("rec.uni[natureza]"),"pro.soluto",
INDIRECT("rec.uni[empresa]"),CO$6)</f>
        <v>0</v>
      </c>
      <c r="CP73" s="182">
        <f ca="1">SUMIFS(rec.uni[2026-11-01],
INDIRECT("rec.uni[natureza]"),"repasse.cef.obra",
INDIRECT("rec.uni[empresa]"),CP$6)</f>
        <v>0</v>
      </c>
      <c r="CQ73" s="185">
        <f ca="1">SUMIFS(rec.uni[2026-11-01],
INDIRECT("rec.uni[natureza]"),"repasse.cef.terreno",
INDIRECT("rec.uni[empresa]"),CQ$6)</f>
        <v>0</v>
      </c>
      <c r="CR73" s="186"/>
      <c r="CS73" s="182">
        <f ca="1">SUMIFS(rec.uni[2026-11-01],
INDIRECT("rec.uni[natureza]"),"taxa.extra",
INDIRECT("rec.uni[empresa]"),CS$6)</f>
        <v>0</v>
      </c>
      <c r="CT73" s="170"/>
      <c r="CU73" s="170" cm="1">
        <f t="array" ref="CU7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  <c r="CV73" s="170" cm="1">
        <f t="array" ref="CV7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  <c r="CW73" s="170" cm="1">
        <f t="array" ref="CW7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  <c r="CX73" s="170" cm="1">
        <f t="array" ref="CX7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  <c r="CY73" s="295" cm="1">
        <f t="array" ref="CY7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(desp[data.pagamento]&gt;=$A73)*
    (desp[data.pagamento]&lt;EOMONTH($A73,0)+1)
  )
)</f>
        <v>0</v>
      </c>
    </row>
    <row r="74" spans="1:103" x14ac:dyDescent="0.25">
      <c r="A74" s="180">
        <v>46357</v>
      </c>
      <c r="B74" s="181">
        <f>COUNTIFS(
    estq[empresa], B$6,
    estq[Data da venda / reserva], "&gt;=" &amp; $A74,
    estq[Data da venda / reserva], "&lt;"  &amp; EOMONTH($A74,0) + 1
)</f>
        <v>0</v>
      </c>
      <c r="C74" s="182">
        <f ca="1">SUMIFS(rec.uni[2026-12-01],
INDIRECT("rec.uni[natureza]"),"pro.soluto",
INDIRECT("rec.uni[empresa]"),C$6)</f>
        <v>0</v>
      </c>
      <c r="D74" s="182">
        <f ca="1">SUMIFS(rec.uni[2026-12-01],
INDIRECT("rec.uni[natureza]"),"repasse.cef.obra",
INDIRECT("rec.uni[empresa]"),D$6)</f>
        <v>0</v>
      </c>
      <c r="E74" s="182">
        <f ca="1">SUMIFS(rec.uni[2026-12-01],
INDIRECT("rec.uni[natureza]"),"repasse.cef.terreno",
INDIRECT("rec.uni[empresa]"),E$6)</f>
        <v>0</v>
      </c>
      <c r="F74" s="186"/>
      <c r="G74" s="182">
        <f ca="1">SUMIFS(rec.uni[2026-12-01],
INDIRECT("rec.uni[natureza]"),"taxa.extra",
INDIRECT("rec.uni[empresa]"),G$6)</f>
        <v>0</v>
      </c>
      <c r="H74" s="170"/>
      <c r="I74" s="170" cm="1">
        <f t="array" ref="I7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J74" s="170" cm="1">
        <f t="array" ref="J7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K74" s="170" cm="1">
        <f t="array" ref="K7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L74" s="170" cm="1">
        <f t="array" ref="L7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M74" s="170" cm="1">
        <f t="array" ref="M7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(desp[data.pagamento]&gt;=$A74)*
    (desp[data.pagamento]&lt;EOMONTH($A74,0)+1)
  )
)</f>
        <v>0</v>
      </c>
      <c r="N74" s="181">
        <f>COUNTIFS(
    estq[empresa], N$6,
    estq[Data da venda / reserva], "&gt;=" &amp; $A74,
    estq[Data da venda / reserva], "&lt;"  &amp; EOMONTH($A74,0) + 1
)</f>
        <v>0</v>
      </c>
      <c r="O74" s="182">
        <f ca="1">SUMIFS(rec.uni[2026-12-01],
INDIRECT("rec.uni[natureza]"),"pro.soluto",
INDIRECT("rec.uni[empresa]"),O$6)</f>
        <v>0</v>
      </c>
      <c r="P74" s="182">
        <f ca="1">SUMIFS(rec.uni[2026-12-01],
INDIRECT("rec.uni[natureza]"),"repasse.cef.obra",
INDIRECT("rec.uni[empresa]"),P$6)</f>
        <v>0</v>
      </c>
      <c r="Q74" s="182">
        <f ca="1">SUMIFS(rec.uni[2026-12-01],
INDIRECT("rec.uni[natureza]"),"repasse.cef.terreno",
INDIRECT("rec.uni[empresa]"),Q$6)</f>
        <v>0</v>
      </c>
      <c r="R74" s="186"/>
      <c r="S74" s="182">
        <f ca="1">SUMIFS(rec.uni[2026-12-01],
INDIRECT("rec.uni[natureza]"),"taxa.extra",
INDIRECT("rec.uni[empresa]"),S$6)</f>
        <v>0</v>
      </c>
      <c r="T74" s="170"/>
      <c r="U74" s="170" cm="1">
        <f t="array" ref="U7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V74" s="170" cm="1">
        <f t="array" ref="V7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W74" s="170" cm="1">
        <f t="array" ref="W7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X74" s="170" cm="1">
        <f t="array" ref="X7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Y74" s="170" cm="1">
        <f t="array" ref="Y7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(desp[data.pagamento]&gt;=$A74)*
    (desp[data.pagamento]&lt;EOMONTH($A74,0)+1)
  )
)</f>
        <v>0</v>
      </c>
      <c r="Z74" s="181">
        <f>COUNTIFS(
    estq[empresa], Z$6,
    estq[Data da venda / reserva], "&gt;=" &amp; $A74,
    estq[Data da venda / reserva], "&lt;"  &amp; EOMONTH($A74,0) + 1
)</f>
        <v>0</v>
      </c>
      <c r="AA74" s="182">
        <f ca="1">SUMIFS(rec.uni[2026-12-01],
INDIRECT("rec.uni[natureza]"),"pro.soluto",
INDIRECT("rec.uni[empresa]"),AA$6)</f>
        <v>0</v>
      </c>
      <c r="AB74" s="186">
        <f ca="1">SUMIFS(rec.uni[2026-12-01],
INDIRECT("rec.uni[natureza]"),"pro.soluto",
INDIRECT("rec.uni[empresa]"),AB$6)</f>
        <v>0</v>
      </c>
      <c r="AC74" s="182">
        <f ca="1">SUMIFS(rec.uni[2026-12-01],
INDIRECT("rec.uni[natureza]"),"taxa.extra",
INDIRECT("rec.uni[empresa]"),AC$6)</f>
        <v>0</v>
      </c>
      <c r="AD74" s="170"/>
      <c r="AE74" s="170" cm="1">
        <f t="array" ref="AE7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F74" s="170" cm="1">
        <f t="array" ref="AF7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G74" s="170" cm="1">
        <f t="array" ref="AG7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H74" s="170" cm="1">
        <f t="array" ref="AH7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I74" s="170" cm="1">
        <f t="array" ref="AI7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(desp[data.pagamento]&gt;=$A74)*
    (desp[data.pagamento]&lt;EOMONTH($A74,0)+1)
  )
)</f>
        <v>0</v>
      </c>
      <c r="AJ74" s="181">
        <f>COUNTIFS(
    estq[empresa], AJ$6,
    estq[Data da venda / reserva], "&gt;=" &amp; $A74,
    estq[Data da venda / reserva], "&lt;"  &amp; EOMONTH($A74,0) + 1
)</f>
        <v>0</v>
      </c>
      <c r="AK74" s="182">
        <f ca="1">SUMIFS(rec.uni[2026-12-01],
INDIRECT("rec.uni[natureza]"),"pro.soluto",
INDIRECT("rec.uni[empresa]"),AK$6)</f>
        <v>0</v>
      </c>
      <c r="AL74" s="182">
        <f ca="1">SUMIFS(rec.uni[2026-12-01],
INDIRECT("rec.uni[natureza]"),"repasse.cef.obra",
INDIRECT("rec.uni[empresa]"),AL$6)</f>
        <v>0</v>
      </c>
      <c r="AM74" s="185">
        <f ca="1">SUMIFS(rec.uni[2026-12-01],
INDIRECT("rec.uni[natureza]"),"repasse.cef.terreno",
INDIRECT("rec.uni[empresa]"),AM$6)</f>
        <v>0</v>
      </c>
      <c r="AN74" s="186"/>
      <c r="AO74" s="182">
        <f ca="1">SUMIFS(rec.uni[2026-12-01],
INDIRECT("rec.uni[natureza]"),"taxa.extra",
INDIRECT("rec.uni[empresa]"),AO$6)</f>
        <v>0</v>
      </c>
      <c r="AP74" s="170"/>
      <c r="AQ74" s="170" cm="1">
        <f t="array" ref="AQ7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R74" s="170" cm="1">
        <f t="array" ref="AR7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S74" s="170" cm="1">
        <f t="array" ref="AS7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T74" s="170" cm="1">
        <f t="array" ref="AT7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U74" s="170" cm="1">
        <f t="array" ref="AU7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(desp[data.pagamento]&gt;=$A74)*
    (desp[data.pagamento]&lt;EOMONTH($A74,0)+1)
  )
)</f>
        <v>0</v>
      </c>
      <c r="AV74" s="181">
        <f>COUNTIFS(
    estq[empresa], AV$6,
    estq[Data da venda / reserva], "&gt;=" &amp; $A74,
    estq[Data da venda / reserva], "&lt;"  &amp; EOMONTH($A74,0) + 1
)</f>
        <v>0</v>
      </c>
      <c r="AW74" s="182">
        <f ca="1">SUMIFS(rec.uni[2026-12-01],
INDIRECT("rec.uni[natureza]"),"pro.soluto",
INDIRECT("rec.uni[empresa]"),AW$6)</f>
        <v>0</v>
      </c>
      <c r="AX74" s="182">
        <f ca="1">SUMIFS(rec.uni[2026-12-01],
INDIRECT("rec.uni[natureza]"),"repasse.cef.obra",
INDIRECT("rec.uni[empresa]"),AX$6)</f>
        <v>0</v>
      </c>
      <c r="AY74" s="185">
        <f ca="1">SUMIFS(rec.uni[2026-12-01],
INDIRECT("rec.uni[natureza]"),"repasse.cef.terreno",
INDIRECT("rec.uni[empresa]"),AY$6)</f>
        <v>0</v>
      </c>
      <c r="AZ74" s="186"/>
      <c r="BA74" s="182">
        <f ca="1">SUMIFS(rec.uni[2026-12-01],
INDIRECT("rec.uni[natureza]"),"taxa.extra",
INDIRECT("rec.uni[empresa]"),BA$6)</f>
        <v>0</v>
      </c>
      <c r="BB74" s="170"/>
      <c r="BC74" s="170" cm="1">
        <f t="array" ref="BC7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D74" s="170" cm="1">
        <f t="array" ref="BD7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E74" s="170" cm="1">
        <f t="array" ref="BE7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F74" s="170" cm="1">
        <f t="array" ref="BF7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G74" s="170" cm="1">
        <f t="array" ref="BG7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(desp[data.pagamento]&gt;=$A74)*
    (desp[data.pagamento]&lt;EOMONTH($A74,0)+1)
  )
)</f>
        <v>0</v>
      </c>
      <c r="BH74" s="181">
        <f>COUNTIFS(
    estq[empresa], BH$6,
    estq[Data da venda / reserva], "&gt;=" &amp; $A74,
    estq[Data da venda / reserva], "&lt;"  &amp; EOMONTH($A74,0) + 1
)</f>
        <v>0</v>
      </c>
      <c r="BI74" s="182">
        <f ca="1">SUMIFS(rec.uni[2026-12-01],
INDIRECT("rec.uni[natureza]"),"pro.soluto",
INDIRECT("rec.uni[empresa]"),BI$6)</f>
        <v>0</v>
      </c>
      <c r="BJ74" s="186">
        <f ca="1">SUMIFS(rec.uni[2026-12-01],
INDIRECT("rec.uni[natureza]"),"parcela.fin.total.ik",
INDIRECT("rec.uni[empresa]"),BJ$6)</f>
        <v>0</v>
      </c>
      <c r="BK74" s="182">
        <f ca="1">SUMIFS(rec.uni[2026-12-01],
INDIRECT("rec.uni[natureza]"),"taxa.extra",
INDIRECT("rec.uni[empresa]"),BK$6)</f>
        <v>0</v>
      </c>
      <c r="BL74" s="170"/>
      <c r="BM74" s="170" cm="1">
        <f t="array" ref="BM7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N74" s="170" cm="1">
        <f t="array" ref="BN7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O74" s="170" cm="1">
        <f t="array" ref="BO7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P74" s="170" cm="1">
        <f t="array" ref="BP7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Q74" s="170" cm="1">
        <f t="array" ref="BQ7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(desp[data.pagamento]&gt;=$A74)*
    (desp[data.pagamento]&lt;EOMONTH($A74,0)+1)
  )
)</f>
        <v>0</v>
      </c>
      <c r="BR74" s="181">
        <f>COUNTIFS(
    estq[empresa], BR$6,
    estq[Data da venda / reserva], "&gt;=" &amp; $A74,
    estq[Data da venda / reserva], "&lt;"  &amp; EOMONTH($A74,0) + 1
)</f>
        <v>0</v>
      </c>
      <c r="BS74" s="182">
        <f ca="1">SUMIFS(rec.uni[2026-12-01],
INDIRECT("rec.uni[natureza]"),"pro.soluto",
INDIRECT("rec.uni[empresa]"),BS$6)</f>
        <v>0</v>
      </c>
      <c r="BT74" s="186">
        <f ca="1">SUMIFS(rec.uni[2026-12-01],
INDIRECT("rec.uni[natureza]"),"pro.soluto",
INDIRECT("rec.uni[empresa]"),BT$6)</f>
        <v>0</v>
      </c>
      <c r="BU74" s="182">
        <f ca="1">SUMIFS(rec.uni[2026-12-01],
INDIRECT("rec.uni[natureza]"),"taxa.extra",
INDIRECT("rec.uni[empresa]"),BU$6)</f>
        <v>0</v>
      </c>
      <c r="BV74" s="170"/>
      <c r="BW74" s="170" cm="1">
        <f t="array" ref="BW7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BX74" s="170" cm="1">
        <f t="array" ref="BX7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BY74" s="170" cm="1">
        <f t="array" ref="BY7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BZ74" s="170" cm="1">
        <f t="array" ref="BZ7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CA74" s="170" cm="1">
        <f t="array" ref="CA7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(desp[data.pagamento]&gt;=$A74)*
    (desp[data.pagamento]&lt;EOMONTH($A74,0)+1)
  )
)</f>
        <v>0</v>
      </c>
      <c r="CB74" s="181">
        <f>COUNTIFS(
    estq[empresa], CB$6,
    estq[Data da venda / reserva], "&gt;=" &amp; $A74,
    estq[Data da venda / reserva], "&lt;"  &amp; EOMONTH($A74,0) + 1
)</f>
        <v>0</v>
      </c>
      <c r="CC74" s="182">
        <f ca="1">SUMIFS(rec.uni[2026-12-01],
INDIRECT("rec.uni[natureza]"),"pro.soluto",
INDIRECT("rec.uni[empresa]"),CC$6)</f>
        <v>0</v>
      </c>
      <c r="CD74" s="182">
        <f ca="1">SUMIFS(rec.uni[2026-12-01],
INDIRECT("rec.uni[natureza]"),"repasse.cef.obra",
INDIRECT("rec.uni[empresa]"),CD$6)</f>
        <v>0</v>
      </c>
      <c r="CE74" s="185">
        <f ca="1">SUMIFS(rec.uni[2026-12-01],
INDIRECT("rec.uni[natureza]"),"repasse.cef.terreno",
INDIRECT("rec.uni[empresa]"),CE$6)</f>
        <v>0</v>
      </c>
      <c r="CF74" s="186"/>
      <c r="CG74" s="182">
        <f ca="1">SUMIFS(rec.uni[2026-12-01],
INDIRECT("rec.uni[natureza]"),"taxa.extra",
INDIRECT("rec.uni[empresa]"),CG$6)</f>
        <v>0</v>
      </c>
      <c r="CH74" s="170"/>
      <c r="CI74" s="170" cm="1">
        <f t="array" ref="CI7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J74" s="170" cm="1">
        <f t="array" ref="CJ7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K74" s="170" cm="1">
        <f t="array" ref="CK7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L74" s="170" cm="1">
        <f t="array" ref="CL7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M74" s="170" cm="1">
        <f t="array" ref="CM7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(desp[data.pagamento]&gt;=$A74)*
    (desp[data.pagamento]&lt;EOMONTH($A74,0)+1)
  )
)</f>
        <v>0</v>
      </c>
      <c r="CN74" s="181">
        <f>COUNTIFS(
    estq[empresa], CN$6,
    estq[Data da venda / reserva], "&gt;=" &amp; $A74,
    estq[Data da venda / reserva], "&lt;"  &amp; EOMONTH($A74,0) + 1
)</f>
        <v>0</v>
      </c>
      <c r="CO74" s="182">
        <f ca="1">SUMIFS(rec.uni[2026-12-01],
INDIRECT("rec.uni[natureza]"),"pro.soluto",
INDIRECT("rec.uni[empresa]"),CO$6)</f>
        <v>0</v>
      </c>
      <c r="CP74" s="182">
        <f ca="1">SUMIFS(rec.uni[2026-12-01],
INDIRECT("rec.uni[natureza]"),"repasse.cef.obra",
INDIRECT("rec.uni[empresa]"),CP$6)</f>
        <v>0</v>
      </c>
      <c r="CQ74" s="185">
        <f ca="1">SUMIFS(rec.uni[2026-12-01],
INDIRECT("rec.uni[natureza]"),"repasse.cef.terreno",
INDIRECT("rec.uni[empresa]"),CQ$6)</f>
        <v>0</v>
      </c>
      <c r="CR74" s="186"/>
      <c r="CS74" s="182">
        <f ca="1">SUMIFS(rec.uni[2026-12-01],
INDIRECT("rec.uni[natureza]"),"taxa.extra",
INDIRECT("rec.uni[empresa]"),CS$6)</f>
        <v>0</v>
      </c>
      <c r="CT74" s="170"/>
      <c r="CU74" s="170" cm="1">
        <f t="array" ref="CU7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  <c r="CV74" s="170" cm="1">
        <f t="array" ref="CV7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  <c r="CW74" s="170" cm="1">
        <f t="array" ref="CW7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  <c r="CX74" s="170" cm="1">
        <f t="array" ref="CX7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  <c r="CY74" s="295" cm="1">
        <f t="array" ref="CY7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(desp[data.pagamento]&gt;=$A74)*
    (desp[data.pagamento]&lt;EOMONTH($A74,0)+1)
  )
)</f>
        <v>0</v>
      </c>
    </row>
    <row r="75" spans="1:103" x14ac:dyDescent="0.25">
      <c r="A75" s="180">
        <v>46388</v>
      </c>
      <c r="B75" s="181">
        <f>COUNTIFS(
    estq[empresa], B$6,
    estq[Data da venda / reserva], "&gt;=" &amp; $A75,
    estq[Data da venda / reserva], "&lt;"  &amp; EOMONTH($A75,0) + 1
)</f>
        <v>0</v>
      </c>
      <c r="C75" s="182">
        <f ca="1">SUMIFS(rec.uni[2027-01-01],
INDIRECT("rec.uni[natureza]"),"pro.soluto",
INDIRECT("rec.uni[empresa]"),C$6)</f>
        <v>0</v>
      </c>
      <c r="D75" s="182">
        <f ca="1">SUMIFS(rec.uni[2027-01-01],
INDIRECT("rec.uni[natureza]"),"repasse.cef.obra",
INDIRECT("rec.uni[empresa]"),D$6)</f>
        <v>0</v>
      </c>
      <c r="E75" s="182">
        <f ca="1">SUMIFS(rec.uni[2027-01-01],
INDIRECT("rec.uni[natureza]"),"repasse.cef.terreno",
INDIRECT("rec.uni[empresa]"),E$6)</f>
        <v>0</v>
      </c>
      <c r="F75" s="186"/>
      <c r="G75" s="182">
        <f ca="1">SUMIFS(rec.uni[2027-01-01],
INDIRECT("rec.uni[natureza]"),"taxa.extra",
INDIRECT("rec.uni[empresa]"),G$6)</f>
        <v>0</v>
      </c>
      <c r="H75" s="170"/>
      <c r="I75" s="170" cm="1">
        <f t="array" ref="I7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J75" s="170" cm="1">
        <f t="array" ref="J7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K75" s="170" cm="1">
        <f t="array" ref="K7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L75" s="170" cm="1">
        <f t="array" ref="L7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M75" s="170" cm="1">
        <f t="array" ref="M7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(desp[data.pagamento]&gt;=$A75)*
    (desp[data.pagamento]&lt;EOMONTH($A75,0)+1)
  )
)</f>
        <v>0</v>
      </c>
      <c r="N75" s="181">
        <f>COUNTIFS(
    estq[empresa], N$6,
    estq[Data da venda / reserva], "&gt;=" &amp; $A75,
    estq[Data da venda / reserva], "&lt;"  &amp; EOMONTH($A75,0) + 1
)</f>
        <v>0</v>
      </c>
      <c r="O75" s="182">
        <f ca="1">SUMIFS(rec.uni[2027-01-01],
INDIRECT("rec.uni[natureza]"),"pro.soluto",
INDIRECT("rec.uni[empresa]"),O$6)</f>
        <v>0</v>
      </c>
      <c r="P75" s="182">
        <f ca="1">SUMIFS(rec.uni[2027-01-01],
INDIRECT("rec.uni[natureza]"),"repasse.cef.obra",
INDIRECT("rec.uni[empresa]"),P$6)</f>
        <v>0</v>
      </c>
      <c r="Q75" s="182">
        <f ca="1">SUMIFS(rec.uni[2027-01-01],
INDIRECT("rec.uni[natureza]"),"repasse.cef.terreno",
INDIRECT("rec.uni[empresa]"),Q$6)</f>
        <v>0</v>
      </c>
      <c r="R75" s="186"/>
      <c r="S75" s="182">
        <f ca="1">SUMIFS(rec.uni[2027-01-01],
INDIRECT("rec.uni[natureza]"),"taxa.extra",
INDIRECT("rec.uni[empresa]"),S$6)</f>
        <v>0</v>
      </c>
      <c r="T75" s="170"/>
      <c r="U75" s="170" cm="1">
        <f t="array" ref="U7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V75" s="170" cm="1">
        <f t="array" ref="V7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W75" s="170" cm="1">
        <f t="array" ref="W7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X75" s="170" cm="1">
        <f t="array" ref="X7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Y75" s="170" cm="1">
        <f t="array" ref="Y7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(desp[data.pagamento]&gt;=$A75)*
    (desp[data.pagamento]&lt;EOMONTH($A75,0)+1)
  )
)</f>
        <v>0</v>
      </c>
      <c r="Z75" s="181">
        <f>COUNTIFS(
    estq[empresa], Z$6,
    estq[Data da venda / reserva], "&gt;=" &amp; $A75,
    estq[Data da venda / reserva], "&lt;"  &amp; EOMONTH($A75,0) + 1
)</f>
        <v>0</v>
      </c>
      <c r="AA75" s="182">
        <f ca="1">SUMIFS(rec.uni[2027-01-01],
INDIRECT("rec.uni[natureza]"),"pro.soluto",
INDIRECT("rec.uni[empresa]"),AA$6)</f>
        <v>0</v>
      </c>
      <c r="AB75" s="186">
        <f ca="1">SUMIFS(rec.uni[2027-01-01],
INDIRECT("rec.uni[natureza]"),"parcela.fin.total.ik",
INDIRECT("rec.uni[empresa]"),AB$6)</f>
        <v>0</v>
      </c>
      <c r="AC75" s="182">
        <f ca="1">SUMIFS(rec.uni[2027-01-01],
INDIRECT("rec.uni[natureza]"),"taxa.extra",
INDIRECT("rec.uni[empresa]"),AC$6)</f>
        <v>0</v>
      </c>
      <c r="AD75" s="170"/>
      <c r="AE75" s="170" cm="1">
        <f t="array" ref="AE7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F75" s="170" cm="1">
        <f t="array" ref="AF7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G75" s="170" cm="1">
        <f t="array" ref="AG7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H75" s="170" cm="1">
        <f t="array" ref="AH7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I75" s="170" cm="1">
        <f t="array" ref="AI7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(desp[data.pagamento]&gt;=$A75)*
    (desp[data.pagamento]&lt;EOMONTH($A75,0)+1)
  )
)</f>
        <v>0</v>
      </c>
      <c r="AJ75" s="181">
        <f>COUNTIFS(
    estq[empresa], AJ$6,
    estq[Data da venda / reserva], "&gt;=" &amp; $A75,
    estq[Data da venda / reserva], "&lt;"  &amp; EOMONTH($A75,0) + 1
)</f>
        <v>0</v>
      </c>
      <c r="AK75" s="182">
        <f ca="1">SUMIFS(rec.uni[2027-01-01],
INDIRECT("rec.uni[natureza]"),"pro.soluto",
INDIRECT("rec.uni[empresa]"),AK$6)</f>
        <v>0</v>
      </c>
      <c r="AL75" s="182">
        <f ca="1">SUMIFS(rec.uni[2027-01-01],
INDIRECT("rec.uni[natureza]"),"repasse.cef.obra",
INDIRECT("rec.uni[empresa]"),AL$6)</f>
        <v>0</v>
      </c>
      <c r="AM75" s="185">
        <f ca="1">SUMIFS(rec.uni[2027-01-01],
INDIRECT("rec.uni[natureza]"),"repasse.cef.terreno",
INDIRECT("rec.uni[empresa]"),AM$6)</f>
        <v>0</v>
      </c>
      <c r="AN75" s="186"/>
      <c r="AO75" s="182">
        <f ca="1">SUMIFS(rec.uni[2027-01-01],
INDIRECT("rec.uni[natureza]"),"taxa.extra",
INDIRECT("rec.uni[empresa]"),AO$6)</f>
        <v>0</v>
      </c>
      <c r="AP75" s="170"/>
      <c r="AQ75" s="170" cm="1">
        <f t="array" ref="AQ7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R75" s="170" cm="1">
        <f t="array" ref="AR7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S75" s="170" cm="1">
        <f t="array" ref="AS7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T75" s="170" cm="1">
        <f t="array" ref="AT7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U75" s="170" cm="1">
        <f t="array" ref="AU7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(desp[data.pagamento]&gt;=$A75)*
    (desp[data.pagamento]&lt;EOMONTH($A75,0)+1)
  )
)</f>
        <v>0</v>
      </c>
      <c r="AV75" s="181">
        <f>COUNTIFS(
    estq[empresa], AV$6,
    estq[Data da venda / reserva], "&gt;=" &amp; $A75,
    estq[Data da venda / reserva], "&lt;"  &amp; EOMONTH($A75,0) + 1
)</f>
        <v>0</v>
      </c>
      <c r="AW75" s="182">
        <f ca="1">SUMIFS(rec.uni[2027-01-01],
INDIRECT("rec.uni[natureza]"),"pro.soluto",
INDIRECT("rec.uni[empresa]"),AW$6)</f>
        <v>0</v>
      </c>
      <c r="AX75" s="182">
        <f ca="1">SUMIFS(rec.uni[2027-01-01],
INDIRECT("rec.uni[natureza]"),"repasse.cef.obra",
INDIRECT("rec.uni[empresa]"),AX$6)</f>
        <v>0</v>
      </c>
      <c r="AY75" s="185">
        <f ca="1">SUMIFS(rec.uni[2027-01-01],
INDIRECT("rec.uni[natureza]"),"repasse.cef.terreno",
INDIRECT("rec.uni[empresa]"),AY$6)</f>
        <v>0</v>
      </c>
      <c r="AZ75" s="186"/>
      <c r="BA75" s="182">
        <f ca="1">SUMIFS(rec.uni[2027-01-01],
INDIRECT("rec.uni[natureza]"),"taxa.extra",
INDIRECT("rec.uni[empresa]"),BA$6)</f>
        <v>0</v>
      </c>
      <c r="BB75" s="170"/>
      <c r="BC75" s="170" cm="1">
        <f t="array" ref="BC7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D75" s="170" cm="1">
        <f t="array" ref="BD7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E75" s="170" cm="1">
        <f t="array" ref="BE7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F75" s="170" cm="1">
        <f t="array" ref="BF7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G75" s="170" cm="1">
        <f t="array" ref="BG7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(desp[data.pagamento]&gt;=$A75)*
    (desp[data.pagamento]&lt;EOMONTH($A75,0)+1)
  )
)</f>
        <v>0</v>
      </c>
      <c r="BH75" s="181">
        <f>COUNTIFS(
    estq[empresa], BH$6,
    estq[Data da venda / reserva], "&gt;=" &amp; $A75,
    estq[Data da venda / reserva], "&lt;"  &amp; EOMONTH($A75,0) + 1
)</f>
        <v>0</v>
      </c>
      <c r="BI75" s="182">
        <f ca="1">SUMIFS(rec.uni[2027-01-01],
INDIRECT("rec.uni[natureza]"),"pro.soluto",
INDIRECT("rec.uni[empresa]"),BI$6)</f>
        <v>0</v>
      </c>
      <c r="BJ75" s="186">
        <f ca="1">SUMIFS(rec.uni[2027-01-01],
INDIRECT("rec.uni[natureza]"),"parcela.fin.total.ik",
INDIRECT("rec.uni[empresa]"),BJ$6)</f>
        <v>0</v>
      </c>
      <c r="BK75" s="182">
        <f ca="1">SUMIFS(rec.uni[2027-01-01],
INDIRECT("rec.uni[natureza]"),"taxa.extra",
INDIRECT("rec.uni[empresa]"),BK$6)</f>
        <v>0</v>
      </c>
      <c r="BL75" s="170"/>
      <c r="BM75" s="170" cm="1">
        <f t="array" ref="BM7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N75" s="170" cm="1">
        <f t="array" ref="BN7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O75" s="170" cm="1">
        <f t="array" ref="BO7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P75" s="170" cm="1">
        <f t="array" ref="BP7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Q75" s="170" cm="1">
        <f t="array" ref="BQ7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(desp[data.pagamento]&gt;=$A75)*
    (desp[data.pagamento]&lt;EOMONTH($A75,0)+1)
  )
)</f>
        <v>0</v>
      </c>
      <c r="BR75" s="181">
        <f>COUNTIFS(
    estq[empresa], BR$6,
    estq[Data da venda / reserva], "&gt;=" &amp; $A75,
    estq[Data da venda / reserva], "&lt;"  &amp; EOMONTH($A75,0) + 1
)</f>
        <v>0</v>
      </c>
      <c r="BS75" s="182">
        <f ca="1">SUMIFS(rec.uni[2027-01-01],
INDIRECT("rec.uni[natureza]"),"pro.soluto",
INDIRECT("rec.uni[empresa]"),BS$6)</f>
        <v>0</v>
      </c>
      <c r="BT75" s="186">
        <f ca="1">SUMIFS(rec.uni[2027-01-01],
INDIRECT("rec.uni[natureza]"),"parcela.fin.total.ik",
INDIRECT("rec.uni[empresa]"),BT$6)</f>
        <v>0</v>
      </c>
      <c r="BU75" s="182">
        <f ca="1">SUMIFS(rec.uni[2027-01-01],
INDIRECT("rec.uni[natureza]"),"taxa.extra",
INDIRECT("rec.uni[empresa]"),BU$6)</f>
        <v>0</v>
      </c>
      <c r="BV75" s="170"/>
      <c r="BW75" s="170" cm="1">
        <f t="array" ref="BW7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BX75" s="170" cm="1">
        <f t="array" ref="BX7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BY75" s="170" cm="1">
        <f t="array" ref="BY7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BZ75" s="170" cm="1">
        <f t="array" ref="BZ7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CA75" s="170" cm="1">
        <f t="array" ref="CA7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(desp[data.pagamento]&gt;=$A75)*
    (desp[data.pagamento]&lt;EOMONTH($A75,0)+1)
  )
)</f>
        <v>0</v>
      </c>
      <c r="CB75" s="181">
        <f>COUNTIFS(
    estq[empresa], CB$6,
    estq[Data da venda / reserva], "&gt;=" &amp; $A75,
    estq[Data da venda / reserva], "&lt;"  &amp; EOMONTH($A75,0) + 1
)</f>
        <v>0</v>
      </c>
      <c r="CC75" s="182">
        <f ca="1">SUMIFS(rec.uni[2027-01-01],
INDIRECT("rec.uni[natureza]"),"pro.soluto",
INDIRECT("rec.uni[empresa]"),CC$6)</f>
        <v>0</v>
      </c>
      <c r="CD75" s="182">
        <f ca="1">SUMIFS(rec.uni[2027-01-01],
INDIRECT("rec.uni[natureza]"),"repasse.cef.obra",
INDIRECT("rec.uni[empresa]"),CD$6)</f>
        <v>0</v>
      </c>
      <c r="CE75" s="185">
        <f ca="1">SUMIFS(rec.uni[2027-01-01],
INDIRECT("rec.uni[natureza]"),"repasse.cef.terreno",
INDIRECT("rec.uni[empresa]"),CE$6)</f>
        <v>0</v>
      </c>
      <c r="CF75" s="186"/>
      <c r="CG75" s="182">
        <f ca="1">SUMIFS(rec.uni[2027-01-01],
INDIRECT("rec.uni[natureza]"),"taxa.extra",
INDIRECT("rec.uni[empresa]"),CG$6)</f>
        <v>0</v>
      </c>
      <c r="CH75" s="170"/>
      <c r="CI75" s="170" cm="1">
        <f t="array" ref="CI7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J75" s="170" cm="1">
        <f t="array" ref="CJ7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K75" s="170" cm="1">
        <f t="array" ref="CK7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L75" s="170" cm="1">
        <f t="array" ref="CL7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M75" s="170" cm="1">
        <f t="array" ref="CM7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(desp[data.pagamento]&gt;=$A75)*
    (desp[data.pagamento]&lt;EOMONTH($A75,0)+1)
  )
)</f>
        <v>0</v>
      </c>
      <c r="CN75" s="181">
        <f>COUNTIFS(
    estq[empresa], CN$6,
    estq[Data da venda / reserva], "&gt;=" &amp; $A75,
    estq[Data da venda / reserva], "&lt;"  &amp; EOMONTH($A75,0) + 1
)</f>
        <v>0</v>
      </c>
      <c r="CO75" s="182">
        <f ca="1">SUMIFS(rec.uni[2027-01-01],
INDIRECT("rec.uni[natureza]"),"pro.soluto",
INDIRECT("rec.uni[empresa]"),CO$6)</f>
        <v>0</v>
      </c>
      <c r="CP75" s="182">
        <f ca="1">SUMIFS(rec.uni[2027-01-01],
INDIRECT("rec.uni[natureza]"),"repasse.cef.obra",
INDIRECT("rec.uni[empresa]"),CP$6)</f>
        <v>0</v>
      </c>
      <c r="CQ75" s="185">
        <f ca="1">SUMIFS(rec.uni[2027-01-01],
INDIRECT("rec.uni[natureza]"),"repasse.cef.terreno",
INDIRECT("rec.uni[empresa]"),CQ$6)</f>
        <v>0</v>
      </c>
      <c r="CR75" s="186"/>
      <c r="CS75" s="182">
        <f ca="1">SUMIFS(rec.uni[2027-01-01],
INDIRECT("rec.uni[natureza]"),"taxa.extra",
INDIRECT("rec.uni[empresa]"),CS$6)</f>
        <v>0</v>
      </c>
      <c r="CT75" s="170"/>
      <c r="CU75" s="170" cm="1">
        <f t="array" ref="CU7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  <c r="CV75" s="170" cm="1">
        <f t="array" ref="CV7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  <c r="CW75" s="170" cm="1">
        <f t="array" ref="CW7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  <c r="CX75" s="170" cm="1">
        <f t="array" ref="CX7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  <c r="CY75" s="295" cm="1">
        <f t="array" ref="CY7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(desp[data.pagamento]&gt;=$A75)*
    (desp[data.pagamento]&lt;EOMONTH($A75,0)+1)
  )
)</f>
        <v>0</v>
      </c>
    </row>
    <row r="76" spans="1:103" x14ac:dyDescent="0.25">
      <c r="A76" s="180">
        <v>46419</v>
      </c>
      <c r="B76" s="181">
        <f>COUNTIFS(
    estq[empresa], B$6,
    estq[Data da venda / reserva], "&gt;=" &amp; $A76,
    estq[Data da venda / reserva], "&lt;"  &amp; EOMONTH($A76,0) + 1
)</f>
        <v>0</v>
      </c>
      <c r="C76" s="182">
        <f ca="1">SUMIFS(rec.uni[2027-02-01],
INDIRECT("rec.uni[natureza]"),"pro.soluto",
INDIRECT("rec.uni[empresa]"),C$6)</f>
        <v>0</v>
      </c>
      <c r="D76" s="182">
        <f ca="1">SUMIFS(rec.uni[2027-02-01],
INDIRECT("rec.uni[natureza]"),"repasse.cef.obra",
INDIRECT("rec.uni[empresa]"),D$6)</f>
        <v>0</v>
      </c>
      <c r="E76" s="182">
        <f ca="1">SUMIFS(rec.uni[2027-02-01],
INDIRECT("rec.uni[natureza]"),"repasse.cef.terreno",
INDIRECT("rec.uni[empresa]"),E$6)</f>
        <v>0</v>
      </c>
      <c r="F76" s="186"/>
      <c r="G76" s="182">
        <f ca="1">SUMIFS(rec.uni[2027-02-01],
INDIRECT("rec.uni[natureza]"),"taxa.extra",
INDIRECT("rec.uni[empresa]"),G$6)</f>
        <v>0</v>
      </c>
      <c r="H76" s="170"/>
      <c r="I76" s="170" cm="1">
        <f t="array" ref="I7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J76" s="170" cm="1">
        <f t="array" ref="J7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K76" s="170" cm="1">
        <f t="array" ref="K7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L76" s="170" cm="1">
        <f t="array" ref="L7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M76" s="170" cm="1">
        <f t="array" ref="M7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(desp[data.pagamento]&gt;=$A76)*
    (desp[data.pagamento]&lt;EOMONTH($A76,0)+1)
  )
)</f>
        <v>0</v>
      </c>
      <c r="N76" s="181">
        <f>COUNTIFS(
    estq[empresa], N$6,
    estq[Data da venda / reserva], "&gt;=" &amp; $A76,
    estq[Data da venda / reserva], "&lt;"  &amp; EOMONTH($A76,0) + 1
)</f>
        <v>0</v>
      </c>
      <c r="O76" s="182">
        <f ca="1">SUMIFS(rec.uni[2027-02-01],
INDIRECT("rec.uni[natureza]"),"pro.soluto",
INDIRECT("rec.uni[empresa]"),O$6)</f>
        <v>0</v>
      </c>
      <c r="P76" s="182">
        <f ca="1">SUMIFS(rec.uni[2027-02-01],
INDIRECT("rec.uni[natureza]"),"repasse.cef.obra",
INDIRECT("rec.uni[empresa]"),P$6)</f>
        <v>0</v>
      </c>
      <c r="Q76" s="182">
        <f ca="1">SUMIFS(rec.uni[2027-02-01],
INDIRECT("rec.uni[natureza]"),"repasse.cef.terreno",
INDIRECT("rec.uni[empresa]"),Q$6)</f>
        <v>0</v>
      </c>
      <c r="R76" s="186"/>
      <c r="S76" s="182">
        <f ca="1">SUMIFS(rec.uni[2027-02-01],
INDIRECT("rec.uni[natureza]"),"taxa.extra",
INDIRECT("rec.uni[empresa]"),S$6)</f>
        <v>0</v>
      </c>
      <c r="T76" s="170"/>
      <c r="U76" s="170" cm="1">
        <f t="array" ref="U7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V76" s="170" cm="1">
        <f t="array" ref="V7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W76" s="170" cm="1">
        <f t="array" ref="W7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X76" s="170" cm="1">
        <f t="array" ref="X7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Y76" s="170" cm="1">
        <f t="array" ref="Y7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(desp[data.pagamento]&gt;=$A76)*
    (desp[data.pagamento]&lt;EOMONTH($A76,0)+1)
  )
)</f>
        <v>0</v>
      </c>
      <c r="Z76" s="181">
        <f>COUNTIFS(
    estq[empresa], Z$6,
    estq[Data da venda / reserva], "&gt;=" &amp; $A76,
    estq[Data da venda / reserva], "&lt;"  &amp; EOMONTH($A76,0) + 1
)</f>
        <v>0</v>
      </c>
      <c r="AA76" s="182">
        <f ca="1">SUMIFS(rec.uni[2027-02-01],
INDIRECT("rec.uni[natureza]"),"pro.soluto",
INDIRECT("rec.uni[empresa]"),AA$6)</f>
        <v>0</v>
      </c>
      <c r="AB76" s="186">
        <f ca="1">SUMIFS(rec.uni[2027-02-01],
INDIRECT("rec.uni[natureza]"),"parcela.fin.total.ik",
INDIRECT("rec.uni[empresa]"),AB$6)</f>
        <v>0</v>
      </c>
      <c r="AC76" s="182">
        <f ca="1">SUMIFS(rec.uni[2027-02-01],
INDIRECT("rec.uni[natureza]"),"taxa.extra",
INDIRECT("rec.uni[empresa]"),AC$6)</f>
        <v>0</v>
      </c>
      <c r="AD76" s="170"/>
      <c r="AE76" s="170" cm="1">
        <f t="array" ref="AE7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F76" s="170" cm="1">
        <f t="array" ref="AF7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G76" s="170" cm="1">
        <f t="array" ref="AG7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H76" s="170" cm="1">
        <f t="array" ref="AH7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I76" s="170" cm="1">
        <f t="array" ref="AI7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(desp[data.pagamento]&gt;=$A76)*
    (desp[data.pagamento]&lt;EOMONTH($A76,0)+1)
  )
)</f>
        <v>0</v>
      </c>
      <c r="AJ76" s="181">
        <f>COUNTIFS(
    estq[empresa], AJ$6,
    estq[Data da venda / reserva], "&gt;=" &amp; $A76,
    estq[Data da venda / reserva], "&lt;"  &amp; EOMONTH($A76,0) + 1
)</f>
        <v>0</v>
      </c>
      <c r="AK76" s="182">
        <f ca="1">SUMIFS(rec.uni[2027-02-01],
INDIRECT("rec.uni[natureza]"),"pro.soluto",
INDIRECT("rec.uni[empresa]"),AK$6)</f>
        <v>0</v>
      </c>
      <c r="AL76" s="182">
        <f ca="1">SUMIFS(rec.uni[2027-02-01],
INDIRECT("rec.uni[natureza]"),"repasse.cef.obra",
INDIRECT("rec.uni[empresa]"),AL$6)</f>
        <v>0</v>
      </c>
      <c r="AM76" s="185">
        <f ca="1">SUMIFS(rec.uni[2027-02-01],
INDIRECT("rec.uni[natureza]"),"repasse.cef.terreno",
INDIRECT("rec.uni[empresa]"),AM$6)</f>
        <v>0</v>
      </c>
      <c r="AN76" s="186"/>
      <c r="AO76" s="182">
        <f ca="1">SUMIFS(rec.uni[2027-02-01],
INDIRECT("rec.uni[natureza]"),"taxa.extra",
INDIRECT("rec.uni[empresa]"),AO$6)</f>
        <v>0</v>
      </c>
      <c r="AP76" s="170"/>
      <c r="AQ76" s="170" cm="1">
        <f t="array" ref="AQ7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R76" s="170" cm="1">
        <f t="array" ref="AR7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S76" s="170" cm="1">
        <f t="array" ref="AS7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T76" s="170" cm="1">
        <f t="array" ref="AT7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U76" s="170" cm="1">
        <f t="array" ref="AU7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(desp[data.pagamento]&gt;=$A76)*
    (desp[data.pagamento]&lt;EOMONTH($A76,0)+1)
  )
)</f>
        <v>0</v>
      </c>
      <c r="AV76" s="181">
        <f>COUNTIFS(
    estq[empresa], AV$6,
    estq[Data da venda / reserva], "&gt;=" &amp; $A76,
    estq[Data da venda / reserva], "&lt;"  &amp; EOMONTH($A76,0) + 1
)</f>
        <v>0</v>
      </c>
      <c r="AW76" s="182">
        <f ca="1">SUMIFS(rec.uni[2027-02-01],
INDIRECT("rec.uni[natureza]"),"pro.soluto",
INDIRECT("rec.uni[empresa]"),AW$6)</f>
        <v>0</v>
      </c>
      <c r="AX76" s="182">
        <f ca="1">SUMIFS(rec.uni[2027-02-01],
INDIRECT("rec.uni[natureza]"),"repasse.cef.obra",
INDIRECT("rec.uni[empresa]"),AX$6)</f>
        <v>0</v>
      </c>
      <c r="AY76" s="185">
        <f ca="1">SUMIFS(rec.uni[2027-02-01],
INDIRECT("rec.uni[natureza]"),"repasse.cef.terreno",
INDIRECT("rec.uni[empresa]"),AY$6)</f>
        <v>0</v>
      </c>
      <c r="AZ76" s="186"/>
      <c r="BA76" s="182">
        <f ca="1">SUMIFS(rec.uni[2027-02-01],
INDIRECT("rec.uni[natureza]"),"taxa.extra",
INDIRECT("rec.uni[empresa]"),BA$6)</f>
        <v>0</v>
      </c>
      <c r="BB76" s="170"/>
      <c r="BC76" s="170" cm="1">
        <f t="array" ref="BC7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D76" s="170" cm="1">
        <f t="array" ref="BD7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E76" s="170" cm="1">
        <f t="array" ref="BE7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F76" s="170" cm="1">
        <f t="array" ref="BF7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G76" s="170" cm="1">
        <f t="array" ref="BG7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(desp[data.pagamento]&gt;=$A76)*
    (desp[data.pagamento]&lt;EOMONTH($A76,0)+1)
  )
)</f>
        <v>0</v>
      </c>
      <c r="BH76" s="181">
        <f>COUNTIFS(
    estq[empresa], BH$6,
    estq[Data da venda / reserva], "&gt;=" &amp; $A76,
    estq[Data da venda / reserva], "&lt;"  &amp; EOMONTH($A76,0) + 1
)</f>
        <v>0</v>
      </c>
      <c r="BI76" s="182">
        <f ca="1">SUMIFS(rec.uni[2027-02-01],
INDIRECT("rec.uni[natureza]"),"pro.soluto",
INDIRECT("rec.uni[empresa]"),BI$6)</f>
        <v>0</v>
      </c>
      <c r="BJ76" s="186">
        <f ca="1">SUMIFS(rec.uni[2027-02-01],
INDIRECT("rec.uni[natureza]"),"parcela.fin.total.ik",
INDIRECT("rec.uni[empresa]"),BJ$6)</f>
        <v>0</v>
      </c>
      <c r="BK76" s="182">
        <f ca="1">SUMIFS(rec.uni[2027-02-01],
INDIRECT("rec.uni[natureza]"),"taxa.extra",
INDIRECT("rec.uni[empresa]"),BK$6)</f>
        <v>0</v>
      </c>
      <c r="BL76" s="170"/>
      <c r="BM76" s="170" cm="1">
        <f t="array" ref="BM7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N76" s="170" cm="1">
        <f t="array" ref="BN7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O76" s="170" cm="1">
        <f t="array" ref="BO7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P76" s="170" cm="1">
        <f t="array" ref="BP7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Q76" s="170" cm="1">
        <f t="array" ref="BQ7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(desp[data.pagamento]&gt;=$A76)*
    (desp[data.pagamento]&lt;EOMONTH($A76,0)+1)
  )
)</f>
        <v>0</v>
      </c>
      <c r="BR76" s="181">
        <f>COUNTIFS(
    estq[empresa], BR$6,
    estq[Data da venda / reserva], "&gt;=" &amp; $A76,
    estq[Data da venda / reserva], "&lt;"  &amp; EOMONTH($A76,0) + 1
)</f>
        <v>0</v>
      </c>
      <c r="BS76" s="182">
        <f ca="1">SUMIFS(rec.uni[2027-02-01],
INDIRECT("rec.uni[natureza]"),"pro.soluto",
INDIRECT("rec.uni[empresa]"),BS$6)</f>
        <v>0</v>
      </c>
      <c r="BT76" s="186">
        <f ca="1">SUMIFS(rec.uni[2027-02-01],
INDIRECT("rec.uni[natureza]"),"parcela.fin.total.ik",
INDIRECT("rec.uni[empresa]"),BT$6)</f>
        <v>0</v>
      </c>
      <c r="BU76" s="182">
        <f ca="1">SUMIFS(rec.uni[2027-02-01],
INDIRECT("rec.uni[natureza]"),"taxa.extra",
INDIRECT("rec.uni[empresa]"),BU$6)</f>
        <v>0</v>
      </c>
      <c r="BV76" s="170"/>
      <c r="BW76" s="170" cm="1">
        <f t="array" ref="BW7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BX76" s="170" cm="1">
        <f t="array" ref="BX7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BY76" s="170" cm="1">
        <f t="array" ref="BY7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BZ76" s="170" cm="1">
        <f t="array" ref="BZ7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CA76" s="170" cm="1">
        <f t="array" ref="CA7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(desp[data.pagamento]&gt;=$A76)*
    (desp[data.pagamento]&lt;EOMONTH($A76,0)+1)
  )
)</f>
        <v>0</v>
      </c>
      <c r="CB76" s="181">
        <f>COUNTIFS(
    estq[empresa], CB$6,
    estq[Data da venda / reserva], "&gt;=" &amp; $A76,
    estq[Data da venda / reserva], "&lt;"  &amp; EOMONTH($A76,0) + 1
)</f>
        <v>0</v>
      </c>
      <c r="CC76" s="182">
        <f ca="1">SUMIFS(rec.uni[2027-02-01],
INDIRECT("rec.uni[natureza]"),"pro.soluto",
INDIRECT("rec.uni[empresa]"),CC$6)</f>
        <v>0</v>
      </c>
      <c r="CD76" s="182">
        <f ca="1">SUMIFS(rec.uni[2027-02-01],
INDIRECT("rec.uni[natureza]"),"repasse.cef.obra",
INDIRECT("rec.uni[empresa]"),CD$6)</f>
        <v>0</v>
      </c>
      <c r="CE76" s="185">
        <f ca="1">SUMIFS(rec.uni[2027-02-01],
INDIRECT("rec.uni[natureza]"),"repasse.cef.terreno",
INDIRECT("rec.uni[empresa]"),CE$6)</f>
        <v>0</v>
      </c>
      <c r="CF76" s="186"/>
      <c r="CG76" s="182">
        <f ca="1">SUMIFS(rec.uni[2027-02-01],
INDIRECT("rec.uni[natureza]"),"taxa.extra",
INDIRECT("rec.uni[empresa]"),CG$6)</f>
        <v>0</v>
      </c>
      <c r="CH76" s="170"/>
      <c r="CI76" s="170" cm="1">
        <f t="array" ref="CI7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J76" s="170" cm="1">
        <f t="array" ref="CJ7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K76" s="170" cm="1">
        <f t="array" ref="CK7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L76" s="170" cm="1">
        <f t="array" ref="CL7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M76" s="170" cm="1">
        <f t="array" ref="CM7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(desp[data.pagamento]&gt;=$A76)*
    (desp[data.pagamento]&lt;EOMONTH($A76,0)+1)
  )
)</f>
        <v>0</v>
      </c>
      <c r="CN76" s="181">
        <f>COUNTIFS(
    estq[empresa], CN$6,
    estq[Data da venda / reserva], "&gt;=" &amp; $A76,
    estq[Data da venda / reserva], "&lt;"  &amp; EOMONTH($A76,0) + 1
)</f>
        <v>0</v>
      </c>
      <c r="CO76" s="182">
        <f ca="1">SUMIFS(rec.uni[2027-02-01],
INDIRECT("rec.uni[natureza]"),"pro.soluto",
INDIRECT("rec.uni[empresa]"),CO$6)</f>
        <v>0</v>
      </c>
      <c r="CP76" s="182">
        <f ca="1">SUMIFS(rec.uni[2027-02-01],
INDIRECT("rec.uni[natureza]"),"repasse.cef.obra",
INDIRECT("rec.uni[empresa]"),CP$6)</f>
        <v>0</v>
      </c>
      <c r="CQ76" s="185">
        <f ca="1">SUMIFS(rec.uni[2027-02-01],
INDIRECT("rec.uni[natureza]"),"repasse.cef.terreno",
INDIRECT("rec.uni[empresa]"),CQ$6)</f>
        <v>0</v>
      </c>
      <c r="CR76" s="186"/>
      <c r="CS76" s="182">
        <f ca="1">SUMIFS(rec.uni[2027-02-01],
INDIRECT("rec.uni[natureza]"),"taxa.extra",
INDIRECT("rec.uni[empresa]"),CS$6)</f>
        <v>0</v>
      </c>
      <c r="CT76" s="170"/>
      <c r="CU76" s="170" cm="1">
        <f t="array" ref="CU7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  <c r="CV76" s="170" cm="1">
        <f t="array" ref="CV7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  <c r="CW76" s="170" cm="1">
        <f t="array" ref="CW7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  <c r="CX76" s="170" cm="1">
        <f t="array" ref="CX7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  <c r="CY76" s="295" cm="1">
        <f t="array" ref="CY7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(desp[data.pagamento]&gt;=$A76)*
    (desp[data.pagamento]&lt;EOMONTH($A76,0)+1)
  )
)</f>
        <v>0</v>
      </c>
    </row>
    <row r="77" spans="1:103" x14ac:dyDescent="0.25">
      <c r="A77" s="180">
        <v>46447</v>
      </c>
      <c r="B77" s="181">
        <f>COUNTIFS(
    estq[empresa], B$6,
    estq[Data da venda / reserva], "&gt;=" &amp; $A77,
    estq[Data da venda / reserva], "&lt;"  &amp; EOMONTH($A77,0) + 1
)</f>
        <v>0</v>
      </c>
      <c r="C77" s="182">
        <f ca="1">SUMIFS(rec.uni[2027-03-01],
INDIRECT("rec.uni[natureza]"),"pro.soluto",
INDIRECT("rec.uni[empresa]"),C$6)</f>
        <v>0</v>
      </c>
      <c r="D77" s="182">
        <f ca="1">SUMIFS(rec.uni[2027-03-01],
INDIRECT("rec.uni[natureza]"),"repasse.cef.obra",
INDIRECT("rec.uni[empresa]"),D$6)</f>
        <v>0</v>
      </c>
      <c r="E77" s="182">
        <f ca="1">SUMIFS(rec.uni[2027-03-01],
INDIRECT("rec.uni[natureza]"),"repasse.cef.terreno",
INDIRECT("rec.uni[empresa]"),E$6)</f>
        <v>0</v>
      </c>
      <c r="F77" s="186"/>
      <c r="G77" s="182">
        <f ca="1">SUMIFS(rec.uni[2027-03-01],
INDIRECT("rec.uni[natureza]"),"taxa.extra",
INDIRECT("rec.uni[empresa]"),G$6)</f>
        <v>0</v>
      </c>
      <c r="H77" s="170"/>
      <c r="I77" s="170" cm="1">
        <f t="array" ref="I7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J77" s="170" cm="1">
        <f t="array" ref="J7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K77" s="170" cm="1">
        <f t="array" ref="K7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L77" s="170" cm="1">
        <f t="array" ref="L7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M77" s="170" cm="1">
        <f t="array" ref="M7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(desp[data.pagamento]&gt;=$A77)*
    (desp[data.pagamento]&lt;EOMONTH($A77,0)+1)
  )
)</f>
        <v>0</v>
      </c>
      <c r="N77" s="181">
        <f>COUNTIFS(
    estq[empresa], N$6,
    estq[Data da venda / reserva], "&gt;=" &amp; $A77,
    estq[Data da venda / reserva], "&lt;"  &amp; EOMONTH($A77,0) + 1
)</f>
        <v>0</v>
      </c>
      <c r="O77" s="182">
        <f ca="1">SUMIFS(rec.uni[2027-03-01],
INDIRECT("rec.uni[natureza]"),"pro.soluto",
INDIRECT("rec.uni[empresa]"),O$6)</f>
        <v>0</v>
      </c>
      <c r="P77" s="182">
        <f ca="1">SUMIFS(rec.uni[2027-03-01],
INDIRECT("rec.uni[natureza]"),"repasse.cef.obra",
INDIRECT("rec.uni[empresa]"),P$6)</f>
        <v>0</v>
      </c>
      <c r="Q77" s="182">
        <f ca="1">SUMIFS(rec.uni[2027-03-01],
INDIRECT("rec.uni[natureza]"),"repasse.cef.terreno",
INDIRECT("rec.uni[empresa]"),Q$6)</f>
        <v>0</v>
      </c>
      <c r="R77" s="186"/>
      <c r="S77" s="182">
        <f ca="1">SUMIFS(rec.uni[2027-03-01],
INDIRECT("rec.uni[natureza]"),"taxa.extra",
INDIRECT("rec.uni[empresa]"),S$6)</f>
        <v>0</v>
      </c>
      <c r="T77" s="170"/>
      <c r="U77" s="170" cm="1">
        <f t="array" ref="U7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V77" s="170" cm="1">
        <f t="array" ref="V7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W77" s="170" cm="1">
        <f t="array" ref="W7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X77" s="170" cm="1">
        <f t="array" ref="X7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Y77" s="170" cm="1">
        <f t="array" ref="Y7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(desp[data.pagamento]&gt;=$A77)*
    (desp[data.pagamento]&lt;EOMONTH($A77,0)+1)
  )
)</f>
        <v>0</v>
      </c>
      <c r="Z77" s="181">
        <f>COUNTIFS(
    estq[empresa], Z$6,
    estq[Data da venda / reserva], "&gt;=" &amp; $A77,
    estq[Data da venda / reserva], "&lt;"  &amp; EOMONTH($A77,0) + 1
)</f>
        <v>0</v>
      </c>
      <c r="AA77" s="182">
        <f ca="1">SUMIFS(rec.uni[2027-03-01],
INDIRECT("rec.uni[natureza]"),"pro.soluto",
INDIRECT("rec.uni[empresa]"),AA$6)</f>
        <v>0</v>
      </c>
      <c r="AB77" s="186">
        <f ca="1">SUMIFS(rec.uni[2027-03-01],
INDIRECT("rec.uni[natureza]"),"parcela.fin.total.ik",
INDIRECT("rec.uni[empresa]"),AB$6)</f>
        <v>0</v>
      </c>
      <c r="AC77" s="182">
        <f ca="1">SUMIFS(rec.uni[2027-03-01],
INDIRECT("rec.uni[natureza]"),"taxa.extra",
INDIRECT("rec.uni[empresa]"),AC$6)</f>
        <v>0</v>
      </c>
      <c r="AD77" s="170"/>
      <c r="AE77" s="170" cm="1">
        <f t="array" ref="AE7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F77" s="170" cm="1">
        <f t="array" ref="AF7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G77" s="170" cm="1">
        <f t="array" ref="AG7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H77" s="170" cm="1">
        <f t="array" ref="AH7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I77" s="170" cm="1">
        <f t="array" ref="AI7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(desp[data.pagamento]&gt;=$A77)*
    (desp[data.pagamento]&lt;EOMONTH($A77,0)+1)
  )
)</f>
        <v>0</v>
      </c>
      <c r="AJ77" s="181">
        <f>COUNTIFS(
    estq[empresa], AJ$6,
    estq[Data da venda / reserva], "&gt;=" &amp; $A77,
    estq[Data da venda / reserva], "&lt;"  &amp; EOMONTH($A77,0) + 1
)</f>
        <v>0</v>
      </c>
      <c r="AK77" s="182">
        <f ca="1">SUMIFS(rec.uni[2027-03-01],
INDIRECT("rec.uni[natureza]"),"pro.soluto",
INDIRECT("rec.uni[empresa]"),AK$6)</f>
        <v>0</v>
      </c>
      <c r="AL77" s="182">
        <f ca="1">SUMIFS(rec.uni[2027-03-01],
INDIRECT("rec.uni[natureza]"),"repasse.cef.obra",
INDIRECT("rec.uni[empresa]"),AL$6)</f>
        <v>0</v>
      </c>
      <c r="AM77" s="185">
        <f ca="1">SUMIFS(rec.uni[2027-03-01],
INDIRECT("rec.uni[natureza]"),"repasse.cef.terreno",
INDIRECT("rec.uni[empresa]"),AM$6)</f>
        <v>0</v>
      </c>
      <c r="AN77" s="186"/>
      <c r="AO77" s="182">
        <f ca="1">SUMIFS(rec.uni[2027-03-01],
INDIRECT("rec.uni[natureza]"),"taxa.extra",
INDIRECT("rec.uni[empresa]"),AO$6)</f>
        <v>0</v>
      </c>
      <c r="AP77" s="170"/>
      <c r="AQ77" s="170" cm="1">
        <f t="array" ref="AQ7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R77" s="170" cm="1">
        <f t="array" ref="AR7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S77" s="170" cm="1">
        <f t="array" ref="AS7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T77" s="170" cm="1">
        <f t="array" ref="AT7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U77" s="170" cm="1">
        <f t="array" ref="AU7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(desp[data.pagamento]&gt;=$A77)*
    (desp[data.pagamento]&lt;EOMONTH($A77,0)+1)
  )
)</f>
        <v>0</v>
      </c>
      <c r="AV77" s="181">
        <f>COUNTIFS(
    estq[empresa], AV$6,
    estq[Data da venda / reserva], "&gt;=" &amp; $A77,
    estq[Data da venda / reserva], "&lt;"  &amp; EOMONTH($A77,0) + 1
)</f>
        <v>0</v>
      </c>
      <c r="AW77" s="182">
        <f ca="1">SUMIFS(rec.uni[2027-03-01],
INDIRECT("rec.uni[natureza]"),"pro.soluto",
INDIRECT("rec.uni[empresa]"),AW$6)</f>
        <v>0</v>
      </c>
      <c r="AX77" s="182">
        <f ca="1">SUMIFS(rec.uni[2027-03-01],
INDIRECT("rec.uni[natureza]"),"repasse.cef.obra",
INDIRECT("rec.uni[empresa]"),AX$6)</f>
        <v>0</v>
      </c>
      <c r="AY77" s="185">
        <f ca="1">SUMIFS(rec.uni[2027-03-01],
INDIRECT("rec.uni[natureza]"),"repasse.cef.terreno",
INDIRECT("rec.uni[empresa]"),AY$6)</f>
        <v>0</v>
      </c>
      <c r="AZ77" s="186"/>
      <c r="BA77" s="182">
        <f ca="1">SUMIFS(rec.uni[2027-03-01],
INDIRECT("rec.uni[natureza]"),"taxa.extra",
INDIRECT("rec.uni[empresa]"),BA$6)</f>
        <v>0</v>
      </c>
      <c r="BB77" s="170"/>
      <c r="BC77" s="170" cm="1">
        <f t="array" ref="BC7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D77" s="170" cm="1">
        <f t="array" ref="BD7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E77" s="170" cm="1">
        <f t="array" ref="BE7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F77" s="170" cm="1">
        <f t="array" ref="BF7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G77" s="170" cm="1">
        <f t="array" ref="BG7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(desp[data.pagamento]&gt;=$A77)*
    (desp[data.pagamento]&lt;EOMONTH($A77,0)+1)
  )
)</f>
        <v>0</v>
      </c>
      <c r="BH77" s="181">
        <f>COUNTIFS(
    estq[empresa], BH$6,
    estq[Data da venda / reserva], "&gt;=" &amp; $A77,
    estq[Data da venda / reserva], "&lt;"  &amp; EOMONTH($A77,0) + 1
)</f>
        <v>0</v>
      </c>
      <c r="BI77" s="182">
        <f ca="1">SUMIFS(rec.uni[2027-03-01],
INDIRECT("rec.uni[natureza]"),"pro.soluto",
INDIRECT("rec.uni[empresa]"),BI$6)</f>
        <v>0</v>
      </c>
      <c r="BJ77" s="186">
        <f ca="1">SUMIFS(rec.uni[2027-03-01],
INDIRECT("rec.uni[natureza]"),"parcela.fin.total.ik",
INDIRECT("rec.uni[empresa]"),BJ$6)</f>
        <v>0</v>
      </c>
      <c r="BK77" s="182">
        <f ca="1">SUMIFS(rec.uni[2027-03-01],
INDIRECT("rec.uni[natureza]"),"taxa.extra",
INDIRECT("rec.uni[empresa]"),BK$6)</f>
        <v>0</v>
      </c>
      <c r="BL77" s="170"/>
      <c r="BM77" s="170" cm="1">
        <f t="array" ref="BM7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N77" s="170" cm="1">
        <f t="array" ref="BN7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O77" s="170" cm="1">
        <f t="array" ref="BO7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P77" s="170" cm="1">
        <f t="array" ref="BP7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Q77" s="170" cm="1">
        <f t="array" ref="BQ7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(desp[data.pagamento]&gt;=$A77)*
    (desp[data.pagamento]&lt;EOMONTH($A77,0)+1)
  )
)</f>
        <v>0</v>
      </c>
      <c r="BR77" s="181">
        <f>COUNTIFS(
    estq[empresa], BR$6,
    estq[Data da venda / reserva], "&gt;=" &amp; $A77,
    estq[Data da venda / reserva], "&lt;"  &amp; EOMONTH($A77,0) + 1
)</f>
        <v>0</v>
      </c>
      <c r="BS77" s="182">
        <f ca="1">SUMIFS(rec.uni[2027-03-01],
INDIRECT("rec.uni[natureza]"),"pro.soluto",
INDIRECT("rec.uni[empresa]"),BS$6)</f>
        <v>0</v>
      </c>
      <c r="BT77" s="186">
        <f ca="1">SUMIFS(rec.uni[2027-03-01],
INDIRECT("rec.uni[natureza]"),"parcela.fin.total.ik",
INDIRECT("rec.uni[empresa]"),BT$6)</f>
        <v>0</v>
      </c>
      <c r="BU77" s="182">
        <f ca="1">SUMIFS(rec.uni[2027-03-01],
INDIRECT("rec.uni[natureza]"),"taxa.extra",
INDIRECT("rec.uni[empresa]"),BU$6)</f>
        <v>0</v>
      </c>
      <c r="BV77" s="170"/>
      <c r="BW77" s="170" cm="1">
        <f t="array" ref="BW7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BX77" s="170" cm="1">
        <f t="array" ref="BX7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BY77" s="170" cm="1">
        <f t="array" ref="BY7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BZ77" s="170" cm="1">
        <f t="array" ref="BZ7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CA77" s="170" cm="1">
        <f t="array" ref="CA7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(desp[data.pagamento]&gt;=$A77)*
    (desp[data.pagamento]&lt;EOMONTH($A77,0)+1)
  )
)</f>
        <v>0</v>
      </c>
      <c r="CB77" s="181">
        <f>COUNTIFS(
    estq[empresa], CB$6,
    estq[Data da venda / reserva], "&gt;=" &amp; $A77,
    estq[Data da venda / reserva], "&lt;"  &amp; EOMONTH($A77,0) + 1
)</f>
        <v>0</v>
      </c>
      <c r="CC77" s="182">
        <f ca="1">SUMIFS(rec.uni[2027-03-01],
INDIRECT("rec.uni[natureza]"),"pro.soluto",
INDIRECT("rec.uni[empresa]"),CC$6)</f>
        <v>0</v>
      </c>
      <c r="CD77" s="182">
        <f ca="1">SUMIFS(rec.uni[2027-03-01],
INDIRECT("rec.uni[natureza]"),"repasse.cef.obra",
INDIRECT("rec.uni[empresa]"),CD$6)</f>
        <v>0</v>
      </c>
      <c r="CE77" s="185">
        <f ca="1">SUMIFS(rec.uni[2027-03-01],
INDIRECT("rec.uni[natureza]"),"repasse.cef.terreno",
INDIRECT("rec.uni[empresa]"),CE$6)</f>
        <v>0</v>
      </c>
      <c r="CF77" s="186"/>
      <c r="CG77" s="182">
        <f ca="1">SUMIFS(rec.uni[2027-03-01],
INDIRECT("rec.uni[natureza]"),"taxa.extra",
INDIRECT("rec.uni[empresa]"),CG$6)</f>
        <v>0</v>
      </c>
      <c r="CH77" s="170"/>
      <c r="CI77" s="170" cm="1">
        <f t="array" ref="CI7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J77" s="170" cm="1">
        <f t="array" ref="CJ7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K77" s="170" cm="1">
        <f t="array" ref="CK7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L77" s="170" cm="1">
        <f t="array" ref="CL7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M77" s="170" cm="1">
        <f t="array" ref="CM7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(desp[data.pagamento]&gt;=$A77)*
    (desp[data.pagamento]&lt;EOMONTH($A77,0)+1)
  )
)</f>
        <v>0</v>
      </c>
      <c r="CN77" s="181">
        <f>COUNTIFS(
    estq[empresa], CN$6,
    estq[Data da venda / reserva], "&gt;=" &amp; $A77,
    estq[Data da venda / reserva], "&lt;"  &amp; EOMONTH($A77,0) + 1
)</f>
        <v>0</v>
      </c>
      <c r="CO77" s="182">
        <f ca="1">SUMIFS(rec.uni[2027-03-01],
INDIRECT("rec.uni[natureza]"),"pro.soluto",
INDIRECT("rec.uni[empresa]"),CO$6)</f>
        <v>0</v>
      </c>
      <c r="CP77" s="182">
        <f ca="1">SUMIFS(rec.uni[2027-03-01],
INDIRECT("rec.uni[natureza]"),"repasse.cef.obra",
INDIRECT("rec.uni[empresa]"),CP$6)</f>
        <v>0</v>
      </c>
      <c r="CQ77" s="185">
        <f ca="1">SUMIFS(rec.uni[2027-03-01],
INDIRECT("rec.uni[natureza]"),"repasse.cef.terreno",
INDIRECT("rec.uni[empresa]"),CQ$6)</f>
        <v>0</v>
      </c>
      <c r="CR77" s="186"/>
      <c r="CS77" s="182">
        <f ca="1">SUMIFS(rec.uni[2027-03-01],
INDIRECT("rec.uni[natureza]"),"taxa.extra",
INDIRECT("rec.uni[empresa]"),CS$6)</f>
        <v>0</v>
      </c>
      <c r="CT77" s="170"/>
      <c r="CU77" s="170" cm="1">
        <f t="array" ref="CU7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  <c r="CV77" s="170" cm="1">
        <f t="array" ref="CV7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  <c r="CW77" s="170" cm="1">
        <f t="array" ref="CW7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  <c r="CX77" s="170" cm="1">
        <f t="array" ref="CX7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  <c r="CY77" s="295" cm="1">
        <f t="array" ref="CY7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(desp[data.pagamento]&gt;=$A77)*
    (desp[data.pagamento]&lt;EOMONTH($A77,0)+1)
  )
)</f>
        <v>0</v>
      </c>
    </row>
    <row r="78" spans="1:103" x14ac:dyDescent="0.25">
      <c r="A78" s="180">
        <v>46478</v>
      </c>
      <c r="B78" s="181">
        <f>COUNTIFS(
    estq[empresa], B$6,
    estq[Data da venda / reserva], "&gt;=" &amp; $A78,
    estq[Data da venda / reserva], "&lt;"  &amp; EOMONTH($A78,0) + 1
)</f>
        <v>0</v>
      </c>
      <c r="C78" s="182">
        <f ca="1">SUMIFS(rec.uni[2027-04-01],
INDIRECT("rec.uni[natureza]"),"pro.soluto",
INDIRECT("rec.uni[empresa]"),C$6)</f>
        <v>0</v>
      </c>
      <c r="D78" s="182">
        <f ca="1">SUMIFS(rec.uni[2027-04-01],
INDIRECT("rec.uni[natureza]"),"repasse.cef.obra",
INDIRECT("rec.uni[empresa]"),D$6)</f>
        <v>0</v>
      </c>
      <c r="E78" s="182">
        <f ca="1">SUMIFS(rec.uni[2027-04-01],
INDIRECT("rec.uni[natureza]"),"repasse.cef.terreno",
INDIRECT("rec.uni[empresa]"),E$6)</f>
        <v>0</v>
      </c>
      <c r="F78" s="186"/>
      <c r="G78" s="182">
        <f ca="1">SUMIFS(rec.uni[2027-04-01],
INDIRECT("rec.uni[natureza]"),"taxa.extra",
INDIRECT("rec.uni[empresa]"),G$6)</f>
        <v>0</v>
      </c>
      <c r="H78" s="170"/>
      <c r="I78" s="170" cm="1">
        <f t="array" ref="I7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J78" s="170" cm="1">
        <f t="array" ref="J7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K78" s="170" cm="1">
        <f t="array" ref="K7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L78" s="170" cm="1">
        <f t="array" ref="L7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M78" s="170" cm="1">
        <f t="array" ref="M7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(desp[data.pagamento]&gt;=$A78)*
    (desp[data.pagamento]&lt;EOMONTH($A78,0)+1)
  )
)</f>
        <v>0</v>
      </c>
      <c r="N78" s="181">
        <f>COUNTIFS(
    estq[empresa], N$6,
    estq[Data da venda / reserva], "&gt;=" &amp; $A78,
    estq[Data da venda / reserva], "&lt;"  &amp; EOMONTH($A78,0) + 1
)</f>
        <v>0</v>
      </c>
      <c r="O78" s="182">
        <f ca="1">SUMIFS(rec.uni[2027-04-01],
INDIRECT("rec.uni[natureza]"),"pro.soluto",
INDIRECT("rec.uni[empresa]"),O$6)</f>
        <v>0</v>
      </c>
      <c r="P78" s="182">
        <f ca="1">SUMIFS(rec.uni[2027-04-01],
INDIRECT("rec.uni[natureza]"),"repasse.cef.obra",
INDIRECT("rec.uni[empresa]"),P$6)</f>
        <v>0</v>
      </c>
      <c r="Q78" s="182">
        <f ca="1">SUMIFS(rec.uni[2027-04-01],
INDIRECT("rec.uni[natureza]"),"repasse.cef.terreno",
INDIRECT("rec.uni[empresa]"),Q$6)</f>
        <v>0</v>
      </c>
      <c r="R78" s="186"/>
      <c r="S78" s="182">
        <f ca="1">SUMIFS(rec.uni[2027-04-01],
INDIRECT("rec.uni[natureza]"),"taxa.extra",
INDIRECT("rec.uni[empresa]"),S$6)</f>
        <v>0</v>
      </c>
      <c r="T78" s="170"/>
      <c r="U78" s="170" cm="1">
        <f t="array" ref="U7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V78" s="170" cm="1">
        <f t="array" ref="V7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W78" s="170" cm="1">
        <f t="array" ref="W7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X78" s="170" cm="1">
        <f t="array" ref="X7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Y78" s="170" cm="1">
        <f t="array" ref="Y7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(desp[data.pagamento]&gt;=$A78)*
    (desp[data.pagamento]&lt;EOMONTH($A78,0)+1)
  )
)</f>
        <v>0</v>
      </c>
      <c r="Z78" s="181">
        <f>COUNTIFS(
    estq[empresa], Z$6,
    estq[Data da venda / reserva], "&gt;=" &amp; $A78,
    estq[Data da venda / reserva], "&lt;"  &amp; EOMONTH($A78,0) + 1
)</f>
        <v>0</v>
      </c>
      <c r="AA78" s="182">
        <f ca="1">SUMIFS(rec.uni[2027-04-01],
INDIRECT("rec.uni[natureza]"),"pro.soluto",
INDIRECT("rec.uni[empresa]"),AA$6)</f>
        <v>0</v>
      </c>
      <c r="AB78" s="186">
        <f ca="1">SUMIFS(rec.uni[2027-04-01],
INDIRECT("rec.uni[natureza]"),"parcela.fin.total.ik",
INDIRECT("rec.uni[empresa]"),AB$6)</f>
        <v>0</v>
      </c>
      <c r="AC78" s="182">
        <f ca="1">SUMIFS(rec.uni[2027-04-01],
INDIRECT("rec.uni[natureza]"),"taxa.extra",
INDIRECT("rec.uni[empresa]"),AC$6)</f>
        <v>0</v>
      </c>
      <c r="AD78" s="170"/>
      <c r="AE78" s="170" cm="1">
        <f t="array" ref="AE7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F78" s="170" cm="1">
        <f t="array" ref="AF7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G78" s="170" cm="1">
        <f t="array" ref="AG7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H78" s="170" cm="1">
        <f t="array" ref="AH7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I78" s="170" cm="1">
        <f t="array" ref="AI7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(desp[data.pagamento]&gt;=$A78)*
    (desp[data.pagamento]&lt;EOMONTH($A78,0)+1)
  )
)</f>
        <v>0</v>
      </c>
      <c r="AJ78" s="181">
        <f>COUNTIFS(
    estq[empresa], AJ$6,
    estq[Data da venda / reserva], "&gt;=" &amp; $A78,
    estq[Data da venda / reserva], "&lt;"  &amp; EOMONTH($A78,0) + 1
)</f>
        <v>0</v>
      </c>
      <c r="AK78" s="182">
        <f ca="1">SUMIFS(rec.uni[2027-04-01],
INDIRECT("rec.uni[natureza]"),"pro.soluto",
INDIRECT("rec.uni[empresa]"),AK$6)</f>
        <v>0</v>
      </c>
      <c r="AL78" s="182">
        <f ca="1">SUMIFS(rec.uni[2027-04-01],
INDIRECT("rec.uni[natureza]"),"repasse.cef.obra",
INDIRECT("rec.uni[empresa]"),AL$6)</f>
        <v>0</v>
      </c>
      <c r="AM78" s="185">
        <f ca="1">SUMIFS(rec.uni[2027-04-01],
INDIRECT("rec.uni[natureza]"),"repasse.cef.terreno",
INDIRECT("rec.uni[empresa]"),AM$6)</f>
        <v>0</v>
      </c>
      <c r="AN78" s="186"/>
      <c r="AO78" s="182">
        <f ca="1">SUMIFS(rec.uni[2027-04-01],
INDIRECT("rec.uni[natureza]"),"taxa.extra",
INDIRECT("rec.uni[empresa]"),AO$6)</f>
        <v>0</v>
      </c>
      <c r="AP78" s="170"/>
      <c r="AQ78" s="170" cm="1">
        <f t="array" ref="AQ7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R78" s="170" cm="1">
        <f t="array" ref="AR7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S78" s="170" cm="1">
        <f t="array" ref="AS7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T78" s="170" cm="1">
        <f t="array" ref="AT7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U78" s="170" cm="1">
        <f t="array" ref="AU7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(desp[data.pagamento]&gt;=$A78)*
    (desp[data.pagamento]&lt;EOMONTH($A78,0)+1)
  )
)</f>
        <v>0</v>
      </c>
      <c r="AV78" s="181">
        <f>COUNTIFS(
    estq[empresa], AV$6,
    estq[Data da venda / reserva], "&gt;=" &amp; $A78,
    estq[Data da venda / reserva], "&lt;"  &amp; EOMONTH($A78,0) + 1
)</f>
        <v>0</v>
      </c>
      <c r="AW78" s="182">
        <f ca="1">SUMIFS(rec.uni[2027-04-01],
INDIRECT("rec.uni[natureza]"),"pro.soluto",
INDIRECT("rec.uni[empresa]"),AW$6)</f>
        <v>0</v>
      </c>
      <c r="AX78" s="182">
        <f ca="1">SUMIFS(rec.uni[2027-04-01],
INDIRECT("rec.uni[natureza]"),"repasse.cef.obra",
INDIRECT("rec.uni[empresa]"),AX$6)</f>
        <v>0</v>
      </c>
      <c r="AY78" s="185">
        <f ca="1">SUMIFS(rec.uni[2027-04-01],
INDIRECT("rec.uni[natureza]"),"repasse.cef.terreno",
INDIRECT("rec.uni[empresa]"),AY$6)</f>
        <v>0</v>
      </c>
      <c r="AZ78" s="186"/>
      <c r="BA78" s="182">
        <f ca="1">SUMIFS(rec.uni[2027-04-01],
INDIRECT("rec.uni[natureza]"),"taxa.extra",
INDIRECT("rec.uni[empresa]"),BA$6)</f>
        <v>0</v>
      </c>
      <c r="BB78" s="170"/>
      <c r="BC78" s="170" cm="1">
        <f t="array" ref="BC7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D78" s="170" cm="1">
        <f t="array" ref="BD7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E78" s="170" cm="1">
        <f t="array" ref="BE7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F78" s="170" cm="1">
        <f t="array" ref="BF7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G78" s="170" cm="1">
        <f t="array" ref="BG7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(desp[data.pagamento]&gt;=$A78)*
    (desp[data.pagamento]&lt;EOMONTH($A78,0)+1)
  )
)</f>
        <v>0</v>
      </c>
      <c r="BH78" s="181">
        <f>COUNTIFS(
    estq[empresa], BH$6,
    estq[Data da venda / reserva], "&gt;=" &amp; $A78,
    estq[Data da venda / reserva], "&lt;"  &amp; EOMONTH($A78,0) + 1
)</f>
        <v>0</v>
      </c>
      <c r="BI78" s="182">
        <f ca="1">SUMIFS(rec.uni[2027-04-01],
INDIRECT("rec.uni[natureza]"),"pro.soluto",
INDIRECT("rec.uni[empresa]"),BI$6)</f>
        <v>0</v>
      </c>
      <c r="BJ78" s="186">
        <f ca="1">SUMIFS(rec.uni[2027-04-01],
INDIRECT("rec.uni[natureza]"),"parcela.fin.total.ik",
INDIRECT("rec.uni[empresa]"),BJ$6)</f>
        <v>0</v>
      </c>
      <c r="BK78" s="182">
        <f ca="1">SUMIFS(rec.uni[2027-04-01],
INDIRECT("rec.uni[natureza]"),"taxa.extra",
INDIRECT("rec.uni[empresa]"),BK$6)</f>
        <v>0</v>
      </c>
      <c r="BL78" s="170"/>
      <c r="BM78" s="170" cm="1">
        <f t="array" ref="BM7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N78" s="170" cm="1">
        <f t="array" ref="BN7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O78" s="170" cm="1">
        <f t="array" ref="BO7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P78" s="170" cm="1">
        <f t="array" ref="BP7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Q78" s="170" cm="1">
        <f t="array" ref="BQ7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(desp[data.pagamento]&gt;=$A78)*
    (desp[data.pagamento]&lt;EOMONTH($A78,0)+1)
  )
)</f>
        <v>0</v>
      </c>
      <c r="BR78" s="181">
        <f>COUNTIFS(
    estq[empresa], BR$6,
    estq[Data da venda / reserva], "&gt;=" &amp; $A78,
    estq[Data da venda / reserva], "&lt;"  &amp; EOMONTH($A78,0) + 1
)</f>
        <v>0</v>
      </c>
      <c r="BS78" s="182">
        <f ca="1">SUMIFS(rec.uni[2027-04-01],
INDIRECT("rec.uni[natureza]"),"pro.soluto",
INDIRECT("rec.uni[empresa]"),BS$6)</f>
        <v>0</v>
      </c>
      <c r="BT78" s="186">
        <f ca="1">SUMIFS(rec.uni[2027-04-01],
INDIRECT("rec.uni[natureza]"),"parcela.fin.total.ik",
INDIRECT("rec.uni[empresa]"),BT$6)</f>
        <v>0</v>
      </c>
      <c r="BU78" s="182">
        <f ca="1">SUMIFS(rec.uni[2027-04-01],
INDIRECT("rec.uni[natureza]"),"taxa.extra",
INDIRECT("rec.uni[empresa]"),BU$6)</f>
        <v>0</v>
      </c>
      <c r="BV78" s="170"/>
      <c r="BW78" s="170" cm="1">
        <f t="array" ref="BW7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BX78" s="170" cm="1">
        <f t="array" ref="BX7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BY78" s="170" cm="1">
        <f t="array" ref="BY7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BZ78" s="170" cm="1">
        <f t="array" ref="BZ7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CA78" s="170" cm="1">
        <f t="array" ref="CA7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(desp[data.pagamento]&gt;=$A78)*
    (desp[data.pagamento]&lt;EOMONTH($A78,0)+1)
  )
)</f>
        <v>0</v>
      </c>
      <c r="CB78" s="181">
        <f>COUNTIFS(
    estq[empresa], CB$6,
    estq[Data da venda / reserva], "&gt;=" &amp; $A78,
    estq[Data da venda / reserva], "&lt;"  &amp; EOMONTH($A78,0) + 1
)</f>
        <v>0</v>
      </c>
      <c r="CC78" s="182">
        <f ca="1">SUMIFS(rec.uni[2027-04-01],
INDIRECT("rec.uni[natureza]"),"pro.soluto",
INDIRECT("rec.uni[empresa]"),CC$6)</f>
        <v>0</v>
      </c>
      <c r="CD78" s="182">
        <f ca="1">SUMIFS(rec.uni[2027-04-01],
INDIRECT("rec.uni[natureza]"),"repasse.cef.obra",
INDIRECT("rec.uni[empresa]"),CD$6)</f>
        <v>0</v>
      </c>
      <c r="CE78" s="185">
        <f ca="1">SUMIFS(rec.uni[2027-04-01],
INDIRECT("rec.uni[natureza]"),"repasse.cef.terreno",
INDIRECT("rec.uni[empresa]"),CE$6)</f>
        <v>0</v>
      </c>
      <c r="CF78" s="186"/>
      <c r="CG78" s="182">
        <f ca="1">SUMIFS(rec.uni[2027-04-01],
INDIRECT("rec.uni[natureza]"),"taxa.extra",
INDIRECT("rec.uni[empresa]"),CG$6)</f>
        <v>0</v>
      </c>
      <c r="CH78" s="170"/>
      <c r="CI78" s="170" cm="1">
        <f t="array" ref="CI7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J78" s="170" cm="1">
        <f t="array" ref="CJ7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K78" s="170" cm="1">
        <f t="array" ref="CK7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L78" s="170" cm="1">
        <f t="array" ref="CL7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M78" s="170" cm="1">
        <f t="array" ref="CM7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(desp[data.pagamento]&gt;=$A78)*
    (desp[data.pagamento]&lt;EOMONTH($A78,0)+1)
  )
)</f>
        <v>0</v>
      </c>
      <c r="CN78" s="181">
        <f>COUNTIFS(
    estq[empresa], CN$6,
    estq[Data da venda / reserva], "&gt;=" &amp; $A78,
    estq[Data da venda / reserva], "&lt;"  &amp; EOMONTH($A78,0) + 1
)</f>
        <v>0</v>
      </c>
      <c r="CO78" s="182">
        <f ca="1">SUMIFS(rec.uni[2027-04-01],
INDIRECT("rec.uni[natureza]"),"pro.soluto",
INDIRECT("rec.uni[empresa]"),CO$6)</f>
        <v>0</v>
      </c>
      <c r="CP78" s="182">
        <f ca="1">SUMIFS(rec.uni[2027-04-01],
INDIRECT("rec.uni[natureza]"),"repasse.cef.obra",
INDIRECT("rec.uni[empresa]"),CP$6)</f>
        <v>0</v>
      </c>
      <c r="CQ78" s="185">
        <f ca="1">SUMIFS(rec.uni[2027-04-01],
INDIRECT("rec.uni[natureza]"),"repasse.cef.terreno",
INDIRECT("rec.uni[empresa]"),CQ$6)</f>
        <v>0</v>
      </c>
      <c r="CR78" s="186"/>
      <c r="CS78" s="182">
        <f ca="1">SUMIFS(rec.uni[2027-04-01],
INDIRECT("rec.uni[natureza]"),"taxa.extra",
INDIRECT("rec.uni[empresa]"),CS$6)</f>
        <v>0</v>
      </c>
      <c r="CT78" s="170"/>
      <c r="CU78" s="170" cm="1">
        <f t="array" ref="CU7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  <c r="CV78" s="170" cm="1">
        <f t="array" ref="CV7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  <c r="CW78" s="170" cm="1">
        <f t="array" ref="CW7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  <c r="CX78" s="170" cm="1">
        <f t="array" ref="CX7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  <c r="CY78" s="295" cm="1">
        <f t="array" ref="CY7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(desp[data.pagamento]&gt;=$A78)*
    (desp[data.pagamento]&lt;EOMONTH($A78,0)+1)
  )
)</f>
        <v>0</v>
      </c>
    </row>
    <row r="79" spans="1:103" x14ac:dyDescent="0.25">
      <c r="A79" s="180">
        <v>46508</v>
      </c>
      <c r="B79" s="181">
        <f>COUNTIFS(
    estq[empresa], B$6,
    estq[Data da venda / reserva], "&gt;=" &amp; $A79,
    estq[Data da venda / reserva], "&lt;"  &amp; EOMONTH($A79,0) + 1
)</f>
        <v>0</v>
      </c>
      <c r="C79" s="182">
        <f ca="1">SUMIFS(rec.uni[2027-05-01],
INDIRECT("rec.uni[natureza]"),"pro.soluto",
INDIRECT("rec.uni[empresa]"),C$6)</f>
        <v>0</v>
      </c>
      <c r="D79" s="182">
        <f ca="1">SUMIFS(rec.uni[2027-05-01],
INDIRECT("rec.uni[natureza]"),"repasse.cef.obra",
INDIRECT("rec.uni[empresa]"),D$6)</f>
        <v>0</v>
      </c>
      <c r="E79" s="182">
        <f ca="1">SUMIFS(rec.uni[2027-05-01],
INDIRECT("rec.uni[natureza]"),"repasse.cef.terreno",
INDIRECT("rec.uni[empresa]"),E$6)</f>
        <v>0</v>
      </c>
      <c r="F79" s="186"/>
      <c r="G79" s="182">
        <f ca="1">SUMIFS(rec.uni[2027-05-01],
INDIRECT("rec.uni[natureza]"),"taxa.extra",
INDIRECT("rec.uni[empresa]"),G$6)</f>
        <v>0</v>
      </c>
      <c r="H79" s="170"/>
      <c r="I79" s="170" cm="1">
        <f t="array" ref="I7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J79" s="170" cm="1">
        <f t="array" ref="J7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K79" s="170" cm="1">
        <f t="array" ref="K7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L79" s="170" cm="1">
        <f t="array" ref="L7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M79" s="170" cm="1">
        <f t="array" ref="M7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(desp[data.pagamento]&gt;=$A79)*
    (desp[data.pagamento]&lt;EOMONTH($A79,0)+1)
  )
)</f>
        <v>0</v>
      </c>
      <c r="N79" s="181">
        <f>COUNTIFS(
    estq[empresa], N$6,
    estq[Data da venda / reserva], "&gt;=" &amp; $A79,
    estq[Data da venda / reserva], "&lt;"  &amp; EOMONTH($A79,0) + 1
)</f>
        <v>0</v>
      </c>
      <c r="O79" s="182">
        <f ca="1">SUMIFS(rec.uni[2027-05-01],
INDIRECT("rec.uni[natureza]"),"pro.soluto",
INDIRECT("rec.uni[empresa]"),O$6)</f>
        <v>0</v>
      </c>
      <c r="P79" s="182">
        <f ca="1">SUMIFS(rec.uni[2027-05-01],
INDIRECT("rec.uni[natureza]"),"repasse.cef.obra",
INDIRECT("rec.uni[empresa]"),P$6)</f>
        <v>0</v>
      </c>
      <c r="Q79" s="182">
        <f ca="1">SUMIFS(rec.uni[2027-05-01],
INDIRECT("rec.uni[natureza]"),"repasse.cef.terreno",
INDIRECT("rec.uni[empresa]"),Q$6)</f>
        <v>0</v>
      </c>
      <c r="R79" s="186"/>
      <c r="S79" s="182">
        <f ca="1">SUMIFS(rec.uni[2027-05-01],
INDIRECT("rec.uni[natureza]"),"taxa.extra",
INDIRECT("rec.uni[empresa]"),S$6)</f>
        <v>0</v>
      </c>
      <c r="T79" s="170"/>
      <c r="U79" s="170" cm="1">
        <f t="array" ref="U7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V79" s="170" cm="1">
        <f t="array" ref="V7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W79" s="170" cm="1">
        <f t="array" ref="W7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X79" s="170" cm="1">
        <f t="array" ref="X7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Y79" s="170" cm="1">
        <f t="array" ref="Y7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(desp[data.pagamento]&gt;=$A79)*
    (desp[data.pagamento]&lt;EOMONTH($A79,0)+1)
  )
)</f>
        <v>0</v>
      </c>
      <c r="Z79" s="181">
        <f>COUNTIFS(
    estq[empresa], Z$6,
    estq[Data da venda / reserva], "&gt;=" &amp; $A79,
    estq[Data da venda / reserva], "&lt;"  &amp; EOMONTH($A79,0) + 1
)</f>
        <v>0</v>
      </c>
      <c r="AA79" s="182">
        <f ca="1">SUMIFS(rec.uni[2027-05-01],
INDIRECT("rec.uni[natureza]"),"pro.soluto",
INDIRECT("rec.uni[empresa]"),AA$6)</f>
        <v>0</v>
      </c>
      <c r="AB79" s="186">
        <f ca="1">SUMIFS(rec.uni[2027-05-01],
INDIRECT("rec.uni[natureza]"),"parcela.fin.total.ik",
INDIRECT("rec.uni[empresa]"),AB$6)</f>
        <v>0</v>
      </c>
      <c r="AC79" s="182">
        <f ca="1">SUMIFS(rec.uni[2027-05-01],
INDIRECT("rec.uni[natureza]"),"taxa.extra",
INDIRECT("rec.uni[empresa]"),AC$6)</f>
        <v>0</v>
      </c>
      <c r="AD79" s="170"/>
      <c r="AE79" s="170" cm="1">
        <f t="array" ref="AE7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F79" s="170" cm="1">
        <f t="array" ref="AF7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G79" s="170" cm="1">
        <f t="array" ref="AG7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H79" s="170" cm="1">
        <f t="array" ref="AH7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I79" s="170" cm="1">
        <f t="array" ref="AI7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(desp[data.pagamento]&gt;=$A79)*
    (desp[data.pagamento]&lt;EOMONTH($A79,0)+1)
  )
)</f>
        <v>0</v>
      </c>
      <c r="AJ79" s="181">
        <f>COUNTIFS(
    estq[empresa], AJ$6,
    estq[Data da venda / reserva], "&gt;=" &amp; $A79,
    estq[Data da venda / reserva], "&lt;"  &amp; EOMONTH($A79,0) + 1
)</f>
        <v>0</v>
      </c>
      <c r="AK79" s="182">
        <f ca="1">SUMIFS(rec.uni[2027-05-01],
INDIRECT("rec.uni[natureza]"),"pro.soluto",
INDIRECT("rec.uni[empresa]"),AK$6)</f>
        <v>0</v>
      </c>
      <c r="AL79" s="182">
        <f ca="1">SUMIFS(rec.uni[2027-05-01],
INDIRECT("rec.uni[natureza]"),"repasse.cef.obra",
INDIRECT("rec.uni[empresa]"),AL$6)</f>
        <v>0</v>
      </c>
      <c r="AM79" s="185">
        <f ca="1">SUMIFS(rec.uni[2027-05-01],
INDIRECT("rec.uni[natureza]"),"repasse.cef.terreno",
INDIRECT("rec.uni[empresa]"),AM$6)</f>
        <v>0</v>
      </c>
      <c r="AN79" s="186"/>
      <c r="AO79" s="182">
        <f ca="1">SUMIFS(rec.uni[2027-05-01],
INDIRECT("rec.uni[natureza]"),"taxa.extra",
INDIRECT("rec.uni[empresa]"),AO$6)</f>
        <v>0</v>
      </c>
      <c r="AP79" s="170"/>
      <c r="AQ79" s="170" cm="1">
        <f t="array" ref="AQ7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R79" s="170" cm="1">
        <f t="array" ref="AR7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S79" s="170" cm="1">
        <f t="array" ref="AS7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T79" s="170" cm="1">
        <f t="array" ref="AT7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U79" s="170" cm="1">
        <f t="array" ref="AU7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(desp[data.pagamento]&gt;=$A79)*
    (desp[data.pagamento]&lt;EOMONTH($A79,0)+1)
  )
)</f>
        <v>0</v>
      </c>
      <c r="AV79" s="181">
        <f>COUNTIFS(
    estq[empresa], AV$6,
    estq[Data da venda / reserva], "&gt;=" &amp; $A79,
    estq[Data da venda / reserva], "&lt;"  &amp; EOMONTH($A79,0) + 1
)</f>
        <v>0</v>
      </c>
      <c r="AW79" s="182">
        <f ca="1">SUMIFS(rec.uni[2027-05-01],
INDIRECT("rec.uni[natureza]"),"pro.soluto",
INDIRECT("rec.uni[empresa]"),AW$6)</f>
        <v>0</v>
      </c>
      <c r="AX79" s="182">
        <f ca="1">SUMIFS(rec.uni[2027-05-01],
INDIRECT("rec.uni[natureza]"),"repasse.cef.obra",
INDIRECT("rec.uni[empresa]"),AX$6)</f>
        <v>0</v>
      </c>
      <c r="AY79" s="185">
        <f ca="1">SUMIFS(rec.uni[2027-05-01],
INDIRECT("rec.uni[natureza]"),"repasse.cef.terreno",
INDIRECT("rec.uni[empresa]"),AY$6)</f>
        <v>0</v>
      </c>
      <c r="AZ79" s="186"/>
      <c r="BA79" s="182">
        <f ca="1">SUMIFS(rec.uni[2027-05-01],
INDIRECT("rec.uni[natureza]"),"taxa.extra",
INDIRECT("rec.uni[empresa]"),BA$6)</f>
        <v>0</v>
      </c>
      <c r="BB79" s="170"/>
      <c r="BC79" s="170" cm="1">
        <f t="array" ref="BC7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D79" s="170" cm="1">
        <f t="array" ref="BD7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E79" s="170" cm="1">
        <f t="array" ref="BE7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F79" s="170" cm="1">
        <f t="array" ref="BF7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G79" s="170" cm="1">
        <f t="array" ref="BG7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(desp[data.pagamento]&gt;=$A79)*
    (desp[data.pagamento]&lt;EOMONTH($A79,0)+1)
  )
)</f>
        <v>0</v>
      </c>
      <c r="BH79" s="181">
        <f>COUNTIFS(
    estq[empresa], BH$6,
    estq[Data da venda / reserva], "&gt;=" &amp; $A79,
    estq[Data da venda / reserva], "&lt;"  &amp; EOMONTH($A79,0) + 1
)</f>
        <v>0</v>
      </c>
      <c r="BI79" s="182">
        <f ca="1">SUMIFS(rec.uni[2027-05-01],
INDIRECT("rec.uni[natureza]"),"pro.soluto",
INDIRECT("rec.uni[empresa]"),BI$6)</f>
        <v>0</v>
      </c>
      <c r="BJ79" s="186">
        <f ca="1">SUMIFS(rec.uni[2027-05-01],
INDIRECT("rec.uni[natureza]"),"parcela.fin.total.ik",
INDIRECT("rec.uni[empresa]"),BJ$6)</f>
        <v>0</v>
      </c>
      <c r="BK79" s="182">
        <f ca="1">SUMIFS(rec.uni[2027-05-01],
INDIRECT("rec.uni[natureza]"),"taxa.extra",
INDIRECT("rec.uni[empresa]"),BK$6)</f>
        <v>0</v>
      </c>
      <c r="BL79" s="170"/>
      <c r="BM79" s="170" cm="1">
        <f t="array" ref="BM7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N79" s="170" cm="1">
        <f t="array" ref="BN7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O79" s="170" cm="1">
        <f t="array" ref="BO7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P79" s="170" cm="1">
        <f t="array" ref="BP7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Q79" s="170" cm="1">
        <f t="array" ref="BQ7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(desp[data.pagamento]&gt;=$A79)*
    (desp[data.pagamento]&lt;EOMONTH($A79,0)+1)
  )
)</f>
        <v>0</v>
      </c>
      <c r="BR79" s="181">
        <f>COUNTIFS(
    estq[empresa], BR$6,
    estq[Data da venda / reserva], "&gt;=" &amp; $A79,
    estq[Data da venda / reserva], "&lt;"  &amp; EOMONTH($A79,0) + 1
)</f>
        <v>0</v>
      </c>
      <c r="BS79" s="182">
        <f ca="1">SUMIFS(rec.uni[2027-05-01],
INDIRECT("rec.uni[natureza]"),"pro.soluto",
INDIRECT("rec.uni[empresa]"),BS$6)</f>
        <v>0</v>
      </c>
      <c r="BT79" s="186">
        <f ca="1">SUMIFS(rec.uni[2027-05-01],
INDIRECT("rec.uni[natureza]"),"parcela.fin.total.ik",
INDIRECT("rec.uni[empresa]"),BT$6)</f>
        <v>0</v>
      </c>
      <c r="BU79" s="182">
        <f ca="1">SUMIFS(rec.uni[2027-05-01],
INDIRECT("rec.uni[natureza]"),"taxa.extra",
INDIRECT("rec.uni[empresa]"),BU$6)</f>
        <v>0</v>
      </c>
      <c r="BV79" s="170"/>
      <c r="BW79" s="170" cm="1">
        <f t="array" ref="BW7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BX79" s="170" cm="1">
        <f t="array" ref="BX7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BY79" s="170" cm="1">
        <f t="array" ref="BY7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BZ79" s="170" cm="1">
        <f t="array" ref="BZ7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CA79" s="170" cm="1">
        <f t="array" ref="CA7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(desp[data.pagamento]&gt;=$A79)*
    (desp[data.pagamento]&lt;EOMONTH($A79,0)+1)
  )
)</f>
        <v>0</v>
      </c>
      <c r="CB79" s="181">
        <f>COUNTIFS(
    estq[empresa], CB$6,
    estq[Data da venda / reserva], "&gt;=" &amp; $A79,
    estq[Data da venda / reserva], "&lt;"  &amp; EOMONTH($A79,0) + 1
)</f>
        <v>0</v>
      </c>
      <c r="CC79" s="182">
        <f ca="1">SUMIFS(rec.uni[2027-05-01],
INDIRECT("rec.uni[natureza]"),"pro.soluto",
INDIRECT("rec.uni[empresa]"),CC$6)</f>
        <v>0</v>
      </c>
      <c r="CD79" s="182">
        <f ca="1">SUMIFS(rec.uni[2027-05-01],
INDIRECT("rec.uni[natureza]"),"repasse.cef.obra",
INDIRECT("rec.uni[empresa]"),CD$6)</f>
        <v>0</v>
      </c>
      <c r="CE79" s="185">
        <f ca="1">SUMIFS(rec.uni[2027-05-01],
INDIRECT("rec.uni[natureza]"),"repasse.cef.terreno",
INDIRECT("rec.uni[empresa]"),CE$6)</f>
        <v>0</v>
      </c>
      <c r="CF79" s="186"/>
      <c r="CG79" s="182">
        <f ca="1">SUMIFS(rec.uni[2027-05-01],
INDIRECT("rec.uni[natureza]"),"taxa.extra",
INDIRECT("rec.uni[empresa]"),CG$6)</f>
        <v>0</v>
      </c>
      <c r="CH79" s="170"/>
      <c r="CI79" s="170" cm="1">
        <f t="array" ref="CI7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J79" s="170" cm="1">
        <f t="array" ref="CJ7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K79" s="170" cm="1">
        <f t="array" ref="CK7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L79" s="170" cm="1">
        <f t="array" ref="CL7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M79" s="170" cm="1">
        <f t="array" ref="CM7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(desp[data.pagamento]&gt;=$A79)*
    (desp[data.pagamento]&lt;EOMONTH($A79,0)+1)
  )
)</f>
        <v>0</v>
      </c>
      <c r="CN79" s="181">
        <f>COUNTIFS(
    estq[empresa], CN$6,
    estq[Data da venda / reserva], "&gt;=" &amp; $A79,
    estq[Data da venda / reserva], "&lt;"  &amp; EOMONTH($A79,0) + 1
)</f>
        <v>0</v>
      </c>
      <c r="CO79" s="182">
        <f ca="1">SUMIFS(rec.uni[2027-05-01],
INDIRECT("rec.uni[natureza]"),"pro.soluto",
INDIRECT("rec.uni[empresa]"),CO$6)</f>
        <v>0</v>
      </c>
      <c r="CP79" s="182">
        <f ca="1">SUMIFS(rec.uni[2027-05-01],
INDIRECT("rec.uni[natureza]"),"repasse.cef.obra",
INDIRECT("rec.uni[empresa]"),CP$6)</f>
        <v>0</v>
      </c>
      <c r="CQ79" s="185">
        <f ca="1">SUMIFS(rec.uni[2027-05-01],
INDIRECT("rec.uni[natureza]"),"repasse.cef.terreno",
INDIRECT("rec.uni[empresa]"),CQ$6)</f>
        <v>0</v>
      </c>
      <c r="CR79" s="186"/>
      <c r="CS79" s="182">
        <f ca="1">SUMIFS(rec.uni[2027-05-01],
INDIRECT("rec.uni[natureza]"),"taxa.extra",
INDIRECT("rec.uni[empresa]"),CS$6)</f>
        <v>0</v>
      </c>
      <c r="CT79" s="170"/>
      <c r="CU79" s="170" cm="1">
        <f t="array" ref="CU7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  <c r="CV79" s="170" cm="1">
        <f t="array" ref="CV7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  <c r="CW79" s="170" cm="1">
        <f t="array" ref="CW7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  <c r="CX79" s="170" cm="1">
        <f t="array" ref="CX7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  <c r="CY79" s="295" cm="1">
        <f t="array" ref="CY7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(desp[data.pagamento]&gt;=$A79)*
    (desp[data.pagamento]&lt;EOMONTH($A79,0)+1)
  )
)</f>
        <v>0</v>
      </c>
    </row>
    <row r="80" spans="1:103" x14ac:dyDescent="0.25">
      <c r="A80" s="180">
        <v>46539</v>
      </c>
      <c r="B80" s="181">
        <f>COUNTIFS(
    estq[empresa], B$6,
    estq[Data da venda / reserva], "&gt;=" &amp; $A80,
    estq[Data da venda / reserva], "&lt;"  &amp; EOMONTH($A80,0) + 1
)</f>
        <v>0</v>
      </c>
      <c r="C80" s="182">
        <f ca="1">SUMIFS(rec.uni[2027-06-01],
INDIRECT("rec.uni[natureza]"),"pro.soluto",
INDIRECT("rec.uni[empresa]"),C$6)</f>
        <v>0</v>
      </c>
      <c r="D80" s="182">
        <f ca="1">SUMIFS(rec.uni[2027-06-01],
INDIRECT("rec.uni[natureza]"),"repasse.cef.obra",
INDIRECT("rec.uni[empresa]"),D$6)</f>
        <v>0</v>
      </c>
      <c r="E80" s="182">
        <f ca="1">SUMIFS(rec.uni[2027-06-01],
INDIRECT("rec.uni[natureza]"),"repasse.cef.terreno",
INDIRECT("rec.uni[empresa]"),E$6)</f>
        <v>0</v>
      </c>
      <c r="F80" s="186"/>
      <c r="G80" s="182">
        <f ca="1">SUMIFS(rec.uni[2027-06-01],
INDIRECT("rec.uni[natureza]"),"taxa.extra",
INDIRECT("rec.uni[empresa]"),G$6)</f>
        <v>0</v>
      </c>
      <c r="H80" s="170"/>
      <c r="I80" s="170" cm="1">
        <f t="array" ref="I8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J80" s="170" cm="1">
        <f t="array" ref="J8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K80" s="170" cm="1">
        <f t="array" ref="K8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L80" s="170" cm="1">
        <f t="array" ref="L8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M80" s="170" cm="1">
        <f t="array" ref="M8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(desp[data.pagamento]&gt;=$A80)*
    (desp[data.pagamento]&lt;EOMONTH($A80,0)+1)
  )
)</f>
        <v>0</v>
      </c>
      <c r="N80" s="181">
        <f>COUNTIFS(
    estq[empresa], N$6,
    estq[Data da venda / reserva], "&gt;=" &amp; $A80,
    estq[Data da venda / reserva], "&lt;"  &amp; EOMONTH($A80,0) + 1
)</f>
        <v>0</v>
      </c>
      <c r="O80" s="182">
        <f ca="1">SUMIFS(rec.uni[2027-06-01],
INDIRECT("rec.uni[natureza]"),"pro.soluto",
INDIRECT("rec.uni[empresa]"),O$6)</f>
        <v>0</v>
      </c>
      <c r="P80" s="182">
        <f ca="1">SUMIFS(rec.uni[2027-06-01],
INDIRECT("rec.uni[natureza]"),"repasse.cef.obra",
INDIRECT("rec.uni[empresa]"),P$6)</f>
        <v>0</v>
      </c>
      <c r="Q80" s="182">
        <f ca="1">SUMIFS(rec.uni[2027-06-01],
INDIRECT("rec.uni[natureza]"),"repasse.cef.terreno",
INDIRECT("rec.uni[empresa]"),Q$6)</f>
        <v>0</v>
      </c>
      <c r="R80" s="186"/>
      <c r="S80" s="182">
        <f ca="1">SUMIFS(rec.uni[2027-06-01],
INDIRECT("rec.uni[natureza]"),"taxa.extra",
INDIRECT("rec.uni[empresa]"),S$6)</f>
        <v>0</v>
      </c>
      <c r="T80" s="170"/>
      <c r="U80" s="170" cm="1">
        <f t="array" ref="U8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V80" s="170" cm="1">
        <f t="array" ref="V8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W80" s="170" cm="1">
        <f t="array" ref="W8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X80" s="170" cm="1">
        <f t="array" ref="X8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Y80" s="170" cm="1">
        <f t="array" ref="Y8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(desp[data.pagamento]&gt;=$A80)*
    (desp[data.pagamento]&lt;EOMONTH($A80,0)+1)
  )
)</f>
        <v>0</v>
      </c>
      <c r="Z80" s="181">
        <f>COUNTIFS(
    estq[empresa], Z$6,
    estq[Data da venda / reserva], "&gt;=" &amp; $A80,
    estq[Data da venda / reserva], "&lt;"  &amp; EOMONTH($A80,0) + 1
)</f>
        <v>0</v>
      </c>
      <c r="AA80" s="182">
        <f ca="1">SUMIFS(rec.uni[2027-06-01],
INDIRECT("rec.uni[natureza]"),"pro.soluto",
INDIRECT("rec.uni[empresa]"),AA$6)</f>
        <v>0</v>
      </c>
      <c r="AB80" s="186">
        <f ca="1">SUMIFS(rec.uni[2027-06-01],
INDIRECT("rec.uni[natureza]"),"parcela.fin.total.ik",
INDIRECT("rec.uni[empresa]"),AB$6)</f>
        <v>0</v>
      </c>
      <c r="AC80" s="182">
        <f ca="1">SUMIFS(rec.uni[2027-06-01],
INDIRECT("rec.uni[natureza]"),"taxa.extra",
INDIRECT("rec.uni[empresa]"),AC$6)</f>
        <v>0</v>
      </c>
      <c r="AD80" s="170"/>
      <c r="AE80" s="170" cm="1">
        <f t="array" ref="AE8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F80" s="170" cm="1">
        <f t="array" ref="AF8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G80" s="170" cm="1">
        <f t="array" ref="AG8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H80" s="170" cm="1">
        <f t="array" ref="AH8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I80" s="170" cm="1">
        <f t="array" ref="AI8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(desp[data.pagamento]&gt;=$A80)*
    (desp[data.pagamento]&lt;EOMONTH($A80,0)+1)
  )
)</f>
        <v>0</v>
      </c>
      <c r="AJ80" s="181">
        <f>COUNTIFS(
    estq[empresa], AJ$6,
    estq[Data da venda / reserva], "&gt;=" &amp; $A80,
    estq[Data da venda / reserva], "&lt;"  &amp; EOMONTH($A80,0) + 1
)</f>
        <v>0</v>
      </c>
      <c r="AK80" s="182">
        <f ca="1">SUMIFS(rec.uni[2027-06-01],
INDIRECT("rec.uni[natureza]"),"pro.soluto",
INDIRECT("rec.uni[empresa]"),AK$6)</f>
        <v>0</v>
      </c>
      <c r="AL80" s="182">
        <f ca="1">SUMIFS(rec.uni[2027-06-01],
INDIRECT("rec.uni[natureza]"),"repasse.cef.obra",
INDIRECT("rec.uni[empresa]"),AL$6)</f>
        <v>0</v>
      </c>
      <c r="AM80" s="185">
        <f ca="1">SUMIFS(rec.uni[2027-06-01],
INDIRECT("rec.uni[natureza]"),"repasse.cef.terreno",
INDIRECT("rec.uni[empresa]"),AM$6)</f>
        <v>0</v>
      </c>
      <c r="AN80" s="186"/>
      <c r="AO80" s="182">
        <f ca="1">SUMIFS(rec.uni[2027-06-01],
INDIRECT("rec.uni[natureza]"),"taxa.extra",
INDIRECT("rec.uni[empresa]"),AO$6)</f>
        <v>0</v>
      </c>
      <c r="AP80" s="170"/>
      <c r="AQ80" s="170" cm="1">
        <f t="array" ref="AQ8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R80" s="170" cm="1">
        <f t="array" ref="AR8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S80" s="170" cm="1">
        <f t="array" ref="AS8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T80" s="170" cm="1">
        <f t="array" ref="AT8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U80" s="170" cm="1">
        <f t="array" ref="AU8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(desp[data.pagamento]&gt;=$A80)*
    (desp[data.pagamento]&lt;EOMONTH($A80,0)+1)
  )
)</f>
        <v>0</v>
      </c>
      <c r="AV80" s="181">
        <f>COUNTIFS(
    estq[empresa], AV$6,
    estq[Data da venda / reserva], "&gt;=" &amp; $A80,
    estq[Data da venda / reserva], "&lt;"  &amp; EOMONTH($A80,0) + 1
)</f>
        <v>0</v>
      </c>
      <c r="AW80" s="182">
        <f ca="1">SUMIFS(rec.uni[2027-06-01],
INDIRECT("rec.uni[natureza]"),"pro.soluto",
INDIRECT("rec.uni[empresa]"),AW$6)</f>
        <v>0</v>
      </c>
      <c r="AX80" s="182">
        <f ca="1">SUMIFS(rec.uni[2027-06-01],
INDIRECT("rec.uni[natureza]"),"repasse.cef.obra",
INDIRECT("rec.uni[empresa]"),AX$6)</f>
        <v>0</v>
      </c>
      <c r="AY80" s="185">
        <f ca="1">SUMIFS(rec.uni[2027-06-01],
INDIRECT("rec.uni[natureza]"),"repasse.cef.terreno",
INDIRECT("rec.uni[empresa]"),AY$6)</f>
        <v>0</v>
      </c>
      <c r="AZ80" s="186"/>
      <c r="BA80" s="182">
        <f ca="1">SUMIFS(rec.uni[2027-06-01],
INDIRECT("rec.uni[natureza]"),"taxa.extra",
INDIRECT("rec.uni[empresa]"),BA$6)</f>
        <v>0</v>
      </c>
      <c r="BB80" s="170"/>
      <c r="BC80" s="170" cm="1">
        <f t="array" ref="BC8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D80" s="170" cm="1">
        <f t="array" ref="BD8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E80" s="170" cm="1">
        <f t="array" ref="BE8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F80" s="170" cm="1">
        <f t="array" ref="BF8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G80" s="170" cm="1">
        <f t="array" ref="BG8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(desp[data.pagamento]&gt;=$A80)*
    (desp[data.pagamento]&lt;EOMONTH($A80,0)+1)
  )
)</f>
        <v>0</v>
      </c>
      <c r="BH80" s="181">
        <f>COUNTIFS(
    estq[empresa], BH$6,
    estq[Data da venda / reserva], "&gt;=" &amp; $A80,
    estq[Data da venda / reserva], "&lt;"  &amp; EOMONTH($A80,0) + 1
)</f>
        <v>0</v>
      </c>
      <c r="BI80" s="182">
        <f ca="1">SUMIFS(rec.uni[2027-06-01],
INDIRECT("rec.uni[natureza]"),"pro.soluto",
INDIRECT("rec.uni[empresa]"),BI$6)</f>
        <v>0</v>
      </c>
      <c r="BJ80" s="186">
        <f ca="1">SUMIFS(rec.uni[2027-06-01],
INDIRECT("rec.uni[natureza]"),"parcela.fin.total.ik",
INDIRECT("rec.uni[empresa]"),BJ$6)</f>
        <v>0</v>
      </c>
      <c r="BK80" s="182">
        <f ca="1">SUMIFS(rec.uni[2027-06-01],
INDIRECT("rec.uni[natureza]"),"taxa.extra",
INDIRECT("rec.uni[empresa]"),BK$6)</f>
        <v>0</v>
      </c>
      <c r="BL80" s="170"/>
      <c r="BM80" s="170" cm="1">
        <f t="array" ref="BM8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N80" s="170" cm="1">
        <f t="array" ref="BN8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O80" s="170" cm="1">
        <f t="array" ref="BO8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P80" s="170" cm="1">
        <f t="array" ref="BP8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Q80" s="170" cm="1">
        <f t="array" ref="BQ8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(desp[data.pagamento]&gt;=$A80)*
    (desp[data.pagamento]&lt;EOMONTH($A80,0)+1)
  )
)</f>
        <v>0</v>
      </c>
      <c r="BR80" s="181">
        <f>COUNTIFS(
    estq[empresa], BR$6,
    estq[Data da venda / reserva], "&gt;=" &amp; $A80,
    estq[Data da venda / reserva], "&lt;"  &amp; EOMONTH($A80,0) + 1
)</f>
        <v>0</v>
      </c>
      <c r="BS80" s="182">
        <f ca="1">SUMIFS(rec.uni[2027-06-01],
INDIRECT("rec.uni[natureza]"),"pro.soluto",
INDIRECT("rec.uni[empresa]"),BS$6)</f>
        <v>0</v>
      </c>
      <c r="BT80" s="186">
        <f ca="1">SUMIFS(rec.uni[2027-06-01],
INDIRECT("rec.uni[natureza]"),"parcela.fin.total.ik",
INDIRECT("rec.uni[empresa]"),BT$6)</f>
        <v>0</v>
      </c>
      <c r="BU80" s="182">
        <f ca="1">SUMIFS(rec.uni[2027-06-01],
INDIRECT("rec.uni[natureza]"),"taxa.extra",
INDIRECT("rec.uni[empresa]"),BU$6)</f>
        <v>0</v>
      </c>
      <c r="BV80" s="170"/>
      <c r="BW80" s="170" cm="1">
        <f t="array" ref="BW8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BX80" s="170" cm="1">
        <f t="array" ref="BX8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BY80" s="170" cm="1">
        <f t="array" ref="BY8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BZ80" s="170" cm="1">
        <f t="array" ref="BZ8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CA80" s="170" cm="1">
        <f t="array" ref="CA8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(desp[data.pagamento]&gt;=$A80)*
    (desp[data.pagamento]&lt;EOMONTH($A80,0)+1)
  )
)</f>
        <v>0</v>
      </c>
      <c r="CB80" s="181">
        <f>COUNTIFS(
    estq[empresa], CB$6,
    estq[Data da venda / reserva], "&gt;=" &amp; $A80,
    estq[Data da venda / reserva], "&lt;"  &amp; EOMONTH($A80,0) + 1
)</f>
        <v>0</v>
      </c>
      <c r="CC80" s="182">
        <f ca="1">SUMIFS(rec.uni[2027-06-01],
INDIRECT("rec.uni[natureza]"),"pro.soluto",
INDIRECT("rec.uni[empresa]"),CC$6)</f>
        <v>0</v>
      </c>
      <c r="CD80" s="182">
        <f ca="1">SUMIFS(rec.uni[2027-06-01],
INDIRECT("rec.uni[natureza]"),"repasse.cef.obra",
INDIRECT("rec.uni[empresa]"),CD$6)</f>
        <v>0</v>
      </c>
      <c r="CE80" s="185">
        <f ca="1">SUMIFS(rec.uni[2027-06-01],
INDIRECT("rec.uni[natureza]"),"repasse.cef.terreno",
INDIRECT("rec.uni[empresa]"),CE$6)</f>
        <v>0</v>
      </c>
      <c r="CF80" s="186"/>
      <c r="CG80" s="182">
        <f ca="1">SUMIFS(rec.uni[2027-06-01],
INDIRECT("rec.uni[natureza]"),"taxa.extra",
INDIRECT("rec.uni[empresa]"),CG$6)</f>
        <v>0</v>
      </c>
      <c r="CH80" s="170"/>
      <c r="CI80" s="170" cm="1">
        <f t="array" ref="CI8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J80" s="170" cm="1">
        <f t="array" ref="CJ8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K80" s="170" cm="1">
        <f t="array" ref="CK8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L80" s="170" cm="1">
        <f t="array" ref="CL8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M80" s="170" cm="1">
        <f t="array" ref="CM8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(desp[data.pagamento]&gt;=$A80)*
    (desp[data.pagamento]&lt;EOMONTH($A80,0)+1)
  )
)</f>
        <v>0</v>
      </c>
      <c r="CN80" s="181">
        <f>COUNTIFS(
    estq[empresa], CN$6,
    estq[Data da venda / reserva], "&gt;=" &amp; $A80,
    estq[Data da venda / reserva], "&lt;"  &amp; EOMONTH($A80,0) + 1
)</f>
        <v>0</v>
      </c>
      <c r="CO80" s="182">
        <f ca="1">SUMIFS(rec.uni[2027-06-01],
INDIRECT("rec.uni[natureza]"),"pro.soluto",
INDIRECT("rec.uni[empresa]"),CO$6)</f>
        <v>0</v>
      </c>
      <c r="CP80" s="182">
        <f ca="1">SUMIFS(rec.uni[2027-06-01],
INDIRECT("rec.uni[natureza]"),"repasse.cef.obra",
INDIRECT("rec.uni[empresa]"),CP$6)</f>
        <v>0</v>
      </c>
      <c r="CQ80" s="185">
        <f ca="1">SUMIFS(rec.uni[2027-06-01],
INDIRECT("rec.uni[natureza]"),"repasse.cef.terreno",
INDIRECT("rec.uni[empresa]"),CQ$6)</f>
        <v>0</v>
      </c>
      <c r="CR80" s="186"/>
      <c r="CS80" s="182">
        <f ca="1">SUMIFS(rec.uni[2027-06-01],
INDIRECT("rec.uni[natureza]"),"taxa.extra",
INDIRECT("rec.uni[empresa]"),CS$6)</f>
        <v>0</v>
      </c>
      <c r="CT80" s="170"/>
      <c r="CU80" s="170" cm="1">
        <f t="array" ref="CU8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  <c r="CV80" s="170" cm="1">
        <f t="array" ref="CV8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  <c r="CW80" s="170" cm="1">
        <f t="array" ref="CW8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  <c r="CX80" s="170" cm="1">
        <f t="array" ref="CX8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  <c r="CY80" s="295" cm="1">
        <f t="array" ref="CY8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(desp[data.pagamento]&gt;=$A80)*
    (desp[data.pagamento]&lt;EOMONTH($A80,0)+1)
  )
)</f>
        <v>0</v>
      </c>
    </row>
    <row r="81" spans="1:103" x14ac:dyDescent="0.25">
      <c r="A81" s="180">
        <v>46569</v>
      </c>
      <c r="B81" s="181">
        <f>COUNTIFS(
    estq[empresa], B$6,
    estq[Data da venda / reserva], "&gt;=" &amp; $A81,
    estq[Data da venda / reserva], "&lt;"  &amp; EOMONTH($A81,0) + 1
)</f>
        <v>0</v>
      </c>
      <c r="C81" s="182">
        <f ca="1">SUMIFS(rec.uni[2027-07-01],
INDIRECT("rec.uni[natureza]"),"pro.soluto",
INDIRECT("rec.uni[empresa]"),C$6)</f>
        <v>0</v>
      </c>
      <c r="D81" s="182">
        <f ca="1">SUMIFS(rec.uni[2027-07-01],
INDIRECT("rec.uni[natureza]"),"repasse.cef.obra",
INDIRECT("rec.uni[empresa]"),D$6)</f>
        <v>0</v>
      </c>
      <c r="E81" s="182">
        <f ca="1">SUMIFS(rec.uni[2027-07-01],
INDIRECT("rec.uni[natureza]"),"repasse.cef.terreno",
INDIRECT("rec.uni[empresa]"),E$6)</f>
        <v>0</v>
      </c>
      <c r="F81" s="186"/>
      <c r="G81" s="182">
        <f ca="1">SUMIFS(rec.uni[2027-07-01],
INDIRECT("rec.uni[natureza]"),"taxa.extra",
INDIRECT("rec.uni[empresa]"),G$6)</f>
        <v>0</v>
      </c>
      <c r="H81" s="170"/>
      <c r="I81" s="170" cm="1">
        <f t="array" ref="I8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J81" s="170" cm="1">
        <f t="array" ref="J8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K81" s="170" cm="1">
        <f t="array" ref="K8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L81" s="170" cm="1">
        <f t="array" ref="L8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M81" s="170" cm="1">
        <f t="array" ref="M8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(desp[data.pagamento]&gt;=$A81)*
    (desp[data.pagamento]&lt;EOMONTH($A81,0)+1)
  )
)</f>
        <v>0</v>
      </c>
      <c r="N81" s="181">
        <f>COUNTIFS(
    estq[empresa], N$6,
    estq[Data da venda / reserva], "&gt;=" &amp; $A81,
    estq[Data da venda / reserva], "&lt;"  &amp; EOMONTH($A81,0) + 1
)</f>
        <v>0</v>
      </c>
      <c r="O81" s="182">
        <f ca="1">SUMIFS(rec.uni[2027-07-01],
INDIRECT("rec.uni[natureza]"),"pro.soluto",
INDIRECT("rec.uni[empresa]"),O$6)</f>
        <v>0</v>
      </c>
      <c r="P81" s="182">
        <f ca="1">SUMIFS(rec.uni[2027-07-01],
INDIRECT("rec.uni[natureza]"),"repasse.cef.obra",
INDIRECT("rec.uni[empresa]"),P$6)</f>
        <v>0</v>
      </c>
      <c r="Q81" s="182">
        <f ca="1">SUMIFS(rec.uni[2027-07-01],
INDIRECT("rec.uni[natureza]"),"repasse.cef.terreno",
INDIRECT("rec.uni[empresa]"),Q$6)</f>
        <v>0</v>
      </c>
      <c r="R81" s="186"/>
      <c r="S81" s="182">
        <f ca="1">SUMIFS(rec.uni[2027-07-01],
INDIRECT("rec.uni[natureza]"),"taxa.extra",
INDIRECT("rec.uni[empresa]"),S$6)</f>
        <v>0</v>
      </c>
      <c r="T81" s="170"/>
      <c r="U81" s="170" cm="1">
        <f t="array" ref="U8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V81" s="170" cm="1">
        <f t="array" ref="V8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W81" s="170" cm="1">
        <f t="array" ref="W8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X81" s="170" cm="1">
        <f t="array" ref="X8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Y81" s="170" cm="1">
        <f t="array" ref="Y8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(desp[data.pagamento]&gt;=$A81)*
    (desp[data.pagamento]&lt;EOMONTH($A81,0)+1)
  )
)</f>
        <v>0</v>
      </c>
      <c r="Z81" s="181">
        <f>COUNTIFS(
    estq[empresa], Z$6,
    estq[Data da venda / reserva], "&gt;=" &amp; $A81,
    estq[Data da venda / reserva], "&lt;"  &amp; EOMONTH($A81,0) + 1
)</f>
        <v>0</v>
      </c>
      <c r="AA81" s="182">
        <f ca="1">SUMIFS(rec.uni[2027-07-01],
INDIRECT("rec.uni[natureza]"),"pro.soluto",
INDIRECT("rec.uni[empresa]"),AA$6)</f>
        <v>0</v>
      </c>
      <c r="AB81" s="186">
        <f ca="1">SUMIFS(rec.uni[2027-07-01],
INDIRECT("rec.uni[natureza]"),"parcela.fin.total.ik",
INDIRECT("rec.uni[empresa]"),AB$6)</f>
        <v>0</v>
      </c>
      <c r="AC81" s="182">
        <f ca="1">SUMIFS(rec.uni[2027-07-01],
INDIRECT("rec.uni[natureza]"),"taxa.extra",
INDIRECT("rec.uni[empresa]"),AC$6)</f>
        <v>0</v>
      </c>
      <c r="AD81" s="170"/>
      <c r="AE81" s="170" cm="1">
        <f t="array" ref="AE8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F81" s="170" cm="1">
        <f t="array" ref="AF8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G81" s="170" cm="1">
        <f t="array" ref="AG8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H81" s="170" cm="1">
        <f t="array" ref="AH8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I81" s="170" cm="1">
        <f t="array" ref="AI8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(desp[data.pagamento]&gt;=$A81)*
    (desp[data.pagamento]&lt;EOMONTH($A81,0)+1)
  )
)</f>
        <v>0</v>
      </c>
      <c r="AJ81" s="181">
        <f>COUNTIFS(
    estq[empresa], AJ$6,
    estq[Data da venda / reserva], "&gt;=" &amp; $A81,
    estq[Data da venda / reserva], "&lt;"  &amp; EOMONTH($A81,0) + 1
)</f>
        <v>0</v>
      </c>
      <c r="AK81" s="182">
        <f ca="1">SUMIFS(rec.uni[2027-07-01],
INDIRECT("rec.uni[natureza]"),"pro.soluto",
INDIRECT("rec.uni[empresa]"),AK$6)</f>
        <v>0</v>
      </c>
      <c r="AL81" s="182">
        <f ca="1">SUMIFS(rec.uni[2027-07-01],
INDIRECT("rec.uni[natureza]"),"repasse.cef.obra",
INDIRECT("rec.uni[empresa]"),AL$6)</f>
        <v>0</v>
      </c>
      <c r="AM81" s="185">
        <f ca="1">SUMIFS(rec.uni[2027-07-01],
INDIRECT("rec.uni[natureza]"),"repasse.cef.terreno",
INDIRECT("rec.uni[empresa]"),AM$6)</f>
        <v>0</v>
      </c>
      <c r="AN81" s="186"/>
      <c r="AO81" s="182">
        <f ca="1">SUMIFS(rec.uni[2027-07-01],
INDIRECT("rec.uni[natureza]"),"taxa.extra",
INDIRECT("rec.uni[empresa]"),AO$6)</f>
        <v>0</v>
      </c>
      <c r="AP81" s="170"/>
      <c r="AQ81" s="170" cm="1">
        <f t="array" ref="AQ8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R81" s="170" cm="1">
        <f t="array" ref="AR8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S81" s="170" cm="1">
        <f t="array" ref="AS8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T81" s="170" cm="1">
        <f t="array" ref="AT8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U81" s="170" cm="1">
        <f t="array" ref="AU8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(desp[data.pagamento]&gt;=$A81)*
    (desp[data.pagamento]&lt;EOMONTH($A81,0)+1)
  )
)</f>
        <v>0</v>
      </c>
      <c r="AV81" s="181">
        <f>COUNTIFS(
    estq[empresa], AV$6,
    estq[Data da venda / reserva], "&gt;=" &amp; $A81,
    estq[Data da venda / reserva], "&lt;"  &amp; EOMONTH($A81,0) + 1
)</f>
        <v>0</v>
      </c>
      <c r="AW81" s="182">
        <f ca="1">SUMIFS(rec.uni[2027-07-01],
INDIRECT("rec.uni[natureza]"),"pro.soluto",
INDIRECT("rec.uni[empresa]"),AW$6)</f>
        <v>0</v>
      </c>
      <c r="AX81" s="182">
        <f ca="1">SUMIFS(rec.uni[2027-07-01],
INDIRECT("rec.uni[natureza]"),"repasse.cef.obra",
INDIRECT("rec.uni[empresa]"),AX$6)</f>
        <v>0</v>
      </c>
      <c r="AY81" s="185">
        <f ca="1">SUMIFS(rec.uni[2027-07-01],
INDIRECT("rec.uni[natureza]"),"repasse.cef.terreno",
INDIRECT("rec.uni[empresa]"),AY$6)</f>
        <v>0</v>
      </c>
      <c r="AZ81" s="186"/>
      <c r="BA81" s="182">
        <f ca="1">SUMIFS(rec.uni[2027-07-01],
INDIRECT("rec.uni[natureza]"),"taxa.extra",
INDIRECT("rec.uni[empresa]"),BA$6)</f>
        <v>0</v>
      </c>
      <c r="BB81" s="170"/>
      <c r="BC81" s="170" cm="1">
        <f t="array" ref="BC8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D81" s="170" cm="1">
        <f t="array" ref="BD8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E81" s="170" cm="1">
        <f t="array" ref="BE8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F81" s="170" cm="1">
        <f t="array" ref="BF8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G81" s="170" cm="1">
        <f t="array" ref="BG8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(desp[data.pagamento]&gt;=$A81)*
    (desp[data.pagamento]&lt;EOMONTH($A81,0)+1)
  )
)</f>
        <v>0</v>
      </c>
      <c r="BH81" s="181">
        <f>COUNTIFS(
    estq[empresa], BH$6,
    estq[Data da venda / reserva], "&gt;=" &amp; $A81,
    estq[Data da venda / reserva], "&lt;"  &amp; EOMONTH($A81,0) + 1
)</f>
        <v>0</v>
      </c>
      <c r="BI81" s="182">
        <f ca="1">SUMIFS(rec.uni[2027-07-01],
INDIRECT("rec.uni[natureza]"),"pro.soluto",
INDIRECT("rec.uni[empresa]"),BI$6)</f>
        <v>0</v>
      </c>
      <c r="BJ81" s="186">
        <f ca="1">SUMIFS(rec.uni[2027-07-01],
INDIRECT("rec.uni[natureza]"),"parcela.fin.total.ik",
INDIRECT("rec.uni[empresa]"),BJ$6)</f>
        <v>0</v>
      </c>
      <c r="BK81" s="182">
        <f ca="1">SUMIFS(rec.uni[2027-07-01],
INDIRECT("rec.uni[natureza]"),"taxa.extra",
INDIRECT("rec.uni[empresa]"),BK$6)</f>
        <v>0</v>
      </c>
      <c r="BL81" s="170"/>
      <c r="BM81" s="170" cm="1">
        <f t="array" ref="BM8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N81" s="170" cm="1">
        <f t="array" ref="BN8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O81" s="170" cm="1">
        <f t="array" ref="BO8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P81" s="170" cm="1">
        <f t="array" ref="BP8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Q81" s="170" cm="1">
        <f t="array" ref="BQ8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(desp[data.pagamento]&gt;=$A81)*
    (desp[data.pagamento]&lt;EOMONTH($A81,0)+1)
  )
)</f>
        <v>0</v>
      </c>
      <c r="BR81" s="181">
        <f>COUNTIFS(
    estq[empresa], BR$6,
    estq[Data da venda / reserva], "&gt;=" &amp; $A81,
    estq[Data da venda / reserva], "&lt;"  &amp; EOMONTH($A81,0) + 1
)</f>
        <v>0</v>
      </c>
      <c r="BS81" s="182">
        <f ca="1">SUMIFS(rec.uni[2027-07-01],
INDIRECT("rec.uni[natureza]"),"pro.soluto",
INDIRECT("rec.uni[empresa]"),BS$6)</f>
        <v>0</v>
      </c>
      <c r="BT81" s="186">
        <f ca="1">SUMIFS(rec.uni[2027-07-01],
INDIRECT("rec.uni[natureza]"),"parcela.fin.total.ik",
INDIRECT("rec.uni[empresa]"),BT$6)</f>
        <v>0</v>
      </c>
      <c r="BU81" s="182">
        <f ca="1">SUMIFS(rec.uni[2027-07-01],
INDIRECT("rec.uni[natureza]"),"taxa.extra",
INDIRECT("rec.uni[empresa]"),BU$6)</f>
        <v>0</v>
      </c>
      <c r="BV81" s="170"/>
      <c r="BW81" s="170" cm="1">
        <f t="array" ref="BW8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BX81" s="170" cm="1">
        <f t="array" ref="BX8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BY81" s="170" cm="1">
        <f t="array" ref="BY8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BZ81" s="170" cm="1">
        <f t="array" ref="BZ8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CA81" s="170" cm="1">
        <f t="array" ref="CA8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(desp[data.pagamento]&gt;=$A81)*
    (desp[data.pagamento]&lt;EOMONTH($A81,0)+1)
  )
)</f>
        <v>0</v>
      </c>
      <c r="CB81" s="181">
        <f>COUNTIFS(
    estq[empresa], CB$6,
    estq[Data da venda / reserva], "&gt;=" &amp; $A81,
    estq[Data da venda / reserva], "&lt;"  &amp; EOMONTH($A81,0) + 1
)</f>
        <v>0</v>
      </c>
      <c r="CC81" s="182">
        <f ca="1">SUMIFS(rec.uni[2027-07-01],
INDIRECT("rec.uni[natureza]"),"pro.soluto",
INDIRECT("rec.uni[empresa]"),CC$6)</f>
        <v>0</v>
      </c>
      <c r="CD81" s="182">
        <f ca="1">SUMIFS(rec.uni[2027-07-01],
INDIRECT("rec.uni[natureza]"),"repasse.cef.obra",
INDIRECT("rec.uni[empresa]"),CD$6)</f>
        <v>0</v>
      </c>
      <c r="CE81" s="185">
        <f ca="1">SUMIFS(rec.uni[2027-07-01],
INDIRECT("rec.uni[natureza]"),"repasse.cef.terreno",
INDIRECT("rec.uni[empresa]"),CE$6)</f>
        <v>0</v>
      </c>
      <c r="CF81" s="186"/>
      <c r="CG81" s="182">
        <f ca="1">SUMIFS(rec.uni[2027-07-01],
INDIRECT("rec.uni[natureza]"),"taxa.extra",
INDIRECT("rec.uni[empresa]"),CG$6)</f>
        <v>0</v>
      </c>
      <c r="CH81" s="170"/>
      <c r="CI81" s="170" cm="1">
        <f t="array" ref="CI8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J81" s="170" cm="1">
        <f t="array" ref="CJ8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K81" s="170" cm="1">
        <f t="array" ref="CK8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L81" s="170" cm="1">
        <f t="array" ref="CL8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M81" s="170" cm="1">
        <f t="array" ref="CM8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(desp[data.pagamento]&gt;=$A81)*
    (desp[data.pagamento]&lt;EOMONTH($A81,0)+1)
  )
)</f>
        <v>0</v>
      </c>
      <c r="CN81" s="181">
        <f>COUNTIFS(
    estq[empresa], CN$6,
    estq[Data da venda / reserva], "&gt;=" &amp; $A81,
    estq[Data da venda / reserva], "&lt;"  &amp; EOMONTH($A81,0) + 1
)</f>
        <v>0</v>
      </c>
      <c r="CO81" s="182">
        <f ca="1">SUMIFS(rec.uni[2027-07-01],
INDIRECT("rec.uni[natureza]"),"pro.soluto",
INDIRECT("rec.uni[empresa]"),CO$6)</f>
        <v>0</v>
      </c>
      <c r="CP81" s="182">
        <f ca="1">SUMIFS(rec.uni[2027-07-01],
INDIRECT("rec.uni[natureza]"),"repasse.cef.obra",
INDIRECT("rec.uni[empresa]"),CP$6)</f>
        <v>0</v>
      </c>
      <c r="CQ81" s="185">
        <f ca="1">SUMIFS(rec.uni[2027-07-01],
INDIRECT("rec.uni[natureza]"),"repasse.cef.terreno",
INDIRECT("rec.uni[empresa]"),CQ$6)</f>
        <v>0</v>
      </c>
      <c r="CR81" s="186"/>
      <c r="CS81" s="182">
        <f ca="1">SUMIFS(rec.uni[2027-07-01],
INDIRECT("rec.uni[natureza]"),"taxa.extra",
INDIRECT("rec.uni[empresa]"),CS$6)</f>
        <v>0</v>
      </c>
      <c r="CT81" s="170"/>
      <c r="CU81" s="170" cm="1">
        <f t="array" ref="CU8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  <c r="CV81" s="170" cm="1">
        <f t="array" ref="CV8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  <c r="CW81" s="170" cm="1">
        <f t="array" ref="CW8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  <c r="CX81" s="170" cm="1">
        <f t="array" ref="CX8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  <c r="CY81" s="295" cm="1">
        <f t="array" ref="CY8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(desp[data.pagamento]&gt;=$A81)*
    (desp[data.pagamento]&lt;EOMONTH($A81,0)+1)
  )
)</f>
        <v>0</v>
      </c>
    </row>
    <row r="82" spans="1:103" x14ac:dyDescent="0.25">
      <c r="A82" s="180">
        <v>46600</v>
      </c>
      <c r="B82" s="181">
        <f>COUNTIFS(
    estq[empresa], B$6,
    estq[Data da venda / reserva], "&gt;=" &amp; $A82,
    estq[Data da venda / reserva], "&lt;"  &amp; EOMONTH($A82,0) + 1
)</f>
        <v>0</v>
      </c>
      <c r="C82" s="182">
        <f ca="1">SUMIFS(rec.uni[2027-08-01],
INDIRECT("rec.uni[natureza]"),"pro.soluto",
INDIRECT("rec.uni[empresa]"),C$6)</f>
        <v>0</v>
      </c>
      <c r="D82" s="182">
        <f ca="1">SUMIFS(rec.uni[2027-08-01],
INDIRECT("rec.uni[natureza]"),"repasse.cef.obra",
INDIRECT("rec.uni[empresa]"),D$6)</f>
        <v>0</v>
      </c>
      <c r="E82" s="182">
        <f ca="1">SUMIFS(rec.uni[2027-08-01],
INDIRECT("rec.uni[natureza]"),"repasse.cef.terreno",
INDIRECT("rec.uni[empresa]"),E$6)</f>
        <v>0</v>
      </c>
      <c r="F82" s="186"/>
      <c r="G82" s="182">
        <f ca="1">SUMIFS(rec.uni[2027-08-01],
INDIRECT("rec.uni[natureza]"),"taxa.extra",
INDIRECT("rec.uni[empresa]"),G$6)</f>
        <v>0</v>
      </c>
      <c r="H82" s="170"/>
      <c r="I82" s="170" cm="1">
        <f t="array" ref="I8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J82" s="170" cm="1">
        <f t="array" ref="J8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K82" s="170" cm="1">
        <f t="array" ref="K8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L82" s="170" cm="1">
        <f t="array" ref="L8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M82" s="170" cm="1">
        <f t="array" ref="M8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(desp[data.pagamento]&gt;=$A82)*
    (desp[data.pagamento]&lt;EOMONTH($A82,0)+1)
  )
)</f>
        <v>0</v>
      </c>
      <c r="N82" s="181">
        <f>COUNTIFS(
    estq[empresa], N$6,
    estq[Data da venda / reserva], "&gt;=" &amp; $A82,
    estq[Data da venda / reserva], "&lt;"  &amp; EOMONTH($A82,0) + 1
)</f>
        <v>0</v>
      </c>
      <c r="O82" s="182">
        <f ca="1">SUMIFS(rec.uni[2027-08-01],
INDIRECT("rec.uni[natureza]"),"pro.soluto",
INDIRECT("rec.uni[empresa]"),O$6)</f>
        <v>0</v>
      </c>
      <c r="P82" s="182">
        <f ca="1">SUMIFS(rec.uni[2027-08-01],
INDIRECT("rec.uni[natureza]"),"repasse.cef.obra",
INDIRECT("rec.uni[empresa]"),P$6)</f>
        <v>0</v>
      </c>
      <c r="Q82" s="182">
        <f ca="1">SUMIFS(rec.uni[2027-08-01],
INDIRECT("rec.uni[natureza]"),"repasse.cef.terreno",
INDIRECT("rec.uni[empresa]"),Q$6)</f>
        <v>0</v>
      </c>
      <c r="R82" s="186"/>
      <c r="S82" s="182">
        <f ca="1">SUMIFS(rec.uni[2027-08-01],
INDIRECT("rec.uni[natureza]"),"taxa.extra",
INDIRECT("rec.uni[empresa]"),S$6)</f>
        <v>0</v>
      </c>
      <c r="T82" s="170"/>
      <c r="U82" s="170" cm="1">
        <f t="array" ref="U8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V82" s="170" cm="1">
        <f t="array" ref="V8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W82" s="170" cm="1">
        <f t="array" ref="W8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X82" s="170" cm="1">
        <f t="array" ref="X8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Y82" s="170" cm="1">
        <f t="array" ref="Y8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(desp[data.pagamento]&gt;=$A82)*
    (desp[data.pagamento]&lt;EOMONTH($A82,0)+1)
  )
)</f>
        <v>0</v>
      </c>
      <c r="Z82" s="181">
        <f>COUNTIFS(
    estq[empresa], Z$6,
    estq[Data da venda / reserva], "&gt;=" &amp; $A82,
    estq[Data da venda / reserva], "&lt;"  &amp; EOMONTH($A82,0) + 1
)</f>
        <v>0</v>
      </c>
      <c r="AA82" s="182">
        <f ca="1">SUMIFS(rec.uni[2027-08-01],
INDIRECT("rec.uni[natureza]"),"pro.soluto",
INDIRECT("rec.uni[empresa]"),AA$6)</f>
        <v>0</v>
      </c>
      <c r="AB82" s="186">
        <f ca="1">SUMIFS(rec.uni[2027-08-01],
INDIRECT("rec.uni[natureza]"),"parcela.fin.total.ik",
INDIRECT("rec.uni[empresa]"),AB$6)</f>
        <v>0</v>
      </c>
      <c r="AC82" s="182">
        <f ca="1">SUMIFS(rec.uni[2027-08-01],
INDIRECT("rec.uni[natureza]"),"taxa.extra",
INDIRECT("rec.uni[empresa]"),AC$6)</f>
        <v>0</v>
      </c>
      <c r="AD82" s="170"/>
      <c r="AE82" s="170" cm="1">
        <f t="array" ref="AE8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F82" s="170" cm="1">
        <f t="array" ref="AF8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G82" s="170" cm="1">
        <f t="array" ref="AG8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H82" s="170" cm="1">
        <f t="array" ref="AH8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I82" s="170" cm="1">
        <f t="array" ref="AI8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(desp[data.pagamento]&gt;=$A82)*
    (desp[data.pagamento]&lt;EOMONTH($A82,0)+1)
  )
)</f>
        <v>0</v>
      </c>
      <c r="AJ82" s="181">
        <f>COUNTIFS(
    estq[empresa], AJ$6,
    estq[Data da venda / reserva], "&gt;=" &amp; $A82,
    estq[Data da venda / reserva], "&lt;"  &amp; EOMONTH($A82,0) + 1
)</f>
        <v>0</v>
      </c>
      <c r="AK82" s="182">
        <f ca="1">SUMIFS(rec.uni[2027-08-01],
INDIRECT("rec.uni[natureza]"),"pro.soluto",
INDIRECT("rec.uni[empresa]"),AK$6)</f>
        <v>0</v>
      </c>
      <c r="AL82" s="182">
        <f ca="1">SUMIFS(rec.uni[2027-08-01],
INDIRECT("rec.uni[natureza]"),"repasse.cef.obra",
INDIRECT("rec.uni[empresa]"),AL$6)</f>
        <v>0</v>
      </c>
      <c r="AM82" s="185">
        <f ca="1">SUMIFS(rec.uni[2027-08-01],
INDIRECT("rec.uni[natureza]"),"repasse.cef.terreno",
INDIRECT("rec.uni[empresa]"),AM$6)</f>
        <v>0</v>
      </c>
      <c r="AN82" s="186"/>
      <c r="AO82" s="182">
        <f ca="1">SUMIFS(rec.uni[2027-08-01],
INDIRECT("rec.uni[natureza]"),"taxa.extra",
INDIRECT("rec.uni[empresa]"),AO$6)</f>
        <v>0</v>
      </c>
      <c r="AP82" s="170"/>
      <c r="AQ82" s="170" cm="1">
        <f t="array" ref="AQ8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R82" s="170" cm="1">
        <f t="array" ref="AR8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S82" s="170" cm="1">
        <f t="array" ref="AS8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T82" s="170" cm="1">
        <f t="array" ref="AT8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U82" s="170" cm="1">
        <f t="array" ref="AU8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(desp[data.pagamento]&gt;=$A82)*
    (desp[data.pagamento]&lt;EOMONTH($A82,0)+1)
  )
)</f>
        <v>0</v>
      </c>
      <c r="AV82" s="181">
        <f>COUNTIFS(
    estq[empresa], AV$6,
    estq[Data da venda / reserva], "&gt;=" &amp; $A82,
    estq[Data da venda / reserva], "&lt;"  &amp; EOMONTH($A82,0) + 1
)</f>
        <v>0</v>
      </c>
      <c r="AW82" s="182">
        <f ca="1">SUMIFS(rec.uni[2027-08-01],
INDIRECT("rec.uni[natureza]"),"pro.soluto",
INDIRECT("rec.uni[empresa]"),AW$6)</f>
        <v>0</v>
      </c>
      <c r="AX82" s="182">
        <f ca="1">SUMIFS(rec.uni[2027-08-01],
INDIRECT("rec.uni[natureza]"),"repasse.cef.obra",
INDIRECT("rec.uni[empresa]"),AX$6)</f>
        <v>0</v>
      </c>
      <c r="AY82" s="185">
        <f ca="1">SUMIFS(rec.uni[2027-08-01],
INDIRECT("rec.uni[natureza]"),"repasse.cef.terreno",
INDIRECT("rec.uni[empresa]"),AY$6)</f>
        <v>0</v>
      </c>
      <c r="AZ82" s="186"/>
      <c r="BA82" s="182">
        <f ca="1">SUMIFS(rec.uni[2027-08-01],
INDIRECT("rec.uni[natureza]"),"taxa.extra",
INDIRECT("rec.uni[empresa]"),BA$6)</f>
        <v>0</v>
      </c>
      <c r="BB82" s="170"/>
      <c r="BC82" s="170" cm="1">
        <f t="array" ref="BC8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D82" s="170" cm="1">
        <f t="array" ref="BD8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E82" s="170" cm="1">
        <f t="array" ref="BE8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F82" s="170" cm="1">
        <f t="array" ref="BF8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G82" s="170" cm="1">
        <f t="array" ref="BG8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(desp[data.pagamento]&gt;=$A82)*
    (desp[data.pagamento]&lt;EOMONTH($A82,0)+1)
  )
)</f>
        <v>0</v>
      </c>
      <c r="BH82" s="181">
        <f>COUNTIFS(
    estq[empresa], BH$6,
    estq[Data da venda / reserva], "&gt;=" &amp; $A82,
    estq[Data da venda / reserva], "&lt;"  &amp; EOMONTH($A82,0) + 1
)</f>
        <v>0</v>
      </c>
      <c r="BI82" s="182">
        <f ca="1">SUMIFS(rec.uni[2027-08-01],
INDIRECT("rec.uni[natureza]"),"pro.soluto",
INDIRECT("rec.uni[empresa]"),BI$6)</f>
        <v>0</v>
      </c>
      <c r="BJ82" s="186">
        <f ca="1">SUMIFS(rec.uni[2027-08-01],
INDIRECT("rec.uni[natureza]"),"parcela.fin.total.ik",
INDIRECT("rec.uni[empresa]"),BJ$6)</f>
        <v>0</v>
      </c>
      <c r="BK82" s="182">
        <f ca="1">SUMIFS(rec.uni[2027-08-01],
INDIRECT("rec.uni[natureza]"),"taxa.extra",
INDIRECT("rec.uni[empresa]"),BK$6)</f>
        <v>0</v>
      </c>
      <c r="BL82" s="170"/>
      <c r="BM82" s="170" cm="1">
        <f t="array" ref="BM8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N82" s="170" cm="1">
        <f t="array" ref="BN8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O82" s="170" cm="1">
        <f t="array" ref="BO8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P82" s="170" cm="1">
        <f t="array" ref="BP8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Q82" s="170" cm="1">
        <f t="array" ref="BQ8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(desp[data.pagamento]&gt;=$A82)*
    (desp[data.pagamento]&lt;EOMONTH($A82,0)+1)
  )
)</f>
        <v>0</v>
      </c>
      <c r="BR82" s="181">
        <f>COUNTIFS(
    estq[empresa], BR$6,
    estq[Data da venda / reserva], "&gt;=" &amp; $A82,
    estq[Data da venda / reserva], "&lt;"  &amp; EOMONTH($A82,0) + 1
)</f>
        <v>0</v>
      </c>
      <c r="BS82" s="182">
        <f ca="1">SUMIFS(rec.uni[2027-08-01],
INDIRECT("rec.uni[natureza]"),"pro.soluto",
INDIRECT("rec.uni[empresa]"),BS$6)</f>
        <v>0</v>
      </c>
      <c r="BT82" s="186">
        <f ca="1">SUMIFS(rec.uni[2027-08-01],
INDIRECT("rec.uni[natureza]"),"parcela.fin.total.ik",
INDIRECT("rec.uni[empresa]"),BT$6)</f>
        <v>0</v>
      </c>
      <c r="BU82" s="182">
        <f ca="1">SUMIFS(rec.uni[2027-08-01],
INDIRECT("rec.uni[natureza]"),"taxa.extra",
INDIRECT("rec.uni[empresa]"),BU$6)</f>
        <v>0</v>
      </c>
      <c r="BV82" s="170"/>
      <c r="BW82" s="170" cm="1">
        <f t="array" ref="BW8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BX82" s="170" cm="1">
        <f t="array" ref="BX8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BY82" s="170" cm="1">
        <f t="array" ref="BY8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BZ82" s="170" cm="1">
        <f t="array" ref="BZ8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CA82" s="170" cm="1">
        <f t="array" ref="CA8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(desp[data.pagamento]&gt;=$A82)*
    (desp[data.pagamento]&lt;EOMONTH($A82,0)+1)
  )
)</f>
        <v>0</v>
      </c>
      <c r="CB82" s="181">
        <f>COUNTIFS(
    estq[empresa], CB$6,
    estq[Data da venda / reserva], "&gt;=" &amp; $A82,
    estq[Data da venda / reserva], "&lt;"  &amp; EOMONTH($A82,0) + 1
)</f>
        <v>0</v>
      </c>
      <c r="CC82" s="182">
        <f ca="1">SUMIFS(rec.uni[2027-08-01],
INDIRECT("rec.uni[natureza]"),"pro.soluto",
INDIRECT("rec.uni[empresa]"),CC$6)</f>
        <v>0</v>
      </c>
      <c r="CD82" s="182">
        <f ca="1">SUMIFS(rec.uni[2027-08-01],
INDIRECT("rec.uni[natureza]"),"repasse.cef.obra",
INDIRECT("rec.uni[empresa]"),CD$6)</f>
        <v>0</v>
      </c>
      <c r="CE82" s="185">
        <f ca="1">SUMIFS(rec.uni[2027-08-01],
INDIRECT("rec.uni[natureza]"),"repasse.cef.terreno",
INDIRECT("rec.uni[empresa]"),CE$6)</f>
        <v>0</v>
      </c>
      <c r="CF82" s="186"/>
      <c r="CG82" s="182">
        <f ca="1">SUMIFS(rec.uni[2027-08-01],
INDIRECT("rec.uni[natureza]"),"taxa.extra",
INDIRECT("rec.uni[empresa]"),CG$6)</f>
        <v>0</v>
      </c>
      <c r="CH82" s="170"/>
      <c r="CI82" s="170" cm="1">
        <f t="array" ref="CI8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J82" s="170" cm="1">
        <f t="array" ref="CJ8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K82" s="170" cm="1">
        <f t="array" ref="CK8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L82" s="170" cm="1">
        <f t="array" ref="CL8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M82" s="170" cm="1">
        <f t="array" ref="CM8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(desp[data.pagamento]&gt;=$A82)*
    (desp[data.pagamento]&lt;EOMONTH($A82,0)+1)
  )
)</f>
        <v>0</v>
      </c>
      <c r="CN82" s="181">
        <f>COUNTIFS(
    estq[empresa], CN$6,
    estq[Data da venda / reserva], "&gt;=" &amp; $A82,
    estq[Data da venda / reserva], "&lt;"  &amp; EOMONTH($A82,0) + 1
)</f>
        <v>0</v>
      </c>
      <c r="CO82" s="182">
        <f ca="1">SUMIFS(rec.uni[2027-08-01],
INDIRECT("rec.uni[natureza]"),"pro.soluto",
INDIRECT("rec.uni[empresa]"),CO$6)</f>
        <v>0</v>
      </c>
      <c r="CP82" s="182">
        <f ca="1">SUMIFS(rec.uni[2027-08-01],
INDIRECT("rec.uni[natureza]"),"repasse.cef.obra",
INDIRECT("rec.uni[empresa]"),CP$6)</f>
        <v>0</v>
      </c>
      <c r="CQ82" s="185">
        <f ca="1">SUMIFS(rec.uni[2027-08-01],
INDIRECT("rec.uni[natureza]"),"repasse.cef.terreno",
INDIRECT("rec.uni[empresa]"),CQ$6)</f>
        <v>0</v>
      </c>
      <c r="CR82" s="186"/>
      <c r="CS82" s="182">
        <f ca="1">SUMIFS(rec.uni[2027-08-01],
INDIRECT("rec.uni[natureza]"),"taxa.extra",
INDIRECT("rec.uni[empresa]"),CS$6)</f>
        <v>0</v>
      </c>
      <c r="CT82" s="170"/>
      <c r="CU82" s="170" cm="1">
        <f t="array" ref="CU8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  <c r="CV82" s="170" cm="1">
        <f t="array" ref="CV8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  <c r="CW82" s="170" cm="1">
        <f t="array" ref="CW8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  <c r="CX82" s="170" cm="1">
        <f t="array" ref="CX8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  <c r="CY82" s="295" cm="1">
        <f t="array" ref="CY8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(desp[data.pagamento]&gt;=$A82)*
    (desp[data.pagamento]&lt;EOMONTH($A82,0)+1)
  )
)</f>
        <v>0</v>
      </c>
    </row>
    <row r="83" spans="1:103" x14ac:dyDescent="0.25">
      <c r="A83" s="180">
        <v>46631</v>
      </c>
      <c r="B83" s="181">
        <f>COUNTIFS(
    estq[empresa], B$6,
    estq[Data da venda / reserva], "&gt;=" &amp; $A83,
    estq[Data da venda / reserva], "&lt;"  &amp; EOMONTH($A83,0) + 1
)</f>
        <v>0</v>
      </c>
      <c r="C83" s="182">
        <f ca="1">SUMIFS(rec.uni[2027-09-01],
INDIRECT("rec.uni[natureza]"),"pro.soluto",
INDIRECT("rec.uni[empresa]"),C$6)</f>
        <v>0</v>
      </c>
      <c r="D83" s="182">
        <f ca="1">SUMIFS(rec.uni[2027-09-01],
INDIRECT("rec.uni[natureza]"),"repasse.cef.obra",
INDIRECT("rec.uni[empresa]"),D$6)</f>
        <v>0</v>
      </c>
      <c r="E83" s="182">
        <f ca="1">SUMIFS(rec.uni[2027-09-01],
INDIRECT("rec.uni[natureza]"),"repasse.cef.terreno",
INDIRECT("rec.uni[empresa]"),E$6)</f>
        <v>0</v>
      </c>
      <c r="F83" s="186"/>
      <c r="G83" s="182">
        <f ca="1">SUMIFS(rec.uni[2027-09-01],
INDIRECT("rec.uni[natureza]"),"taxa.extra",
INDIRECT("rec.uni[empresa]"),G$6)</f>
        <v>0</v>
      </c>
      <c r="H83" s="170"/>
      <c r="I83" s="170" cm="1">
        <f t="array" ref="I8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J83" s="170" cm="1">
        <f t="array" ref="J8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K83" s="170" cm="1">
        <f t="array" ref="K8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L83" s="170" cm="1">
        <f t="array" ref="L8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M83" s="170" cm="1">
        <f t="array" ref="M8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(desp[data.pagamento]&gt;=$A83)*
    (desp[data.pagamento]&lt;EOMONTH($A83,0)+1)
  )
)</f>
        <v>0</v>
      </c>
      <c r="N83" s="181">
        <f>COUNTIFS(
    estq[empresa], N$6,
    estq[Data da venda / reserva], "&gt;=" &amp; $A83,
    estq[Data da venda / reserva], "&lt;"  &amp; EOMONTH($A83,0) + 1
)</f>
        <v>0</v>
      </c>
      <c r="O83" s="182">
        <f ca="1">SUMIFS(rec.uni[2027-09-01],
INDIRECT("rec.uni[natureza]"),"pro.soluto",
INDIRECT("rec.uni[empresa]"),O$6)</f>
        <v>0</v>
      </c>
      <c r="P83" s="182">
        <f ca="1">SUMIFS(rec.uni[2027-09-01],
INDIRECT("rec.uni[natureza]"),"repasse.cef.obra",
INDIRECT("rec.uni[empresa]"),P$6)</f>
        <v>0</v>
      </c>
      <c r="Q83" s="182">
        <f ca="1">SUMIFS(rec.uni[2027-09-01],
INDIRECT("rec.uni[natureza]"),"repasse.cef.terreno",
INDIRECT("rec.uni[empresa]"),Q$6)</f>
        <v>0</v>
      </c>
      <c r="R83" s="186"/>
      <c r="S83" s="182">
        <f ca="1">SUMIFS(rec.uni[2027-09-01],
INDIRECT("rec.uni[natureza]"),"taxa.extra",
INDIRECT("rec.uni[empresa]"),S$6)</f>
        <v>0</v>
      </c>
      <c r="T83" s="170"/>
      <c r="U83" s="170" cm="1">
        <f t="array" ref="U8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V83" s="170" cm="1">
        <f t="array" ref="V8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W83" s="170" cm="1">
        <f t="array" ref="W8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X83" s="170" cm="1">
        <f t="array" ref="X8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Y83" s="170" cm="1">
        <f t="array" ref="Y8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(desp[data.pagamento]&gt;=$A83)*
    (desp[data.pagamento]&lt;EOMONTH($A83,0)+1)
  )
)</f>
        <v>0</v>
      </c>
      <c r="Z83" s="181">
        <f>COUNTIFS(
    estq[empresa], Z$6,
    estq[Data da venda / reserva], "&gt;=" &amp; $A83,
    estq[Data da venda / reserva], "&lt;"  &amp; EOMONTH($A83,0) + 1
)</f>
        <v>0</v>
      </c>
      <c r="AA83" s="182">
        <f ca="1">SUMIFS(rec.uni[2027-09-01],
INDIRECT("rec.uni[natureza]"),"pro.soluto",
INDIRECT("rec.uni[empresa]"),AA$6)</f>
        <v>0</v>
      </c>
      <c r="AB83" s="186">
        <f ca="1">SUMIFS(rec.uni[2027-09-01],
INDIRECT("rec.uni[natureza]"),"parcela.fin.total.ik",
INDIRECT("rec.uni[empresa]"),AB$6)</f>
        <v>0</v>
      </c>
      <c r="AC83" s="182">
        <f ca="1">SUMIFS(rec.uni[2027-09-01],
INDIRECT("rec.uni[natureza]"),"taxa.extra",
INDIRECT("rec.uni[empresa]"),AC$6)</f>
        <v>0</v>
      </c>
      <c r="AD83" s="170"/>
      <c r="AE83" s="170" cm="1">
        <f t="array" ref="AE8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F83" s="170" cm="1">
        <f t="array" ref="AF8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G83" s="170" cm="1">
        <f t="array" ref="AG8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H83" s="170" cm="1">
        <f t="array" ref="AH8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I83" s="170" cm="1">
        <f t="array" ref="AI8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(desp[data.pagamento]&gt;=$A83)*
    (desp[data.pagamento]&lt;EOMONTH($A83,0)+1)
  )
)</f>
        <v>0</v>
      </c>
      <c r="AJ83" s="181">
        <f>COUNTIFS(
    estq[empresa], AJ$6,
    estq[Data da venda / reserva], "&gt;=" &amp; $A83,
    estq[Data da venda / reserva], "&lt;"  &amp; EOMONTH($A83,0) + 1
)</f>
        <v>0</v>
      </c>
      <c r="AK83" s="182">
        <f ca="1">SUMIFS(rec.uni[2027-09-01],
INDIRECT("rec.uni[natureza]"),"pro.soluto",
INDIRECT("rec.uni[empresa]"),AK$6)</f>
        <v>0</v>
      </c>
      <c r="AL83" s="182">
        <f ca="1">SUMIFS(rec.uni[2027-09-01],
INDIRECT("rec.uni[natureza]"),"repasse.cef.obra",
INDIRECT("rec.uni[empresa]"),AL$6)</f>
        <v>0</v>
      </c>
      <c r="AM83" s="185">
        <f ca="1">SUMIFS(rec.uni[2027-09-01],
INDIRECT("rec.uni[natureza]"),"repasse.cef.terreno",
INDIRECT("rec.uni[empresa]"),AM$6)</f>
        <v>0</v>
      </c>
      <c r="AN83" s="186"/>
      <c r="AO83" s="182">
        <f ca="1">SUMIFS(rec.uni[2027-09-01],
INDIRECT("rec.uni[natureza]"),"taxa.extra",
INDIRECT("rec.uni[empresa]"),AO$6)</f>
        <v>0</v>
      </c>
      <c r="AP83" s="170"/>
      <c r="AQ83" s="170" cm="1">
        <f t="array" ref="AQ8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R83" s="170" cm="1">
        <f t="array" ref="AR8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S83" s="170" cm="1">
        <f t="array" ref="AS8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T83" s="170" cm="1">
        <f t="array" ref="AT8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U83" s="170" cm="1">
        <f t="array" ref="AU8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(desp[data.pagamento]&gt;=$A83)*
    (desp[data.pagamento]&lt;EOMONTH($A83,0)+1)
  )
)</f>
        <v>0</v>
      </c>
      <c r="AV83" s="181">
        <f>COUNTIFS(
    estq[empresa], AV$6,
    estq[Data da venda / reserva], "&gt;=" &amp; $A83,
    estq[Data da venda / reserva], "&lt;"  &amp; EOMONTH($A83,0) + 1
)</f>
        <v>0</v>
      </c>
      <c r="AW83" s="182">
        <f ca="1">SUMIFS(rec.uni[2027-09-01],
INDIRECT("rec.uni[natureza]"),"pro.soluto",
INDIRECT("rec.uni[empresa]"),AW$6)</f>
        <v>0</v>
      </c>
      <c r="AX83" s="182">
        <f ca="1">SUMIFS(rec.uni[2027-09-01],
INDIRECT("rec.uni[natureza]"),"repasse.cef.obra",
INDIRECT("rec.uni[empresa]"),AX$6)</f>
        <v>0</v>
      </c>
      <c r="AY83" s="185">
        <f ca="1">SUMIFS(rec.uni[2027-09-01],
INDIRECT("rec.uni[natureza]"),"repasse.cef.terreno",
INDIRECT("rec.uni[empresa]"),AY$6)</f>
        <v>0</v>
      </c>
      <c r="AZ83" s="186"/>
      <c r="BA83" s="182">
        <f ca="1">SUMIFS(rec.uni[2027-09-01],
INDIRECT("rec.uni[natureza]"),"taxa.extra",
INDIRECT("rec.uni[empresa]"),BA$6)</f>
        <v>0</v>
      </c>
      <c r="BB83" s="170"/>
      <c r="BC83" s="170" cm="1">
        <f t="array" ref="BC8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D83" s="170" cm="1">
        <f t="array" ref="BD8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E83" s="170" cm="1">
        <f t="array" ref="BE8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F83" s="170" cm="1">
        <f t="array" ref="BF8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G83" s="170" cm="1">
        <f t="array" ref="BG8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(desp[data.pagamento]&gt;=$A83)*
    (desp[data.pagamento]&lt;EOMONTH($A83,0)+1)
  )
)</f>
        <v>0</v>
      </c>
      <c r="BH83" s="181">
        <f>COUNTIFS(
    estq[empresa], BH$6,
    estq[Data da venda / reserva], "&gt;=" &amp; $A83,
    estq[Data da venda / reserva], "&lt;"  &amp; EOMONTH($A83,0) + 1
)</f>
        <v>0</v>
      </c>
      <c r="BI83" s="182">
        <f ca="1">SUMIFS(rec.uni[2027-09-01],
INDIRECT("rec.uni[natureza]"),"pro.soluto",
INDIRECT("rec.uni[empresa]"),BI$6)</f>
        <v>0</v>
      </c>
      <c r="BJ83" s="186">
        <f ca="1">SUMIFS(rec.uni[2027-09-01],
INDIRECT("rec.uni[natureza]"),"parcela.fin.total.ik",
INDIRECT("rec.uni[empresa]"),BJ$6)</f>
        <v>0</v>
      </c>
      <c r="BK83" s="182">
        <f ca="1">SUMIFS(rec.uni[2027-09-01],
INDIRECT("rec.uni[natureza]"),"taxa.extra",
INDIRECT("rec.uni[empresa]"),BK$6)</f>
        <v>0</v>
      </c>
      <c r="BL83" s="170"/>
      <c r="BM83" s="170" cm="1">
        <f t="array" ref="BM8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N83" s="170" cm="1">
        <f t="array" ref="BN8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O83" s="170" cm="1">
        <f t="array" ref="BO8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P83" s="170" cm="1">
        <f t="array" ref="BP8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Q83" s="170" cm="1">
        <f t="array" ref="BQ8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(desp[data.pagamento]&gt;=$A83)*
    (desp[data.pagamento]&lt;EOMONTH($A83,0)+1)
  )
)</f>
        <v>0</v>
      </c>
      <c r="BR83" s="181">
        <f>COUNTIFS(
    estq[empresa], BR$6,
    estq[Data da venda / reserva], "&gt;=" &amp; $A83,
    estq[Data da venda / reserva], "&lt;"  &amp; EOMONTH($A83,0) + 1
)</f>
        <v>0</v>
      </c>
      <c r="BS83" s="182">
        <f ca="1">SUMIFS(rec.uni[2027-09-01],
INDIRECT("rec.uni[natureza]"),"pro.soluto",
INDIRECT("rec.uni[empresa]"),BS$6)</f>
        <v>0</v>
      </c>
      <c r="BT83" s="186">
        <f ca="1">SUMIFS(rec.uni[2027-09-01],
INDIRECT("rec.uni[natureza]"),"parcela.fin.total.ik",
INDIRECT("rec.uni[empresa]"),BT$6)</f>
        <v>0</v>
      </c>
      <c r="BU83" s="182">
        <f ca="1">SUMIFS(rec.uni[2027-09-01],
INDIRECT("rec.uni[natureza]"),"taxa.extra",
INDIRECT("rec.uni[empresa]"),BU$6)</f>
        <v>0</v>
      </c>
      <c r="BV83" s="170"/>
      <c r="BW83" s="170" cm="1">
        <f t="array" ref="BW8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BX83" s="170" cm="1">
        <f t="array" ref="BX8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BY83" s="170" cm="1">
        <f t="array" ref="BY8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BZ83" s="170" cm="1">
        <f t="array" ref="BZ8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CA83" s="170" cm="1">
        <f t="array" ref="CA8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(desp[data.pagamento]&gt;=$A83)*
    (desp[data.pagamento]&lt;EOMONTH($A83,0)+1)
  )
)</f>
        <v>0</v>
      </c>
      <c r="CB83" s="181">
        <f>COUNTIFS(
    estq[empresa], CB$6,
    estq[Data da venda / reserva], "&gt;=" &amp; $A83,
    estq[Data da venda / reserva], "&lt;"  &amp; EOMONTH($A83,0) + 1
)</f>
        <v>0</v>
      </c>
      <c r="CC83" s="182">
        <f ca="1">SUMIFS(rec.uni[2027-09-01],
INDIRECT("rec.uni[natureza]"),"pro.soluto",
INDIRECT("rec.uni[empresa]"),CC$6)</f>
        <v>0</v>
      </c>
      <c r="CD83" s="182">
        <f ca="1">SUMIFS(rec.uni[2027-09-01],
INDIRECT("rec.uni[natureza]"),"repasse.cef.obra",
INDIRECT("rec.uni[empresa]"),CD$6)</f>
        <v>0</v>
      </c>
      <c r="CE83" s="185">
        <f ca="1">SUMIFS(rec.uni[2027-09-01],
INDIRECT("rec.uni[natureza]"),"repasse.cef.terreno",
INDIRECT("rec.uni[empresa]"),CE$6)</f>
        <v>0</v>
      </c>
      <c r="CF83" s="186"/>
      <c r="CG83" s="182">
        <f ca="1">SUMIFS(rec.uni[2027-09-01],
INDIRECT("rec.uni[natureza]"),"taxa.extra",
INDIRECT("rec.uni[empresa]"),CG$6)</f>
        <v>0</v>
      </c>
      <c r="CH83" s="170"/>
      <c r="CI83" s="170" cm="1">
        <f t="array" ref="CI8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J83" s="170" cm="1">
        <f t="array" ref="CJ8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K83" s="170" cm="1">
        <f t="array" ref="CK8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L83" s="170" cm="1">
        <f t="array" ref="CL8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M83" s="170" cm="1">
        <f t="array" ref="CM8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(desp[data.pagamento]&gt;=$A83)*
    (desp[data.pagamento]&lt;EOMONTH($A83,0)+1)
  )
)</f>
        <v>0</v>
      </c>
      <c r="CN83" s="181">
        <f>COUNTIFS(
    estq[empresa], CN$6,
    estq[Data da venda / reserva], "&gt;=" &amp; $A83,
    estq[Data da venda / reserva], "&lt;"  &amp; EOMONTH($A83,0) + 1
)</f>
        <v>0</v>
      </c>
      <c r="CO83" s="182">
        <f ca="1">SUMIFS(rec.uni[2027-09-01],
INDIRECT("rec.uni[natureza]"),"pro.soluto",
INDIRECT("rec.uni[empresa]"),CO$6)</f>
        <v>0</v>
      </c>
      <c r="CP83" s="182">
        <f ca="1">SUMIFS(rec.uni[2027-09-01],
INDIRECT("rec.uni[natureza]"),"repasse.cef.obra",
INDIRECT("rec.uni[empresa]"),CP$6)</f>
        <v>0</v>
      </c>
      <c r="CQ83" s="185">
        <f ca="1">SUMIFS(rec.uni[2027-09-01],
INDIRECT("rec.uni[natureza]"),"repasse.cef.terreno",
INDIRECT("rec.uni[empresa]"),CQ$6)</f>
        <v>0</v>
      </c>
      <c r="CR83" s="186"/>
      <c r="CS83" s="182">
        <f ca="1">SUMIFS(rec.uni[2027-09-01],
INDIRECT("rec.uni[natureza]"),"taxa.extra",
INDIRECT("rec.uni[empresa]"),CS$6)</f>
        <v>0</v>
      </c>
      <c r="CT83" s="170"/>
      <c r="CU83" s="170" cm="1">
        <f t="array" ref="CU8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  <c r="CV83" s="170" cm="1">
        <f t="array" ref="CV8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  <c r="CW83" s="170" cm="1">
        <f t="array" ref="CW8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  <c r="CX83" s="170" cm="1">
        <f t="array" ref="CX8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  <c r="CY83" s="295" cm="1">
        <f t="array" ref="CY8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(desp[data.pagamento]&gt;=$A83)*
    (desp[data.pagamento]&lt;EOMONTH($A83,0)+1)
  )
)</f>
        <v>0</v>
      </c>
    </row>
    <row r="84" spans="1:103" x14ac:dyDescent="0.25">
      <c r="A84" s="180">
        <v>46661</v>
      </c>
      <c r="B84" s="181">
        <f>COUNTIFS(
    estq[empresa], B$6,
    estq[Data da venda / reserva], "&gt;=" &amp; $A84,
    estq[Data da venda / reserva], "&lt;"  &amp; EOMONTH($A84,0) + 1
)</f>
        <v>0</v>
      </c>
      <c r="C84" s="182">
        <f ca="1">SUMIFS(rec.uni[2027-10-01],
INDIRECT("rec.uni[natureza]"),"pro.soluto",
INDIRECT("rec.uni[empresa]"),C$6)</f>
        <v>0</v>
      </c>
      <c r="D84" s="182">
        <f ca="1">SUMIFS(rec.uni[2027-10-01],
INDIRECT("rec.uni[natureza]"),"repasse.cef.obra",
INDIRECT("rec.uni[empresa]"),D$6)</f>
        <v>0</v>
      </c>
      <c r="E84" s="182">
        <f ca="1">SUMIFS(rec.uni[2027-10-01],
INDIRECT("rec.uni[natureza]"),"repasse.cef.terreno",
INDIRECT("rec.uni[empresa]"),E$6)</f>
        <v>0</v>
      </c>
      <c r="F84" s="186"/>
      <c r="G84" s="182">
        <f ca="1">SUMIFS(rec.uni[2027-10-01],
INDIRECT("rec.uni[natureza]"),"taxa.extra",
INDIRECT("rec.uni[empresa]"),G$6)</f>
        <v>0</v>
      </c>
      <c r="H84" s="170"/>
      <c r="I84" s="170" cm="1">
        <f t="array" ref="I8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J84" s="170" cm="1">
        <f t="array" ref="J8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K84" s="170" cm="1">
        <f t="array" ref="K8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L84" s="170" cm="1">
        <f t="array" ref="L8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M84" s="170" cm="1">
        <f t="array" ref="M8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(desp[data.pagamento]&gt;=$A84)*
    (desp[data.pagamento]&lt;EOMONTH($A84,0)+1)
  )
)</f>
        <v>0</v>
      </c>
      <c r="N84" s="181">
        <f>COUNTIFS(
    estq[empresa], N$6,
    estq[Data da venda / reserva], "&gt;=" &amp; $A84,
    estq[Data da venda / reserva], "&lt;"  &amp; EOMONTH($A84,0) + 1
)</f>
        <v>0</v>
      </c>
      <c r="O84" s="182">
        <f ca="1">SUMIFS(rec.uni[2027-10-01],
INDIRECT("rec.uni[natureza]"),"pro.soluto",
INDIRECT("rec.uni[empresa]"),O$6)</f>
        <v>0</v>
      </c>
      <c r="P84" s="182">
        <f ca="1">SUMIFS(rec.uni[2027-10-01],
INDIRECT("rec.uni[natureza]"),"repasse.cef.obra",
INDIRECT("rec.uni[empresa]"),P$6)</f>
        <v>0</v>
      </c>
      <c r="Q84" s="182">
        <f ca="1">SUMIFS(rec.uni[2027-10-01],
INDIRECT("rec.uni[natureza]"),"repasse.cef.terreno",
INDIRECT("rec.uni[empresa]"),Q$6)</f>
        <v>0</v>
      </c>
      <c r="R84" s="186"/>
      <c r="S84" s="182">
        <f ca="1">SUMIFS(rec.uni[2027-10-01],
INDIRECT("rec.uni[natureza]"),"taxa.extra",
INDIRECT("rec.uni[empresa]"),S$6)</f>
        <v>0</v>
      </c>
      <c r="T84" s="170"/>
      <c r="U84" s="170" cm="1">
        <f t="array" ref="U8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V84" s="170" cm="1">
        <f t="array" ref="V8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W84" s="170" cm="1">
        <f t="array" ref="W8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X84" s="170" cm="1">
        <f t="array" ref="X8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Y84" s="170" cm="1">
        <f t="array" ref="Y8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(desp[data.pagamento]&gt;=$A84)*
    (desp[data.pagamento]&lt;EOMONTH($A84,0)+1)
  )
)</f>
        <v>0</v>
      </c>
      <c r="Z84" s="181">
        <f>COUNTIFS(
    estq[empresa], Z$6,
    estq[Data da venda / reserva], "&gt;=" &amp; $A84,
    estq[Data da venda / reserva], "&lt;"  &amp; EOMONTH($A84,0) + 1
)</f>
        <v>0</v>
      </c>
      <c r="AA84" s="182">
        <f ca="1">SUMIFS(rec.uni[2027-10-01],
INDIRECT("rec.uni[natureza]"),"pro.soluto",
INDIRECT("rec.uni[empresa]"),AA$6)</f>
        <v>0</v>
      </c>
      <c r="AB84" s="186">
        <f ca="1">SUMIFS(rec.uni[2027-10-01],
INDIRECT("rec.uni[natureza]"),"parcela.fin.total.ik",
INDIRECT("rec.uni[empresa]"),AB$6)</f>
        <v>0</v>
      </c>
      <c r="AC84" s="182">
        <f ca="1">SUMIFS(rec.uni[2027-10-01],
INDIRECT("rec.uni[natureza]"),"taxa.extra",
INDIRECT("rec.uni[empresa]"),AC$6)</f>
        <v>0</v>
      </c>
      <c r="AD84" s="170"/>
      <c r="AE84" s="170" cm="1">
        <f t="array" ref="AE8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F84" s="170" cm="1">
        <f t="array" ref="AF8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G84" s="170" cm="1">
        <f t="array" ref="AG8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H84" s="170" cm="1">
        <f t="array" ref="AH8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I84" s="170" cm="1">
        <f t="array" ref="AI8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(desp[data.pagamento]&gt;=$A84)*
    (desp[data.pagamento]&lt;EOMONTH($A84,0)+1)
  )
)</f>
        <v>0</v>
      </c>
      <c r="AJ84" s="181">
        <f>COUNTIFS(
    estq[empresa], AJ$6,
    estq[Data da venda / reserva], "&gt;=" &amp; $A84,
    estq[Data da venda / reserva], "&lt;"  &amp; EOMONTH($A84,0) + 1
)</f>
        <v>0</v>
      </c>
      <c r="AK84" s="182">
        <f ca="1">SUMIFS(rec.uni[2027-10-01],
INDIRECT("rec.uni[natureza]"),"pro.soluto",
INDIRECT("rec.uni[empresa]"),AK$6)</f>
        <v>0</v>
      </c>
      <c r="AL84" s="182">
        <f ca="1">SUMIFS(rec.uni[2027-10-01],
INDIRECT("rec.uni[natureza]"),"repasse.cef.obra",
INDIRECT("rec.uni[empresa]"),AL$6)</f>
        <v>0</v>
      </c>
      <c r="AM84" s="185">
        <f ca="1">SUMIFS(rec.uni[2027-10-01],
INDIRECT("rec.uni[natureza]"),"repasse.cef.terreno",
INDIRECT("rec.uni[empresa]"),AM$6)</f>
        <v>0</v>
      </c>
      <c r="AN84" s="186"/>
      <c r="AO84" s="182">
        <f ca="1">SUMIFS(rec.uni[2027-10-01],
INDIRECT("rec.uni[natureza]"),"taxa.extra",
INDIRECT("rec.uni[empresa]"),AO$6)</f>
        <v>0</v>
      </c>
      <c r="AP84" s="170"/>
      <c r="AQ84" s="170" cm="1">
        <f t="array" ref="AQ8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R84" s="170" cm="1">
        <f t="array" ref="AR8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S84" s="170" cm="1">
        <f t="array" ref="AS8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T84" s="170" cm="1">
        <f t="array" ref="AT8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U84" s="170" cm="1">
        <f t="array" ref="AU8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(desp[data.pagamento]&gt;=$A84)*
    (desp[data.pagamento]&lt;EOMONTH($A84,0)+1)
  )
)</f>
        <v>0</v>
      </c>
      <c r="AV84" s="181">
        <f>COUNTIFS(
    estq[empresa], AV$6,
    estq[Data da venda / reserva], "&gt;=" &amp; $A84,
    estq[Data da venda / reserva], "&lt;"  &amp; EOMONTH($A84,0) + 1
)</f>
        <v>0</v>
      </c>
      <c r="AW84" s="182">
        <f ca="1">SUMIFS(rec.uni[2027-10-01],
INDIRECT("rec.uni[natureza]"),"pro.soluto",
INDIRECT("rec.uni[empresa]"),AW$6)</f>
        <v>0</v>
      </c>
      <c r="AX84" s="182">
        <f ca="1">SUMIFS(rec.uni[2027-10-01],
INDIRECT("rec.uni[natureza]"),"repasse.cef.obra",
INDIRECT("rec.uni[empresa]"),AX$6)</f>
        <v>0</v>
      </c>
      <c r="AY84" s="185">
        <f ca="1">SUMIFS(rec.uni[2027-10-01],
INDIRECT("rec.uni[natureza]"),"repasse.cef.terreno",
INDIRECT("rec.uni[empresa]"),AY$6)</f>
        <v>0</v>
      </c>
      <c r="AZ84" s="186"/>
      <c r="BA84" s="182">
        <f ca="1">SUMIFS(rec.uni[2027-10-01],
INDIRECT("rec.uni[natureza]"),"taxa.extra",
INDIRECT("rec.uni[empresa]"),BA$6)</f>
        <v>0</v>
      </c>
      <c r="BB84" s="170"/>
      <c r="BC84" s="170" cm="1">
        <f t="array" ref="BC8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D84" s="170" cm="1">
        <f t="array" ref="BD8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E84" s="170" cm="1">
        <f t="array" ref="BE8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F84" s="170" cm="1">
        <f t="array" ref="BF8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G84" s="170" cm="1">
        <f t="array" ref="BG8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(desp[data.pagamento]&gt;=$A84)*
    (desp[data.pagamento]&lt;EOMONTH($A84,0)+1)
  )
)</f>
        <v>0</v>
      </c>
      <c r="BH84" s="181">
        <f>COUNTIFS(
    estq[empresa], BH$6,
    estq[Data da venda / reserva], "&gt;=" &amp; $A84,
    estq[Data da venda / reserva], "&lt;"  &amp; EOMONTH($A84,0) + 1
)</f>
        <v>0</v>
      </c>
      <c r="BI84" s="182">
        <f ca="1">SUMIFS(rec.uni[2027-10-01],
INDIRECT("rec.uni[natureza]"),"pro.soluto",
INDIRECT("rec.uni[empresa]"),BI$6)</f>
        <v>0</v>
      </c>
      <c r="BJ84" s="186">
        <f ca="1">SUMIFS(rec.uni[2027-10-01],
INDIRECT("rec.uni[natureza]"),"parcela.fin.total.ik",
INDIRECT("rec.uni[empresa]"),BJ$6)</f>
        <v>0</v>
      </c>
      <c r="BK84" s="182">
        <f ca="1">SUMIFS(rec.uni[2027-10-01],
INDIRECT("rec.uni[natureza]"),"taxa.extra",
INDIRECT("rec.uni[empresa]"),BK$6)</f>
        <v>0</v>
      </c>
      <c r="BL84" s="170"/>
      <c r="BM84" s="170" cm="1">
        <f t="array" ref="BM8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N84" s="170" cm="1">
        <f t="array" ref="BN8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O84" s="170" cm="1">
        <f t="array" ref="BO8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P84" s="170" cm="1">
        <f t="array" ref="BP8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Q84" s="170" cm="1">
        <f t="array" ref="BQ8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(desp[data.pagamento]&gt;=$A84)*
    (desp[data.pagamento]&lt;EOMONTH($A84,0)+1)
  )
)</f>
        <v>0</v>
      </c>
      <c r="BR84" s="181">
        <f>COUNTIFS(
    estq[empresa], BR$6,
    estq[Data da venda / reserva], "&gt;=" &amp; $A84,
    estq[Data da venda / reserva], "&lt;"  &amp; EOMONTH($A84,0) + 1
)</f>
        <v>0</v>
      </c>
      <c r="BS84" s="182">
        <f ca="1">SUMIFS(rec.uni[2027-10-01],
INDIRECT("rec.uni[natureza]"),"pro.soluto",
INDIRECT("rec.uni[empresa]"),BS$6)</f>
        <v>0</v>
      </c>
      <c r="BT84" s="186">
        <f ca="1">SUMIFS(rec.uni[2027-10-01],
INDIRECT("rec.uni[natureza]"),"parcela.fin.total.ik",
INDIRECT("rec.uni[empresa]"),BT$6)</f>
        <v>0</v>
      </c>
      <c r="BU84" s="182">
        <f ca="1">SUMIFS(rec.uni[2027-10-01],
INDIRECT("rec.uni[natureza]"),"taxa.extra",
INDIRECT("rec.uni[empresa]"),BU$6)</f>
        <v>0</v>
      </c>
      <c r="BV84" s="170"/>
      <c r="BW84" s="170" cm="1">
        <f t="array" ref="BW8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BX84" s="170" cm="1">
        <f t="array" ref="BX8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BY84" s="170" cm="1">
        <f t="array" ref="BY8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BZ84" s="170" cm="1">
        <f t="array" ref="BZ8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CA84" s="170" cm="1">
        <f t="array" ref="CA8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(desp[data.pagamento]&gt;=$A84)*
    (desp[data.pagamento]&lt;EOMONTH($A84,0)+1)
  )
)</f>
        <v>0</v>
      </c>
      <c r="CB84" s="181">
        <f>COUNTIFS(
    estq[empresa], CB$6,
    estq[Data da venda / reserva], "&gt;=" &amp; $A84,
    estq[Data da venda / reserva], "&lt;"  &amp; EOMONTH($A84,0) + 1
)</f>
        <v>0</v>
      </c>
      <c r="CC84" s="182">
        <f ca="1">SUMIFS(rec.uni[2027-10-01],
INDIRECT("rec.uni[natureza]"),"pro.soluto",
INDIRECT("rec.uni[empresa]"),CC$6)</f>
        <v>0</v>
      </c>
      <c r="CD84" s="182">
        <f ca="1">SUMIFS(rec.uni[2027-10-01],
INDIRECT("rec.uni[natureza]"),"repasse.cef.obra",
INDIRECT("rec.uni[empresa]"),CD$6)</f>
        <v>0</v>
      </c>
      <c r="CE84" s="185">
        <f ca="1">SUMIFS(rec.uni[2027-10-01],
INDIRECT("rec.uni[natureza]"),"repasse.cef.terreno",
INDIRECT("rec.uni[empresa]"),CE$6)</f>
        <v>0</v>
      </c>
      <c r="CF84" s="186"/>
      <c r="CG84" s="182">
        <f ca="1">SUMIFS(rec.uni[2027-10-01],
INDIRECT("rec.uni[natureza]"),"taxa.extra",
INDIRECT("rec.uni[empresa]"),CG$6)</f>
        <v>0</v>
      </c>
      <c r="CH84" s="170"/>
      <c r="CI84" s="170" cm="1">
        <f t="array" ref="CI8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J84" s="170" cm="1">
        <f t="array" ref="CJ8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K84" s="170" cm="1">
        <f t="array" ref="CK8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L84" s="170" cm="1">
        <f t="array" ref="CL8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M84" s="170" cm="1">
        <f t="array" ref="CM8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(desp[data.pagamento]&gt;=$A84)*
    (desp[data.pagamento]&lt;EOMONTH($A84,0)+1)
  )
)</f>
        <v>0</v>
      </c>
      <c r="CN84" s="181">
        <f>COUNTIFS(
    estq[empresa], CN$6,
    estq[Data da venda / reserva], "&gt;=" &amp; $A84,
    estq[Data da venda / reserva], "&lt;"  &amp; EOMONTH($A84,0) + 1
)</f>
        <v>0</v>
      </c>
      <c r="CO84" s="182">
        <f ca="1">SUMIFS(rec.uni[2027-10-01],
INDIRECT("rec.uni[natureza]"),"pro.soluto",
INDIRECT("rec.uni[empresa]"),CO$6)</f>
        <v>0</v>
      </c>
      <c r="CP84" s="182">
        <f ca="1">SUMIFS(rec.uni[2027-10-01],
INDIRECT("rec.uni[natureza]"),"repasse.cef.obra",
INDIRECT("rec.uni[empresa]"),CP$6)</f>
        <v>0</v>
      </c>
      <c r="CQ84" s="185">
        <f ca="1">SUMIFS(rec.uni[2027-10-01],
INDIRECT("rec.uni[natureza]"),"repasse.cef.terreno",
INDIRECT("rec.uni[empresa]"),CQ$6)</f>
        <v>0</v>
      </c>
      <c r="CR84" s="186"/>
      <c r="CS84" s="182">
        <f ca="1">SUMIFS(rec.uni[2027-10-01],
INDIRECT("rec.uni[natureza]"),"taxa.extra",
INDIRECT("rec.uni[empresa]"),CS$6)</f>
        <v>0</v>
      </c>
      <c r="CT84" s="170"/>
      <c r="CU84" s="170" cm="1">
        <f t="array" ref="CU8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  <c r="CV84" s="170" cm="1">
        <f t="array" ref="CV8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  <c r="CW84" s="170" cm="1">
        <f t="array" ref="CW8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  <c r="CX84" s="170" cm="1">
        <f t="array" ref="CX8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  <c r="CY84" s="295" cm="1">
        <f t="array" ref="CY8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(desp[data.pagamento]&gt;=$A84)*
    (desp[data.pagamento]&lt;EOMONTH($A84,0)+1)
  )
)</f>
        <v>0</v>
      </c>
    </row>
    <row r="85" spans="1:103" x14ac:dyDescent="0.25">
      <c r="A85" s="180">
        <v>46692</v>
      </c>
      <c r="B85" s="181">
        <f>COUNTIFS(
    estq[empresa], B$6,
    estq[Data da venda / reserva], "&gt;=" &amp; $A85,
    estq[Data da venda / reserva], "&lt;"  &amp; EOMONTH($A85,0) + 1
)</f>
        <v>0</v>
      </c>
      <c r="C85" s="182">
        <f ca="1">SUMIFS(rec.uni[2027-11-01],
INDIRECT("rec.uni[natureza]"),"pro.soluto",
INDIRECT("rec.uni[empresa]"),C$6)</f>
        <v>0</v>
      </c>
      <c r="D85" s="182">
        <f ca="1">SUMIFS(rec.uni[2027-11-01],
INDIRECT("rec.uni[natureza]"),"repasse.cef.obra",
INDIRECT("rec.uni[empresa]"),D$6)</f>
        <v>0</v>
      </c>
      <c r="E85" s="182">
        <f ca="1">SUMIFS(rec.uni[2027-11-01],
INDIRECT("rec.uni[natureza]"),"repasse.cef.terreno",
INDIRECT("rec.uni[empresa]"),E$6)</f>
        <v>0</v>
      </c>
      <c r="F85" s="186"/>
      <c r="G85" s="182">
        <f ca="1">SUMIFS(rec.uni[2027-11-01],
INDIRECT("rec.uni[natureza]"),"taxa.extra",
INDIRECT("rec.uni[empresa]"),G$6)</f>
        <v>0</v>
      </c>
      <c r="H85" s="170"/>
      <c r="I85" s="170" cm="1">
        <f t="array" ref="I8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J85" s="170" cm="1">
        <f t="array" ref="J8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K85" s="170" cm="1">
        <f t="array" ref="K8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L85" s="170" cm="1">
        <f t="array" ref="L8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M85" s="170" cm="1">
        <f t="array" ref="M8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(desp[data.pagamento]&gt;=$A85)*
    (desp[data.pagamento]&lt;EOMONTH($A85,0)+1)
  )
)</f>
        <v>0</v>
      </c>
      <c r="N85" s="181">
        <f>COUNTIFS(
    estq[empresa], N$6,
    estq[Data da venda / reserva], "&gt;=" &amp; $A85,
    estq[Data da venda / reserva], "&lt;"  &amp; EOMONTH($A85,0) + 1
)</f>
        <v>0</v>
      </c>
      <c r="O85" s="182">
        <f ca="1">SUMIFS(rec.uni[2027-11-01],
INDIRECT("rec.uni[natureza]"),"pro.soluto",
INDIRECT("rec.uni[empresa]"),O$6)</f>
        <v>0</v>
      </c>
      <c r="P85" s="182">
        <f ca="1">SUMIFS(rec.uni[2027-11-01],
INDIRECT("rec.uni[natureza]"),"repasse.cef.obra",
INDIRECT("rec.uni[empresa]"),P$6)</f>
        <v>0</v>
      </c>
      <c r="Q85" s="182">
        <f ca="1">SUMIFS(rec.uni[2027-11-01],
INDIRECT("rec.uni[natureza]"),"repasse.cef.terreno",
INDIRECT("rec.uni[empresa]"),Q$6)</f>
        <v>0</v>
      </c>
      <c r="R85" s="186"/>
      <c r="S85" s="182">
        <f ca="1">SUMIFS(rec.uni[2027-11-01],
INDIRECT("rec.uni[natureza]"),"taxa.extra",
INDIRECT("rec.uni[empresa]"),S$6)</f>
        <v>0</v>
      </c>
      <c r="T85" s="170"/>
      <c r="U85" s="170" cm="1">
        <f t="array" ref="U8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V85" s="170" cm="1">
        <f t="array" ref="V8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W85" s="170" cm="1">
        <f t="array" ref="W8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X85" s="170" cm="1">
        <f t="array" ref="X8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Y85" s="170" cm="1">
        <f t="array" ref="Y8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(desp[data.pagamento]&gt;=$A85)*
    (desp[data.pagamento]&lt;EOMONTH($A85,0)+1)
  )
)</f>
        <v>0</v>
      </c>
      <c r="Z85" s="181">
        <f>COUNTIFS(
    estq[empresa], Z$6,
    estq[Data da venda / reserva], "&gt;=" &amp; $A85,
    estq[Data da venda / reserva], "&lt;"  &amp; EOMONTH($A85,0) + 1
)</f>
        <v>0</v>
      </c>
      <c r="AA85" s="182">
        <f ca="1">SUMIFS(rec.uni[2027-11-01],
INDIRECT("rec.uni[natureza]"),"pro.soluto",
INDIRECT("rec.uni[empresa]"),AA$6)</f>
        <v>0</v>
      </c>
      <c r="AB85" s="186">
        <f ca="1">SUMIFS(rec.uni[2027-11-01],
INDIRECT("rec.uni[natureza]"),"parcela.fin.total.ik",
INDIRECT("rec.uni[empresa]"),AB$6)</f>
        <v>0</v>
      </c>
      <c r="AC85" s="182">
        <f ca="1">SUMIFS(rec.uni[2027-11-01],
INDIRECT("rec.uni[natureza]"),"taxa.extra",
INDIRECT("rec.uni[empresa]"),AC$6)</f>
        <v>0</v>
      </c>
      <c r="AD85" s="170"/>
      <c r="AE85" s="170" cm="1">
        <f t="array" ref="AE8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F85" s="170" cm="1">
        <f t="array" ref="AF8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G85" s="170" cm="1">
        <f t="array" ref="AG8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H85" s="170" cm="1">
        <f t="array" ref="AH8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I85" s="170" cm="1">
        <f t="array" ref="AI8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(desp[data.pagamento]&gt;=$A85)*
    (desp[data.pagamento]&lt;EOMONTH($A85,0)+1)
  )
)</f>
        <v>0</v>
      </c>
      <c r="AJ85" s="181">
        <f>COUNTIFS(
    estq[empresa], AJ$6,
    estq[Data da venda / reserva], "&gt;=" &amp; $A85,
    estq[Data da venda / reserva], "&lt;"  &amp; EOMONTH($A85,0) + 1
)</f>
        <v>0</v>
      </c>
      <c r="AK85" s="182">
        <f ca="1">SUMIFS(rec.uni[2027-11-01],
INDIRECT("rec.uni[natureza]"),"pro.soluto",
INDIRECT("rec.uni[empresa]"),AK$6)</f>
        <v>0</v>
      </c>
      <c r="AL85" s="182">
        <f ca="1">SUMIFS(rec.uni[2027-11-01],
INDIRECT("rec.uni[natureza]"),"repasse.cef.obra",
INDIRECT("rec.uni[empresa]"),AL$6)</f>
        <v>0</v>
      </c>
      <c r="AM85" s="185">
        <f ca="1">SUMIFS(rec.uni[2027-11-01],
INDIRECT("rec.uni[natureza]"),"repasse.cef.terreno",
INDIRECT("rec.uni[empresa]"),AM$6)</f>
        <v>0</v>
      </c>
      <c r="AN85" s="186"/>
      <c r="AO85" s="182">
        <f ca="1">SUMIFS(rec.uni[2027-11-01],
INDIRECT("rec.uni[natureza]"),"taxa.extra",
INDIRECT("rec.uni[empresa]"),AO$6)</f>
        <v>0</v>
      </c>
      <c r="AP85" s="170"/>
      <c r="AQ85" s="170" cm="1">
        <f t="array" ref="AQ8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R85" s="170" cm="1">
        <f t="array" ref="AR8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S85" s="170" cm="1">
        <f t="array" ref="AS8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T85" s="170" cm="1">
        <f t="array" ref="AT8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U85" s="170" cm="1">
        <f t="array" ref="AU8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(desp[data.pagamento]&gt;=$A85)*
    (desp[data.pagamento]&lt;EOMONTH($A85,0)+1)
  )
)</f>
        <v>0</v>
      </c>
      <c r="AV85" s="181">
        <f>COUNTIFS(
    estq[empresa], AV$6,
    estq[Data da venda / reserva], "&gt;=" &amp; $A85,
    estq[Data da venda / reserva], "&lt;"  &amp; EOMONTH($A85,0) + 1
)</f>
        <v>0</v>
      </c>
      <c r="AW85" s="182">
        <f ca="1">SUMIFS(rec.uni[2027-11-01],
INDIRECT("rec.uni[natureza]"),"pro.soluto",
INDIRECT("rec.uni[empresa]"),AW$6)</f>
        <v>0</v>
      </c>
      <c r="AX85" s="182">
        <f ca="1">SUMIFS(rec.uni[2027-11-01],
INDIRECT("rec.uni[natureza]"),"repasse.cef.obra",
INDIRECT("rec.uni[empresa]"),AX$6)</f>
        <v>0</v>
      </c>
      <c r="AY85" s="185">
        <f ca="1">SUMIFS(rec.uni[2027-11-01],
INDIRECT("rec.uni[natureza]"),"repasse.cef.terreno",
INDIRECT("rec.uni[empresa]"),AY$6)</f>
        <v>0</v>
      </c>
      <c r="AZ85" s="186"/>
      <c r="BA85" s="182">
        <f ca="1">SUMIFS(rec.uni[2027-11-01],
INDIRECT("rec.uni[natureza]"),"taxa.extra",
INDIRECT("rec.uni[empresa]"),BA$6)</f>
        <v>0</v>
      </c>
      <c r="BB85" s="170"/>
      <c r="BC85" s="170" cm="1">
        <f t="array" ref="BC8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D85" s="170" cm="1">
        <f t="array" ref="BD8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E85" s="170" cm="1">
        <f t="array" ref="BE8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F85" s="170" cm="1">
        <f t="array" ref="BF8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G85" s="170" cm="1">
        <f t="array" ref="BG8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(desp[data.pagamento]&gt;=$A85)*
    (desp[data.pagamento]&lt;EOMONTH($A85,0)+1)
  )
)</f>
        <v>0</v>
      </c>
      <c r="BH85" s="181">
        <f>COUNTIFS(
    estq[empresa], BH$6,
    estq[Data da venda / reserva], "&gt;=" &amp; $A85,
    estq[Data da venda / reserva], "&lt;"  &amp; EOMONTH($A85,0) + 1
)</f>
        <v>0</v>
      </c>
      <c r="BI85" s="182">
        <f ca="1">SUMIFS(rec.uni[2027-11-01],
INDIRECT("rec.uni[natureza]"),"pro.soluto",
INDIRECT("rec.uni[empresa]"),BI$6)</f>
        <v>0</v>
      </c>
      <c r="BJ85" s="186">
        <f ca="1">SUMIFS(rec.uni[2027-11-01],
INDIRECT("rec.uni[natureza]"),"parcela.fin.total.ik",
INDIRECT("rec.uni[empresa]"),BJ$6)</f>
        <v>0</v>
      </c>
      <c r="BK85" s="182">
        <f ca="1">SUMIFS(rec.uni[2027-11-01],
INDIRECT("rec.uni[natureza]"),"taxa.extra",
INDIRECT("rec.uni[empresa]"),BK$6)</f>
        <v>0</v>
      </c>
      <c r="BL85" s="170"/>
      <c r="BM85" s="170" cm="1">
        <f t="array" ref="BM8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N85" s="170" cm="1">
        <f t="array" ref="BN8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O85" s="170" cm="1">
        <f t="array" ref="BO8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P85" s="170" cm="1">
        <f t="array" ref="BP8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Q85" s="170" cm="1">
        <f t="array" ref="BQ8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(desp[data.pagamento]&gt;=$A85)*
    (desp[data.pagamento]&lt;EOMONTH($A85,0)+1)
  )
)</f>
        <v>0</v>
      </c>
      <c r="BR85" s="181">
        <f>COUNTIFS(
    estq[empresa], BR$6,
    estq[Data da venda / reserva], "&gt;=" &amp; $A85,
    estq[Data da venda / reserva], "&lt;"  &amp; EOMONTH($A85,0) + 1
)</f>
        <v>0</v>
      </c>
      <c r="BS85" s="182">
        <f ca="1">SUMIFS(rec.uni[2027-11-01],
INDIRECT("rec.uni[natureza]"),"pro.soluto",
INDIRECT("rec.uni[empresa]"),BS$6)</f>
        <v>0</v>
      </c>
      <c r="BT85" s="186">
        <f ca="1">SUMIFS(rec.uni[2027-11-01],
INDIRECT("rec.uni[natureza]"),"parcela.fin.total.ik",
INDIRECT("rec.uni[empresa]"),BT$6)</f>
        <v>0</v>
      </c>
      <c r="BU85" s="182">
        <f ca="1">SUMIFS(rec.uni[2027-11-01],
INDIRECT("rec.uni[natureza]"),"taxa.extra",
INDIRECT("rec.uni[empresa]"),BU$6)</f>
        <v>0</v>
      </c>
      <c r="BV85" s="170"/>
      <c r="BW85" s="170" cm="1">
        <f t="array" ref="BW8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BX85" s="170" cm="1">
        <f t="array" ref="BX8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BY85" s="170" cm="1">
        <f t="array" ref="BY8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BZ85" s="170" cm="1">
        <f t="array" ref="BZ8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CA85" s="170" cm="1">
        <f t="array" ref="CA8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(desp[data.pagamento]&gt;=$A85)*
    (desp[data.pagamento]&lt;EOMONTH($A85,0)+1)
  )
)</f>
        <v>0</v>
      </c>
      <c r="CB85" s="181">
        <f>COUNTIFS(
    estq[empresa], CB$6,
    estq[Data da venda / reserva], "&gt;=" &amp; $A85,
    estq[Data da venda / reserva], "&lt;"  &amp; EOMONTH($A85,0) + 1
)</f>
        <v>0</v>
      </c>
      <c r="CC85" s="182">
        <f ca="1">SUMIFS(rec.uni[2027-11-01],
INDIRECT("rec.uni[natureza]"),"pro.soluto",
INDIRECT("rec.uni[empresa]"),CC$6)</f>
        <v>0</v>
      </c>
      <c r="CD85" s="182">
        <f ca="1">SUMIFS(rec.uni[2027-11-01],
INDIRECT("rec.uni[natureza]"),"repasse.cef.obra",
INDIRECT("rec.uni[empresa]"),CD$6)</f>
        <v>0</v>
      </c>
      <c r="CE85" s="185">
        <f ca="1">SUMIFS(rec.uni[2027-11-01],
INDIRECT("rec.uni[natureza]"),"repasse.cef.terreno",
INDIRECT("rec.uni[empresa]"),CE$6)</f>
        <v>0</v>
      </c>
      <c r="CF85" s="186"/>
      <c r="CG85" s="182">
        <f ca="1">SUMIFS(rec.uni[2027-11-01],
INDIRECT("rec.uni[natureza]"),"taxa.extra",
INDIRECT("rec.uni[empresa]"),CG$6)</f>
        <v>0</v>
      </c>
      <c r="CH85" s="170"/>
      <c r="CI85" s="170" cm="1">
        <f t="array" ref="CI8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J85" s="170" cm="1">
        <f t="array" ref="CJ8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K85" s="170" cm="1">
        <f t="array" ref="CK8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L85" s="170" cm="1">
        <f t="array" ref="CL8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M85" s="170" cm="1">
        <f t="array" ref="CM8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(desp[data.pagamento]&gt;=$A85)*
    (desp[data.pagamento]&lt;EOMONTH($A85,0)+1)
  )
)</f>
        <v>0</v>
      </c>
      <c r="CN85" s="181">
        <f>COUNTIFS(
    estq[empresa], CN$6,
    estq[Data da venda / reserva], "&gt;=" &amp; $A85,
    estq[Data da venda / reserva], "&lt;"  &amp; EOMONTH($A85,0) + 1
)</f>
        <v>0</v>
      </c>
      <c r="CO85" s="182">
        <f ca="1">SUMIFS(rec.uni[2027-11-01],
INDIRECT("rec.uni[natureza]"),"pro.soluto",
INDIRECT("rec.uni[empresa]"),CO$6)</f>
        <v>0</v>
      </c>
      <c r="CP85" s="182">
        <f ca="1">SUMIFS(rec.uni[2027-11-01],
INDIRECT("rec.uni[natureza]"),"repasse.cef.obra",
INDIRECT("rec.uni[empresa]"),CP$6)</f>
        <v>0</v>
      </c>
      <c r="CQ85" s="185">
        <f ca="1">SUMIFS(rec.uni[2027-11-01],
INDIRECT("rec.uni[natureza]"),"repasse.cef.terreno",
INDIRECT("rec.uni[empresa]"),CQ$6)</f>
        <v>0</v>
      </c>
      <c r="CR85" s="186"/>
      <c r="CS85" s="182">
        <f ca="1">SUMIFS(rec.uni[2027-11-01],
INDIRECT("rec.uni[natureza]"),"taxa.extra",
INDIRECT("rec.uni[empresa]"),CS$6)</f>
        <v>0</v>
      </c>
      <c r="CT85" s="170"/>
      <c r="CU85" s="170" cm="1">
        <f t="array" ref="CU8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  <c r="CV85" s="170" cm="1">
        <f t="array" ref="CV8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  <c r="CW85" s="170" cm="1">
        <f t="array" ref="CW8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  <c r="CX85" s="170" cm="1">
        <f t="array" ref="CX8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  <c r="CY85" s="295" cm="1">
        <f t="array" ref="CY8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(desp[data.pagamento]&gt;=$A85)*
    (desp[data.pagamento]&lt;EOMONTH($A85,0)+1)
  )
)</f>
        <v>0</v>
      </c>
    </row>
    <row r="86" spans="1:103" x14ac:dyDescent="0.25">
      <c r="A86" s="180">
        <v>46722</v>
      </c>
      <c r="B86" s="181">
        <f>COUNTIFS(
    estq[empresa], B$6,
    estq[Data da venda / reserva], "&gt;=" &amp; $A86,
    estq[Data da venda / reserva], "&lt;"  &amp; EOMONTH($A86,0) + 1
)</f>
        <v>0</v>
      </c>
      <c r="C86" s="182">
        <f ca="1">SUMIFS(rec.uni[2027-12-01],
INDIRECT("rec.uni[natureza]"),"pro.soluto",
INDIRECT("rec.uni[empresa]"),C$6)</f>
        <v>0</v>
      </c>
      <c r="D86" s="182">
        <f ca="1">SUMIFS(rec.uni[2027-12-01],
INDIRECT("rec.uni[natureza]"),"repasse.cef.obra",
INDIRECT("rec.uni[empresa]"),D$6)</f>
        <v>0</v>
      </c>
      <c r="E86" s="182">
        <f ca="1">SUMIFS(rec.uni[2027-12-01],
INDIRECT("rec.uni[natureza]"),"repasse.cef.terreno",
INDIRECT("rec.uni[empresa]"),E$6)</f>
        <v>0</v>
      </c>
      <c r="F86" s="186"/>
      <c r="G86" s="182">
        <f ca="1">SUMIFS(rec.uni[2027-12-01],
INDIRECT("rec.uni[natureza]"),"taxa.extra",
INDIRECT("rec.uni[empresa]"),G$6)</f>
        <v>0</v>
      </c>
      <c r="H86" s="170"/>
      <c r="I86" s="170" cm="1">
        <f t="array" ref="I8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J86" s="170" cm="1">
        <f t="array" ref="J8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K86" s="170" cm="1">
        <f t="array" ref="K8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L86" s="170" cm="1">
        <f t="array" ref="L8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M86" s="170" cm="1">
        <f t="array" ref="M8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(desp[data.pagamento]&gt;=$A86)*
    (desp[data.pagamento]&lt;EOMONTH($A86,0)+1)
  )
)</f>
        <v>0</v>
      </c>
      <c r="N86" s="181">
        <f>COUNTIFS(
    estq[empresa], N$6,
    estq[Data da venda / reserva], "&gt;=" &amp; $A86,
    estq[Data da venda / reserva], "&lt;"  &amp; EOMONTH($A86,0) + 1
)</f>
        <v>0</v>
      </c>
      <c r="O86" s="182">
        <f ca="1">SUMIFS(rec.uni[2027-12-01],
INDIRECT("rec.uni[natureza]"),"pro.soluto",
INDIRECT("rec.uni[empresa]"),O$6)</f>
        <v>0</v>
      </c>
      <c r="P86" s="182">
        <f ca="1">SUMIFS(rec.uni[2027-12-01],
INDIRECT("rec.uni[natureza]"),"repasse.cef.obra",
INDIRECT("rec.uni[empresa]"),P$6)</f>
        <v>0</v>
      </c>
      <c r="Q86" s="182">
        <f ca="1">SUMIFS(rec.uni[2027-12-01],
INDIRECT("rec.uni[natureza]"),"repasse.cef.terreno",
INDIRECT("rec.uni[empresa]"),Q$6)</f>
        <v>0</v>
      </c>
      <c r="R86" s="186"/>
      <c r="S86" s="182">
        <f ca="1">SUMIFS(rec.uni[2027-12-01],
INDIRECT("rec.uni[natureza]"),"taxa.extra",
INDIRECT("rec.uni[empresa]"),S$6)</f>
        <v>0</v>
      </c>
      <c r="T86" s="170"/>
      <c r="U86" s="170" cm="1">
        <f t="array" ref="U8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V86" s="170" cm="1">
        <f t="array" ref="V8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W86" s="170" cm="1">
        <f t="array" ref="W8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X86" s="170" cm="1">
        <f t="array" ref="X8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Y86" s="170" cm="1">
        <f t="array" ref="Y8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(desp[data.pagamento]&gt;=$A86)*
    (desp[data.pagamento]&lt;EOMONTH($A86,0)+1)
  )
)</f>
        <v>0</v>
      </c>
      <c r="Z86" s="181">
        <f>COUNTIFS(
    estq[empresa], Z$6,
    estq[Data da venda / reserva], "&gt;=" &amp; $A86,
    estq[Data da venda / reserva], "&lt;"  &amp; EOMONTH($A86,0) + 1
)</f>
        <v>0</v>
      </c>
      <c r="AA86" s="182">
        <f ca="1">SUMIFS(rec.uni[2027-12-01],
INDIRECT("rec.uni[natureza]"),"pro.soluto",
INDIRECT("rec.uni[empresa]"),AA$6)</f>
        <v>0</v>
      </c>
      <c r="AB86" s="186">
        <f ca="1">SUMIFS(rec.uni[2027-12-01],
INDIRECT("rec.uni[natureza]"),"parcela.fin.total.ik",
INDIRECT("rec.uni[empresa]"),AB$6)</f>
        <v>0</v>
      </c>
      <c r="AC86" s="182">
        <f ca="1">SUMIFS(rec.uni[2027-12-01],
INDIRECT("rec.uni[natureza]"),"taxa.extra",
INDIRECT("rec.uni[empresa]"),AC$6)</f>
        <v>0</v>
      </c>
      <c r="AD86" s="170"/>
      <c r="AE86" s="170" cm="1">
        <f t="array" ref="AE8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F86" s="170" cm="1">
        <f t="array" ref="AF8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G86" s="170" cm="1">
        <f t="array" ref="AG8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H86" s="170" cm="1">
        <f t="array" ref="AH8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I86" s="170" cm="1">
        <f t="array" ref="AI8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(desp[data.pagamento]&gt;=$A86)*
    (desp[data.pagamento]&lt;EOMONTH($A86,0)+1)
  )
)</f>
        <v>0</v>
      </c>
      <c r="AJ86" s="181">
        <f>COUNTIFS(
    estq[empresa], AJ$6,
    estq[Data da venda / reserva], "&gt;=" &amp; $A86,
    estq[Data da venda / reserva], "&lt;"  &amp; EOMONTH($A86,0) + 1
)</f>
        <v>0</v>
      </c>
      <c r="AK86" s="182">
        <f ca="1">SUMIFS(rec.uni[2027-12-01],
INDIRECT("rec.uni[natureza]"),"pro.soluto",
INDIRECT("rec.uni[empresa]"),AK$6)</f>
        <v>0</v>
      </c>
      <c r="AL86" s="182">
        <f ca="1">SUMIFS(rec.uni[2027-12-01],
INDIRECT("rec.uni[natureza]"),"repasse.cef.obra",
INDIRECT("rec.uni[empresa]"),AL$6)</f>
        <v>0</v>
      </c>
      <c r="AM86" s="185">
        <f ca="1">SUMIFS(rec.uni[2027-12-01],
INDIRECT("rec.uni[natureza]"),"repasse.cef.terreno",
INDIRECT("rec.uni[empresa]"),AM$6)</f>
        <v>0</v>
      </c>
      <c r="AN86" s="186"/>
      <c r="AO86" s="182">
        <f ca="1">SUMIFS(rec.uni[2027-12-01],
INDIRECT("rec.uni[natureza]"),"taxa.extra",
INDIRECT("rec.uni[empresa]"),AO$6)</f>
        <v>0</v>
      </c>
      <c r="AP86" s="170"/>
      <c r="AQ86" s="170" cm="1">
        <f t="array" ref="AQ8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R86" s="170" cm="1">
        <f t="array" ref="AR8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S86" s="170" cm="1">
        <f t="array" ref="AS8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T86" s="170" cm="1">
        <f t="array" ref="AT8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U86" s="170" cm="1">
        <f t="array" ref="AU8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(desp[data.pagamento]&gt;=$A86)*
    (desp[data.pagamento]&lt;EOMONTH($A86,0)+1)
  )
)</f>
        <v>0</v>
      </c>
      <c r="AV86" s="181">
        <f>COUNTIFS(
    estq[empresa], AV$6,
    estq[Data da venda / reserva], "&gt;=" &amp; $A86,
    estq[Data da venda / reserva], "&lt;"  &amp; EOMONTH($A86,0) + 1
)</f>
        <v>0</v>
      </c>
      <c r="AW86" s="182">
        <f ca="1">SUMIFS(rec.uni[2027-12-01],
INDIRECT("rec.uni[natureza]"),"pro.soluto",
INDIRECT("rec.uni[empresa]"),AW$6)</f>
        <v>0</v>
      </c>
      <c r="AX86" s="182">
        <f ca="1">SUMIFS(rec.uni[2027-12-01],
INDIRECT("rec.uni[natureza]"),"repasse.cef.obra",
INDIRECT("rec.uni[empresa]"),AX$6)</f>
        <v>0</v>
      </c>
      <c r="AY86" s="185">
        <f ca="1">SUMIFS(rec.uni[2027-12-01],
INDIRECT("rec.uni[natureza]"),"repasse.cef.terreno",
INDIRECT("rec.uni[empresa]"),AY$6)</f>
        <v>0</v>
      </c>
      <c r="AZ86" s="186"/>
      <c r="BA86" s="182">
        <f ca="1">SUMIFS(rec.uni[2027-12-01],
INDIRECT("rec.uni[natureza]"),"taxa.extra",
INDIRECT("rec.uni[empresa]"),BA$6)</f>
        <v>0</v>
      </c>
      <c r="BB86" s="170"/>
      <c r="BC86" s="170" cm="1">
        <f t="array" ref="BC8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D86" s="170" cm="1">
        <f t="array" ref="BD8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E86" s="170" cm="1">
        <f t="array" ref="BE8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F86" s="170" cm="1">
        <f t="array" ref="BF8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G86" s="170" cm="1">
        <f t="array" ref="BG8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(desp[data.pagamento]&gt;=$A86)*
    (desp[data.pagamento]&lt;EOMONTH($A86,0)+1)
  )
)</f>
        <v>0</v>
      </c>
      <c r="BH86" s="181">
        <f>COUNTIFS(
    estq[empresa], BH$6,
    estq[Data da venda / reserva], "&gt;=" &amp; $A86,
    estq[Data da venda / reserva], "&lt;"  &amp; EOMONTH($A86,0) + 1
)</f>
        <v>0</v>
      </c>
      <c r="BI86" s="182">
        <f ca="1">SUMIFS(rec.uni[2027-12-01],
INDIRECT("rec.uni[natureza]"),"pro.soluto",
INDIRECT("rec.uni[empresa]"),BI$6)</f>
        <v>0</v>
      </c>
      <c r="BJ86" s="186">
        <f ca="1">SUMIFS(rec.uni[2027-12-01],
INDIRECT("rec.uni[natureza]"),"parcela.fin.total.ik",
INDIRECT("rec.uni[empresa]"),BJ$6)</f>
        <v>0</v>
      </c>
      <c r="BK86" s="182">
        <f ca="1">SUMIFS(rec.uni[2027-12-01],
INDIRECT("rec.uni[natureza]"),"taxa.extra",
INDIRECT("rec.uni[empresa]"),BK$6)</f>
        <v>0</v>
      </c>
      <c r="BL86" s="170"/>
      <c r="BM86" s="170" cm="1">
        <f t="array" ref="BM8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N86" s="170" cm="1">
        <f t="array" ref="BN8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O86" s="170" cm="1">
        <f t="array" ref="BO8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P86" s="170" cm="1">
        <f t="array" ref="BP8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Q86" s="170" cm="1">
        <f t="array" ref="BQ8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(desp[data.pagamento]&gt;=$A86)*
    (desp[data.pagamento]&lt;EOMONTH($A86,0)+1)
  )
)</f>
        <v>0</v>
      </c>
      <c r="BR86" s="181">
        <f>COUNTIFS(
    estq[empresa], BR$6,
    estq[Data da venda / reserva], "&gt;=" &amp; $A86,
    estq[Data da venda / reserva], "&lt;"  &amp; EOMONTH($A86,0) + 1
)</f>
        <v>0</v>
      </c>
      <c r="BS86" s="182">
        <f ca="1">SUMIFS(rec.uni[2027-12-01],
INDIRECT("rec.uni[natureza]"),"pro.soluto",
INDIRECT("rec.uni[empresa]"),BS$6)</f>
        <v>0</v>
      </c>
      <c r="BT86" s="186">
        <f ca="1">SUMIFS(rec.uni[2027-12-01],
INDIRECT("rec.uni[natureza]"),"parcela.fin.total.ik",
INDIRECT("rec.uni[empresa]"),BT$6)</f>
        <v>0</v>
      </c>
      <c r="BU86" s="182">
        <f ca="1">SUMIFS(rec.uni[2027-12-01],
INDIRECT("rec.uni[natureza]"),"taxa.extra",
INDIRECT("rec.uni[empresa]"),BU$6)</f>
        <v>0</v>
      </c>
      <c r="BV86" s="170"/>
      <c r="BW86" s="170" cm="1">
        <f t="array" ref="BW8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BX86" s="170" cm="1">
        <f t="array" ref="BX8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BY86" s="170" cm="1">
        <f t="array" ref="BY8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BZ86" s="170" cm="1">
        <f t="array" ref="BZ8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CA86" s="170" cm="1">
        <f t="array" ref="CA8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(desp[data.pagamento]&gt;=$A86)*
    (desp[data.pagamento]&lt;EOMONTH($A86,0)+1)
  )
)</f>
        <v>0</v>
      </c>
      <c r="CB86" s="181">
        <f>COUNTIFS(
    estq[empresa], CB$6,
    estq[Data da venda / reserva], "&gt;=" &amp; $A86,
    estq[Data da venda / reserva], "&lt;"  &amp; EOMONTH($A86,0) + 1
)</f>
        <v>0</v>
      </c>
      <c r="CC86" s="182">
        <f ca="1">SUMIFS(rec.uni[2027-12-01],
INDIRECT("rec.uni[natureza]"),"pro.soluto",
INDIRECT("rec.uni[empresa]"),CC$6)</f>
        <v>0</v>
      </c>
      <c r="CD86" s="182">
        <f ca="1">SUMIFS(rec.uni[2027-12-01],
INDIRECT("rec.uni[natureza]"),"repasse.cef.obra",
INDIRECT("rec.uni[empresa]"),CD$6)</f>
        <v>0</v>
      </c>
      <c r="CE86" s="185">
        <f ca="1">SUMIFS(rec.uni[2027-12-01],
INDIRECT("rec.uni[natureza]"),"repasse.cef.terreno",
INDIRECT("rec.uni[empresa]"),CE$6)</f>
        <v>0</v>
      </c>
      <c r="CF86" s="186"/>
      <c r="CG86" s="182">
        <f ca="1">SUMIFS(rec.uni[2027-12-01],
INDIRECT("rec.uni[natureza]"),"taxa.extra",
INDIRECT("rec.uni[empresa]"),CG$6)</f>
        <v>0</v>
      </c>
      <c r="CH86" s="170"/>
      <c r="CI86" s="170" cm="1">
        <f t="array" ref="CI8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J86" s="170" cm="1">
        <f t="array" ref="CJ8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K86" s="170" cm="1">
        <f t="array" ref="CK8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L86" s="170" cm="1">
        <f t="array" ref="CL8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M86" s="170" cm="1">
        <f t="array" ref="CM8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(desp[data.pagamento]&gt;=$A86)*
    (desp[data.pagamento]&lt;EOMONTH($A86,0)+1)
  )
)</f>
        <v>0</v>
      </c>
      <c r="CN86" s="181">
        <f>COUNTIFS(
    estq[empresa], CN$6,
    estq[Data da venda / reserva], "&gt;=" &amp; $A86,
    estq[Data da venda / reserva], "&lt;"  &amp; EOMONTH($A86,0) + 1
)</f>
        <v>0</v>
      </c>
      <c r="CO86" s="182">
        <f ca="1">SUMIFS(rec.uni[2027-12-01],
INDIRECT("rec.uni[natureza]"),"pro.soluto",
INDIRECT("rec.uni[empresa]"),CO$6)</f>
        <v>0</v>
      </c>
      <c r="CP86" s="182">
        <f ca="1">SUMIFS(rec.uni[2027-12-01],
INDIRECT("rec.uni[natureza]"),"repasse.cef.obra",
INDIRECT("rec.uni[empresa]"),CP$6)</f>
        <v>0</v>
      </c>
      <c r="CQ86" s="185">
        <f ca="1">SUMIFS(rec.uni[2027-12-01],
INDIRECT("rec.uni[natureza]"),"repasse.cef.terreno",
INDIRECT("rec.uni[empresa]"),CQ$6)</f>
        <v>0</v>
      </c>
      <c r="CR86" s="186"/>
      <c r="CS86" s="182">
        <f ca="1">SUMIFS(rec.uni[2027-12-01],
INDIRECT("rec.uni[natureza]"),"taxa.extra",
INDIRECT("rec.uni[empresa]"),CS$6)</f>
        <v>0</v>
      </c>
      <c r="CT86" s="170"/>
      <c r="CU86" s="170" cm="1">
        <f t="array" ref="CU8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  <c r="CV86" s="170" cm="1">
        <f t="array" ref="CV8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  <c r="CW86" s="170" cm="1">
        <f t="array" ref="CW8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  <c r="CX86" s="170" cm="1">
        <f t="array" ref="CX8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  <c r="CY86" s="295" cm="1">
        <f t="array" ref="CY8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(desp[data.pagamento]&gt;=$A86)*
    (desp[data.pagamento]&lt;EOMONTH($A86,0)+1)
  )
)</f>
        <v>0</v>
      </c>
    </row>
    <row r="87" spans="1:103" x14ac:dyDescent="0.25">
      <c r="A87" s="180">
        <v>46753</v>
      </c>
      <c r="B87" s="181">
        <f>COUNTIFS(
    estq[empresa], B$6,
    estq[Data da venda / reserva], "&gt;=" &amp; $A87,
    estq[Data da venda / reserva], "&lt;"  &amp; EOMONTH($A87,0) + 1
)</f>
        <v>0</v>
      </c>
      <c r="C87" s="182">
        <f ca="1">SUMIFS(rec.uni[2028-01-01],
INDIRECT("rec.uni[natureza]"),"pro.soluto",
INDIRECT("rec.uni[empresa]"),C$6)</f>
        <v>0</v>
      </c>
      <c r="D87" s="182">
        <f ca="1">SUMIFS(rec.uni[2028-01-01],
INDIRECT("rec.uni[natureza]"),"repasse.cef.obra",
INDIRECT("rec.uni[empresa]"),D$6)</f>
        <v>0</v>
      </c>
      <c r="E87" s="182">
        <f ca="1">SUMIFS(rec.uni[2028-01-01],
INDIRECT("rec.uni[natureza]"),"repasse.cef.terreno",
INDIRECT("rec.uni[empresa]"),E$6)</f>
        <v>0</v>
      </c>
      <c r="F87" s="186"/>
      <c r="G87" s="182">
        <f ca="1">SUMIFS(rec.uni[2028-01-01],
INDIRECT("rec.uni[natureza]"),"taxa.extra",
INDIRECT("rec.uni[empresa]"),G$6)</f>
        <v>0</v>
      </c>
      <c r="H87" s="170"/>
      <c r="I87" s="170" cm="1">
        <f t="array" ref="I8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J87" s="170" cm="1">
        <f t="array" ref="J8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K87" s="170" cm="1">
        <f t="array" ref="K8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L87" s="170" cm="1">
        <f t="array" ref="L8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M87" s="170" cm="1">
        <f t="array" ref="M8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(desp[data.pagamento]&gt;=$A87)*
    (desp[data.pagamento]&lt;EOMONTH($A87,0)+1)
  )
)</f>
        <v>0</v>
      </c>
      <c r="N87" s="181">
        <f>COUNTIFS(
    estq[empresa], N$6,
    estq[Data da venda / reserva], "&gt;=" &amp; $A87,
    estq[Data da venda / reserva], "&lt;"  &amp; EOMONTH($A87,0) + 1
)</f>
        <v>0</v>
      </c>
      <c r="O87" s="182">
        <f ca="1">SUMIFS(rec.uni[2028-01-01],
INDIRECT("rec.uni[natureza]"),"pro.soluto",
INDIRECT("rec.uni[empresa]"),O$6)</f>
        <v>0</v>
      </c>
      <c r="P87" s="182">
        <f ca="1">SUMIFS(rec.uni[2028-01-01],
INDIRECT("rec.uni[natureza]"),"repasse.cef.obra",
INDIRECT("rec.uni[empresa]"),P$6)</f>
        <v>0</v>
      </c>
      <c r="Q87" s="182">
        <f ca="1">SUMIFS(rec.uni[2028-01-01],
INDIRECT("rec.uni[natureza]"),"repasse.cef.terreno",
INDIRECT("rec.uni[empresa]"),Q$6)</f>
        <v>0</v>
      </c>
      <c r="R87" s="186"/>
      <c r="S87" s="182">
        <f ca="1">SUMIFS(rec.uni[2028-01-01],
INDIRECT("rec.uni[natureza]"),"taxa.extra",
INDIRECT("rec.uni[empresa]"),S$6)</f>
        <v>0</v>
      </c>
      <c r="T87" s="170"/>
      <c r="U87" s="170" cm="1">
        <f t="array" ref="U8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V87" s="170" cm="1">
        <f t="array" ref="V8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W87" s="170" cm="1">
        <f t="array" ref="W8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X87" s="170" cm="1">
        <f t="array" ref="X8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Y87" s="170" cm="1">
        <f t="array" ref="Y8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(desp[data.pagamento]&gt;=$A87)*
    (desp[data.pagamento]&lt;EOMONTH($A87,0)+1)
  )
)</f>
        <v>0</v>
      </c>
      <c r="Z87" s="181">
        <f>COUNTIFS(
    estq[empresa], Z$6,
    estq[Data da venda / reserva], "&gt;=" &amp; $A87,
    estq[Data da venda / reserva], "&lt;"  &amp; EOMONTH($A87,0) + 1
)</f>
        <v>0</v>
      </c>
      <c r="AA87" s="182">
        <f ca="1">SUMIFS(rec.uni[2028-01-01],
INDIRECT("rec.uni[natureza]"),"pro.soluto",
INDIRECT("rec.uni[empresa]"),AA$6)</f>
        <v>0</v>
      </c>
      <c r="AB87" s="186">
        <f ca="1">SUMIFS(rec.uni[2028-01-01],
INDIRECT("rec.uni[natureza]"),"parcela.fin.total.ik",
INDIRECT("rec.uni[empresa]"),AB$6)</f>
        <v>0</v>
      </c>
      <c r="AC87" s="182">
        <f ca="1">SUMIFS(rec.uni[2028-01-01],
INDIRECT("rec.uni[natureza]"),"taxa.extra",
INDIRECT("rec.uni[empresa]"),AC$6)</f>
        <v>0</v>
      </c>
      <c r="AD87" s="170"/>
      <c r="AE87" s="170" cm="1">
        <f t="array" ref="AE8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F87" s="170" cm="1">
        <f t="array" ref="AF8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G87" s="170" cm="1">
        <f t="array" ref="AG8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H87" s="170" cm="1">
        <f t="array" ref="AH8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I87" s="170" cm="1">
        <f t="array" ref="AI8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(desp[data.pagamento]&gt;=$A87)*
    (desp[data.pagamento]&lt;EOMONTH($A87,0)+1)
  )
)</f>
        <v>0</v>
      </c>
      <c r="AJ87" s="181">
        <f>COUNTIFS(
    estq[empresa], AJ$6,
    estq[Data da venda / reserva], "&gt;=" &amp; $A87,
    estq[Data da venda / reserva], "&lt;"  &amp; EOMONTH($A87,0) + 1
)</f>
        <v>0</v>
      </c>
      <c r="AK87" s="182">
        <f ca="1">SUMIFS(rec.uni[2028-01-01],
INDIRECT("rec.uni[natureza]"),"pro.soluto",
INDIRECT("rec.uni[empresa]"),AK$6)</f>
        <v>0</v>
      </c>
      <c r="AL87" s="182">
        <f ca="1">SUMIFS(rec.uni[2028-01-01],
INDIRECT("rec.uni[natureza]"),"repasse.cef.obra",
INDIRECT("rec.uni[empresa]"),AL$6)</f>
        <v>0</v>
      </c>
      <c r="AM87" s="185">
        <f ca="1">SUMIFS(rec.uni[2028-01-01],
INDIRECT("rec.uni[natureza]"),"repasse.cef.terreno",
INDIRECT("rec.uni[empresa]"),AM$6)</f>
        <v>0</v>
      </c>
      <c r="AN87" s="186"/>
      <c r="AO87" s="182">
        <f ca="1">SUMIFS(rec.uni[2028-01-01],
INDIRECT("rec.uni[natureza]"),"taxa.extra",
INDIRECT("rec.uni[empresa]"),AO$6)</f>
        <v>0</v>
      </c>
      <c r="AP87" s="170"/>
      <c r="AQ87" s="170" cm="1">
        <f t="array" ref="AQ8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R87" s="170" cm="1">
        <f t="array" ref="AR8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S87" s="170" cm="1">
        <f t="array" ref="AS8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T87" s="170" cm="1">
        <f t="array" ref="AT8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U87" s="170" cm="1">
        <f t="array" ref="AU8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(desp[data.pagamento]&gt;=$A87)*
    (desp[data.pagamento]&lt;EOMONTH($A87,0)+1)
  )
)</f>
        <v>0</v>
      </c>
      <c r="AV87" s="181">
        <f>COUNTIFS(
    estq[empresa], AV$6,
    estq[Data da venda / reserva], "&gt;=" &amp; $A87,
    estq[Data da venda / reserva], "&lt;"  &amp; EOMONTH($A87,0) + 1
)</f>
        <v>0</v>
      </c>
      <c r="AW87" s="182">
        <f ca="1">SUMIFS(rec.uni[2028-01-01],
INDIRECT("rec.uni[natureza]"),"pro.soluto",
INDIRECT("rec.uni[empresa]"),AW$6)</f>
        <v>0</v>
      </c>
      <c r="AX87" s="182">
        <f ca="1">SUMIFS(rec.uni[2028-01-01],
INDIRECT("rec.uni[natureza]"),"repasse.cef.obra",
INDIRECT("rec.uni[empresa]"),AX$6)</f>
        <v>0</v>
      </c>
      <c r="AY87" s="185">
        <f ca="1">SUMIFS(rec.uni[2028-01-01],
INDIRECT("rec.uni[natureza]"),"repasse.cef.terreno",
INDIRECT("rec.uni[empresa]"),AY$6)</f>
        <v>0</v>
      </c>
      <c r="AZ87" s="186"/>
      <c r="BA87" s="182">
        <f ca="1">SUMIFS(rec.uni[2028-01-01],
INDIRECT("rec.uni[natureza]"),"taxa.extra",
INDIRECT("rec.uni[empresa]"),BA$6)</f>
        <v>0</v>
      </c>
      <c r="BB87" s="170"/>
      <c r="BC87" s="170" cm="1">
        <f t="array" ref="BC8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D87" s="170" cm="1">
        <f t="array" ref="BD8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E87" s="170" cm="1">
        <f t="array" ref="BE8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F87" s="170" cm="1">
        <f t="array" ref="BF8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G87" s="170" cm="1">
        <f t="array" ref="BG8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(desp[data.pagamento]&gt;=$A87)*
    (desp[data.pagamento]&lt;EOMONTH($A87,0)+1)
  )
)</f>
        <v>0</v>
      </c>
      <c r="BH87" s="181">
        <f>COUNTIFS(
    estq[empresa], BH$6,
    estq[Data da venda / reserva], "&gt;=" &amp; $A87,
    estq[Data da venda / reserva], "&lt;"  &amp; EOMONTH($A87,0) + 1
)</f>
        <v>0</v>
      </c>
      <c r="BI87" s="182">
        <f ca="1">SUMIFS(rec.uni[2028-01-01],
INDIRECT("rec.uni[natureza]"),"pro.soluto",
INDIRECT("rec.uni[empresa]"),BI$6)</f>
        <v>0</v>
      </c>
      <c r="BJ87" s="186">
        <f ca="1">SUMIFS(rec.uni[2028-01-01],
INDIRECT("rec.uni[natureza]"),"parcela.fin.total.ik",
INDIRECT("rec.uni[empresa]"),BJ$6)</f>
        <v>0</v>
      </c>
      <c r="BK87" s="182">
        <f ca="1">SUMIFS(rec.uni[2028-01-01],
INDIRECT("rec.uni[natureza]"),"taxa.extra",
INDIRECT("rec.uni[empresa]"),BK$6)</f>
        <v>0</v>
      </c>
      <c r="BL87" s="170"/>
      <c r="BM87" s="170" cm="1">
        <f t="array" ref="BM8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N87" s="170" cm="1">
        <f t="array" ref="BN8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O87" s="170" cm="1">
        <f t="array" ref="BO8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P87" s="170" cm="1">
        <f t="array" ref="BP8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Q87" s="170" cm="1">
        <f t="array" ref="BQ8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(desp[data.pagamento]&gt;=$A87)*
    (desp[data.pagamento]&lt;EOMONTH($A87,0)+1)
  )
)</f>
        <v>0</v>
      </c>
      <c r="BR87" s="181">
        <f>COUNTIFS(
    estq[empresa], BR$6,
    estq[Data da venda / reserva], "&gt;=" &amp; $A87,
    estq[Data da venda / reserva], "&lt;"  &amp; EOMONTH($A87,0) + 1
)</f>
        <v>0</v>
      </c>
      <c r="BS87" s="182">
        <f ca="1">SUMIFS(rec.uni[2028-01-01],
INDIRECT("rec.uni[natureza]"),"pro.soluto",
INDIRECT("rec.uni[empresa]"),BS$6)</f>
        <v>0</v>
      </c>
      <c r="BT87" s="186">
        <f ca="1">SUMIFS(rec.uni[2028-01-01],
INDIRECT("rec.uni[natureza]"),"parcela.fin.total.ik",
INDIRECT("rec.uni[empresa]"),BT$6)</f>
        <v>0</v>
      </c>
      <c r="BU87" s="182">
        <f ca="1">SUMIFS(rec.uni[2028-01-01],
INDIRECT("rec.uni[natureza]"),"taxa.extra",
INDIRECT("rec.uni[empresa]"),BU$6)</f>
        <v>0</v>
      </c>
      <c r="BV87" s="170"/>
      <c r="BW87" s="170" cm="1">
        <f t="array" ref="BW8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BX87" s="170" cm="1">
        <f t="array" ref="BX8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BY87" s="170" cm="1">
        <f t="array" ref="BY8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BZ87" s="170" cm="1">
        <f t="array" ref="BZ8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CA87" s="170" cm="1">
        <f t="array" ref="CA8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(desp[data.pagamento]&gt;=$A87)*
    (desp[data.pagamento]&lt;EOMONTH($A87,0)+1)
  )
)</f>
        <v>0</v>
      </c>
      <c r="CB87" s="181">
        <f>COUNTIFS(
    estq[empresa], CB$6,
    estq[Data da venda / reserva], "&gt;=" &amp; $A87,
    estq[Data da venda / reserva], "&lt;"  &amp; EOMONTH($A87,0) + 1
)</f>
        <v>0</v>
      </c>
      <c r="CC87" s="182">
        <f ca="1">SUMIFS(rec.uni[2028-01-01],
INDIRECT("rec.uni[natureza]"),"pro.soluto",
INDIRECT("rec.uni[empresa]"),CC$6)</f>
        <v>0</v>
      </c>
      <c r="CD87" s="182">
        <f ca="1">SUMIFS(rec.uni[2028-01-01],
INDIRECT("rec.uni[natureza]"),"repasse.cef.obra",
INDIRECT("rec.uni[empresa]"),CD$6)</f>
        <v>0</v>
      </c>
      <c r="CE87" s="185">
        <f ca="1">SUMIFS(rec.uni[2028-01-01],
INDIRECT("rec.uni[natureza]"),"repasse.cef.terreno",
INDIRECT("rec.uni[empresa]"),CE$6)</f>
        <v>0</v>
      </c>
      <c r="CF87" s="186"/>
      <c r="CG87" s="182">
        <f ca="1">SUMIFS(rec.uni[2028-01-01],
INDIRECT("rec.uni[natureza]"),"taxa.extra",
INDIRECT("rec.uni[empresa]"),CG$6)</f>
        <v>0</v>
      </c>
      <c r="CH87" s="170"/>
      <c r="CI87" s="170" cm="1">
        <f t="array" ref="CI8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J87" s="170" cm="1">
        <f t="array" ref="CJ8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K87" s="170" cm="1">
        <f t="array" ref="CK8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L87" s="170" cm="1">
        <f t="array" ref="CL8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M87" s="170" cm="1">
        <f t="array" ref="CM8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(desp[data.pagamento]&gt;=$A87)*
    (desp[data.pagamento]&lt;EOMONTH($A87,0)+1)
  )
)</f>
        <v>0</v>
      </c>
      <c r="CN87" s="181">
        <f>COUNTIFS(
    estq[empresa], CN$6,
    estq[Data da venda / reserva], "&gt;=" &amp; $A87,
    estq[Data da venda / reserva], "&lt;"  &amp; EOMONTH($A87,0) + 1
)</f>
        <v>0</v>
      </c>
      <c r="CO87" s="182">
        <f ca="1">SUMIFS(rec.uni[2028-01-01],
INDIRECT("rec.uni[natureza]"),"pro.soluto",
INDIRECT("rec.uni[empresa]"),CO$6)</f>
        <v>0</v>
      </c>
      <c r="CP87" s="182">
        <f ca="1">SUMIFS(rec.uni[2028-01-01],
INDIRECT("rec.uni[natureza]"),"repasse.cef.obra",
INDIRECT("rec.uni[empresa]"),CP$6)</f>
        <v>0</v>
      </c>
      <c r="CQ87" s="185">
        <f ca="1">SUMIFS(rec.uni[2028-01-01],
INDIRECT("rec.uni[natureza]"),"repasse.cef.terreno",
INDIRECT("rec.uni[empresa]"),CQ$6)</f>
        <v>0</v>
      </c>
      <c r="CR87" s="186"/>
      <c r="CS87" s="182">
        <f ca="1">SUMIFS(rec.uni[2028-01-01],
INDIRECT("rec.uni[natureza]"),"taxa.extra",
INDIRECT("rec.uni[empresa]"),CS$6)</f>
        <v>0</v>
      </c>
      <c r="CT87" s="170"/>
      <c r="CU87" s="170" cm="1">
        <f t="array" ref="CU8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  <c r="CV87" s="170" cm="1">
        <f t="array" ref="CV8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  <c r="CW87" s="170" cm="1">
        <f t="array" ref="CW8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  <c r="CX87" s="170" cm="1">
        <f t="array" ref="CX8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  <c r="CY87" s="295" cm="1">
        <f t="array" ref="CY8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(desp[data.pagamento]&gt;=$A87)*
    (desp[data.pagamento]&lt;EOMONTH($A87,0)+1)
  )
)</f>
        <v>0</v>
      </c>
    </row>
    <row r="88" spans="1:103" x14ac:dyDescent="0.25">
      <c r="A88" s="180">
        <v>46784</v>
      </c>
      <c r="B88" s="181">
        <f>COUNTIFS(
    estq[empresa], B$6,
    estq[Data da venda / reserva], "&gt;=" &amp; $A88,
    estq[Data da venda / reserva], "&lt;"  &amp; EOMONTH($A88,0) + 1
)</f>
        <v>0</v>
      </c>
      <c r="C88" s="182">
        <f ca="1">SUMIFS(rec.uni[2028-02-01],
INDIRECT("rec.uni[natureza]"),"pro.soluto",
INDIRECT("rec.uni[empresa]"),C$6)</f>
        <v>0</v>
      </c>
      <c r="D88" s="182">
        <f ca="1">SUMIFS(rec.uni[2028-02-01],
INDIRECT("rec.uni[natureza]"),"repasse.cef.obra",
INDIRECT("rec.uni[empresa]"),D$6)</f>
        <v>0</v>
      </c>
      <c r="E88" s="182">
        <f ca="1">SUMIFS(rec.uni[2028-02-01],
INDIRECT("rec.uni[natureza]"),"repasse.cef.terreno",
INDIRECT("rec.uni[empresa]"),E$6)</f>
        <v>0</v>
      </c>
      <c r="F88" s="186"/>
      <c r="G88" s="182">
        <f ca="1">SUMIFS(rec.uni[2028-02-01],
INDIRECT("rec.uni[natureza]"),"taxa.extra",
INDIRECT("rec.uni[empresa]"),G$6)</f>
        <v>0</v>
      </c>
      <c r="H88" s="170"/>
      <c r="I88" s="170" cm="1">
        <f t="array" ref="I8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J88" s="170" cm="1">
        <f t="array" ref="J8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K88" s="170" cm="1">
        <f t="array" ref="K8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L88" s="170" cm="1">
        <f t="array" ref="L8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M88" s="170" cm="1">
        <f t="array" ref="M8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(desp[data.pagamento]&gt;=$A88)*
    (desp[data.pagamento]&lt;EOMONTH($A88,0)+1)
  )
)</f>
        <v>0</v>
      </c>
      <c r="N88" s="181">
        <f>COUNTIFS(
    estq[empresa], N$6,
    estq[Data da venda / reserva], "&gt;=" &amp; $A88,
    estq[Data da venda / reserva], "&lt;"  &amp; EOMONTH($A88,0) + 1
)</f>
        <v>0</v>
      </c>
      <c r="O88" s="182">
        <f ca="1">SUMIFS(rec.uni[2028-02-01],
INDIRECT("rec.uni[natureza]"),"pro.soluto",
INDIRECT("rec.uni[empresa]"),O$6)</f>
        <v>0</v>
      </c>
      <c r="P88" s="182">
        <f ca="1">SUMIFS(rec.uni[2028-02-01],
INDIRECT("rec.uni[natureza]"),"repasse.cef.obra",
INDIRECT("rec.uni[empresa]"),P$6)</f>
        <v>0</v>
      </c>
      <c r="Q88" s="182">
        <f ca="1">SUMIFS(rec.uni[2028-02-01],
INDIRECT("rec.uni[natureza]"),"repasse.cef.terreno",
INDIRECT("rec.uni[empresa]"),Q$6)</f>
        <v>0</v>
      </c>
      <c r="R88" s="186"/>
      <c r="S88" s="182">
        <f ca="1">SUMIFS(rec.uni[2028-02-01],
INDIRECT("rec.uni[natureza]"),"taxa.extra",
INDIRECT("rec.uni[empresa]"),S$6)</f>
        <v>0</v>
      </c>
      <c r="T88" s="170"/>
      <c r="U88" s="170" cm="1">
        <f t="array" ref="U8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V88" s="170" cm="1">
        <f t="array" ref="V8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W88" s="170" cm="1">
        <f t="array" ref="W8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X88" s="170" cm="1">
        <f t="array" ref="X8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Y88" s="170" cm="1">
        <f t="array" ref="Y8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(desp[data.pagamento]&gt;=$A88)*
    (desp[data.pagamento]&lt;EOMONTH($A88,0)+1)
  )
)</f>
        <v>0</v>
      </c>
      <c r="Z88" s="181">
        <f>COUNTIFS(
    estq[empresa], Z$6,
    estq[Data da venda / reserva], "&gt;=" &amp; $A88,
    estq[Data da venda / reserva], "&lt;"  &amp; EOMONTH($A88,0) + 1
)</f>
        <v>0</v>
      </c>
      <c r="AA88" s="182">
        <f ca="1">SUMIFS(rec.uni[2028-02-01],
INDIRECT("rec.uni[natureza]"),"pro.soluto",
INDIRECT("rec.uni[empresa]"),AA$6)</f>
        <v>0</v>
      </c>
      <c r="AB88" s="186">
        <f ca="1">SUMIFS(rec.uni[2028-02-01],
INDIRECT("rec.uni[natureza]"),"parcela.fin.total.ik",
INDIRECT("rec.uni[empresa]"),AB$6)</f>
        <v>0</v>
      </c>
      <c r="AC88" s="182">
        <f ca="1">SUMIFS(rec.uni[2028-02-01],
INDIRECT("rec.uni[natureza]"),"taxa.extra",
INDIRECT("rec.uni[empresa]"),AC$6)</f>
        <v>0</v>
      </c>
      <c r="AD88" s="170"/>
      <c r="AE88" s="170" cm="1">
        <f t="array" ref="AE8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F88" s="170" cm="1">
        <f t="array" ref="AF8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G88" s="170" cm="1">
        <f t="array" ref="AG8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H88" s="170" cm="1">
        <f t="array" ref="AH8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I88" s="170" cm="1">
        <f t="array" ref="AI8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(desp[data.pagamento]&gt;=$A88)*
    (desp[data.pagamento]&lt;EOMONTH($A88,0)+1)
  )
)</f>
        <v>0</v>
      </c>
      <c r="AJ88" s="181">
        <f>COUNTIFS(
    estq[empresa], AJ$6,
    estq[Data da venda / reserva], "&gt;=" &amp; $A88,
    estq[Data da venda / reserva], "&lt;"  &amp; EOMONTH($A88,0) + 1
)</f>
        <v>0</v>
      </c>
      <c r="AK88" s="182">
        <f ca="1">SUMIFS(rec.uni[2028-02-01],
INDIRECT("rec.uni[natureza]"),"pro.soluto",
INDIRECT("rec.uni[empresa]"),AK$6)</f>
        <v>0</v>
      </c>
      <c r="AL88" s="182">
        <f ca="1">SUMIFS(rec.uni[2028-02-01],
INDIRECT("rec.uni[natureza]"),"repasse.cef.obra",
INDIRECT("rec.uni[empresa]"),AL$6)</f>
        <v>0</v>
      </c>
      <c r="AM88" s="185">
        <f ca="1">SUMIFS(rec.uni[2028-02-01],
INDIRECT("rec.uni[natureza]"),"repasse.cef.terreno",
INDIRECT("rec.uni[empresa]"),AM$6)</f>
        <v>0</v>
      </c>
      <c r="AN88" s="186"/>
      <c r="AO88" s="182">
        <f ca="1">SUMIFS(rec.uni[2028-02-01],
INDIRECT("rec.uni[natureza]"),"taxa.extra",
INDIRECT("rec.uni[empresa]"),AO$6)</f>
        <v>0</v>
      </c>
      <c r="AP88" s="170"/>
      <c r="AQ88" s="170" cm="1">
        <f t="array" ref="AQ8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R88" s="170" cm="1">
        <f t="array" ref="AR8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S88" s="170" cm="1">
        <f t="array" ref="AS8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T88" s="170" cm="1">
        <f t="array" ref="AT8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U88" s="170" cm="1">
        <f t="array" ref="AU8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(desp[data.pagamento]&gt;=$A88)*
    (desp[data.pagamento]&lt;EOMONTH($A88,0)+1)
  )
)</f>
        <v>0</v>
      </c>
      <c r="AV88" s="181">
        <f>COUNTIFS(
    estq[empresa], AV$6,
    estq[Data da venda / reserva], "&gt;=" &amp; $A88,
    estq[Data da venda / reserva], "&lt;"  &amp; EOMONTH($A88,0) + 1
)</f>
        <v>0</v>
      </c>
      <c r="AW88" s="182">
        <f ca="1">SUMIFS(rec.uni[2028-02-01],
INDIRECT("rec.uni[natureza]"),"pro.soluto",
INDIRECT("rec.uni[empresa]"),AW$6)</f>
        <v>0</v>
      </c>
      <c r="AX88" s="182">
        <f ca="1">SUMIFS(rec.uni[2028-02-01],
INDIRECT("rec.uni[natureza]"),"repasse.cef.obra",
INDIRECT("rec.uni[empresa]"),AX$6)</f>
        <v>0</v>
      </c>
      <c r="AY88" s="185">
        <f ca="1">SUMIFS(rec.uni[2028-02-01],
INDIRECT("rec.uni[natureza]"),"repasse.cef.terreno",
INDIRECT("rec.uni[empresa]"),AY$6)</f>
        <v>0</v>
      </c>
      <c r="AZ88" s="186"/>
      <c r="BA88" s="182">
        <f ca="1">SUMIFS(rec.uni[2028-02-01],
INDIRECT("rec.uni[natureza]"),"taxa.extra",
INDIRECT("rec.uni[empresa]"),BA$6)</f>
        <v>0</v>
      </c>
      <c r="BB88" s="170"/>
      <c r="BC88" s="170" cm="1">
        <f t="array" ref="BC8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D88" s="170" cm="1">
        <f t="array" ref="BD8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E88" s="170" cm="1">
        <f t="array" ref="BE8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F88" s="170" cm="1">
        <f t="array" ref="BF8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G88" s="170" cm="1">
        <f t="array" ref="BG8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(desp[data.pagamento]&gt;=$A88)*
    (desp[data.pagamento]&lt;EOMONTH($A88,0)+1)
  )
)</f>
        <v>0</v>
      </c>
      <c r="BH88" s="181">
        <f>COUNTIFS(
    estq[empresa], BH$6,
    estq[Data da venda / reserva], "&gt;=" &amp; $A88,
    estq[Data da venda / reserva], "&lt;"  &amp; EOMONTH($A88,0) + 1
)</f>
        <v>0</v>
      </c>
      <c r="BI88" s="182">
        <f ca="1">SUMIFS(rec.uni[2028-02-01],
INDIRECT("rec.uni[natureza]"),"pro.soluto",
INDIRECT("rec.uni[empresa]"),BI$6)</f>
        <v>0</v>
      </c>
      <c r="BJ88" s="186">
        <f ca="1">SUMIFS(rec.uni[2028-02-01],
INDIRECT("rec.uni[natureza]"),"parcela.fin.total.ik",
INDIRECT("rec.uni[empresa]"),BJ$6)</f>
        <v>0</v>
      </c>
      <c r="BK88" s="182">
        <f ca="1">SUMIFS(rec.uni[2028-02-01],
INDIRECT("rec.uni[natureza]"),"taxa.extra",
INDIRECT("rec.uni[empresa]"),BK$6)</f>
        <v>0</v>
      </c>
      <c r="BL88" s="170"/>
      <c r="BM88" s="170" cm="1">
        <f t="array" ref="BM8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N88" s="170" cm="1">
        <f t="array" ref="BN8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O88" s="170" cm="1">
        <f t="array" ref="BO8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P88" s="170" cm="1">
        <f t="array" ref="BP8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Q88" s="170" cm="1">
        <f t="array" ref="BQ8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(desp[data.pagamento]&gt;=$A88)*
    (desp[data.pagamento]&lt;EOMONTH($A88,0)+1)
  )
)</f>
        <v>0</v>
      </c>
      <c r="BR88" s="181">
        <f>COUNTIFS(
    estq[empresa], BR$6,
    estq[Data da venda / reserva], "&gt;=" &amp; $A88,
    estq[Data da venda / reserva], "&lt;"  &amp; EOMONTH($A88,0) + 1
)</f>
        <v>0</v>
      </c>
      <c r="BS88" s="182">
        <f ca="1">SUMIFS(rec.uni[2028-02-01],
INDIRECT("rec.uni[natureza]"),"pro.soluto",
INDIRECT("rec.uni[empresa]"),BS$6)</f>
        <v>0</v>
      </c>
      <c r="BT88" s="186">
        <f ca="1">SUMIFS(rec.uni[2028-02-01],
INDIRECT("rec.uni[natureza]"),"parcela.fin.total.ik",
INDIRECT("rec.uni[empresa]"),BT$6)</f>
        <v>0</v>
      </c>
      <c r="BU88" s="182">
        <f ca="1">SUMIFS(rec.uni[2028-02-01],
INDIRECT("rec.uni[natureza]"),"taxa.extra",
INDIRECT("rec.uni[empresa]"),BU$6)</f>
        <v>0</v>
      </c>
      <c r="BV88" s="170"/>
      <c r="BW88" s="170" cm="1">
        <f t="array" ref="BW8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BX88" s="170" cm="1">
        <f t="array" ref="BX8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BY88" s="170" cm="1">
        <f t="array" ref="BY8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BZ88" s="170" cm="1">
        <f t="array" ref="BZ8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CA88" s="170" cm="1">
        <f t="array" ref="CA8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(desp[data.pagamento]&gt;=$A88)*
    (desp[data.pagamento]&lt;EOMONTH($A88,0)+1)
  )
)</f>
        <v>0</v>
      </c>
      <c r="CB88" s="181">
        <f>COUNTIFS(
    estq[empresa], CB$6,
    estq[Data da venda / reserva], "&gt;=" &amp; $A88,
    estq[Data da venda / reserva], "&lt;"  &amp; EOMONTH($A88,0) + 1
)</f>
        <v>0</v>
      </c>
      <c r="CC88" s="182">
        <f ca="1">SUMIFS(rec.uni[2028-02-01],
INDIRECT("rec.uni[natureza]"),"pro.soluto",
INDIRECT("rec.uni[empresa]"),CC$6)</f>
        <v>0</v>
      </c>
      <c r="CD88" s="182">
        <f ca="1">SUMIFS(rec.uni[2028-02-01],
INDIRECT("rec.uni[natureza]"),"repasse.cef.obra",
INDIRECT("rec.uni[empresa]"),CD$6)</f>
        <v>0</v>
      </c>
      <c r="CE88" s="185">
        <f ca="1">SUMIFS(rec.uni[2028-02-01],
INDIRECT("rec.uni[natureza]"),"repasse.cef.terreno",
INDIRECT("rec.uni[empresa]"),CE$6)</f>
        <v>0</v>
      </c>
      <c r="CF88" s="186"/>
      <c r="CG88" s="182">
        <f ca="1">SUMIFS(rec.uni[2028-02-01],
INDIRECT("rec.uni[natureza]"),"taxa.extra",
INDIRECT("rec.uni[empresa]"),CG$6)</f>
        <v>0</v>
      </c>
      <c r="CH88" s="170"/>
      <c r="CI88" s="170" cm="1">
        <f t="array" ref="CI8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J88" s="170" cm="1">
        <f t="array" ref="CJ8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K88" s="170" cm="1">
        <f t="array" ref="CK8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L88" s="170" cm="1">
        <f t="array" ref="CL8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M88" s="170" cm="1">
        <f t="array" ref="CM8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(desp[data.pagamento]&gt;=$A88)*
    (desp[data.pagamento]&lt;EOMONTH($A88,0)+1)
  )
)</f>
        <v>0</v>
      </c>
      <c r="CN88" s="181">
        <f>COUNTIFS(
    estq[empresa], CN$6,
    estq[Data da venda / reserva], "&gt;=" &amp; $A88,
    estq[Data da venda / reserva], "&lt;"  &amp; EOMONTH($A88,0) + 1
)</f>
        <v>0</v>
      </c>
      <c r="CO88" s="182">
        <f ca="1">SUMIFS(rec.uni[2028-02-01],
INDIRECT("rec.uni[natureza]"),"pro.soluto",
INDIRECT("rec.uni[empresa]"),CO$6)</f>
        <v>0</v>
      </c>
      <c r="CP88" s="182">
        <f ca="1">SUMIFS(rec.uni[2028-02-01],
INDIRECT("rec.uni[natureza]"),"repasse.cef.obra",
INDIRECT("rec.uni[empresa]"),CP$6)</f>
        <v>0</v>
      </c>
      <c r="CQ88" s="185">
        <f ca="1">SUMIFS(rec.uni[2028-02-01],
INDIRECT("rec.uni[natureza]"),"repasse.cef.terreno",
INDIRECT("rec.uni[empresa]"),CQ$6)</f>
        <v>0</v>
      </c>
      <c r="CR88" s="186"/>
      <c r="CS88" s="182">
        <f ca="1">SUMIFS(rec.uni[2028-02-01],
INDIRECT("rec.uni[natureza]"),"taxa.extra",
INDIRECT("rec.uni[empresa]"),CS$6)</f>
        <v>0</v>
      </c>
      <c r="CT88" s="170"/>
      <c r="CU88" s="170" cm="1">
        <f t="array" ref="CU8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  <c r="CV88" s="170" cm="1">
        <f t="array" ref="CV8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  <c r="CW88" s="170" cm="1">
        <f t="array" ref="CW8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  <c r="CX88" s="170" cm="1">
        <f t="array" ref="CX8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  <c r="CY88" s="295" cm="1">
        <f t="array" ref="CY8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(desp[data.pagamento]&gt;=$A88)*
    (desp[data.pagamento]&lt;EOMONTH($A88,0)+1)
  )
)</f>
        <v>0</v>
      </c>
    </row>
    <row r="89" spans="1:103" x14ac:dyDescent="0.25">
      <c r="A89" s="180">
        <v>46813</v>
      </c>
      <c r="B89" s="181">
        <f>COUNTIFS(
    estq[empresa], B$6,
    estq[Data da venda / reserva], "&gt;=" &amp; $A89,
    estq[Data da venda / reserva], "&lt;"  &amp; EOMONTH($A89,0) + 1
)</f>
        <v>0</v>
      </c>
      <c r="C89" s="182">
        <f ca="1">SUMIFS(rec.uni[2028-03-01],
INDIRECT("rec.uni[natureza]"),"pro.soluto",
INDIRECT("rec.uni[empresa]"),C$6)</f>
        <v>0</v>
      </c>
      <c r="D89" s="182">
        <f ca="1">SUMIFS(rec.uni[2028-03-01],
INDIRECT("rec.uni[natureza]"),"repasse.cef.obra",
INDIRECT("rec.uni[empresa]"),D$6)</f>
        <v>0</v>
      </c>
      <c r="E89" s="182">
        <f ca="1">SUMIFS(rec.uni[2028-03-01],
INDIRECT("rec.uni[natureza]"),"repasse.cef.terreno",
INDIRECT("rec.uni[empresa]"),E$6)</f>
        <v>0</v>
      </c>
      <c r="F89" s="186"/>
      <c r="G89" s="182">
        <f ca="1">SUMIFS(rec.uni[2028-03-01],
INDIRECT("rec.uni[natureza]"),"taxa.extra",
INDIRECT("rec.uni[empresa]"),G$6)</f>
        <v>0</v>
      </c>
      <c r="H89" s="170"/>
      <c r="I89" s="170" cm="1">
        <f t="array" ref="I8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J89" s="170" cm="1">
        <f t="array" ref="J8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K89" s="170" cm="1">
        <f t="array" ref="K8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L89" s="170" cm="1">
        <f t="array" ref="L8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M89" s="170" cm="1">
        <f t="array" ref="M8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(desp[data.pagamento]&gt;=$A89)*
    (desp[data.pagamento]&lt;EOMONTH($A89,0)+1)
  )
)</f>
        <v>0</v>
      </c>
      <c r="N89" s="181">
        <f>COUNTIFS(
    estq[empresa], N$6,
    estq[Data da venda / reserva], "&gt;=" &amp; $A89,
    estq[Data da venda / reserva], "&lt;"  &amp; EOMONTH($A89,0) + 1
)</f>
        <v>0</v>
      </c>
      <c r="O89" s="182">
        <f ca="1">SUMIFS(rec.uni[2028-03-01],
INDIRECT("rec.uni[natureza]"),"pro.soluto",
INDIRECT("rec.uni[empresa]"),O$6)</f>
        <v>0</v>
      </c>
      <c r="P89" s="182">
        <f ca="1">SUMIFS(rec.uni[2028-03-01],
INDIRECT("rec.uni[natureza]"),"repasse.cef.obra",
INDIRECT("rec.uni[empresa]"),P$6)</f>
        <v>0</v>
      </c>
      <c r="Q89" s="182">
        <f ca="1">SUMIFS(rec.uni[2028-03-01],
INDIRECT("rec.uni[natureza]"),"repasse.cef.terreno",
INDIRECT("rec.uni[empresa]"),Q$6)</f>
        <v>0</v>
      </c>
      <c r="R89" s="186"/>
      <c r="S89" s="182">
        <f ca="1">SUMIFS(rec.uni[2028-03-01],
INDIRECT("rec.uni[natureza]"),"taxa.extra",
INDIRECT("rec.uni[empresa]"),S$6)</f>
        <v>0</v>
      </c>
      <c r="T89" s="170"/>
      <c r="U89" s="170" cm="1">
        <f t="array" ref="U8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V89" s="170" cm="1">
        <f t="array" ref="V8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W89" s="170" cm="1">
        <f t="array" ref="W8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X89" s="170" cm="1">
        <f t="array" ref="X8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Y89" s="170" cm="1">
        <f t="array" ref="Y8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(desp[data.pagamento]&gt;=$A89)*
    (desp[data.pagamento]&lt;EOMONTH($A89,0)+1)
  )
)</f>
        <v>0</v>
      </c>
      <c r="Z89" s="181">
        <f>COUNTIFS(
    estq[empresa], Z$6,
    estq[Data da venda / reserva], "&gt;=" &amp; $A89,
    estq[Data da venda / reserva], "&lt;"  &amp; EOMONTH($A89,0) + 1
)</f>
        <v>0</v>
      </c>
      <c r="AA89" s="182">
        <f ca="1">SUMIFS(rec.uni[2028-03-01],
INDIRECT("rec.uni[natureza]"),"pro.soluto",
INDIRECT("rec.uni[empresa]"),AA$6)</f>
        <v>0</v>
      </c>
      <c r="AB89" s="186">
        <f ca="1">SUMIFS(rec.uni[2028-03-01],
INDIRECT("rec.uni[natureza]"),"parcela.fin.total.ik",
INDIRECT("rec.uni[empresa]"),AB$6)</f>
        <v>0</v>
      </c>
      <c r="AC89" s="182">
        <f ca="1">SUMIFS(rec.uni[2028-03-01],
INDIRECT("rec.uni[natureza]"),"taxa.extra",
INDIRECT("rec.uni[empresa]"),AC$6)</f>
        <v>0</v>
      </c>
      <c r="AD89" s="170"/>
      <c r="AE89" s="170" cm="1">
        <f t="array" ref="AE8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F89" s="170" cm="1">
        <f t="array" ref="AF8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G89" s="170" cm="1">
        <f t="array" ref="AG8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H89" s="170" cm="1">
        <f t="array" ref="AH8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I89" s="170" cm="1">
        <f t="array" ref="AI8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(desp[data.pagamento]&gt;=$A89)*
    (desp[data.pagamento]&lt;EOMONTH($A89,0)+1)
  )
)</f>
        <v>0</v>
      </c>
      <c r="AJ89" s="181">
        <f>COUNTIFS(
    estq[empresa], AJ$6,
    estq[Data da venda / reserva], "&gt;=" &amp; $A89,
    estq[Data da venda / reserva], "&lt;"  &amp; EOMONTH($A89,0) + 1
)</f>
        <v>0</v>
      </c>
      <c r="AK89" s="182">
        <f ca="1">SUMIFS(rec.uni[2028-03-01],
INDIRECT("rec.uni[natureza]"),"pro.soluto",
INDIRECT("rec.uni[empresa]"),AK$6)</f>
        <v>0</v>
      </c>
      <c r="AL89" s="182">
        <f ca="1">SUMIFS(rec.uni[2028-03-01],
INDIRECT("rec.uni[natureza]"),"repasse.cef.obra",
INDIRECT("rec.uni[empresa]"),AL$6)</f>
        <v>0</v>
      </c>
      <c r="AM89" s="185">
        <f ca="1">SUMIFS(rec.uni[2028-03-01],
INDIRECT("rec.uni[natureza]"),"repasse.cef.terreno",
INDIRECT("rec.uni[empresa]"),AM$6)</f>
        <v>0</v>
      </c>
      <c r="AN89" s="186"/>
      <c r="AO89" s="182">
        <f ca="1">SUMIFS(rec.uni[2028-03-01],
INDIRECT("rec.uni[natureza]"),"taxa.extra",
INDIRECT("rec.uni[empresa]"),AO$6)</f>
        <v>0</v>
      </c>
      <c r="AP89" s="170"/>
      <c r="AQ89" s="170" cm="1">
        <f t="array" ref="AQ8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R89" s="170" cm="1">
        <f t="array" ref="AR8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S89" s="170" cm="1">
        <f t="array" ref="AS8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T89" s="170" cm="1">
        <f t="array" ref="AT8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U89" s="170" cm="1">
        <f t="array" ref="AU8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(desp[data.pagamento]&gt;=$A89)*
    (desp[data.pagamento]&lt;EOMONTH($A89,0)+1)
  )
)</f>
        <v>0</v>
      </c>
      <c r="AV89" s="181">
        <f>COUNTIFS(
    estq[empresa], AV$6,
    estq[Data da venda / reserva], "&gt;=" &amp; $A89,
    estq[Data da venda / reserva], "&lt;"  &amp; EOMONTH($A89,0) + 1
)</f>
        <v>0</v>
      </c>
      <c r="AW89" s="182">
        <f ca="1">SUMIFS(rec.uni[2028-03-01],
INDIRECT("rec.uni[natureza]"),"pro.soluto",
INDIRECT("rec.uni[empresa]"),AW$6)</f>
        <v>0</v>
      </c>
      <c r="AX89" s="182">
        <f ca="1">SUMIFS(rec.uni[2028-03-01],
INDIRECT("rec.uni[natureza]"),"repasse.cef.obra",
INDIRECT("rec.uni[empresa]"),AX$6)</f>
        <v>0</v>
      </c>
      <c r="AY89" s="185">
        <f ca="1">SUMIFS(rec.uni[2028-03-01],
INDIRECT("rec.uni[natureza]"),"repasse.cef.terreno",
INDIRECT("rec.uni[empresa]"),AY$6)</f>
        <v>0</v>
      </c>
      <c r="AZ89" s="186"/>
      <c r="BA89" s="182">
        <f ca="1">SUMIFS(rec.uni[2028-03-01],
INDIRECT("rec.uni[natureza]"),"taxa.extra",
INDIRECT("rec.uni[empresa]"),BA$6)</f>
        <v>0</v>
      </c>
      <c r="BB89" s="170"/>
      <c r="BC89" s="170" cm="1">
        <f t="array" ref="BC8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D89" s="170" cm="1">
        <f t="array" ref="BD8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E89" s="170" cm="1">
        <f t="array" ref="BE8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F89" s="170" cm="1">
        <f t="array" ref="BF8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G89" s="170" cm="1">
        <f t="array" ref="BG8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(desp[data.pagamento]&gt;=$A89)*
    (desp[data.pagamento]&lt;EOMONTH($A89,0)+1)
  )
)</f>
        <v>0</v>
      </c>
      <c r="BH89" s="181">
        <f>COUNTIFS(
    estq[empresa], BH$6,
    estq[Data da venda / reserva], "&gt;=" &amp; $A89,
    estq[Data da venda / reserva], "&lt;"  &amp; EOMONTH($A89,0) + 1
)</f>
        <v>0</v>
      </c>
      <c r="BI89" s="182">
        <f ca="1">SUMIFS(rec.uni[2028-03-01],
INDIRECT("rec.uni[natureza]"),"pro.soluto",
INDIRECT("rec.uni[empresa]"),BI$6)</f>
        <v>0</v>
      </c>
      <c r="BJ89" s="186">
        <f ca="1">SUMIFS(rec.uni[2028-03-01],
INDIRECT("rec.uni[natureza]"),"parcela.fin.total.ik",
INDIRECT("rec.uni[empresa]"),BJ$6)</f>
        <v>0</v>
      </c>
      <c r="BK89" s="182">
        <f ca="1">SUMIFS(rec.uni[2028-03-01],
INDIRECT("rec.uni[natureza]"),"taxa.extra",
INDIRECT("rec.uni[empresa]"),BK$6)</f>
        <v>0</v>
      </c>
      <c r="BL89" s="170"/>
      <c r="BM89" s="170" cm="1">
        <f t="array" ref="BM8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N89" s="170" cm="1">
        <f t="array" ref="BN8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O89" s="170" cm="1">
        <f t="array" ref="BO8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P89" s="170" cm="1">
        <f t="array" ref="BP8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Q89" s="170" cm="1">
        <f t="array" ref="BQ8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(desp[data.pagamento]&gt;=$A89)*
    (desp[data.pagamento]&lt;EOMONTH($A89,0)+1)
  )
)</f>
        <v>0</v>
      </c>
      <c r="BR89" s="181">
        <f>COUNTIFS(
    estq[empresa], BR$6,
    estq[Data da venda / reserva], "&gt;=" &amp; $A89,
    estq[Data da venda / reserva], "&lt;"  &amp; EOMONTH($A89,0) + 1
)</f>
        <v>0</v>
      </c>
      <c r="BS89" s="182">
        <f ca="1">SUMIFS(rec.uni[2028-03-01],
INDIRECT("rec.uni[natureza]"),"pro.soluto",
INDIRECT("rec.uni[empresa]"),BS$6)</f>
        <v>0</v>
      </c>
      <c r="BT89" s="186">
        <f ca="1">SUMIFS(rec.uni[2028-03-01],
INDIRECT("rec.uni[natureza]"),"parcela.fin.total.ik",
INDIRECT("rec.uni[empresa]"),BT$6)</f>
        <v>0</v>
      </c>
      <c r="BU89" s="182">
        <f ca="1">SUMIFS(rec.uni[2028-03-01],
INDIRECT("rec.uni[natureza]"),"taxa.extra",
INDIRECT("rec.uni[empresa]"),BU$6)</f>
        <v>0</v>
      </c>
      <c r="BV89" s="170"/>
      <c r="BW89" s="170" cm="1">
        <f t="array" ref="BW8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BX89" s="170" cm="1">
        <f t="array" ref="BX8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BY89" s="170" cm="1">
        <f t="array" ref="BY8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BZ89" s="170" cm="1">
        <f t="array" ref="BZ8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CA89" s="170" cm="1">
        <f t="array" ref="CA8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(desp[data.pagamento]&gt;=$A89)*
    (desp[data.pagamento]&lt;EOMONTH($A89,0)+1)
  )
)</f>
        <v>0</v>
      </c>
      <c r="CB89" s="181">
        <f>COUNTIFS(
    estq[empresa], CB$6,
    estq[Data da venda / reserva], "&gt;=" &amp; $A89,
    estq[Data da venda / reserva], "&lt;"  &amp; EOMONTH($A89,0) + 1
)</f>
        <v>0</v>
      </c>
      <c r="CC89" s="182">
        <f ca="1">SUMIFS(rec.uni[2028-03-01],
INDIRECT("rec.uni[natureza]"),"pro.soluto",
INDIRECT("rec.uni[empresa]"),CC$6)</f>
        <v>0</v>
      </c>
      <c r="CD89" s="182">
        <f ca="1">SUMIFS(rec.uni[2028-03-01],
INDIRECT("rec.uni[natureza]"),"repasse.cef.obra",
INDIRECT("rec.uni[empresa]"),CD$6)</f>
        <v>0</v>
      </c>
      <c r="CE89" s="185">
        <f ca="1">SUMIFS(rec.uni[2028-03-01],
INDIRECT("rec.uni[natureza]"),"repasse.cef.terreno",
INDIRECT("rec.uni[empresa]"),CE$6)</f>
        <v>0</v>
      </c>
      <c r="CF89" s="186"/>
      <c r="CG89" s="182">
        <f ca="1">SUMIFS(rec.uni[2028-03-01],
INDIRECT("rec.uni[natureza]"),"taxa.extra",
INDIRECT("rec.uni[empresa]"),CG$6)</f>
        <v>0</v>
      </c>
      <c r="CH89" s="170"/>
      <c r="CI89" s="170" cm="1">
        <f t="array" ref="CI8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J89" s="170" cm="1">
        <f t="array" ref="CJ8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K89" s="170" cm="1">
        <f t="array" ref="CK8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L89" s="170" cm="1">
        <f t="array" ref="CL8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M89" s="170" cm="1">
        <f t="array" ref="CM8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(desp[data.pagamento]&gt;=$A89)*
    (desp[data.pagamento]&lt;EOMONTH($A89,0)+1)
  )
)</f>
        <v>0</v>
      </c>
      <c r="CN89" s="181">
        <f>COUNTIFS(
    estq[empresa], CN$6,
    estq[Data da venda / reserva], "&gt;=" &amp; $A89,
    estq[Data da venda / reserva], "&lt;"  &amp; EOMONTH($A89,0) + 1
)</f>
        <v>0</v>
      </c>
      <c r="CO89" s="182">
        <f ca="1">SUMIFS(rec.uni[2028-03-01],
INDIRECT("rec.uni[natureza]"),"pro.soluto",
INDIRECT("rec.uni[empresa]"),CO$6)</f>
        <v>0</v>
      </c>
      <c r="CP89" s="182">
        <f ca="1">SUMIFS(rec.uni[2028-03-01],
INDIRECT("rec.uni[natureza]"),"repasse.cef.obra",
INDIRECT("rec.uni[empresa]"),CP$6)</f>
        <v>0</v>
      </c>
      <c r="CQ89" s="185">
        <f ca="1">SUMIFS(rec.uni[2028-03-01],
INDIRECT("rec.uni[natureza]"),"repasse.cef.terreno",
INDIRECT("rec.uni[empresa]"),CQ$6)</f>
        <v>0</v>
      </c>
      <c r="CR89" s="186"/>
      <c r="CS89" s="182">
        <f ca="1">SUMIFS(rec.uni[2028-03-01],
INDIRECT("rec.uni[natureza]"),"taxa.extra",
INDIRECT("rec.uni[empresa]"),CS$6)</f>
        <v>0</v>
      </c>
      <c r="CT89" s="170"/>
      <c r="CU89" s="170" cm="1">
        <f t="array" ref="CU8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  <c r="CV89" s="170" cm="1">
        <f t="array" ref="CV8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  <c r="CW89" s="170" cm="1">
        <f t="array" ref="CW8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  <c r="CX89" s="170" cm="1">
        <f t="array" ref="CX8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  <c r="CY89" s="295" cm="1">
        <f t="array" ref="CY8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(desp[data.pagamento]&gt;=$A89)*
    (desp[data.pagamento]&lt;EOMONTH($A89,0)+1)
  )
)</f>
        <v>0</v>
      </c>
    </row>
    <row r="90" spans="1:103" x14ac:dyDescent="0.25">
      <c r="A90" s="180">
        <v>46844</v>
      </c>
      <c r="B90" s="181">
        <f>COUNTIFS(
    estq[empresa], B$6,
    estq[Data da venda / reserva], "&gt;=" &amp; $A90,
    estq[Data da venda / reserva], "&lt;"  &amp; EOMONTH($A90,0) + 1
)</f>
        <v>0</v>
      </c>
      <c r="C90" s="182">
        <f ca="1">SUMIFS(rec.uni[2028-04-01],
INDIRECT("rec.uni[natureza]"),"pro.soluto",
INDIRECT("rec.uni[empresa]"),C$6)</f>
        <v>0</v>
      </c>
      <c r="D90" s="182">
        <f ca="1">SUMIFS(rec.uni[2028-04-01],
INDIRECT("rec.uni[natureza]"),"repasse.cef.obra",
INDIRECT("rec.uni[empresa]"),D$6)</f>
        <v>0</v>
      </c>
      <c r="E90" s="182">
        <f ca="1">SUMIFS(rec.uni[2028-04-01],
INDIRECT("rec.uni[natureza]"),"repasse.cef.terreno",
INDIRECT("rec.uni[empresa]"),E$6)</f>
        <v>0</v>
      </c>
      <c r="F90" s="186"/>
      <c r="G90" s="182">
        <f ca="1">SUMIFS(rec.uni[2028-04-01],
INDIRECT("rec.uni[natureza]"),"taxa.extra",
INDIRECT("rec.uni[empresa]"),G$6)</f>
        <v>0</v>
      </c>
      <c r="H90" s="170"/>
      <c r="I90" s="170" cm="1">
        <f t="array" ref="I9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J90" s="170" cm="1">
        <f t="array" ref="J9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K90" s="170" cm="1">
        <f t="array" ref="K9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L90" s="170" cm="1">
        <f t="array" ref="L9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M90" s="170" cm="1">
        <f t="array" ref="M9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(desp[data.pagamento]&gt;=$A90)*
    (desp[data.pagamento]&lt;EOMONTH($A90,0)+1)
  )
)</f>
        <v>0</v>
      </c>
      <c r="N90" s="181">
        <f>COUNTIFS(
    estq[empresa], N$6,
    estq[Data da venda / reserva], "&gt;=" &amp; $A90,
    estq[Data da venda / reserva], "&lt;"  &amp; EOMONTH($A90,0) + 1
)</f>
        <v>0</v>
      </c>
      <c r="O90" s="182">
        <f ca="1">SUMIFS(rec.uni[2028-04-01],
INDIRECT("rec.uni[natureza]"),"pro.soluto",
INDIRECT("rec.uni[empresa]"),O$6)</f>
        <v>0</v>
      </c>
      <c r="P90" s="182">
        <f ca="1">SUMIFS(rec.uni[2028-04-01],
INDIRECT("rec.uni[natureza]"),"repasse.cef.obra",
INDIRECT("rec.uni[empresa]"),P$6)</f>
        <v>0</v>
      </c>
      <c r="Q90" s="182">
        <f ca="1">SUMIFS(rec.uni[2028-04-01],
INDIRECT("rec.uni[natureza]"),"repasse.cef.terreno",
INDIRECT("rec.uni[empresa]"),Q$6)</f>
        <v>0</v>
      </c>
      <c r="R90" s="186"/>
      <c r="S90" s="182">
        <f ca="1">SUMIFS(rec.uni[2028-04-01],
INDIRECT("rec.uni[natureza]"),"taxa.extra",
INDIRECT("rec.uni[empresa]"),S$6)</f>
        <v>0</v>
      </c>
      <c r="T90" s="170"/>
      <c r="U90" s="170" cm="1">
        <f t="array" ref="U9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V90" s="170" cm="1">
        <f t="array" ref="V9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W90" s="170" cm="1">
        <f t="array" ref="W9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X90" s="170" cm="1">
        <f t="array" ref="X9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Y90" s="170" cm="1">
        <f t="array" ref="Y9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(desp[data.pagamento]&gt;=$A90)*
    (desp[data.pagamento]&lt;EOMONTH($A90,0)+1)
  )
)</f>
        <v>0</v>
      </c>
      <c r="Z90" s="181">
        <f>COUNTIFS(
    estq[empresa], Z$6,
    estq[Data da venda / reserva], "&gt;=" &amp; $A90,
    estq[Data da venda / reserva], "&lt;"  &amp; EOMONTH($A90,0) + 1
)</f>
        <v>0</v>
      </c>
      <c r="AA90" s="182">
        <f ca="1">SUMIFS(rec.uni[2028-04-01],
INDIRECT("rec.uni[natureza]"),"pro.soluto",
INDIRECT("rec.uni[empresa]"),AA$6)</f>
        <v>0</v>
      </c>
      <c r="AB90" s="186">
        <f ca="1">SUMIFS(rec.uni[2028-04-01],
INDIRECT("rec.uni[natureza]"),"parcela.fin.total.ik",
INDIRECT("rec.uni[empresa]"),AB$6)</f>
        <v>0</v>
      </c>
      <c r="AC90" s="182">
        <f ca="1">SUMIFS(rec.uni[2028-04-01],
INDIRECT("rec.uni[natureza]"),"taxa.extra",
INDIRECT("rec.uni[empresa]"),AC$6)</f>
        <v>0</v>
      </c>
      <c r="AD90" s="170"/>
      <c r="AE90" s="170" cm="1">
        <f t="array" ref="AE9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F90" s="170" cm="1">
        <f t="array" ref="AF9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G90" s="170" cm="1">
        <f t="array" ref="AG9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H90" s="170" cm="1">
        <f t="array" ref="AH9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I90" s="170" cm="1">
        <f t="array" ref="AI9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(desp[data.pagamento]&gt;=$A90)*
    (desp[data.pagamento]&lt;EOMONTH($A90,0)+1)
  )
)</f>
        <v>0</v>
      </c>
      <c r="AJ90" s="181">
        <f>COUNTIFS(
    estq[empresa], AJ$6,
    estq[Data da venda / reserva], "&gt;=" &amp; $A90,
    estq[Data da venda / reserva], "&lt;"  &amp; EOMONTH($A90,0) + 1
)</f>
        <v>0</v>
      </c>
      <c r="AK90" s="182">
        <f ca="1">SUMIFS(rec.uni[2028-04-01],
INDIRECT("rec.uni[natureza]"),"pro.soluto",
INDIRECT("rec.uni[empresa]"),AK$6)</f>
        <v>0</v>
      </c>
      <c r="AL90" s="182">
        <f ca="1">SUMIFS(rec.uni[2028-04-01],
INDIRECT("rec.uni[natureza]"),"repasse.cef.obra",
INDIRECT("rec.uni[empresa]"),AL$6)</f>
        <v>0</v>
      </c>
      <c r="AM90" s="185">
        <f ca="1">SUMIFS(rec.uni[2028-04-01],
INDIRECT("rec.uni[natureza]"),"repasse.cef.terreno",
INDIRECT("rec.uni[empresa]"),AM$6)</f>
        <v>0</v>
      </c>
      <c r="AN90" s="186"/>
      <c r="AO90" s="182">
        <f ca="1">SUMIFS(rec.uni[2028-04-01],
INDIRECT("rec.uni[natureza]"),"taxa.extra",
INDIRECT("rec.uni[empresa]"),AO$6)</f>
        <v>0</v>
      </c>
      <c r="AP90" s="170"/>
      <c r="AQ90" s="170" cm="1">
        <f t="array" ref="AQ9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R90" s="170" cm="1">
        <f t="array" ref="AR9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S90" s="170" cm="1">
        <f t="array" ref="AS9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T90" s="170" cm="1">
        <f t="array" ref="AT9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U90" s="170" cm="1">
        <f t="array" ref="AU9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(desp[data.pagamento]&gt;=$A90)*
    (desp[data.pagamento]&lt;EOMONTH($A90,0)+1)
  )
)</f>
        <v>0</v>
      </c>
      <c r="AV90" s="181">
        <f>COUNTIFS(
    estq[empresa], AV$6,
    estq[Data da venda / reserva], "&gt;=" &amp; $A90,
    estq[Data da venda / reserva], "&lt;"  &amp; EOMONTH($A90,0) + 1
)</f>
        <v>0</v>
      </c>
      <c r="AW90" s="182">
        <f ca="1">SUMIFS(rec.uni[2028-04-01],
INDIRECT("rec.uni[natureza]"),"pro.soluto",
INDIRECT("rec.uni[empresa]"),AW$6)</f>
        <v>0</v>
      </c>
      <c r="AX90" s="182">
        <f ca="1">SUMIFS(rec.uni[2028-04-01],
INDIRECT("rec.uni[natureza]"),"repasse.cef.obra",
INDIRECT("rec.uni[empresa]"),AX$6)</f>
        <v>0</v>
      </c>
      <c r="AY90" s="185">
        <f ca="1">SUMIFS(rec.uni[2028-04-01],
INDIRECT("rec.uni[natureza]"),"repasse.cef.terreno",
INDIRECT("rec.uni[empresa]"),AY$6)</f>
        <v>0</v>
      </c>
      <c r="AZ90" s="186"/>
      <c r="BA90" s="182">
        <f ca="1">SUMIFS(rec.uni[2028-04-01],
INDIRECT("rec.uni[natureza]"),"taxa.extra",
INDIRECT("rec.uni[empresa]"),BA$6)</f>
        <v>0</v>
      </c>
      <c r="BB90" s="170"/>
      <c r="BC90" s="170" cm="1">
        <f t="array" ref="BC9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D90" s="170" cm="1">
        <f t="array" ref="BD9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E90" s="170" cm="1">
        <f t="array" ref="BE9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F90" s="170" cm="1">
        <f t="array" ref="BF9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G90" s="170" cm="1">
        <f t="array" ref="BG9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(desp[data.pagamento]&gt;=$A90)*
    (desp[data.pagamento]&lt;EOMONTH($A90,0)+1)
  )
)</f>
        <v>0</v>
      </c>
      <c r="BH90" s="181">
        <f>COUNTIFS(
    estq[empresa], BH$6,
    estq[Data da venda / reserva], "&gt;=" &amp; $A90,
    estq[Data da venda / reserva], "&lt;"  &amp; EOMONTH($A90,0) + 1
)</f>
        <v>0</v>
      </c>
      <c r="BI90" s="182">
        <f ca="1">SUMIFS(rec.uni[2028-04-01],
INDIRECT("rec.uni[natureza]"),"pro.soluto",
INDIRECT("rec.uni[empresa]"),BI$6)</f>
        <v>0</v>
      </c>
      <c r="BJ90" s="186">
        <f ca="1">SUMIFS(rec.uni[2028-04-01],
INDIRECT("rec.uni[natureza]"),"parcela.fin.total.ik",
INDIRECT("rec.uni[empresa]"),BJ$6)</f>
        <v>0</v>
      </c>
      <c r="BK90" s="182">
        <f ca="1">SUMIFS(rec.uni[2028-04-01],
INDIRECT("rec.uni[natureza]"),"taxa.extra",
INDIRECT("rec.uni[empresa]"),BK$6)</f>
        <v>0</v>
      </c>
      <c r="BL90" s="170"/>
      <c r="BM90" s="170" cm="1">
        <f t="array" ref="BM9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N90" s="170" cm="1">
        <f t="array" ref="BN9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O90" s="170" cm="1">
        <f t="array" ref="BO9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P90" s="170" cm="1">
        <f t="array" ref="BP9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Q90" s="170" cm="1">
        <f t="array" ref="BQ9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(desp[data.pagamento]&gt;=$A90)*
    (desp[data.pagamento]&lt;EOMONTH($A90,0)+1)
  )
)</f>
        <v>0</v>
      </c>
      <c r="BR90" s="181">
        <f>COUNTIFS(
    estq[empresa], BR$6,
    estq[Data da venda / reserva], "&gt;=" &amp; $A90,
    estq[Data da venda / reserva], "&lt;"  &amp; EOMONTH($A90,0) + 1
)</f>
        <v>0</v>
      </c>
      <c r="BS90" s="182">
        <f ca="1">SUMIFS(rec.uni[2028-04-01],
INDIRECT("rec.uni[natureza]"),"pro.soluto",
INDIRECT("rec.uni[empresa]"),BS$6)</f>
        <v>0</v>
      </c>
      <c r="BT90" s="186">
        <f ca="1">SUMIFS(rec.uni[2028-04-01],
INDIRECT("rec.uni[natureza]"),"parcela.fin.total.ik",
INDIRECT("rec.uni[empresa]"),BT$6)</f>
        <v>0</v>
      </c>
      <c r="BU90" s="182">
        <f ca="1">SUMIFS(rec.uni[2028-04-01],
INDIRECT("rec.uni[natureza]"),"taxa.extra",
INDIRECT("rec.uni[empresa]"),BU$6)</f>
        <v>0</v>
      </c>
      <c r="BV90" s="170"/>
      <c r="BW90" s="170" cm="1">
        <f t="array" ref="BW9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BX90" s="170" cm="1">
        <f t="array" ref="BX9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BY90" s="170" cm="1">
        <f t="array" ref="BY9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BZ90" s="170" cm="1">
        <f t="array" ref="BZ9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CA90" s="170" cm="1">
        <f t="array" ref="CA9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(desp[data.pagamento]&gt;=$A90)*
    (desp[data.pagamento]&lt;EOMONTH($A90,0)+1)
  )
)</f>
        <v>0</v>
      </c>
      <c r="CB90" s="181">
        <f>COUNTIFS(
    estq[empresa], CB$6,
    estq[Data da venda / reserva], "&gt;=" &amp; $A90,
    estq[Data da venda / reserva], "&lt;"  &amp; EOMONTH($A90,0) + 1
)</f>
        <v>0</v>
      </c>
      <c r="CC90" s="182">
        <f ca="1">SUMIFS(rec.uni[2028-04-01],
INDIRECT("rec.uni[natureza]"),"pro.soluto",
INDIRECT("rec.uni[empresa]"),CC$6)</f>
        <v>0</v>
      </c>
      <c r="CD90" s="182">
        <f ca="1">SUMIFS(rec.uni[2028-04-01],
INDIRECT("rec.uni[natureza]"),"repasse.cef.obra",
INDIRECT("rec.uni[empresa]"),CD$6)</f>
        <v>0</v>
      </c>
      <c r="CE90" s="185">
        <f ca="1">SUMIFS(rec.uni[2028-04-01],
INDIRECT("rec.uni[natureza]"),"repasse.cef.terreno",
INDIRECT("rec.uni[empresa]"),CE$6)</f>
        <v>0</v>
      </c>
      <c r="CF90" s="186"/>
      <c r="CG90" s="182">
        <f ca="1">SUMIFS(rec.uni[2028-04-01],
INDIRECT("rec.uni[natureza]"),"taxa.extra",
INDIRECT("rec.uni[empresa]"),CG$6)</f>
        <v>0</v>
      </c>
      <c r="CH90" s="170"/>
      <c r="CI90" s="170" cm="1">
        <f t="array" ref="CI9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J90" s="170" cm="1">
        <f t="array" ref="CJ9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K90" s="170" cm="1">
        <f t="array" ref="CK9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L90" s="170" cm="1">
        <f t="array" ref="CL9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M90" s="170" cm="1">
        <f t="array" ref="CM9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(desp[data.pagamento]&gt;=$A90)*
    (desp[data.pagamento]&lt;EOMONTH($A90,0)+1)
  )
)</f>
        <v>0</v>
      </c>
      <c r="CN90" s="181">
        <f>COUNTIFS(
    estq[empresa], CN$6,
    estq[Data da venda / reserva], "&gt;=" &amp; $A90,
    estq[Data da venda / reserva], "&lt;"  &amp; EOMONTH($A90,0) + 1
)</f>
        <v>0</v>
      </c>
      <c r="CO90" s="182">
        <f ca="1">SUMIFS(rec.uni[2028-04-01],
INDIRECT("rec.uni[natureza]"),"pro.soluto",
INDIRECT("rec.uni[empresa]"),CO$6)</f>
        <v>0</v>
      </c>
      <c r="CP90" s="182">
        <f ca="1">SUMIFS(rec.uni[2028-04-01],
INDIRECT("rec.uni[natureza]"),"repasse.cef.obra",
INDIRECT("rec.uni[empresa]"),CP$6)</f>
        <v>0</v>
      </c>
      <c r="CQ90" s="185">
        <f ca="1">SUMIFS(rec.uni[2028-04-01],
INDIRECT("rec.uni[natureza]"),"repasse.cef.terreno",
INDIRECT("rec.uni[empresa]"),CQ$6)</f>
        <v>0</v>
      </c>
      <c r="CR90" s="186"/>
      <c r="CS90" s="182">
        <f ca="1">SUMIFS(rec.uni[2028-04-01],
INDIRECT("rec.uni[natureza]"),"taxa.extra",
INDIRECT("rec.uni[empresa]"),CS$6)</f>
        <v>0</v>
      </c>
      <c r="CT90" s="170"/>
      <c r="CU90" s="170" cm="1">
        <f t="array" ref="CU9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  <c r="CV90" s="170" cm="1">
        <f t="array" ref="CV9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  <c r="CW90" s="170" cm="1">
        <f t="array" ref="CW9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  <c r="CX90" s="170" cm="1">
        <f t="array" ref="CX9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  <c r="CY90" s="295" cm="1">
        <f t="array" ref="CY9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(desp[data.pagamento]&gt;=$A90)*
    (desp[data.pagamento]&lt;EOMONTH($A90,0)+1)
  )
)</f>
        <v>0</v>
      </c>
    </row>
    <row r="91" spans="1:103" x14ac:dyDescent="0.25">
      <c r="A91" s="180">
        <v>46874</v>
      </c>
      <c r="B91" s="181">
        <f>COUNTIFS(
    estq[empresa], B$6,
    estq[Data da venda / reserva], "&gt;=" &amp; $A91,
    estq[Data da venda / reserva], "&lt;"  &amp; EOMONTH($A91,0) + 1
)</f>
        <v>0</v>
      </c>
      <c r="C91" s="182">
        <f ca="1">SUMIFS(rec.uni[2028-05-01],
INDIRECT("rec.uni[natureza]"),"pro.soluto",
INDIRECT("rec.uni[empresa]"),C$6)</f>
        <v>0</v>
      </c>
      <c r="D91" s="182">
        <f ca="1">SUMIFS(rec.uni[2028-05-01],
INDIRECT("rec.uni[natureza]"),"repasse.cef.obra",
INDIRECT("rec.uni[empresa]"),D$6)</f>
        <v>0</v>
      </c>
      <c r="E91" s="182">
        <f ca="1">SUMIFS(rec.uni[2028-05-01],
INDIRECT("rec.uni[natureza]"),"repasse.cef.terreno",
INDIRECT("rec.uni[empresa]"),E$6)</f>
        <v>0</v>
      </c>
      <c r="F91" s="186"/>
      <c r="G91" s="182">
        <f ca="1">SUMIFS(rec.uni[2028-05-01],
INDIRECT("rec.uni[natureza]"),"taxa.extra",
INDIRECT("rec.uni[empresa]"),G$6)</f>
        <v>0</v>
      </c>
      <c r="H91" s="170"/>
      <c r="I91" s="170" cm="1">
        <f t="array" ref="I9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J91" s="170" cm="1">
        <f t="array" ref="J9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K91" s="170" cm="1">
        <f t="array" ref="K9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L91" s="170" cm="1">
        <f t="array" ref="L9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M91" s="170" cm="1">
        <f t="array" ref="M9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(desp[data.pagamento]&gt;=$A91)*
    (desp[data.pagamento]&lt;EOMONTH($A91,0)+1)
  )
)</f>
        <v>0</v>
      </c>
      <c r="N91" s="181">
        <f>COUNTIFS(
    estq[empresa], N$6,
    estq[Data da venda / reserva], "&gt;=" &amp; $A91,
    estq[Data da venda / reserva], "&lt;"  &amp; EOMONTH($A91,0) + 1
)</f>
        <v>0</v>
      </c>
      <c r="O91" s="182">
        <f ca="1">SUMIFS(rec.uni[2028-05-01],
INDIRECT("rec.uni[natureza]"),"pro.soluto",
INDIRECT("rec.uni[empresa]"),O$6)</f>
        <v>0</v>
      </c>
      <c r="P91" s="182">
        <f ca="1">SUMIFS(rec.uni[2028-05-01],
INDIRECT("rec.uni[natureza]"),"repasse.cef.obra",
INDIRECT("rec.uni[empresa]"),P$6)</f>
        <v>0</v>
      </c>
      <c r="Q91" s="182">
        <f ca="1">SUMIFS(rec.uni[2028-05-01],
INDIRECT("rec.uni[natureza]"),"repasse.cef.terreno",
INDIRECT("rec.uni[empresa]"),Q$6)</f>
        <v>0</v>
      </c>
      <c r="R91" s="186"/>
      <c r="S91" s="182">
        <f ca="1">SUMIFS(rec.uni[2028-05-01],
INDIRECT("rec.uni[natureza]"),"taxa.extra",
INDIRECT("rec.uni[empresa]"),S$6)</f>
        <v>0</v>
      </c>
      <c r="T91" s="170"/>
      <c r="U91" s="170" cm="1">
        <f t="array" ref="U9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V91" s="170" cm="1">
        <f t="array" ref="V9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W91" s="170" cm="1">
        <f t="array" ref="W9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X91" s="170" cm="1">
        <f t="array" ref="X9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Y91" s="170" cm="1">
        <f t="array" ref="Y9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(desp[data.pagamento]&gt;=$A91)*
    (desp[data.pagamento]&lt;EOMONTH($A91,0)+1)
  )
)</f>
        <v>0</v>
      </c>
      <c r="Z91" s="181">
        <f>COUNTIFS(
    estq[empresa], Z$6,
    estq[Data da venda / reserva], "&gt;=" &amp; $A91,
    estq[Data da venda / reserva], "&lt;"  &amp; EOMONTH($A91,0) + 1
)</f>
        <v>0</v>
      </c>
      <c r="AA91" s="182">
        <f ca="1">SUMIFS(rec.uni[2028-05-01],
INDIRECT("rec.uni[natureza]"),"pro.soluto",
INDIRECT("rec.uni[empresa]"),AA$6)</f>
        <v>0</v>
      </c>
      <c r="AB91" s="186">
        <f ca="1">SUMIFS(rec.uni[2028-05-01],
INDIRECT("rec.uni[natureza]"),"parcela.fin.total.ik",
INDIRECT("rec.uni[empresa]"),AB$6)</f>
        <v>0</v>
      </c>
      <c r="AC91" s="182">
        <f ca="1">SUMIFS(rec.uni[2028-05-01],
INDIRECT("rec.uni[natureza]"),"taxa.extra",
INDIRECT("rec.uni[empresa]"),AC$6)</f>
        <v>0</v>
      </c>
      <c r="AD91" s="170"/>
      <c r="AE91" s="170" cm="1">
        <f t="array" ref="AE9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F91" s="170" cm="1">
        <f t="array" ref="AF9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G91" s="170" cm="1">
        <f t="array" ref="AG9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H91" s="170" cm="1">
        <f t="array" ref="AH9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I91" s="170" cm="1">
        <f t="array" ref="AI9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(desp[data.pagamento]&gt;=$A91)*
    (desp[data.pagamento]&lt;EOMONTH($A91,0)+1)
  )
)</f>
        <v>0</v>
      </c>
      <c r="AJ91" s="181">
        <f>COUNTIFS(
    estq[empresa], AJ$6,
    estq[Data da venda / reserva], "&gt;=" &amp; $A91,
    estq[Data da venda / reserva], "&lt;"  &amp; EOMONTH($A91,0) + 1
)</f>
        <v>0</v>
      </c>
      <c r="AK91" s="182">
        <f ca="1">SUMIFS(rec.uni[2028-05-01],
INDIRECT("rec.uni[natureza]"),"pro.soluto",
INDIRECT("rec.uni[empresa]"),AK$6)</f>
        <v>0</v>
      </c>
      <c r="AL91" s="182">
        <f ca="1">SUMIFS(rec.uni[2028-05-01],
INDIRECT("rec.uni[natureza]"),"repasse.cef.obra",
INDIRECT("rec.uni[empresa]"),AL$6)</f>
        <v>0</v>
      </c>
      <c r="AM91" s="185">
        <f ca="1">SUMIFS(rec.uni[2028-05-01],
INDIRECT("rec.uni[natureza]"),"repasse.cef.terreno",
INDIRECT("rec.uni[empresa]"),AM$6)</f>
        <v>0</v>
      </c>
      <c r="AN91" s="186"/>
      <c r="AO91" s="182">
        <f ca="1">SUMIFS(rec.uni[2028-05-01],
INDIRECT("rec.uni[natureza]"),"taxa.extra",
INDIRECT("rec.uni[empresa]"),AO$6)</f>
        <v>0</v>
      </c>
      <c r="AP91" s="170"/>
      <c r="AQ91" s="170" cm="1">
        <f t="array" ref="AQ9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R91" s="170" cm="1">
        <f t="array" ref="AR9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S91" s="170" cm="1">
        <f t="array" ref="AS9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T91" s="170" cm="1">
        <f t="array" ref="AT9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U91" s="170" cm="1">
        <f t="array" ref="AU9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(desp[data.pagamento]&gt;=$A91)*
    (desp[data.pagamento]&lt;EOMONTH($A91,0)+1)
  )
)</f>
        <v>0</v>
      </c>
      <c r="AV91" s="181">
        <f>COUNTIFS(
    estq[empresa], AV$6,
    estq[Data da venda / reserva], "&gt;=" &amp; $A91,
    estq[Data da venda / reserva], "&lt;"  &amp; EOMONTH($A91,0) + 1
)</f>
        <v>0</v>
      </c>
      <c r="AW91" s="182">
        <f ca="1">SUMIFS(rec.uni[2028-05-01],
INDIRECT("rec.uni[natureza]"),"pro.soluto",
INDIRECT("rec.uni[empresa]"),AW$6)</f>
        <v>0</v>
      </c>
      <c r="AX91" s="182">
        <f ca="1">SUMIFS(rec.uni[2028-05-01],
INDIRECT("rec.uni[natureza]"),"repasse.cef.obra",
INDIRECT("rec.uni[empresa]"),AX$6)</f>
        <v>0</v>
      </c>
      <c r="AY91" s="185">
        <f ca="1">SUMIFS(rec.uni[2028-05-01],
INDIRECT("rec.uni[natureza]"),"repasse.cef.terreno",
INDIRECT("rec.uni[empresa]"),AY$6)</f>
        <v>0</v>
      </c>
      <c r="AZ91" s="186"/>
      <c r="BA91" s="182">
        <f ca="1">SUMIFS(rec.uni[2028-05-01],
INDIRECT("rec.uni[natureza]"),"taxa.extra",
INDIRECT("rec.uni[empresa]"),BA$6)</f>
        <v>0</v>
      </c>
      <c r="BB91" s="170"/>
      <c r="BC91" s="170" cm="1">
        <f t="array" ref="BC9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D91" s="170" cm="1">
        <f t="array" ref="BD9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E91" s="170" cm="1">
        <f t="array" ref="BE9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F91" s="170" cm="1">
        <f t="array" ref="BF9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G91" s="170" cm="1">
        <f t="array" ref="BG9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(desp[data.pagamento]&gt;=$A91)*
    (desp[data.pagamento]&lt;EOMONTH($A91,0)+1)
  )
)</f>
        <v>0</v>
      </c>
      <c r="BH91" s="181">
        <f>COUNTIFS(
    estq[empresa], BH$6,
    estq[Data da venda / reserva], "&gt;=" &amp; $A91,
    estq[Data da venda / reserva], "&lt;"  &amp; EOMONTH($A91,0) + 1
)</f>
        <v>0</v>
      </c>
      <c r="BI91" s="182">
        <f ca="1">SUMIFS(rec.uni[2028-05-01],
INDIRECT("rec.uni[natureza]"),"pro.soluto",
INDIRECT("rec.uni[empresa]"),BI$6)</f>
        <v>0</v>
      </c>
      <c r="BJ91" s="186">
        <f ca="1">SUMIFS(rec.uni[2028-05-01],
INDIRECT("rec.uni[natureza]"),"parcela.fin.total.ik",
INDIRECT("rec.uni[empresa]"),BJ$6)</f>
        <v>0</v>
      </c>
      <c r="BK91" s="182">
        <f ca="1">SUMIFS(rec.uni[2028-05-01],
INDIRECT("rec.uni[natureza]"),"taxa.extra",
INDIRECT("rec.uni[empresa]"),BK$6)</f>
        <v>0</v>
      </c>
      <c r="BL91" s="170"/>
      <c r="BM91" s="170" cm="1">
        <f t="array" ref="BM9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N91" s="170" cm="1">
        <f t="array" ref="BN9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O91" s="170" cm="1">
        <f t="array" ref="BO9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P91" s="170" cm="1">
        <f t="array" ref="BP9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Q91" s="170" cm="1">
        <f t="array" ref="BQ9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(desp[data.pagamento]&gt;=$A91)*
    (desp[data.pagamento]&lt;EOMONTH($A91,0)+1)
  )
)</f>
        <v>0</v>
      </c>
      <c r="BR91" s="181">
        <f>COUNTIFS(
    estq[empresa], BR$6,
    estq[Data da venda / reserva], "&gt;=" &amp; $A91,
    estq[Data da venda / reserva], "&lt;"  &amp; EOMONTH($A91,0) + 1
)</f>
        <v>0</v>
      </c>
      <c r="BS91" s="182">
        <f ca="1">SUMIFS(rec.uni[2028-05-01],
INDIRECT("rec.uni[natureza]"),"pro.soluto",
INDIRECT("rec.uni[empresa]"),BS$6)</f>
        <v>0</v>
      </c>
      <c r="BT91" s="186">
        <f ca="1">SUMIFS(rec.uni[2028-05-01],
INDIRECT("rec.uni[natureza]"),"parcela.fin.total.ik",
INDIRECT("rec.uni[empresa]"),BT$6)</f>
        <v>0</v>
      </c>
      <c r="BU91" s="182">
        <f ca="1">SUMIFS(rec.uni[2028-05-01],
INDIRECT("rec.uni[natureza]"),"taxa.extra",
INDIRECT("rec.uni[empresa]"),BU$6)</f>
        <v>0</v>
      </c>
      <c r="BV91" s="170"/>
      <c r="BW91" s="170" cm="1">
        <f t="array" ref="BW9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BX91" s="170" cm="1">
        <f t="array" ref="BX9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BY91" s="170" cm="1">
        <f t="array" ref="BY9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BZ91" s="170" cm="1">
        <f t="array" ref="BZ9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CA91" s="170" cm="1">
        <f t="array" ref="CA9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(desp[data.pagamento]&gt;=$A91)*
    (desp[data.pagamento]&lt;EOMONTH($A91,0)+1)
  )
)</f>
        <v>0</v>
      </c>
      <c r="CB91" s="181">
        <f>COUNTIFS(
    estq[empresa], CB$6,
    estq[Data da venda / reserva], "&gt;=" &amp; $A91,
    estq[Data da venda / reserva], "&lt;"  &amp; EOMONTH($A91,0) + 1
)</f>
        <v>0</v>
      </c>
      <c r="CC91" s="182">
        <f ca="1">SUMIFS(rec.uni[2028-05-01],
INDIRECT("rec.uni[natureza]"),"pro.soluto",
INDIRECT("rec.uni[empresa]"),CC$6)</f>
        <v>0</v>
      </c>
      <c r="CD91" s="182">
        <f ca="1">SUMIFS(rec.uni[2028-05-01],
INDIRECT("rec.uni[natureza]"),"repasse.cef.obra",
INDIRECT("rec.uni[empresa]"),CD$6)</f>
        <v>0</v>
      </c>
      <c r="CE91" s="185">
        <f ca="1">SUMIFS(rec.uni[2028-05-01],
INDIRECT("rec.uni[natureza]"),"repasse.cef.terreno",
INDIRECT("rec.uni[empresa]"),CE$6)</f>
        <v>0</v>
      </c>
      <c r="CF91" s="186"/>
      <c r="CG91" s="182">
        <f ca="1">SUMIFS(rec.uni[2028-05-01],
INDIRECT("rec.uni[natureza]"),"taxa.extra",
INDIRECT("rec.uni[empresa]"),CG$6)</f>
        <v>0</v>
      </c>
      <c r="CH91" s="170"/>
      <c r="CI91" s="170" cm="1">
        <f t="array" ref="CI9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J91" s="170" cm="1">
        <f t="array" ref="CJ9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K91" s="170" cm="1">
        <f t="array" ref="CK9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L91" s="170" cm="1">
        <f t="array" ref="CL9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M91" s="170" cm="1">
        <f t="array" ref="CM9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(desp[data.pagamento]&gt;=$A91)*
    (desp[data.pagamento]&lt;EOMONTH($A91,0)+1)
  )
)</f>
        <v>0</v>
      </c>
      <c r="CN91" s="181">
        <f>COUNTIFS(
    estq[empresa], CN$6,
    estq[Data da venda / reserva], "&gt;=" &amp; $A91,
    estq[Data da venda / reserva], "&lt;"  &amp; EOMONTH($A91,0) + 1
)</f>
        <v>0</v>
      </c>
      <c r="CO91" s="182">
        <f ca="1">SUMIFS(rec.uni[2028-05-01],
INDIRECT("rec.uni[natureza]"),"pro.soluto",
INDIRECT("rec.uni[empresa]"),CO$6)</f>
        <v>0</v>
      </c>
      <c r="CP91" s="182">
        <f ca="1">SUMIFS(rec.uni[2028-05-01],
INDIRECT("rec.uni[natureza]"),"repasse.cef.obra",
INDIRECT("rec.uni[empresa]"),CP$6)</f>
        <v>0</v>
      </c>
      <c r="CQ91" s="185">
        <f ca="1">SUMIFS(rec.uni[2028-05-01],
INDIRECT("rec.uni[natureza]"),"repasse.cef.terreno",
INDIRECT("rec.uni[empresa]"),CQ$6)</f>
        <v>0</v>
      </c>
      <c r="CR91" s="186"/>
      <c r="CS91" s="182">
        <f ca="1">SUMIFS(rec.uni[2028-05-01],
INDIRECT("rec.uni[natureza]"),"taxa.extra",
INDIRECT("rec.uni[empresa]"),CS$6)</f>
        <v>0</v>
      </c>
      <c r="CT91" s="170"/>
      <c r="CU91" s="170" cm="1">
        <f t="array" ref="CU9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  <c r="CV91" s="170" cm="1">
        <f t="array" ref="CV9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  <c r="CW91" s="170" cm="1">
        <f t="array" ref="CW9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  <c r="CX91" s="170" cm="1">
        <f t="array" ref="CX9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  <c r="CY91" s="295" cm="1">
        <f t="array" ref="CY9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(desp[data.pagamento]&gt;=$A91)*
    (desp[data.pagamento]&lt;EOMONTH($A91,0)+1)
  )
)</f>
        <v>0</v>
      </c>
    </row>
    <row r="92" spans="1:103" x14ac:dyDescent="0.25">
      <c r="A92" s="180">
        <v>46905</v>
      </c>
      <c r="B92" s="181">
        <f>COUNTIFS(
    estq[empresa], B$6,
    estq[Data da venda / reserva], "&gt;=" &amp; $A92,
    estq[Data da venda / reserva], "&lt;"  &amp; EOMONTH($A92,0) + 1
)</f>
        <v>0</v>
      </c>
      <c r="C92" s="182">
        <f ca="1">SUMIFS(rec.uni[2028-06-01],
INDIRECT("rec.uni[natureza]"),"pro.soluto",
INDIRECT("rec.uni[empresa]"),C$6)</f>
        <v>0</v>
      </c>
      <c r="D92" s="182">
        <f ca="1">SUMIFS(rec.uni[2028-06-01],
INDIRECT("rec.uni[natureza]"),"repasse.cef.obra",
INDIRECT("rec.uni[empresa]"),D$6)</f>
        <v>0</v>
      </c>
      <c r="E92" s="182">
        <f ca="1">SUMIFS(rec.uni[2028-06-01],
INDIRECT("rec.uni[natureza]"),"repasse.cef.terreno",
INDIRECT("rec.uni[empresa]"),E$6)</f>
        <v>0</v>
      </c>
      <c r="F92" s="186"/>
      <c r="G92" s="182">
        <f ca="1">SUMIFS(rec.uni[2028-06-01],
INDIRECT("rec.uni[natureza]"),"taxa.extra",
INDIRECT("rec.uni[empresa]"),G$6)</f>
        <v>0</v>
      </c>
      <c r="H92" s="170"/>
      <c r="I92" s="170" cm="1">
        <f t="array" ref="I9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J92" s="170" cm="1">
        <f t="array" ref="J9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K92" s="170" cm="1">
        <f t="array" ref="K9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L92" s="170" cm="1">
        <f t="array" ref="L9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M92" s="170" cm="1">
        <f t="array" ref="M9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(desp[data.pagamento]&gt;=$A92)*
    (desp[data.pagamento]&lt;EOMONTH($A92,0)+1)
  )
)</f>
        <v>0</v>
      </c>
      <c r="N92" s="181">
        <f>COUNTIFS(
    estq[empresa], N$6,
    estq[Data da venda / reserva], "&gt;=" &amp; $A92,
    estq[Data da venda / reserva], "&lt;"  &amp; EOMONTH($A92,0) + 1
)</f>
        <v>0</v>
      </c>
      <c r="O92" s="182">
        <f ca="1">SUMIFS(rec.uni[2028-06-01],
INDIRECT("rec.uni[natureza]"),"pro.soluto",
INDIRECT("rec.uni[empresa]"),O$6)</f>
        <v>0</v>
      </c>
      <c r="P92" s="182">
        <f ca="1">SUMIFS(rec.uni[2028-06-01],
INDIRECT("rec.uni[natureza]"),"repasse.cef.obra",
INDIRECT("rec.uni[empresa]"),P$6)</f>
        <v>0</v>
      </c>
      <c r="Q92" s="182">
        <f ca="1">SUMIFS(rec.uni[2028-06-01],
INDIRECT("rec.uni[natureza]"),"repasse.cef.terreno",
INDIRECT("rec.uni[empresa]"),Q$6)</f>
        <v>0</v>
      </c>
      <c r="R92" s="186"/>
      <c r="S92" s="182">
        <f ca="1">SUMIFS(rec.uni[2028-06-01],
INDIRECT("rec.uni[natureza]"),"taxa.extra",
INDIRECT("rec.uni[empresa]"),S$6)</f>
        <v>0</v>
      </c>
      <c r="T92" s="170"/>
      <c r="U92" s="170" cm="1">
        <f t="array" ref="U9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V92" s="170" cm="1">
        <f t="array" ref="V9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W92" s="170" cm="1">
        <f t="array" ref="W9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X92" s="170" cm="1">
        <f t="array" ref="X9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Y92" s="170" cm="1">
        <f t="array" ref="Y9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(desp[data.pagamento]&gt;=$A92)*
    (desp[data.pagamento]&lt;EOMONTH($A92,0)+1)
  )
)</f>
        <v>0</v>
      </c>
      <c r="Z92" s="181">
        <f>COUNTIFS(
    estq[empresa], Z$6,
    estq[Data da venda / reserva], "&gt;=" &amp; $A92,
    estq[Data da venda / reserva], "&lt;"  &amp; EOMONTH($A92,0) + 1
)</f>
        <v>0</v>
      </c>
      <c r="AA92" s="182">
        <f ca="1">SUMIFS(rec.uni[2028-06-01],
INDIRECT("rec.uni[natureza]"),"pro.soluto",
INDIRECT("rec.uni[empresa]"),AA$6)</f>
        <v>0</v>
      </c>
      <c r="AB92" s="186">
        <f ca="1">SUMIFS(rec.uni[2028-06-01],
INDIRECT("rec.uni[natureza]"),"parcela.fin.total.ik",
INDIRECT("rec.uni[empresa]"),AB$6)</f>
        <v>0</v>
      </c>
      <c r="AC92" s="182">
        <f ca="1">SUMIFS(rec.uni[2028-06-01],
INDIRECT("rec.uni[natureza]"),"taxa.extra",
INDIRECT("rec.uni[empresa]"),AC$6)</f>
        <v>0</v>
      </c>
      <c r="AD92" s="170"/>
      <c r="AE92" s="170" cm="1">
        <f t="array" ref="AE9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F92" s="170" cm="1">
        <f t="array" ref="AF9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G92" s="170" cm="1">
        <f t="array" ref="AG9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H92" s="170" cm="1">
        <f t="array" ref="AH9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I92" s="170" cm="1">
        <f t="array" ref="AI9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(desp[data.pagamento]&gt;=$A92)*
    (desp[data.pagamento]&lt;EOMONTH($A92,0)+1)
  )
)</f>
        <v>0</v>
      </c>
      <c r="AJ92" s="181">
        <f>COUNTIFS(
    estq[empresa], AJ$6,
    estq[Data da venda / reserva], "&gt;=" &amp; $A92,
    estq[Data da venda / reserva], "&lt;"  &amp; EOMONTH($A92,0) + 1
)</f>
        <v>0</v>
      </c>
      <c r="AK92" s="182">
        <f ca="1">SUMIFS(rec.uni[2028-06-01],
INDIRECT("rec.uni[natureza]"),"pro.soluto",
INDIRECT("rec.uni[empresa]"),AK$6)</f>
        <v>0</v>
      </c>
      <c r="AL92" s="182">
        <f ca="1">SUMIFS(rec.uni[2028-06-01],
INDIRECT("rec.uni[natureza]"),"repasse.cef.obra",
INDIRECT("rec.uni[empresa]"),AL$6)</f>
        <v>0</v>
      </c>
      <c r="AM92" s="185">
        <f ca="1">SUMIFS(rec.uni[2028-06-01],
INDIRECT("rec.uni[natureza]"),"repasse.cef.terreno",
INDIRECT("rec.uni[empresa]"),AM$6)</f>
        <v>0</v>
      </c>
      <c r="AN92" s="186"/>
      <c r="AO92" s="182">
        <f ca="1">SUMIFS(rec.uni[2028-06-01],
INDIRECT("rec.uni[natureza]"),"taxa.extra",
INDIRECT("rec.uni[empresa]"),AO$6)</f>
        <v>0</v>
      </c>
      <c r="AP92" s="170"/>
      <c r="AQ92" s="170" cm="1">
        <f t="array" ref="AQ9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R92" s="170" cm="1">
        <f t="array" ref="AR9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S92" s="170" cm="1">
        <f t="array" ref="AS9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T92" s="170" cm="1">
        <f t="array" ref="AT9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U92" s="170" cm="1">
        <f t="array" ref="AU9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(desp[data.pagamento]&gt;=$A92)*
    (desp[data.pagamento]&lt;EOMONTH($A92,0)+1)
  )
)</f>
        <v>0</v>
      </c>
      <c r="AV92" s="181">
        <f>COUNTIFS(
    estq[empresa], AV$6,
    estq[Data da venda / reserva], "&gt;=" &amp; $A92,
    estq[Data da venda / reserva], "&lt;"  &amp; EOMONTH($A92,0) + 1
)</f>
        <v>0</v>
      </c>
      <c r="AW92" s="182">
        <f ca="1">SUMIFS(rec.uni[2028-06-01],
INDIRECT("rec.uni[natureza]"),"pro.soluto",
INDIRECT("rec.uni[empresa]"),AW$6)</f>
        <v>0</v>
      </c>
      <c r="AX92" s="182">
        <f ca="1">SUMIFS(rec.uni[2028-06-01],
INDIRECT("rec.uni[natureza]"),"repasse.cef.obra",
INDIRECT("rec.uni[empresa]"),AX$6)</f>
        <v>0</v>
      </c>
      <c r="AY92" s="185">
        <f ca="1">SUMIFS(rec.uni[2028-06-01],
INDIRECT("rec.uni[natureza]"),"repasse.cef.terreno",
INDIRECT("rec.uni[empresa]"),AY$6)</f>
        <v>0</v>
      </c>
      <c r="AZ92" s="186"/>
      <c r="BA92" s="182">
        <f ca="1">SUMIFS(rec.uni[2028-06-01],
INDIRECT("rec.uni[natureza]"),"taxa.extra",
INDIRECT("rec.uni[empresa]"),BA$6)</f>
        <v>0</v>
      </c>
      <c r="BB92" s="170"/>
      <c r="BC92" s="170" cm="1">
        <f t="array" ref="BC9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D92" s="170" cm="1">
        <f t="array" ref="BD9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E92" s="170" cm="1">
        <f t="array" ref="BE9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F92" s="170" cm="1">
        <f t="array" ref="BF9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G92" s="170" cm="1">
        <f t="array" ref="BG9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(desp[data.pagamento]&gt;=$A92)*
    (desp[data.pagamento]&lt;EOMONTH($A92,0)+1)
  )
)</f>
        <v>0</v>
      </c>
      <c r="BH92" s="181">
        <f>COUNTIFS(
    estq[empresa], BH$6,
    estq[Data da venda / reserva], "&gt;=" &amp; $A92,
    estq[Data da venda / reserva], "&lt;"  &amp; EOMONTH($A92,0) + 1
)</f>
        <v>0</v>
      </c>
      <c r="BI92" s="182">
        <f ca="1">SUMIFS(rec.uni[2028-06-01],
INDIRECT("rec.uni[natureza]"),"pro.soluto",
INDIRECT("rec.uni[empresa]"),BI$6)</f>
        <v>0</v>
      </c>
      <c r="BJ92" s="186">
        <f ca="1">SUMIFS(rec.uni[2028-06-01],
INDIRECT("rec.uni[natureza]"),"parcela.fin.total.ik",
INDIRECT("rec.uni[empresa]"),BJ$6)</f>
        <v>0</v>
      </c>
      <c r="BK92" s="182">
        <f ca="1">SUMIFS(rec.uni[2028-06-01],
INDIRECT("rec.uni[natureza]"),"taxa.extra",
INDIRECT("rec.uni[empresa]"),BK$6)</f>
        <v>0</v>
      </c>
      <c r="BL92" s="170"/>
      <c r="BM92" s="170" cm="1">
        <f t="array" ref="BM9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N92" s="170" cm="1">
        <f t="array" ref="BN9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O92" s="170" cm="1">
        <f t="array" ref="BO9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P92" s="170" cm="1">
        <f t="array" ref="BP9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Q92" s="170" cm="1">
        <f t="array" ref="BQ9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(desp[data.pagamento]&gt;=$A92)*
    (desp[data.pagamento]&lt;EOMONTH($A92,0)+1)
  )
)</f>
        <v>0</v>
      </c>
      <c r="BR92" s="181">
        <f>COUNTIFS(
    estq[empresa], BR$6,
    estq[Data da venda / reserva], "&gt;=" &amp; $A92,
    estq[Data da venda / reserva], "&lt;"  &amp; EOMONTH($A92,0) + 1
)</f>
        <v>0</v>
      </c>
      <c r="BS92" s="182">
        <f ca="1">SUMIFS(rec.uni[2028-06-01],
INDIRECT("rec.uni[natureza]"),"pro.soluto",
INDIRECT("rec.uni[empresa]"),BS$6)</f>
        <v>0</v>
      </c>
      <c r="BT92" s="186">
        <f ca="1">SUMIFS(rec.uni[2028-06-01],
INDIRECT("rec.uni[natureza]"),"parcela.fin.total.ik",
INDIRECT("rec.uni[empresa]"),BT$6)</f>
        <v>0</v>
      </c>
      <c r="BU92" s="182">
        <f ca="1">SUMIFS(rec.uni[2028-06-01],
INDIRECT("rec.uni[natureza]"),"taxa.extra",
INDIRECT("rec.uni[empresa]"),BU$6)</f>
        <v>0</v>
      </c>
      <c r="BV92" s="170"/>
      <c r="BW92" s="170" cm="1">
        <f t="array" ref="BW9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BX92" s="170" cm="1">
        <f t="array" ref="BX9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BY92" s="170" cm="1">
        <f t="array" ref="BY9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BZ92" s="170" cm="1">
        <f t="array" ref="BZ9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CA92" s="170" cm="1">
        <f t="array" ref="CA9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(desp[data.pagamento]&gt;=$A92)*
    (desp[data.pagamento]&lt;EOMONTH($A92,0)+1)
  )
)</f>
        <v>0</v>
      </c>
      <c r="CB92" s="181">
        <f>COUNTIFS(
    estq[empresa], CB$6,
    estq[Data da venda / reserva], "&gt;=" &amp; $A92,
    estq[Data da venda / reserva], "&lt;"  &amp; EOMONTH($A92,0) + 1
)</f>
        <v>0</v>
      </c>
      <c r="CC92" s="182">
        <f ca="1">SUMIFS(rec.uni[2028-06-01],
INDIRECT("rec.uni[natureza]"),"pro.soluto",
INDIRECT("rec.uni[empresa]"),CC$6)</f>
        <v>0</v>
      </c>
      <c r="CD92" s="182">
        <f ca="1">SUMIFS(rec.uni[2028-06-01],
INDIRECT("rec.uni[natureza]"),"repasse.cef.obra",
INDIRECT("rec.uni[empresa]"),CD$6)</f>
        <v>0</v>
      </c>
      <c r="CE92" s="185">
        <f ca="1">SUMIFS(rec.uni[2028-06-01],
INDIRECT("rec.uni[natureza]"),"repasse.cef.terreno",
INDIRECT("rec.uni[empresa]"),CE$6)</f>
        <v>0</v>
      </c>
      <c r="CF92" s="186"/>
      <c r="CG92" s="182">
        <f ca="1">SUMIFS(rec.uni[2028-06-01],
INDIRECT("rec.uni[natureza]"),"taxa.extra",
INDIRECT("rec.uni[empresa]"),CG$6)</f>
        <v>0</v>
      </c>
      <c r="CH92" s="170"/>
      <c r="CI92" s="170" cm="1">
        <f t="array" ref="CI9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J92" s="170" cm="1">
        <f t="array" ref="CJ9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K92" s="170" cm="1">
        <f t="array" ref="CK9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L92" s="170" cm="1">
        <f t="array" ref="CL9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M92" s="170" cm="1">
        <f t="array" ref="CM9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(desp[data.pagamento]&gt;=$A92)*
    (desp[data.pagamento]&lt;EOMONTH($A92,0)+1)
  )
)</f>
        <v>0</v>
      </c>
      <c r="CN92" s="181">
        <f>COUNTIFS(
    estq[empresa], CN$6,
    estq[Data da venda / reserva], "&gt;=" &amp; $A92,
    estq[Data da venda / reserva], "&lt;"  &amp; EOMONTH($A92,0) + 1
)</f>
        <v>0</v>
      </c>
      <c r="CO92" s="182">
        <f ca="1">SUMIFS(rec.uni[2028-06-01],
INDIRECT("rec.uni[natureza]"),"pro.soluto",
INDIRECT("rec.uni[empresa]"),CO$6)</f>
        <v>0</v>
      </c>
      <c r="CP92" s="182">
        <f ca="1">SUMIFS(rec.uni[2028-06-01],
INDIRECT("rec.uni[natureza]"),"repasse.cef.obra",
INDIRECT("rec.uni[empresa]"),CP$6)</f>
        <v>0</v>
      </c>
      <c r="CQ92" s="185">
        <f ca="1">SUMIFS(rec.uni[2028-06-01],
INDIRECT("rec.uni[natureza]"),"repasse.cef.terreno",
INDIRECT("rec.uni[empresa]"),CQ$6)</f>
        <v>0</v>
      </c>
      <c r="CR92" s="186"/>
      <c r="CS92" s="182">
        <f ca="1">SUMIFS(rec.uni[2028-06-01],
INDIRECT("rec.uni[natureza]"),"taxa.extra",
INDIRECT("rec.uni[empresa]"),CS$6)</f>
        <v>0</v>
      </c>
      <c r="CT92" s="170"/>
      <c r="CU92" s="170" cm="1">
        <f t="array" ref="CU9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  <c r="CV92" s="170" cm="1">
        <f t="array" ref="CV9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  <c r="CW92" s="170" cm="1">
        <f t="array" ref="CW9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  <c r="CX92" s="170" cm="1">
        <f t="array" ref="CX9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  <c r="CY92" s="295" cm="1">
        <f t="array" ref="CY9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(desp[data.pagamento]&gt;=$A92)*
    (desp[data.pagamento]&lt;EOMONTH($A92,0)+1)
  )
)</f>
        <v>0</v>
      </c>
    </row>
    <row r="93" spans="1:103" x14ac:dyDescent="0.25">
      <c r="A93" s="180">
        <v>46935</v>
      </c>
      <c r="B93" s="181">
        <f>COUNTIFS(
    estq[empresa], B$6,
    estq[Data da venda / reserva], "&gt;=" &amp; $A93,
    estq[Data da venda / reserva], "&lt;"  &amp; EOMONTH($A93,0) + 1
)</f>
        <v>0</v>
      </c>
      <c r="C93" s="182">
        <f ca="1">SUMIFS(rec.uni[2028-07-01],
INDIRECT("rec.uni[natureza]"),"pro.soluto",
INDIRECT("rec.uni[empresa]"),C$6)</f>
        <v>0</v>
      </c>
      <c r="D93" s="182">
        <f ca="1">SUMIFS(rec.uni[2028-07-01],
INDIRECT("rec.uni[natureza]"),"repasse.cef.obra",
INDIRECT("rec.uni[empresa]"),D$6)</f>
        <v>0</v>
      </c>
      <c r="E93" s="182">
        <f ca="1">SUMIFS(rec.uni[2028-07-01],
INDIRECT("rec.uni[natureza]"),"repasse.cef.terreno",
INDIRECT("rec.uni[empresa]"),E$6)</f>
        <v>0</v>
      </c>
      <c r="F93" s="186"/>
      <c r="G93" s="182">
        <f ca="1">SUMIFS(rec.uni[2028-07-01],
INDIRECT("rec.uni[natureza]"),"taxa.extra",
INDIRECT("rec.uni[empresa]"),G$6)</f>
        <v>0</v>
      </c>
      <c r="H93" s="170"/>
      <c r="I93" s="170" cm="1">
        <f t="array" ref="I9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J93" s="170" cm="1">
        <f t="array" ref="J9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K93" s="170" cm="1">
        <f t="array" ref="K9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L93" s="170" cm="1">
        <f t="array" ref="L9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M93" s="170" cm="1">
        <f t="array" ref="M9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(desp[data.pagamento]&gt;=$A93)*
    (desp[data.pagamento]&lt;EOMONTH($A93,0)+1)
  )
)</f>
        <v>0</v>
      </c>
      <c r="N93" s="181">
        <f>COUNTIFS(
    estq[empresa], N$6,
    estq[Data da venda / reserva], "&gt;=" &amp; $A93,
    estq[Data da venda / reserva], "&lt;"  &amp; EOMONTH($A93,0) + 1
)</f>
        <v>0</v>
      </c>
      <c r="O93" s="182">
        <f ca="1">SUMIFS(rec.uni[2028-07-01],
INDIRECT("rec.uni[natureza]"),"pro.soluto",
INDIRECT("rec.uni[empresa]"),O$6)</f>
        <v>0</v>
      </c>
      <c r="P93" s="182">
        <f ca="1">SUMIFS(rec.uni[2028-07-01],
INDIRECT("rec.uni[natureza]"),"repasse.cef.obra",
INDIRECT("rec.uni[empresa]"),P$6)</f>
        <v>0</v>
      </c>
      <c r="Q93" s="182">
        <f ca="1">SUMIFS(rec.uni[2028-07-01],
INDIRECT("rec.uni[natureza]"),"repasse.cef.terreno",
INDIRECT("rec.uni[empresa]"),Q$6)</f>
        <v>0</v>
      </c>
      <c r="R93" s="186"/>
      <c r="S93" s="182">
        <f ca="1">SUMIFS(rec.uni[2028-07-01],
INDIRECT("rec.uni[natureza]"),"taxa.extra",
INDIRECT("rec.uni[empresa]"),S$6)</f>
        <v>0</v>
      </c>
      <c r="T93" s="170"/>
      <c r="U93" s="170" cm="1">
        <f t="array" ref="U9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V93" s="170" cm="1">
        <f t="array" ref="V9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W93" s="170" cm="1">
        <f t="array" ref="W9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X93" s="170" cm="1">
        <f t="array" ref="X9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Y93" s="170" cm="1">
        <f t="array" ref="Y9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(desp[data.pagamento]&gt;=$A93)*
    (desp[data.pagamento]&lt;EOMONTH($A93,0)+1)
  )
)</f>
        <v>0</v>
      </c>
      <c r="Z93" s="181">
        <f>COUNTIFS(
    estq[empresa], Z$6,
    estq[Data da venda / reserva], "&gt;=" &amp; $A93,
    estq[Data da venda / reserva], "&lt;"  &amp; EOMONTH($A93,0) + 1
)</f>
        <v>0</v>
      </c>
      <c r="AA93" s="182">
        <f ca="1">SUMIFS(rec.uni[2028-07-01],
INDIRECT("rec.uni[natureza]"),"pro.soluto",
INDIRECT("rec.uni[empresa]"),AA$6)</f>
        <v>0</v>
      </c>
      <c r="AB93" s="186">
        <f ca="1">SUMIFS(rec.uni[2028-07-01],
INDIRECT("rec.uni[natureza]"),"parcela.fin.total.ik",
INDIRECT("rec.uni[empresa]"),AB$6)</f>
        <v>0</v>
      </c>
      <c r="AC93" s="182">
        <f ca="1">SUMIFS(rec.uni[2028-07-01],
INDIRECT("rec.uni[natureza]"),"taxa.extra",
INDIRECT("rec.uni[empresa]"),AC$6)</f>
        <v>0</v>
      </c>
      <c r="AD93" s="170"/>
      <c r="AE93" s="170" cm="1">
        <f t="array" ref="AE9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F93" s="170" cm="1">
        <f t="array" ref="AF9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G93" s="170" cm="1">
        <f t="array" ref="AG9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H93" s="170" cm="1">
        <f t="array" ref="AH9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I93" s="170" cm="1">
        <f t="array" ref="AI9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(desp[data.pagamento]&gt;=$A93)*
    (desp[data.pagamento]&lt;EOMONTH($A93,0)+1)
  )
)</f>
        <v>0</v>
      </c>
      <c r="AJ93" s="181">
        <f>COUNTIFS(
    estq[empresa], AJ$6,
    estq[Data da venda / reserva], "&gt;=" &amp; $A93,
    estq[Data da venda / reserva], "&lt;"  &amp; EOMONTH($A93,0) + 1
)</f>
        <v>0</v>
      </c>
      <c r="AK93" s="182">
        <f ca="1">SUMIFS(rec.uni[2028-07-01],
INDIRECT("rec.uni[natureza]"),"pro.soluto",
INDIRECT("rec.uni[empresa]"),AK$6)</f>
        <v>0</v>
      </c>
      <c r="AL93" s="182">
        <f ca="1">SUMIFS(rec.uni[2028-07-01],
INDIRECT("rec.uni[natureza]"),"repasse.cef.obra",
INDIRECT("rec.uni[empresa]"),AL$6)</f>
        <v>0</v>
      </c>
      <c r="AM93" s="185">
        <f ca="1">SUMIFS(rec.uni[2028-07-01],
INDIRECT("rec.uni[natureza]"),"repasse.cef.terreno",
INDIRECT("rec.uni[empresa]"),AM$6)</f>
        <v>0</v>
      </c>
      <c r="AN93" s="186"/>
      <c r="AO93" s="182">
        <f ca="1">SUMIFS(rec.uni[2028-07-01],
INDIRECT("rec.uni[natureza]"),"taxa.extra",
INDIRECT("rec.uni[empresa]"),AO$6)</f>
        <v>0</v>
      </c>
      <c r="AP93" s="170"/>
      <c r="AQ93" s="170" cm="1">
        <f t="array" ref="AQ9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R93" s="170" cm="1">
        <f t="array" ref="AR9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S93" s="170" cm="1">
        <f t="array" ref="AS9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T93" s="170" cm="1">
        <f t="array" ref="AT9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U93" s="170" cm="1">
        <f t="array" ref="AU9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(desp[data.pagamento]&gt;=$A93)*
    (desp[data.pagamento]&lt;EOMONTH($A93,0)+1)
  )
)</f>
        <v>0</v>
      </c>
      <c r="AV93" s="181">
        <f>COUNTIFS(
    estq[empresa], AV$6,
    estq[Data da venda / reserva], "&gt;=" &amp; $A93,
    estq[Data da venda / reserva], "&lt;"  &amp; EOMONTH($A93,0) + 1
)</f>
        <v>0</v>
      </c>
      <c r="AW93" s="182">
        <f ca="1">SUMIFS(rec.uni[2028-07-01],
INDIRECT("rec.uni[natureza]"),"pro.soluto",
INDIRECT("rec.uni[empresa]"),AW$6)</f>
        <v>0</v>
      </c>
      <c r="AX93" s="182">
        <f ca="1">SUMIFS(rec.uni[2028-07-01],
INDIRECT("rec.uni[natureza]"),"repasse.cef.obra",
INDIRECT("rec.uni[empresa]"),AX$6)</f>
        <v>0</v>
      </c>
      <c r="AY93" s="185">
        <f ca="1">SUMIFS(rec.uni[2028-07-01],
INDIRECT("rec.uni[natureza]"),"repasse.cef.terreno",
INDIRECT("rec.uni[empresa]"),AY$6)</f>
        <v>0</v>
      </c>
      <c r="AZ93" s="186"/>
      <c r="BA93" s="182">
        <f ca="1">SUMIFS(rec.uni[2028-07-01],
INDIRECT("rec.uni[natureza]"),"taxa.extra",
INDIRECT("rec.uni[empresa]"),BA$6)</f>
        <v>0</v>
      </c>
      <c r="BB93" s="170"/>
      <c r="BC93" s="170" cm="1">
        <f t="array" ref="BC9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D93" s="170" cm="1">
        <f t="array" ref="BD9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E93" s="170" cm="1">
        <f t="array" ref="BE9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F93" s="170" cm="1">
        <f t="array" ref="BF9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G93" s="170" cm="1">
        <f t="array" ref="BG9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(desp[data.pagamento]&gt;=$A93)*
    (desp[data.pagamento]&lt;EOMONTH($A93,0)+1)
  )
)</f>
        <v>0</v>
      </c>
      <c r="BH93" s="181">
        <f>COUNTIFS(
    estq[empresa], BH$6,
    estq[Data da venda / reserva], "&gt;=" &amp; $A93,
    estq[Data da venda / reserva], "&lt;"  &amp; EOMONTH($A93,0) + 1
)</f>
        <v>0</v>
      </c>
      <c r="BI93" s="182">
        <f ca="1">SUMIFS(rec.uni[2028-07-01],
INDIRECT("rec.uni[natureza]"),"pro.soluto",
INDIRECT("rec.uni[empresa]"),BI$6)</f>
        <v>0</v>
      </c>
      <c r="BJ93" s="186">
        <f ca="1">SUMIFS(rec.uni[2028-07-01],
INDIRECT("rec.uni[natureza]"),"parcela.fin.total.ik",
INDIRECT("rec.uni[empresa]"),BJ$6)</f>
        <v>0</v>
      </c>
      <c r="BK93" s="182">
        <f ca="1">SUMIFS(rec.uni[2028-07-01],
INDIRECT("rec.uni[natureza]"),"taxa.extra",
INDIRECT("rec.uni[empresa]"),BK$6)</f>
        <v>0</v>
      </c>
      <c r="BL93" s="170"/>
      <c r="BM93" s="170" cm="1">
        <f t="array" ref="BM9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N93" s="170" cm="1">
        <f t="array" ref="BN9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O93" s="170" cm="1">
        <f t="array" ref="BO9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P93" s="170" cm="1">
        <f t="array" ref="BP9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Q93" s="170" cm="1">
        <f t="array" ref="BQ9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(desp[data.pagamento]&gt;=$A93)*
    (desp[data.pagamento]&lt;EOMONTH($A93,0)+1)
  )
)</f>
        <v>0</v>
      </c>
      <c r="BR93" s="181">
        <f>COUNTIFS(
    estq[empresa], BR$6,
    estq[Data da venda / reserva], "&gt;=" &amp; $A93,
    estq[Data da venda / reserva], "&lt;"  &amp; EOMONTH($A93,0) + 1
)</f>
        <v>0</v>
      </c>
      <c r="BS93" s="182">
        <f ca="1">SUMIFS(rec.uni[2028-07-01],
INDIRECT("rec.uni[natureza]"),"pro.soluto",
INDIRECT("rec.uni[empresa]"),BS$6)</f>
        <v>0</v>
      </c>
      <c r="BT93" s="186">
        <f ca="1">SUMIFS(rec.uni[2028-07-01],
INDIRECT("rec.uni[natureza]"),"parcela.fin.total.ik",
INDIRECT("rec.uni[empresa]"),BT$6)</f>
        <v>0</v>
      </c>
      <c r="BU93" s="182">
        <f ca="1">SUMIFS(rec.uni[2028-07-01],
INDIRECT("rec.uni[natureza]"),"taxa.extra",
INDIRECT("rec.uni[empresa]"),BU$6)</f>
        <v>0</v>
      </c>
      <c r="BV93" s="170"/>
      <c r="BW93" s="170" cm="1">
        <f t="array" ref="BW9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BX93" s="170" cm="1">
        <f t="array" ref="BX9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BY93" s="170" cm="1">
        <f t="array" ref="BY9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BZ93" s="170" cm="1">
        <f t="array" ref="BZ9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CA93" s="170" cm="1">
        <f t="array" ref="CA9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(desp[data.pagamento]&gt;=$A93)*
    (desp[data.pagamento]&lt;EOMONTH($A93,0)+1)
  )
)</f>
        <v>0</v>
      </c>
      <c r="CB93" s="181">
        <f>COUNTIFS(
    estq[empresa], CB$6,
    estq[Data da venda / reserva], "&gt;=" &amp; $A93,
    estq[Data da venda / reserva], "&lt;"  &amp; EOMONTH($A93,0) + 1
)</f>
        <v>0</v>
      </c>
      <c r="CC93" s="182">
        <f ca="1">SUMIFS(rec.uni[2028-07-01],
INDIRECT("rec.uni[natureza]"),"pro.soluto",
INDIRECT("rec.uni[empresa]"),CC$6)</f>
        <v>0</v>
      </c>
      <c r="CD93" s="182">
        <f ca="1">SUMIFS(rec.uni[2028-07-01],
INDIRECT("rec.uni[natureza]"),"repasse.cef.obra",
INDIRECT("rec.uni[empresa]"),CD$6)</f>
        <v>0</v>
      </c>
      <c r="CE93" s="185">
        <f ca="1">SUMIFS(rec.uni[2028-07-01],
INDIRECT("rec.uni[natureza]"),"repasse.cef.terreno",
INDIRECT("rec.uni[empresa]"),CE$6)</f>
        <v>0</v>
      </c>
      <c r="CF93" s="186"/>
      <c r="CG93" s="182">
        <f ca="1">SUMIFS(rec.uni[2028-07-01],
INDIRECT("rec.uni[natureza]"),"taxa.extra",
INDIRECT("rec.uni[empresa]"),CG$6)</f>
        <v>0</v>
      </c>
      <c r="CH93" s="170"/>
      <c r="CI93" s="170" cm="1">
        <f t="array" ref="CI9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J93" s="170" cm="1">
        <f t="array" ref="CJ9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K93" s="170" cm="1">
        <f t="array" ref="CK9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L93" s="170" cm="1">
        <f t="array" ref="CL9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M93" s="170" cm="1">
        <f t="array" ref="CM9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(desp[data.pagamento]&gt;=$A93)*
    (desp[data.pagamento]&lt;EOMONTH($A93,0)+1)
  )
)</f>
        <v>0</v>
      </c>
      <c r="CN93" s="181">
        <f>COUNTIFS(
    estq[empresa], CN$6,
    estq[Data da venda / reserva], "&gt;=" &amp; $A93,
    estq[Data da venda / reserva], "&lt;"  &amp; EOMONTH($A93,0) + 1
)</f>
        <v>0</v>
      </c>
      <c r="CO93" s="182">
        <f ca="1">SUMIFS(rec.uni[2028-07-01],
INDIRECT("rec.uni[natureza]"),"pro.soluto",
INDIRECT("rec.uni[empresa]"),CO$6)</f>
        <v>0</v>
      </c>
      <c r="CP93" s="182">
        <f ca="1">SUMIFS(rec.uni[2028-07-01],
INDIRECT("rec.uni[natureza]"),"repasse.cef.obra",
INDIRECT("rec.uni[empresa]"),CP$6)</f>
        <v>0</v>
      </c>
      <c r="CQ93" s="185">
        <f ca="1">SUMIFS(rec.uni[2028-07-01],
INDIRECT("rec.uni[natureza]"),"repasse.cef.terreno",
INDIRECT("rec.uni[empresa]"),CQ$6)</f>
        <v>0</v>
      </c>
      <c r="CR93" s="186"/>
      <c r="CS93" s="182">
        <f ca="1">SUMIFS(rec.uni[2028-07-01],
INDIRECT("rec.uni[natureza]"),"taxa.extra",
INDIRECT("rec.uni[empresa]"),CS$6)</f>
        <v>0</v>
      </c>
      <c r="CT93" s="170"/>
      <c r="CU93" s="170" cm="1">
        <f t="array" ref="CU9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  <c r="CV93" s="170" cm="1">
        <f t="array" ref="CV9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  <c r="CW93" s="170" cm="1">
        <f t="array" ref="CW9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  <c r="CX93" s="170" cm="1">
        <f t="array" ref="CX9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  <c r="CY93" s="295" cm="1">
        <f t="array" ref="CY9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(desp[data.pagamento]&gt;=$A93)*
    (desp[data.pagamento]&lt;EOMONTH($A93,0)+1)
  )
)</f>
        <v>0</v>
      </c>
    </row>
    <row r="94" spans="1:103" x14ac:dyDescent="0.25">
      <c r="A94" s="180">
        <v>46966</v>
      </c>
      <c r="B94" s="181">
        <f>COUNTIFS(
    estq[empresa], B$6,
    estq[Data da venda / reserva], "&gt;=" &amp; $A94,
    estq[Data da venda / reserva], "&lt;"  &amp; EOMONTH($A94,0) + 1
)</f>
        <v>0</v>
      </c>
      <c r="C94" s="182">
        <f ca="1">SUMIFS(rec.uni[2028-08-01],
INDIRECT("rec.uni[natureza]"),"pro.soluto",
INDIRECT("rec.uni[empresa]"),C$6)</f>
        <v>0</v>
      </c>
      <c r="D94" s="182">
        <f ca="1">SUMIFS(rec.uni[2028-08-01],
INDIRECT("rec.uni[natureza]"),"repasse.cef.obra",
INDIRECT("rec.uni[empresa]"),D$6)</f>
        <v>0</v>
      </c>
      <c r="E94" s="182">
        <f ca="1">SUMIFS(rec.uni[2028-08-01],
INDIRECT("rec.uni[natureza]"),"repasse.cef.terreno",
INDIRECT("rec.uni[empresa]"),E$6)</f>
        <v>0</v>
      </c>
      <c r="F94" s="186"/>
      <c r="G94" s="182">
        <f ca="1">SUMIFS(rec.uni[2028-08-01],
INDIRECT("rec.uni[natureza]"),"taxa.extra",
INDIRECT("rec.uni[empresa]"),G$6)</f>
        <v>0</v>
      </c>
      <c r="H94" s="170"/>
      <c r="I94" s="170" cm="1">
        <f t="array" ref="I9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J94" s="170" cm="1">
        <f t="array" ref="J9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K94" s="170" cm="1">
        <f t="array" ref="K9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L94" s="170" cm="1">
        <f t="array" ref="L9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M94" s="170" cm="1">
        <f t="array" ref="M9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(desp[data.pagamento]&gt;=$A94)*
    (desp[data.pagamento]&lt;EOMONTH($A94,0)+1)
  )
)</f>
        <v>0</v>
      </c>
      <c r="N94" s="181">
        <f>COUNTIFS(
    estq[empresa], N$6,
    estq[Data da venda / reserva], "&gt;=" &amp; $A94,
    estq[Data da venda / reserva], "&lt;"  &amp; EOMONTH($A94,0) + 1
)</f>
        <v>0</v>
      </c>
      <c r="O94" s="182">
        <f ca="1">SUMIFS(rec.uni[2028-08-01],
INDIRECT("rec.uni[natureza]"),"pro.soluto",
INDIRECT("rec.uni[empresa]"),O$6)</f>
        <v>0</v>
      </c>
      <c r="P94" s="182">
        <f ca="1">SUMIFS(rec.uni[2028-08-01],
INDIRECT("rec.uni[natureza]"),"repasse.cef.obra",
INDIRECT("rec.uni[empresa]"),P$6)</f>
        <v>0</v>
      </c>
      <c r="Q94" s="182">
        <f ca="1">SUMIFS(rec.uni[2028-08-01],
INDIRECT("rec.uni[natureza]"),"repasse.cef.terreno",
INDIRECT("rec.uni[empresa]"),Q$6)</f>
        <v>0</v>
      </c>
      <c r="R94" s="186"/>
      <c r="S94" s="182">
        <f ca="1">SUMIFS(rec.uni[2028-08-01],
INDIRECT("rec.uni[natureza]"),"taxa.extra",
INDIRECT("rec.uni[empresa]"),S$6)</f>
        <v>0</v>
      </c>
      <c r="T94" s="170"/>
      <c r="U94" s="170" cm="1">
        <f t="array" ref="U9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V94" s="170" cm="1">
        <f t="array" ref="V9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W94" s="170" cm="1">
        <f t="array" ref="W9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X94" s="170" cm="1">
        <f t="array" ref="X9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Y94" s="170" cm="1">
        <f t="array" ref="Y9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(desp[data.pagamento]&gt;=$A94)*
    (desp[data.pagamento]&lt;EOMONTH($A94,0)+1)
  )
)</f>
        <v>0</v>
      </c>
      <c r="Z94" s="181">
        <f>COUNTIFS(
    estq[empresa], Z$6,
    estq[Data da venda / reserva], "&gt;=" &amp; $A94,
    estq[Data da venda / reserva], "&lt;"  &amp; EOMONTH($A94,0) + 1
)</f>
        <v>0</v>
      </c>
      <c r="AA94" s="182">
        <f ca="1">SUMIFS(rec.uni[2028-08-01],
INDIRECT("rec.uni[natureza]"),"pro.soluto",
INDIRECT("rec.uni[empresa]"),AA$6)</f>
        <v>0</v>
      </c>
      <c r="AB94" s="186">
        <f ca="1">SUMIFS(rec.uni[2028-08-01],
INDIRECT("rec.uni[natureza]"),"parcela.fin.total.ik",
INDIRECT("rec.uni[empresa]"),AB$6)</f>
        <v>0</v>
      </c>
      <c r="AC94" s="182">
        <f ca="1">SUMIFS(rec.uni[2028-08-01],
INDIRECT("rec.uni[natureza]"),"taxa.extra",
INDIRECT("rec.uni[empresa]"),AC$6)</f>
        <v>0</v>
      </c>
      <c r="AD94" s="170"/>
      <c r="AE94" s="170" cm="1">
        <f t="array" ref="AE9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F94" s="170" cm="1">
        <f t="array" ref="AF9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G94" s="170" cm="1">
        <f t="array" ref="AG9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H94" s="170" cm="1">
        <f t="array" ref="AH9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I94" s="170" cm="1">
        <f t="array" ref="AI9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(desp[data.pagamento]&gt;=$A94)*
    (desp[data.pagamento]&lt;EOMONTH($A94,0)+1)
  )
)</f>
        <v>0</v>
      </c>
      <c r="AJ94" s="181">
        <f>COUNTIFS(
    estq[empresa], AJ$6,
    estq[Data da venda / reserva], "&gt;=" &amp; $A94,
    estq[Data da venda / reserva], "&lt;"  &amp; EOMONTH($A94,0) + 1
)</f>
        <v>0</v>
      </c>
      <c r="AK94" s="182">
        <f ca="1">SUMIFS(rec.uni[2028-08-01],
INDIRECT("rec.uni[natureza]"),"pro.soluto",
INDIRECT("rec.uni[empresa]"),AK$6)</f>
        <v>0</v>
      </c>
      <c r="AL94" s="182">
        <f ca="1">SUMIFS(rec.uni[2028-08-01],
INDIRECT("rec.uni[natureza]"),"repasse.cef.obra",
INDIRECT("rec.uni[empresa]"),AL$6)</f>
        <v>0</v>
      </c>
      <c r="AM94" s="185">
        <f ca="1">SUMIFS(rec.uni[2028-08-01],
INDIRECT("rec.uni[natureza]"),"repasse.cef.terreno",
INDIRECT("rec.uni[empresa]"),AM$6)</f>
        <v>0</v>
      </c>
      <c r="AN94" s="186"/>
      <c r="AO94" s="182">
        <f ca="1">SUMIFS(rec.uni[2028-08-01],
INDIRECT("rec.uni[natureza]"),"taxa.extra",
INDIRECT("rec.uni[empresa]"),AO$6)</f>
        <v>0</v>
      </c>
      <c r="AP94" s="170"/>
      <c r="AQ94" s="170" cm="1">
        <f t="array" ref="AQ9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R94" s="170" cm="1">
        <f t="array" ref="AR9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S94" s="170" cm="1">
        <f t="array" ref="AS9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T94" s="170" cm="1">
        <f t="array" ref="AT9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U94" s="170" cm="1">
        <f t="array" ref="AU9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(desp[data.pagamento]&gt;=$A94)*
    (desp[data.pagamento]&lt;EOMONTH($A94,0)+1)
  )
)</f>
        <v>0</v>
      </c>
      <c r="AV94" s="181">
        <f>COUNTIFS(
    estq[empresa], AV$6,
    estq[Data da venda / reserva], "&gt;=" &amp; $A94,
    estq[Data da venda / reserva], "&lt;"  &amp; EOMONTH($A94,0) + 1
)</f>
        <v>0</v>
      </c>
      <c r="AW94" s="182">
        <f ca="1">SUMIFS(rec.uni[2028-08-01],
INDIRECT("rec.uni[natureza]"),"pro.soluto",
INDIRECT("rec.uni[empresa]"),AW$6)</f>
        <v>0</v>
      </c>
      <c r="AX94" s="182">
        <f ca="1">SUMIFS(rec.uni[2028-08-01],
INDIRECT("rec.uni[natureza]"),"repasse.cef.obra",
INDIRECT("rec.uni[empresa]"),AX$6)</f>
        <v>0</v>
      </c>
      <c r="AY94" s="185">
        <f ca="1">SUMIFS(rec.uni[2028-08-01],
INDIRECT("rec.uni[natureza]"),"repasse.cef.terreno",
INDIRECT("rec.uni[empresa]"),AY$6)</f>
        <v>0</v>
      </c>
      <c r="AZ94" s="186"/>
      <c r="BA94" s="182">
        <f ca="1">SUMIFS(rec.uni[2028-08-01],
INDIRECT("rec.uni[natureza]"),"taxa.extra",
INDIRECT("rec.uni[empresa]"),BA$6)</f>
        <v>0</v>
      </c>
      <c r="BB94" s="170"/>
      <c r="BC94" s="170" cm="1">
        <f t="array" ref="BC9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D94" s="170" cm="1">
        <f t="array" ref="BD9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E94" s="170" cm="1">
        <f t="array" ref="BE9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F94" s="170" cm="1">
        <f t="array" ref="BF9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G94" s="170" cm="1">
        <f t="array" ref="BG9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(desp[data.pagamento]&gt;=$A94)*
    (desp[data.pagamento]&lt;EOMONTH($A94,0)+1)
  )
)</f>
        <v>0</v>
      </c>
      <c r="BH94" s="181">
        <f>COUNTIFS(
    estq[empresa], BH$6,
    estq[Data da venda / reserva], "&gt;=" &amp; $A94,
    estq[Data da venda / reserva], "&lt;"  &amp; EOMONTH($A94,0) + 1
)</f>
        <v>0</v>
      </c>
      <c r="BI94" s="182">
        <f ca="1">SUMIFS(rec.uni[2028-08-01],
INDIRECT("rec.uni[natureza]"),"pro.soluto",
INDIRECT("rec.uni[empresa]"),BI$6)</f>
        <v>0</v>
      </c>
      <c r="BJ94" s="186">
        <f ca="1">SUMIFS(rec.uni[2028-08-01],
INDIRECT("rec.uni[natureza]"),"parcela.fin.total.ik",
INDIRECT("rec.uni[empresa]"),BJ$6)</f>
        <v>0</v>
      </c>
      <c r="BK94" s="182">
        <f ca="1">SUMIFS(rec.uni[2028-08-01],
INDIRECT("rec.uni[natureza]"),"taxa.extra",
INDIRECT("rec.uni[empresa]"),BK$6)</f>
        <v>0</v>
      </c>
      <c r="BL94" s="170"/>
      <c r="BM94" s="170" cm="1">
        <f t="array" ref="BM9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N94" s="170" cm="1">
        <f t="array" ref="BN9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O94" s="170" cm="1">
        <f t="array" ref="BO9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P94" s="170" cm="1">
        <f t="array" ref="BP9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Q94" s="170" cm="1">
        <f t="array" ref="BQ9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(desp[data.pagamento]&gt;=$A94)*
    (desp[data.pagamento]&lt;EOMONTH($A94,0)+1)
  )
)</f>
        <v>0</v>
      </c>
      <c r="BR94" s="181">
        <f>COUNTIFS(
    estq[empresa], BR$6,
    estq[Data da venda / reserva], "&gt;=" &amp; $A94,
    estq[Data da venda / reserva], "&lt;"  &amp; EOMONTH($A94,0) + 1
)</f>
        <v>0</v>
      </c>
      <c r="BS94" s="182">
        <f ca="1">SUMIFS(rec.uni[2028-08-01],
INDIRECT("rec.uni[natureza]"),"pro.soluto",
INDIRECT("rec.uni[empresa]"),BS$6)</f>
        <v>0</v>
      </c>
      <c r="BT94" s="186">
        <f ca="1">SUMIFS(rec.uni[2028-08-01],
INDIRECT("rec.uni[natureza]"),"parcela.fin.total.ik",
INDIRECT("rec.uni[empresa]"),BT$6)</f>
        <v>0</v>
      </c>
      <c r="BU94" s="182">
        <f ca="1">SUMIFS(rec.uni[2028-08-01],
INDIRECT("rec.uni[natureza]"),"taxa.extra",
INDIRECT("rec.uni[empresa]"),BU$6)</f>
        <v>0</v>
      </c>
      <c r="BV94" s="170"/>
      <c r="BW94" s="170" cm="1">
        <f t="array" ref="BW9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BX94" s="170" cm="1">
        <f t="array" ref="BX9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BY94" s="170" cm="1">
        <f t="array" ref="BY9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BZ94" s="170" cm="1">
        <f t="array" ref="BZ9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CA94" s="170" cm="1">
        <f t="array" ref="CA9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(desp[data.pagamento]&gt;=$A94)*
    (desp[data.pagamento]&lt;EOMONTH($A94,0)+1)
  )
)</f>
        <v>0</v>
      </c>
      <c r="CB94" s="181">
        <f>COUNTIFS(
    estq[empresa], CB$6,
    estq[Data da venda / reserva], "&gt;=" &amp; $A94,
    estq[Data da venda / reserva], "&lt;"  &amp; EOMONTH($A94,0) + 1
)</f>
        <v>0</v>
      </c>
      <c r="CC94" s="182">
        <f ca="1">SUMIFS(rec.uni[2028-08-01],
INDIRECT("rec.uni[natureza]"),"pro.soluto",
INDIRECT("rec.uni[empresa]"),CC$6)</f>
        <v>0</v>
      </c>
      <c r="CD94" s="182">
        <f ca="1">SUMIFS(rec.uni[2028-08-01],
INDIRECT("rec.uni[natureza]"),"repasse.cef.obra",
INDIRECT("rec.uni[empresa]"),CD$6)</f>
        <v>0</v>
      </c>
      <c r="CE94" s="185">
        <f ca="1">SUMIFS(rec.uni[2028-08-01],
INDIRECT("rec.uni[natureza]"),"repasse.cef.terreno",
INDIRECT("rec.uni[empresa]"),CE$6)</f>
        <v>0</v>
      </c>
      <c r="CF94" s="186"/>
      <c r="CG94" s="182">
        <f ca="1">SUMIFS(rec.uni[2028-08-01],
INDIRECT("rec.uni[natureza]"),"taxa.extra",
INDIRECT("rec.uni[empresa]"),CG$6)</f>
        <v>0</v>
      </c>
      <c r="CH94" s="170"/>
      <c r="CI94" s="170" cm="1">
        <f t="array" ref="CI9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J94" s="170" cm="1">
        <f t="array" ref="CJ9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K94" s="170" cm="1">
        <f t="array" ref="CK9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L94" s="170" cm="1">
        <f t="array" ref="CL9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M94" s="170" cm="1">
        <f t="array" ref="CM9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(desp[data.pagamento]&gt;=$A94)*
    (desp[data.pagamento]&lt;EOMONTH($A94,0)+1)
  )
)</f>
        <v>0</v>
      </c>
      <c r="CN94" s="181">
        <f>COUNTIFS(
    estq[empresa], CN$6,
    estq[Data da venda / reserva], "&gt;=" &amp; $A94,
    estq[Data da venda / reserva], "&lt;"  &amp; EOMONTH($A94,0) + 1
)</f>
        <v>0</v>
      </c>
      <c r="CO94" s="182">
        <f ca="1">SUMIFS(rec.uni[2028-08-01],
INDIRECT("rec.uni[natureza]"),"pro.soluto",
INDIRECT("rec.uni[empresa]"),CO$6)</f>
        <v>0</v>
      </c>
      <c r="CP94" s="182">
        <f ca="1">SUMIFS(rec.uni[2028-08-01],
INDIRECT("rec.uni[natureza]"),"repasse.cef.obra",
INDIRECT("rec.uni[empresa]"),CP$6)</f>
        <v>0</v>
      </c>
      <c r="CQ94" s="185">
        <f ca="1">SUMIFS(rec.uni[2028-08-01],
INDIRECT("rec.uni[natureza]"),"repasse.cef.terreno",
INDIRECT("rec.uni[empresa]"),CQ$6)</f>
        <v>0</v>
      </c>
      <c r="CR94" s="186"/>
      <c r="CS94" s="182">
        <f ca="1">SUMIFS(rec.uni[2028-08-01],
INDIRECT("rec.uni[natureza]"),"taxa.extra",
INDIRECT("rec.uni[empresa]"),CS$6)</f>
        <v>0</v>
      </c>
      <c r="CT94" s="170"/>
      <c r="CU94" s="170" cm="1">
        <f t="array" ref="CU9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  <c r="CV94" s="170" cm="1">
        <f t="array" ref="CV9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  <c r="CW94" s="170" cm="1">
        <f t="array" ref="CW9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  <c r="CX94" s="170" cm="1">
        <f t="array" ref="CX9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  <c r="CY94" s="295" cm="1">
        <f t="array" ref="CY9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(desp[data.pagamento]&gt;=$A94)*
    (desp[data.pagamento]&lt;EOMONTH($A94,0)+1)
  )
)</f>
        <v>0</v>
      </c>
    </row>
    <row r="95" spans="1:103" x14ac:dyDescent="0.25">
      <c r="A95" s="180">
        <v>46997</v>
      </c>
      <c r="B95" s="181">
        <f>COUNTIFS(
    estq[empresa], B$6,
    estq[Data da venda / reserva], "&gt;=" &amp; $A95,
    estq[Data da venda / reserva], "&lt;"  &amp; EOMONTH($A95,0) + 1
)</f>
        <v>0</v>
      </c>
      <c r="C95" s="182">
        <f ca="1">SUMIFS(rec.uni[2028-09-01],
INDIRECT("rec.uni[natureza]"),"pro.soluto",
INDIRECT("rec.uni[empresa]"),C$6)</f>
        <v>0</v>
      </c>
      <c r="D95" s="182">
        <f ca="1">SUMIFS(rec.uni[2028-09-01],
INDIRECT("rec.uni[natureza]"),"repasse.cef.obra",
INDIRECT("rec.uni[empresa]"),D$6)</f>
        <v>0</v>
      </c>
      <c r="E95" s="182">
        <f ca="1">SUMIFS(rec.uni[2028-09-01],
INDIRECT("rec.uni[natureza]"),"repasse.cef.terreno",
INDIRECT("rec.uni[empresa]"),E$6)</f>
        <v>0</v>
      </c>
      <c r="F95" s="186"/>
      <c r="G95" s="182">
        <f ca="1">SUMIFS(rec.uni[2028-09-01],
INDIRECT("rec.uni[natureza]"),"taxa.extra",
INDIRECT("rec.uni[empresa]"),G$6)</f>
        <v>0</v>
      </c>
      <c r="H95" s="170"/>
      <c r="I95" s="170" cm="1">
        <f t="array" ref="I9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J95" s="170" cm="1">
        <f t="array" ref="J9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K95" s="170" cm="1">
        <f t="array" ref="K9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L95" s="170" cm="1">
        <f t="array" ref="L9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M95" s="170" cm="1">
        <f t="array" ref="M9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(desp[data.pagamento]&gt;=$A95)*
    (desp[data.pagamento]&lt;EOMONTH($A95,0)+1)
  )
)</f>
        <v>0</v>
      </c>
      <c r="N95" s="181">
        <f>COUNTIFS(
    estq[empresa], N$6,
    estq[Data da venda / reserva], "&gt;=" &amp; $A95,
    estq[Data da venda / reserva], "&lt;"  &amp; EOMONTH($A95,0) + 1
)</f>
        <v>0</v>
      </c>
      <c r="O95" s="182">
        <f ca="1">SUMIFS(rec.uni[2028-09-01],
INDIRECT("rec.uni[natureza]"),"pro.soluto",
INDIRECT("rec.uni[empresa]"),O$6)</f>
        <v>0</v>
      </c>
      <c r="P95" s="182">
        <f ca="1">SUMIFS(rec.uni[2028-09-01],
INDIRECT("rec.uni[natureza]"),"repasse.cef.obra",
INDIRECT("rec.uni[empresa]"),P$6)</f>
        <v>0</v>
      </c>
      <c r="Q95" s="182">
        <f ca="1">SUMIFS(rec.uni[2028-09-01],
INDIRECT("rec.uni[natureza]"),"repasse.cef.terreno",
INDIRECT("rec.uni[empresa]"),Q$6)</f>
        <v>0</v>
      </c>
      <c r="R95" s="186"/>
      <c r="S95" s="182">
        <f ca="1">SUMIFS(rec.uni[2028-09-01],
INDIRECT("rec.uni[natureza]"),"taxa.extra",
INDIRECT("rec.uni[empresa]"),S$6)</f>
        <v>0</v>
      </c>
      <c r="T95" s="170"/>
      <c r="U95" s="170" cm="1">
        <f t="array" ref="U9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V95" s="170" cm="1">
        <f t="array" ref="V9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W95" s="170" cm="1">
        <f t="array" ref="W9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X95" s="170" cm="1">
        <f t="array" ref="X9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Y95" s="170" cm="1">
        <f t="array" ref="Y9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(desp[data.pagamento]&gt;=$A95)*
    (desp[data.pagamento]&lt;EOMONTH($A95,0)+1)
  )
)</f>
        <v>0</v>
      </c>
      <c r="Z95" s="181">
        <f>COUNTIFS(
    estq[empresa], Z$6,
    estq[Data da venda / reserva], "&gt;=" &amp; $A95,
    estq[Data da venda / reserva], "&lt;"  &amp; EOMONTH($A95,0) + 1
)</f>
        <v>0</v>
      </c>
      <c r="AA95" s="182">
        <f ca="1">SUMIFS(rec.uni[2028-09-01],
INDIRECT("rec.uni[natureza]"),"pro.soluto",
INDIRECT("rec.uni[empresa]"),AA$6)</f>
        <v>0</v>
      </c>
      <c r="AB95" s="186">
        <f ca="1">SUMIFS(rec.uni[2028-09-01],
INDIRECT("rec.uni[natureza]"),"parcela.fin.total.ik",
INDIRECT("rec.uni[empresa]"),AB$6)</f>
        <v>0</v>
      </c>
      <c r="AC95" s="182">
        <f ca="1">SUMIFS(rec.uni[2028-09-01],
INDIRECT("rec.uni[natureza]"),"taxa.extra",
INDIRECT("rec.uni[empresa]"),AC$6)</f>
        <v>0</v>
      </c>
      <c r="AD95" s="170"/>
      <c r="AE95" s="170" cm="1">
        <f t="array" ref="AE9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F95" s="170" cm="1">
        <f t="array" ref="AF9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G95" s="170" cm="1">
        <f t="array" ref="AG9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H95" s="170" cm="1">
        <f t="array" ref="AH9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I95" s="170" cm="1">
        <f t="array" ref="AI9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(desp[data.pagamento]&gt;=$A95)*
    (desp[data.pagamento]&lt;EOMONTH($A95,0)+1)
  )
)</f>
        <v>0</v>
      </c>
      <c r="AJ95" s="181">
        <f>COUNTIFS(
    estq[empresa], AJ$6,
    estq[Data da venda / reserva], "&gt;=" &amp; $A95,
    estq[Data da venda / reserva], "&lt;"  &amp; EOMONTH($A95,0) + 1
)</f>
        <v>0</v>
      </c>
      <c r="AK95" s="182">
        <f ca="1">SUMIFS(rec.uni[2028-09-01],
INDIRECT("rec.uni[natureza]"),"pro.soluto",
INDIRECT("rec.uni[empresa]"),AK$6)</f>
        <v>0</v>
      </c>
      <c r="AL95" s="182">
        <f ca="1">SUMIFS(rec.uni[2028-09-01],
INDIRECT("rec.uni[natureza]"),"repasse.cef.obra",
INDIRECT("rec.uni[empresa]"),AL$6)</f>
        <v>0</v>
      </c>
      <c r="AM95" s="185">
        <f ca="1">SUMIFS(rec.uni[2028-09-01],
INDIRECT("rec.uni[natureza]"),"repasse.cef.terreno",
INDIRECT("rec.uni[empresa]"),AM$6)</f>
        <v>0</v>
      </c>
      <c r="AN95" s="186"/>
      <c r="AO95" s="182">
        <f ca="1">SUMIFS(rec.uni[2028-09-01],
INDIRECT("rec.uni[natureza]"),"taxa.extra",
INDIRECT("rec.uni[empresa]"),AO$6)</f>
        <v>0</v>
      </c>
      <c r="AP95" s="170"/>
      <c r="AQ95" s="170" cm="1">
        <f t="array" ref="AQ9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R95" s="170" cm="1">
        <f t="array" ref="AR9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S95" s="170" cm="1">
        <f t="array" ref="AS9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T95" s="170" cm="1">
        <f t="array" ref="AT9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U95" s="170" cm="1">
        <f t="array" ref="AU9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(desp[data.pagamento]&gt;=$A95)*
    (desp[data.pagamento]&lt;EOMONTH($A95,0)+1)
  )
)</f>
        <v>0</v>
      </c>
      <c r="AV95" s="181">
        <f>COUNTIFS(
    estq[empresa], AV$6,
    estq[Data da venda / reserva], "&gt;=" &amp; $A95,
    estq[Data da venda / reserva], "&lt;"  &amp; EOMONTH($A95,0) + 1
)</f>
        <v>0</v>
      </c>
      <c r="AW95" s="182">
        <f ca="1">SUMIFS(rec.uni[2028-09-01],
INDIRECT("rec.uni[natureza]"),"pro.soluto",
INDIRECT("rec.uni[empresa]"),AW$6)</f>
        <v>0</v>
      </c>
      <c r="AX95" s="182">
        <f ca="1">SUMIFS(rec.uni[2028-09-01],
INDIRECT("rec.uni[natureza]"),"repasse.cef.obra",
INDIRECT("rec.uni[empresa]"),AX$6)</f>
        <v>0</v>
      </c>
      <c r="AY95" s="185">
        <f ca="1">SUMIFS(rec.uni[2028-09-01],
INDIRECT("rec.uni[natureza]"),"repasse.cef.terreno",
INDIRECT("rec.uni[empresa]"),AY$6)</f>
        <v>0</v>
      </c>
      <c r="AZ95" s="186"/>
      <c r="BA95" s="182">
        <f ca="1">SUMIFS(rec.uni[2028-09-01],
INDIRECT("rec.uni[natureza]"),"taxa.extra",
INDIRECT("rec.uni[empresa]"),BA$6)</f>
        <v>0</v>
      </c>
      <c r="BB95" s="170"/>
      <c r="BC95" s="170" cm="1">
        <f t="array" ref="BC9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D95" s="170" cm="1">
        <f t="array" ref="BD9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E95" s="170" cm="1">
        <f t="array" ref="BE9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F95" s="170" cm="1">
        <f t="array" ref="BF9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G95" s="170" cm="1">
        <f t="array" ref="BG9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(desp[data.pagamento]&gt;=$A95)*
    (desp[data.pagamento]&lt;EOMONTH($A95,0)+1)
  )
)</f>
        <v>0</v>
      </c>
      <c r="BH95" s="181">
        <f>COUNTIFS(
    estq[empresa], BH$6,
    estq[Data da venda / reserva], "&gt;=" &amp; $A95,
    estq[Data da venda / reserva], "&lt;"  &amp; EOMONTH($A95,0) + 1
)</f>
        <v>0</v>
      </c>
      <c r="BI95" s="182">
        <f ca="1">SUMIFS(rec.uni[2028-09-01],
INDIRECT("rec.uni[natureza]"),"pro.soluto",
INDIRECT("rec.uni[empresa]"),BI$6)</f>
        <v>0</v>
      </c>
      <c r="BJ95" s="186">
        <f ca="1">SUMIFS(rec.uni[2028-09-01],
INDIRECT("rec.uni[natureza]"),"parcela.fin.total.ik",
INDIRECT("rec.uni[empresa]"),BJ$6)</f>
        <v>0</v>
      </c>
      <c r="BK95" s="182">
        <f ca="1">SUMIFS(rec.uni[2028-09-01],
INDIRECT("rec.uni[natureza]"),"taxa.extra",
INDIRECT("rec.uni[empresa]"),BK$6)</f>
        <v>0</v>
      </c>
      <c r="BL95" s="170"/>
      <c r="BM95" s="170" cm="1">
        <f t="array" ref="BM9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N95" s="170" cm="1">
        <f t="array" ref="BN9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O95" s="170" cm="1">
        <f t="array" ref="BO9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P95" s="170" cm="1">
        <f t="array" ref="BP9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Q95" s="170" cm="1">
        <f t="array" ref="BQ9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(desp[data.pagamento]&gt;=$A95)*
    (desp[data.pagamento]&lt;EOMONTH($A95,0)+1)
  )
)</f>
        <v>0</v>
      </c>
      <c r="BR95" s="181">
        <f>COUNTIFS(
    estq[empresa], BR$6,
    estq[Data da venda / reserva], "&gt;=" &amp; $A95,
    estq[Data da venda / reserva], "&lt;"  &amp; EOMONTH($A95,0) + 1
)</f>
        <v>0</v>
      </c>
      <c r="BS95" s="182">
        <f ca="1">SUMIFS(rec.uni[2028-09-01],
INDIRECT("rec.uni[natureza]"),"pro.soluto",
INDIRECT("rec.uni[empresa]"),BS$6)</f>
        <v>0</v>
      </c>
      <c r="BT95" s="186">
        <f ca="1">SUMIFS(rec.uni[2028-09-01],
INDIRECT("rec.uni[natureza]"),"parcela.fin.total.ik",
INDIRECT("rec.uni[empresa]"),BT$6)</f>
        <v>0</v>
      </c>
      <c r="BU95" s="182">
        <f ca="1">SUMIFS(rec.uni[2028-09-01],
INDIRECT("rec.uni[natureza]"),"taxa.extra",
INDIRECT("rec.uni[empresa]"),BU$6)</f>
        <v>0</v>
      </c>
      <c r="BV95" s="170"/>
      <c r="BW95" s="170" cm="1">
        <f t="array" ref="BW9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BX95" s="170" cm="1">
        <f t="array" ref="BX9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BY95" s="170" cm="1">
        <f t="array" ref="BY9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BZ95" s="170" cm="1">
        <f t="array" ref="BZ9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CA95" s="170" cm="1">
        <f t="array" ref="CA9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(desp[data.pagamento]&gt;=$A95)*
    (desp[data.pagamento]&lt;EOMONTH($A95,0)+1)
  )
)</f>
        <v>0</v>
      </c>
      <c r="CB95" s="181">
        <f>COUNTIFS(
    estq[empresa], CB$6,
    estq[Data da venda / reserva], "&gt;=" &amp; $A95,
    estq[Data da venda / reserva], "&lt;"  &amp; EOMONTH($A95,0) + 1
)</f>
        <v>0</v>
      </c>
      <c r="CC95" s="182">
        <f ca="1">SUMIFS(rec.uni[2028-09-01],
INDIRECT("rec.uni[natureza]"),"pro.soluto",
INDIRECT("rec.uni[empresa]"),CC$6)</f>
        <v>0</v>
      </c>
      <c r="CD95" s="182">
        <f ca="1">SUMIFS(rec.uni[2028-09-01],
INDIRECT("rec.uni[natureza]"),"repasse.cef.obra",
INDIRECT("rec.uni[empresa]"),CD$6)</f>
        <v>0</v>
      </c>
      <c r="CE95" s="185">
        <f ca="1">SUMIFS(rec.uni[2028-09-01],
INDIRECT("rec.uni[natureza]"),"repasse.cef.terreno",
INDIRECT("rec.uni[empresa]"),CE$6)</f>
        <v>0</v>
      </c>
      <c r="CF95" s="186"/>
      <c r="CG95" s="182">
        <f ca="1">SUMIFS(rec.uni[2028-09-01],
INDIRECT("rec.uni[natureza]"),"taxa.extra",
INDIRECT("rec.uni[empresa]"),CG$6)</f>
        <v>0</v>
      </c>
      <c r="CH95" s="170"/>
      <c r="CI95" s="170" cm="1">
        <f t="array" ref="CI9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J95" s="170" cm="1">
        <f t="array" ref="CJ9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K95" s="170" cm="1">
        <f t="array" ref="CK9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L95" s="170" cm="1">
        <f t="array" ref="CL9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M95" s="170" cm="1">
        <f t="array" ref="CM9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(desp[data.pagamento]&gt;=$A95)*
    (desp[data.pagamento]&lt;EOMONTH($A95,0)+1)
  )
)</f>
        <v>0</v>
      </c>
      <c r="CN95" s="181">
        <f>COUNTIFS(
    estq[empresa], CN$6,
    estq[Data da venda / reserva], "&gt;=" &amp; $A95,
    estq[Data da venda / reserva], "&lt;"  &amp; EOMONTH($A95,0) + 1
)</f>
        <v>0</v>
      </c>
      <c r="CO95" s="182">
        <f ca="1">SUMIFS(rec.uni[2028-09-01],
INDIRECT("rec.uni[natureza]"),"pro.soluto",
INDIRECT("rec.uni[empresa]"),CO$6)</f>
        <v>0</v>
      </c>
      <c r="CP95" s="182">
        <f ca="1">SUMIFS(rec.uni[2028-09-01],
INDIRECT("rec.uni[natureza]"),"repasse.cef.obra",
INDIRECT("rec.uni[empresa]"),CP$6)</f>
        <v>0</v>
      </c>
      <c r="CQ95" s="185">
        <f ca="1">SUMIFS(rec.uni[2028-09-01],
INDIRECT("rec.uni[natureza]"),"repasse.cef.terreno",
INDIRECT("rec.uni[empresa]"),CQ$6)</f>
        <v>0</v>
      </c>
      <c r="CR95" s="186"/>
      <c r="CS95" s="182">
        <f ca="1">SUMIFS(rec.uni[2028-09-01],
INDIRECT("rec.uni[natureza]"),"taxa.extra",
INDIRECT("rec.uni[empresa]"),CS$6)</f>
        <v>0</v>
      </c>
      <c r="CT95" s="170"/>
      <c r="CU95" s="170" cm="1">
        <f t="array" ref="CU9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  <c r="CV95" s="170" cm="1">
        <f t="array" ref="CV9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  <c r="CW95" s="170" cm="1">
        <f t="array" ref="CW9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  <c r="CX95" s="170" cm="1">
        <f t="array" ref="CX9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  <c r="CY95" s="295" cm="1">
        <f t="array" ref="CY9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(desp[data.pagamento]&gt;=$A95)*
    (desp[data.pagamento]&lt;EOMONTH($A95,0)+1)
  )
)</f>
        <v>0</v>
      </c>
    </row>
    <row r="96" spans="1:103" x14ac:dyDescent="0.25">
      <c r="A96" s="180">
        <v>47027</v>
      </c>
      <c r="B96" s="181">
        <f>COUNTIFS(
    estq[empresa], B$6,
    estq[Data da venda / reserva], "&gt;=" &amp; $A96,
    estq[Data da venda / reserva], "&lt;"  &amp; EOMONTH($A96,0) + 1
)</f>
        <v>0</v>
      </c>
      <c r="C96" s="182">
        <f ca="1">SUMIFS(rec.uni[2028-10-01],
INDIRECT("rec.uni[natureza]"),"pro.soluto",
INDIRECT("rec.uni[empresa]"),C$6)</f>
        <v>0</v>
      </c>
      <c r="D96" s="182">
        <f ca="1">SUMIFS(rec.uni[2028-10-01],
INDIRECT("rec.uni[natureza]"),"repasse.cef.obra",
INDIRECT("rec.uni[empresa]"),D$6)</f>
        <v>0</v>
      </c>
      <c r="E96" s="182">
        <f ca="1">SUMIFS(rec.uni[2028-10-01],
INDIRECT("rec.uni[natureza]"),"repasse.cef.terreno",
INDIRECT("rec.uni[empresa]"),E$6)</f>
        <v>0</v>
      </c>
      <c r="F96" s="186"/>
      <c r="G96" s="182">
        <f ca="1">SUMIFS(rec.uni[2028-10-01],
INDIRECT("rec.uni[natureza]"),"taxa.extra",
INDIRECT("rec.uni[empresa]"),G$6)</f>
        <v>0</v>
      </c>
      <c r="H96" s="170"/>
      <c r="I96" s="170" cm="1">
        <f t="array" ref="I9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J96" s="170" cm="1">
        <f t="array" ref="J9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K96" s="170" cm="1">
        <f t="array" ref="K9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L96" s="170" cm="1">
        <f t="array" ref="L9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M96" s="170" cm="1">
        <f t="array" ref="M9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(desp[data.pagamento]&gt;=$A96)*
    (desp[data.pagamento]&lt;EOMONTH($A96,0)+1)
  )
)</f>
        <v>0</v>
      </c>
      <c r="N96" s="181">
        <f>COUNTIFS(
    estq[empresa], N$6,
    estq[Data da venda / reserva], "&gt;=" &amp; $A96,
    estq[Data da venda / reserva], "&lt;"  &amp; EOMONTH($A96,0) + 1
)</f>
        <v>0</v>
      </c>
      <c r="O96" s="182">
        <f ca="1">SUMIFS(rec.uni[2028-10-01],
INDIRECT("rec.uni[natureza]"),"pro.soluto",
INDIRECT("rec.uni[empresa]"),O$6)</f>
        <v>0</v>
      </c>
      <c r="P96" s="182">
        <f ca="1">SUMIFS(rec.uni[2028-10-01],
INDIRECT("rec.uni[natureza]"),"repasse.cef.obra",
INDIRECT("rec.uni[empresa]"),P$6)</f>
        <v>0</v>
      </c>
      <c r="Q96" s="182">
        <f ca="1">SUMIFS(rec.uni[2028-10-01],
INDIRECT("rec.uni[natureza]"),"repasse.cef.terreno",
INDIRECT("rec.uni[empresa]"),Q$6)</f>
        <v>0</v>
      </c>
      <c r="R96" s="186"/>
      <c r="S96" s="182">
        <f ca="1">SUMIFS(rec.uni[2028-10-01],
INDIRECT("rec.uni[natureza]"),"taxa.extra",
INDIRECT("rec.uni[empresa]"),S$6)</f>
        <v>0</v>
      </c>
      <c r="T96" s="170"/>
      <c r="U96" s="170" cm="1">
        <f t="array" ref="U9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V96" s="170" cm="1">
        <f t="array" ref="V9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W96" s="170" cm="1">
        <f t="array" ref="W9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X96" s="170" cm="1">
        <f t="array" ref="X9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Y96" s="170" cm="1">
        <f t="array" ref="Y9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(desp[data.pagamento]&gt;=$A96)*
    (desp[data.pagamento]&lt;EOMONTH($A96,0)+1)
  )
)</f>
        <v>0</v>
      </c>
      <c r="Z96" s="181">
        <f>COUNTIFS(
    estq[empresa], Z$6,
    estq[Data da venda / reserva], "&gt;=" &amp; $A96,
    estq[Data da venda / reserva], "&lt;"  &amp; EOMONTH($A96,0) + 1
)</f>
        <v>0</v>
      </c>
      <c r="AA96" s="182">
        <f ca="1">SUMIFS(rec.uni[2028-10-01],
INDIRECT("rec.uni[natureza]"),"pro.soluto",
INDIRECT("rec.uni[empresa]"),AA$6)</f>
        <v>0</v>
      </c>
      <c r="AB96" s="186">
        <f ca="1">SUMIFS(rec.uni[2028-10-01],
INDIRECT("rec.uni[natureza]"),"parcela.fin.total.ik",
INDIRECT("rec.uni[empresa]"),AB$6)</f>
        <v>0</v>
      </c>
      <c r="AC96" s="182">
        <f ca="1">SUMIFS(rec.uni[2028-10-01],
INDIRECT("rec.uni[natureza]"),"taxa.extra",
INDIRECT("rec.uni[empresa]"),AC$6)</f>
        <v>0</v>
      </c>
      <c r="AD96" s="170"/>
      <c r="AE96" s="170" cm="1">
        <f t="array" ref="AE9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F96" s="170" cm="1">
        <f t="array" ref="AF9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G96" s="170" cm="1">
        <f t="array" ref="AG9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H96" s="170" cm="1">
        <f t="array" ref="AH9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I96" s="170" cm="1">
        <f t="array" ref="AI9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(desp[data.pagamento]&gt;=$A96)*
    (desp[data.pagamento]&lt;EOMONTH($A96,0)+1)
  )
)</f>
        <v>0</v>
      </c>
      <c r="AJ96" s="181">
        <f>COUNTIFS(
    estq[empresa], AJ$6,
    estq[Data da venda / reserva], "&gt;=" &amp; $A96,
    estq[Data da venda / reserva], "&lt;"  &amp; EOMONTH($A96,0) + 1
)</f>
        <v>0</v>
      </c>
      <c r="AK96" s="182">
        <f ca="1">SUMIFS(rec.uni[2028-10-01],
INDIRECT("rec.uni[natureza]"),"pro.soluto",
INDIRECT("rec.uni[empresa]"),AK$6)</f>
        <v>0</v>
      </c>
      <c r="AL96" s="182">
        <f ca="1">SUMIFS(rec.uni[2028-10-01],
INDIRECT("rec.uni[natureza]"),"repasse.cef.obra",
INDIRECT("rec.uni[empresa]"),AL$6)</f>
        <v>0</v>
      </c>
      <c r="AM96" s="185">
        <f ca="1">SUMIFS(rec.uni[2028-10-01],
INDIRECT("rec.uni[natureza]"),"repasse.cef.terreno",
INDIRECT("rec.uni[empresa]"),AM$6)</f>
        <v>0</v>
      </c>
      <c r="AN96" s="186"/>
      <c r="AO96" s="182">
        <f ca="1">SUMIFS(rec.uni[2028-10-01],
INDIRECT("rec.uni[natureza]"),"taxa.extra",
INDIRECT("rec.uni[empresa]"),AO$6)</f>
        <v>0</v>
      </c>
      <c r="AP96" s="170"/>
      <c r="AQ96" s="170" cm="1">
        <f t="array" ref="AQ9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R96" s="170" cm="1">
        <f t="array" ref="AR9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S96" s="170" cm="1">
        <f t="array" ref="AS9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T96" s="170" cm="1">
        <f t="array" ref="AT9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U96" s="170" cm="1">
        <f t="array" ref="AU9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(desp[data.pagamento]&gt;=$A96)*
    (desp[data.pagamento]&lt;EOMONTH($A96,0)+1)
  )
)</f>
        <v>0</v>
      </c>
      <c r="AV96" s="181">
        <f>COUNTIFS(
    estq[empresa], AV$6,
    estq[Data da venda / reserva], "&gt;=" &amp; $A96,
    estq[Data da venda / reserva], "&lt;"  &amp; EOMONTH($A96,0) + 1
)</f>
        <v>0</v>
      </c>
      <c r="AW96" s="182">
        <f ca="1">SUMIFS(rec.uni[2028-10-01],
INDIRECT("rec.uni[natureza]"),"pro.soluto",
INDIRECT("rec.uni[empresa]"),AW$6)</f>
        <v>0</v>
      </c>
      <c r="AX96" s="182">
        <f ca="1">SUMIFS(rec.uni[2028-10-01],
INDIRECT("rec.uni[natureza]"),"repasse.cef.obra",
INDIRECT("rec.uni[empresa]"),AX$6)</f>
        <v>0</v>
      </c>
      <c r="AY96" s="185">
        <f ca="1">SUMIFS(rec.uni[2028-10-01],
INDIRECT("rec.uni[natureza]"),"repasse.cef.terreno",
INDIRECT("rec.uni[empresa]"),AY$6)</f>
        <v>0</v>
      </c>
      <c r="AZ96" s="186"/>
      <c r="BA96" s="182">
        <f ca="1">SUMIFS(rec.uni[2028-10-01],
INDIRECT("rec.uni[natureza]"),"taxa.extra",
INDIRECT("rec.uni[empresa]"),BA$6)</f>
        <v>0</v>
      </c>
      <c r="BB96" s="170"/>
      <c r="BC96" s="170" cm="1">
        <f t="array" ref="BC9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D96" s="170" cm="1">
        <f t="array" ref="BD9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E96" s="170" cm="1">
        <f t="array" ref="BE9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F96" s="170" cm="1">
        <f t="array" ref="BF9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G96" s="170" cm="1">
        <f t="array" ref="BG9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(desp[data.pagamento]&gt;=$A96)*
    (desp[data.pagamento]&lt;EOMONTH($A96,0)+1)
  )
)</f>
        <v>0</v>
      </c>
      <c r="BH96" s="181">
        <f>COUNTIFS(
    estq[empresa], BH$6,
    estq[Data da venda / reserva], "&gt;=" &amp; $A96,
    estq[Data da venda / reserva], "&lt;"  &amp; EOMONTH($A96,0) + 1
)</f>
        <v>0</v>
      </c>
      <c r="BI96" s="182">
        <f ca="1">SUMIFS(rec.uni[2028-10-01],
INDIRECT("rec.uni[natureza]"),"pro.soluto",
INDIRECT("rec.uni[empresa]"),BI$6)</f>
        <v>0</v>
      </c>
      <c r="BJ96" s="186">
        <f ca="1">SUMIFS(rec.uni[2028-10-01],
INDIRECT("rec.uni[natureza]"),"parcela.fin.total.ik",
INDIRECT("rec.uni[empresa]"),BJ$6)</f>
        <v>0</v>
      </c>
      <c r="BK96" s="182">
        <f ca="1">SUMIFS(rec.uni[2028-10-01],
INDIRECT("rec.uni[natureza]"),"taxa.extra",
INDIRECT("rec.uni[empresa]"),BK$6)</f>
        <v>0</v>
      </c>
      <c r="BL96" s="170"/>
      <c r="BM96" s="170" cm="1">
        <f t="array" ref="BM9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N96" s="170" cm="1">
        <f t="array" ref="BN9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O96" s="170" cm="1">
        <f t="array" ref="BO9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P96" s="170" cm="1">
        <f t="array" ref="BP9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Q96" s="170" cm="1">
        <f t="array" ref="BQ9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(desp[data.pagamento]&gt;=$A96)*
    (desp[data.pagamento]&lt;EOMONTH($A96,0)+1)
  )
)</f>
        <v>0</v>
      </c>
      <c r="BR96" s="181">
        <f>COUNTIFS(
    estq[empresa], BR$6,
    estq[Data da venda / reserva], "&gt;=" &amp; $A96,
    estq[Data da venda / reserva], "&lt;"  &amp; EOMONTH($A96,0) + 1
)</f>
        <v>0</v>
      </c>
      <c r="BS96" s="182">
        <f ca="1">SUMIFS(rec.uni[2028-10-01],
INDIRECT("rec.uni[natureza]"),"pro.soluto",
INDIRECT("rec.uni[empresa]"),BS$6)</f>
        <v>0</v>
      </c>
      <c r="BT96" s="186">
        <f ca="1">SUMIFS(rec.uni[2028-10-01],
INDIRECT("rec.uni[natureza]"),"parcela.fin.total.ik",
INDIRECT("rec.uni[empresa]"),BT$6)</f>
        <v>0</v>
      </c>
      <c r="BU96" s="182">
        <f ca="1">SUMIFS(rec.uni[2028-10-01],
INDIRECT("rec.uni[natureza]"),"taxa.extra",
INDIRECT("rec.uni[empresa]"),BU$6)</f>
        <v>0</v>
      </c>
      <c r="BV96" s="170"/>
      <c r="BW96" s="170" cm="1">
        <f t="array" ref="BW9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BX96" s="170" cm="1">
        <f t="array" ref="BX9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BY96" s="170" cm="1">
        <f t="array" ref="BY9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BZ96" s="170" cm="1">
        <f t="array" ref="BZ9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CA96" s="170" cm="1">
        <f t="array" ref="CA9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(desp[data.pagamento]&gt;=$A96)*
    (desp[data.pagamento]&lt;EOMONTH($A96,0)+1)
  )
)</f>
        <v>0</v>
      </c>
      <c r="CB96" s="181">
        <f>COUNTIFS(
    estq[empresa], CB$6,
    estq[Data da venda / reserva], "&gt;=" &amp; $A96,
    estq[Data da venda / reserva], "&lt;"  &amp; EOMONTH($A96,0) + 1
)</f>
        <v>0</v>
      </c>
      <c r="CC96" s="182">
        <f ca="1">SUMIFS(rec.uni[2028-10-01],
INDIRECT("rec.uni[natureza]"),"pro.soluto",
INDIRECT("rec.uni[empresa]"),CC$6)</f>
        <v>0</v>
      </c>
      <c r="CD96" s="182">
        <f ca="1">SUMIFS(rec.uni[2028-10-01],
INDIRECT("rec.uni[natureza]"),"repasse.cef.obra",
INDIRECT("rec.uni[empresa]"),CD$6)</f>
        <v>0</v>
      </c>
      <c r="CE96" s="185">
        <f ca="1">SUMIFS(rec.uni[2028-10-01],
INDIRECT("rec.uni[natureza]"),"repasse.cef.terreno",
INDIRECT("rec.uni[empresa]"),CE$6)</f>
        <v>0</v>
      </c>
      <c r="CF96" s="186"/>
      <c r="CG96" s="182">
        <f ca="1">SUMIFS(rec.uni[2028-10-01],
INDIRECT("rec.uni[natureza]"),"taxa.extra",
INDIRECT("rec.uni[empresa]"),CG$6)</f>
        <v>0</v>
      </c>
      <c r="CH96" s="170"/>
      <c r="CI96" s="170" cm="1">
        <f t="array" ref="CI9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J96" s="170" cm="1">
        <f t="array" ref="CJ9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K96" s="170" cm="1">
        <f t="array" ref="CK9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L96" s="170" cm="1">
        <f t="array" ref="CL9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M96" s="170" cm="1">
        <f t="array" ref="CM9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(desp[data.pagamento]&gt;=$A96)*
    (desp[data.pagamento]&lt;EOMONTH($A96,0)+1)
  )
)</f>
        <v>0</v>
      </c>
      <c r="CN96" s="181">
        <f>COUNTIFS(
    estq[empresa], CN$6,
    estq[Data da venda / reserva], "&gt;=" &amp; $A96,
    estq[Data da venda / reserva], "&lt;"  &amp; EOMONTH($A96,0) + 1
)</f>
        <v>0</v>
      </c>
      <c r="CO96" s="182">
        <f ca="1">SUMIFS(rec.uni[2028-10-01],
INDIRECT("rec.uni[natureza]"),"pro.soluto",
INDIRECT("rec.uni[empresa]"),CO$6)</f>
        <v>0</v>
      </c>
      <c r="CP96" s="182">
        <f ca="1">SUMIFS(rec.uni[2028-10-01],
INDIRECT("rec.uni[natureza]"),"repasse.cef.obra",
INDIRECT("rec.uni[empresa]"),CP$6)</f>
        <v>0</v>
      </c>
      <c r="CQ96" s="185">
        <f ca="1">SUMIFS(rec.uni[2028-10-01],
INDIRECT("rec.uni[natureza]"),"repasse.cef.terreno",
INDIRECT("rec.uni[empresa]"),CQ$6)</f>
        <v>0</v>
      </c>
      <c r="CR96" s="186"/>
      <c r="CS96" s="182">
        <f ca="1">SUMIFS(rec.uni[2028-10-01],
INDIRECT("rec.uni[natureza]"),"taxa.extra",
INDIRECT("rec.uni[empresa]"),CS$6)</f>
        <v>0</v>
      </c>
      <c r="CT96" s="170"/>
      <c r="CU96" s="170" cm="1">
        <f t="array" ref="CU9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  <c r="CV96" s="170" cm="1">
        <f t="array" ref="CV9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  <c r="CW96" s="170" cm="1">
        <f t="array" ref="CW9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  <c r="CX96" s="170" cm="1">
        <f t="array" ref="CX9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  <c r="CY96" s="295" cm="1">
        <f t="array" ref="CY9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(desp[data.pagamento]&gt;=$A96)*
    (desp[data.pagamento]&lt;EOMONTH($A96,0)+1)
  )
)</f>
        <v>0</v>
      </c>
    </row>
    <row r="97" spans="1:103" x14ac:dyDescent="0.25">
      <c r="A97" s="180">
        <v>47058</v>
      </c>
      <c r="B97" s="181">
        <f>COUNTIFS(
    estq[empresa], B$6,
    estq[Data da venda / reserva], "&gt;=" &amp; $A97,
    estq[Data da venda / reserva], "&lt;"  &amp; EOMONTH($A97,0) + 1
)</f>
        <v>0</v>
      </c>
      <c r="C97" s="182">
        <f ca="1">SUMIFS(rec.uni[2028-11-01],
INDIRECT("rec.uni[natureza]"),"pro.soluto",
INDIRECT("rec.uni[empresa]"),C$6)</f>
        <v>0</v>
      </c>
      <c r="D97" s="182">
        <f ca="1">SUMIFS(rec.uni[2028-11-01],
INDIRECT("rec.uni[natureza]"),"repasse.cef.obra",
INDIRECT("rec.uni[empresa]"),D$6)</f>
        <v>0</v>
      </c>
      <c r="E97" s="182">
        <f ca="1">SUMIFS(rec.uni[2028-11-01],
INDIRECT("rec.uni[natureza]"),"repasse.cef.terreno",
INDIRECT("rec.uni[empresa]"),E$6)</f>
        <v>0</v>
      </c>
      <c r="F97" s="186"/>
      <c r="G97" s="182">
        <f ca="1">SUMIFS(rec.uni[2028-11-01],
INDIRECT("rec.uni[natureza]"),"taxa.extra",
INDIRECT("rec.uni[empresa]"),G$6)</f>
        <v>0</v>
      </c>
      <c r="H97" s="170"/>
      <c r="I97" s="170" cm="1">
        <f t="array" ref="I9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J97" s="170" cm="1">
        <f t="array" ref="J9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K97" s="170" cm="1">
        <f t="array" ref="K9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L97" s="170" cm="1">
        <f t="array" ref="L9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M97" s="170" cm="1">
        <f t="array" ref="M9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(desp[data.pagamento]&gt;=$A97)*
    (desp[data.pagamento]&lt;EOMONTH($A97,0)+1)
  )
)</f>
        <v>0</v>
      </c>
      <c r="N97" s="181">
        <f>COUNTIFS(
    estq[empresa], N$6,
    estq[Data da venda / reserva], "&gt;=" &amp; $A97,
    estq[Data da venda / reserva], "&lt;"  &amp; EOMONTH($A97,0) + 1
)</f>
        <v>0</v>
      </c>
      <c r="O97" s="182">
        <f ca="1">SUMIFS(rec.uni[2028-11-01],
INDIRECT("rec.uni[natureza]"),"pro.soluto",
INDIRECT("rec.uni[empresa]"),O$6)</f>
        <v>0</v>
      </c>
      <c r="P97" s="182">
        <f ca="1">SUMIFS(rec.uni[2028-11-01],
INDIRECT("rec.uni[natureza]"),"repasse.cef.obra",
INDIRECT("rec.uni[empresa]"),P$6)</f>
        <v>0</v>
      </c>
      <c r="Q97" s="182">
        <f ca="1">SUMIFS(rec.uni[2028-11-01],
INDIRECT("rec.uni[natureza]"),"repasse.cef.terreno",
INDIRECT("rec.uni[empresa]"),Q$6)</f>
        <v>0</v>
      </c>
      <c r="R97" s="186"/>
      <c r="S97" s="182">
        <f ca="1">SUMIFS(rec.uni[2028-11-01],
INDIRECT("rec.uni[natureza]"),"taxa.extra",
INDIRECT("rec.uni[empresa]"),S$6)</f>
        <v>0</v>
      </c>
      <c r="T97" s="170"/>
      <c r="U97" s="170" cm="1">
        <f t="array" ref="U9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V97" s="170" cm="1">
        <f t="array" ref="V9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W97" s="170" cm="1">
        <f t="array" ref="W9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X97" s="170" cm="1">
        <f t="array" ref="X9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Y97" s="170" cm="1">
        <f t="array" ref="Y9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(desp[data.pagamento]&gt;=$A97)*
    (desp[data.pagamento]&lt;EOMONTH($A97,0)+1)
  )
)</f>
        <v>0</v>
      </c>
      <c r="Z97" s="181">
        <f>COUNTIFS(
    estq[empresa], Z$6,
    estq[Data da venda / reserva], "&gt;=" &amp; $A97,
    estq[Data da venda / reserva], "&lt;"  &amp; EOMONTH($A97,0) + 1
)</f>
        <v>0</v>
      </c>
      <c r="AA97" s="182">
        <f ca="1">SUMIFS(rec.uni[2028-11-01],
INDIRECT("rec.uni[natureza]"),"pro.soluto",
INDIRECT("rec.uni[empresa]"),AA$6)</f>
        <v>0</v>
      </c>
      <c r="AB97" s="186">
        <f ca="1">SUMIFS(rec.uni[2028-11-01],
INDIRECT("rec.uni[natureza]"),"parcela.fin.total.ik",
INDIRECT("rec.uni[empresa]"),AB$6)</f>
        <v>0</v>
      </c>
      <c r="AC97" s="182">
        <f ca="1">SUMIFS(rec.uni[2028-11-01],
INDIRECT("rec.uni[natureza]"),"taxa.extra",
INDIRECT("rec.uni[empresa]"),AC$6)</f>
        <v>0</v>
      </c>
      <c r="AD97" s="170"/>
      <c r="AE97" s="170" cm="1">
        <f t="array" ref="AE9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F97" s="170" cm="1">
        <f t="array" ref="AF9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G97" s="170" cm="1">
        <f t="array" ref="AG9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H97" s="170" cm="1">
        <f t="array" ref="AH9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I97" s="170" cm="1">
        <f t="array" ref="AI9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(desp[data.pagamento]&gt;=$A97)*
    (desp[data.pagamento]&lt;EOMONTH($A97,0)+1)
  )
)</f>
        <v>0</v>
      </c>
      <c r="AJ97" s="181">
        <f>COUNTIFS(
    estq[empresa], AJ$6,
    estq[Data da venda / reserva], "&gt;=" &amp; $A97,
    estq[Data da venda / reserva], "&lt;"  &amp; EOMONTH($A97,0) + 1
)</f>
        <v>0</v>
      </c>
      <c r="AK97" s="182">
        <f ca="1">SUMIFS(rec.uni[2028-11-01],
INDIRECT("rec.uni[natureza]"),"pro.soluto",
INDIRECT("rec.uni[empresa]"),AK$6)</f>
        <v>0</v>
      </c>
      <c r="AL97" s="182">
        <f ca="1">SUMIFS(rec.uni[2028-11-01],
INDIRECT("rec.uni[natureza]"),"repasse.cef.obra",
INDIRECT("rec.uni[empresa]"),AL$6)</f>
        <v>0</v>
      </c>
      <c r="AM97" s="185">
        <f ca="1">SUMIFS(rec.uni[2028-11-01],
INDIRECT("rec.uni[natureza]"),"repasse.cef.terreno",
INDIRECT("rec.uni[empresa]"),AM$6)</f>
        <v>0</v>
      </c>
      <c r="AN97" s="186"/>
      <c r="AO97" s="182">
        <f ca="1">SUMIFS(rec.uni[2028-11-01],
INDIRECT("rec.uni[natureza]"),"taxa.extra",
INDIRECT("rec.uni[empresa]"),AO$6)</f>
        <v>0</v>
      </c>
      <c r="AP97" s="170"/>
      <c r="AQ97" s="170" cm="1">
        <f t="array" ref="AQ9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R97" s="170" cm="1">
        <f t="array" ref="AR9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S97" s="170" cm="1">
        <f t="array" ref="AS9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T97" s="170" cm="1">
        <f t="array" ref="AT9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U97" s="170" cm="1">
        <f t="array" ref="AU9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(desp[data.pagamento]&gt;=$A97)*
    (desp[data.pagamento]&lt;EOMONTH($A97,0)+1)
  )
)</f>
        <v>0</v>
      </c>
      <c r="AV97" s="181">
        <f>COUNTIFS(
    estq[empresa], AV$6,
    estq[Data da venda / reserva], "&gt;=" &amp; $A97,
    estq[Data da venda / reserva], "&lt;"  &amp; EOMONTH($A97,0) + 1
)</f>
        <v>0</v>
      </c>
      <c r="AW97" s="182">
        <f ca="1">SUMIFS(rec.uni[2028-11-01],
INDIRECT("rec.uni[natureza]"),"pro.soluto",
INDIRECT("rec.uni[empresa]"),AW$6)</f>
        <v>0</v>
      </c>
      <c r="AX97" s="182">
        <f ca="1">SUMIFS(rec.uni[2028-11-01],
INDIRECT("rec.uni[natureza]"),"repasse.cef.obra",
INDIRECT("rec.uni[empresa]"),AX$6)</f>
        <v>0</v>
      </c>
      <c r="AY97" s="185">
        <f ca="1">SUMIFS(rec.uni[2028-11-01],
INDIRECT("rec.uni[natureza]"),"repasse.cef.terreno",
INDIRECT("rec.uni[empresa]"),AY$6)</f>
        <v>0</v>
      </c>
      <c r="AZ97" s="186"/>
      <c r="BA97" s="182">
        <f ca="1">SUMIFS(rec.uni[2028-11-01],
INDIRECT("rec.uni[natureza]"),"taxa.extra",
INDIRECT("rec.uni[empresa]"),BA$6)</f>
        <v>0</v>
      </c>
      <c r="BB97" s="170"/>
      <c r="BC97" s="170" cm="1">
        <f t="array" ref="BC9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D97" s="170" cm="1">
        <f t="array" ref="BD9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E97" s="170" cm="1">
        <f t="array" ref="BE9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F97" s="170" cm="1">
        <f t="array" ref="BF9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G97" s="170" cm="1">
        <f t="array" ref="BG9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(desp[data.pagamento]&gt;=$A97)*
    (desp[data.pagamento]&lt;EOMONTH($A97,0)+1)
  )
)</f>
        <v>0</v>
      </c>
      <c r="BH97" s="181">
        <f>COUNTIFS(
    estq[empresa], BH$6,
    estq[Data da venda / reserva], "&gt;=" &amp; $A97,
    estq[Data da venda / reserva], "&lt;"  &amp; EOMONTH($A97,0) + 1
)</f>
        <v>0</v>
      </c>
      <c r="BI97" s="182">
        <f ca="1">SUMIFS(rec.uni[2028-11-01],
INDIRECT("rec.uni[natureza]"),"pro.soluto",
INDIRECT("rec.uni[empresa]"),BI$6)</f>
        <v>0</v>
      </c>
      <c r="BJ97" s="186">
        <f ca="1">SUMIFS(rec.uni[2028-11-01],
INDIRECT("rec.uni[natureza]"),"parcela.fin.total.ik",
INDIRECT("rec.uni[empresa]"),BJ$6)</f>
        <v>0</v>
      </c>
      <c r="BK97" s="182">
        <f ca="1">SUMIFS(rec.uni[2028-11-01],
INDIRECT("rec.uni[natureza]"),"taxa.extra",
INDIRECT("rec.uni[empresa]"),BK$6)</f>
        <v>0</v>
      </c>
      <c r="BL97" s="170"/>
      <c r="BM97" s="170" cm="1">
        <f t="array" ref="BM9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N97" s="170" cm="1">
        <f t="array" ref="BN9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O97" s="170" cm="1">
        <f t="array" ref="BO9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P97" s="170" cm="1">
        <f t="array" ref="BP9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Q97" s="170" cm="1">
        <f t="array" ref="BQ9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(desp[data.pagamento]&gt;=$A97)*
    (desp[data.pagamento]&lt;EOMONTH($A97,0)+1)
  )
)</f>
        <v>0</v>
      </c>
      <c r="BR97" s="181">
        <f>COUNTIFS(
    estq[empresa], BR$6,
    estq[Data da venda / reserva], "&gt;=" &amp; $A97,
    estq[Data da venda / reserva], "&lt;"  &amp; EOMONTH($A97,0) + 1
)</f>
        <v>0</v>
      </c>
      <c r="BS97" s="182">
        <f ca="1">SUMIFS(rec.uni[2028-11-01],
INDIRECT("rec.uni[natureza]"),"pro.soluto",
INDIRECT("rec.uni[empresa]"),BS$6)</f>
        <v>0</v>
      </c>
      <c r="BT97" s="186">
        <f ca="1">SUMIFS(rec.uni[2028-11-01],
INDIRECT("rec.uni[natureza]"),"parcela.fin.total.ik",
INDIRECT("rec.uni[empresa]"),BT$6)</f>
        <v>0</v>
      </c>
      <c r="BU97" s="182">
        <f ca="1">SUMIFS(rec.uni[2028-11-01],
INDIRECT("rec.uni[natureza]"),"taxa.extra",
INDIRECT("rec.uni[empresa]"),BU$6)</f>
        <v>0</v>
      </c>
      <c r="BV97" s="170"/>
      <c r="BW97" s="170" cm="1">
        <f t="array" ref="BW9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BX97" s="170" cm="1">
        <f t="array" ref="BX9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BY97" s="170" cm="1">
        <f t="array" ref="BY9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BZ97" s="170" cm="1">
        <f t="array" ref="BZ9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CA97" s="170" cm="1">
        <f t="array" ref="CA9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(desp[data.pagamento]&gt;=$A97)*
    (desp[data.pagamento]&lt;EOMONTH($A97,0)+1)
  )
)</f>
        <v>0</v>
      </c>
      <c r="CB97" s="181">
        <f>COUNTIFS(
    estq[empresa], CB$6,
    estq[Data da venda / reserva], "&gt;=" &amp; $A97,
    estq[Data da venda / reserva], "&lt;"  &amp; EOMONTH($A97,0) + 1
)</f>
        <v>0</v>
      </c>
      <c r="CC97" s="182">
        <f ca="1">SUMIFS(rec.uni[2028-11-01],
INDIRECT("rec.uni[natureza]"),"pro.soluto",
INDIRECT("rec.uni[empresa]"),CC$6)</f>
        <v>0</v>
      </c>
      <c r="CD97" s="182">
        <f ca="1">SUMIFS(rec.uni[2028-11-01],
INDIRECT("rec.uni[natureza]"),"repasse.cef.obra",
INDIRECT("rec.uni[empresa]"),CD$6)</f>
        <v>0</v>
      </c>
      <c r="CE97" s="185">
        <f ca="1">SUMIFS(rec.uni[2028-11-01],
INDIRECT("rec.uni[natureza]"),"repasse.cef.terreno",
INDIRECT("rec.uni[empresa]"),CE$6)</f>
        <v>0</v>
      </c>
      <c r="CF97" s="186"/>
      <c r="CG97" s="182">
        <f ca="1">SUMIFS(rec.uni[2028-11-01],
INDIRECT("rec.uni[natureza]"),"taxa.extra",
INDIRECT("rec.uni[empresa]"),CG$6)</f>
        <v>0</v>
      </c>
      <c r="CH97" s="170"/>
      <c r="CI97" s="170" cm="1">
        <f t="array" ref="CI9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J97" s="170" cm="1">
        <f t="array" ref="CJ9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K97" s="170" cm="1">
        <f t="array" ref="CK9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L97" s="170" cm="1">
        <f t="array" ref="CL9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M97" s="170" cm="1">
        <f t="array" ref="CM9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(desp[data.pagamento]&gt;=$A97)*
    (desp[data.pagamento]&lt;EOMONTH($A97,0)+1)
  )
)</f>
        <v>0</v>
      </c>
      <c r="CN97" s="181">
        <f>COUNTIFS(
    estq[empresa], CN$6,
    estq[Data da venda / reserva], "&gt;=" &amp; $A97,
    estq[Data da venda / reserva], "&lt;"  &amp; EOMONTH($A97,0) + 1
)</f>
        <v>0</v>
      </c>
      <c r="CO97" s="182">
        <f ca="1">SUMIFS(rec.uni[2028-11-01],
INDIRECT("rec.uni[natureza]"),"pro.soluto",
INDIRECT("rec.uni[empresa]"),CO$6)</f>
        <v>0</v>
      </c>
      <c r="CP97" s="182">
        <f ca="1">SUMIFS(rec.uni[2028-11-01],
INDIRECT("rec.uni[natureza]"),"repasse.cef.obra",
INDIRECT("rec.uni[empresa]"),CP$6)</f>
        <v>0</v>
      </c>
      <c r="CQ97" s="185">
        <f ca="1">SUMIFS(rec.uni[2028-11-01],
INDIRECT("rec.uni[natureza]"),"repasse.cef.terreno",
INDIRECT("rec.uni[empresa]"),CQ$6)</f>
        <v>0</v>
      </c>
      <c r="CR97" s="186"/>
      <c r="CS97" s="182">
        <f ca="1">SUMIFS(rec.uni[2028-11-01],
INDIRECT("rec.uni[natureza]"),"taxa.extra",
INDIRECT("rec.uni[empresa]"),CS$6)</f>
        <v>0</v>
      </c>
      <c r="CT97" s="170"/>
      <c r="CU97" s="170" cm="1">
        <f t="array" ref="CU9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  <c r="CV97" s="170" cm="1">
        <f t="array" ref="CV9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  <c r="CW97" s="170" cm="1">
        <f t="array" ref="CW9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  <c r="CX97" s="170" cm="1">
        <f t="array" ref="CX9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  <c r="CY97" s="295" cm="1">
        <f t="array" ref="CY9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(desp[data.pagamento]&gt;=$A97)*
    (desp[data.pagamento]&lt;EOMONTH($A97,0)+1)
  )
)</f>
        <v>0</v>
      </c>
    </row>
    <row r="98" spans="1:103" x14ac:dyDescent="0.25">
      <c r="A98" s="180">
        <v>47088</v>
      </c>
      <c r="B98" s="181">
        <f>COUNTIFS(
    estq[empresa], B$6,
    estq[Data da venda / reserva], "&gt;=" &amp; $A98,
    estq[Data da venda / reserva], "&lt;"  &amp; EOMONTH($A98,0) + 1
)</f>
        <v>0</v>
      </c>
      <c r="C98" s="182">
        <f ca="1">SUMIFS(rec.uni[2028-12-01],
INDIRECT("rec.uni[natureza]"),"pro.soluto",
INDIRECT("rec.uni[empresa]"),C$6)</f>
        <v>0</v>
      </c>
      <c r="D98" s="182">
        <f ca="1">SUMIFS(rec.uni[2028-12-01],
INDIRECT("rec.uni[natureza]"),"repasse.cef.obra",
INDIRECT("rec.uni[empresa]"),D$6)</f>
        <v>0</v>
      </c>
      <c r="E98" s="182">
        <f ca="1">SUMIFS(rec.uni[2028-12-01],
INDIRECT("rec.uni[natureza]"),"repasse.cef.terreno",
INDIRECT("rec.uni[empresa]"),E$6)</f>
        <v>0</v>
      </c>
      <c r="F98" s="186"/>
      <c r="G98" s="182">
        <f ca="1">SUMIFS(rec.uni[2028-12-01],
INDIRECT("rec.uni[natureza]"),"taxa.extra",
INDIRECT("rec.uni[empresa]"),G$6)</f>
        <v>0</v>
      </c>
      <c r="H98" s="170"/>
      <c r="I98" s="170" cm="1">
        <f t="array" ref="I9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J98" s="170" cm="1">
        <f t="array" ref="J9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K98" s="170" cm="1">
        <f t="array" ref="K9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L98" s="170" cm="1">
        <f t="array" ref="L9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M98" s="170" cm="1">
        <f t="array" ref="M9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(desp[data.pagamento]&gt;=$A98)*
    (desp[data.pagamento]&lt;EOMONTH($A98,0)+1)
  )
)</f>
        <v>0</v>
      </c>
      <c r="N98" s="181">
        <f>COUNTIFS(
    estq[empresa], N$6,
    estq[Data da venda / reserva], "&gt;=" &amp; $A98,
    estq[Data da venda / reserva], "&lt;"  &amp; EOMONTH($A98,0) + 1
)</f>
        <v>0</v>
      </c>
      <c r="O98" s="182">
        <f ca="1">SUMIFS(rec.uni[2028-12-01],
INDIRECT("rec.uni[natureza]"),"pro.soluto",
INDIRECT("rec.uni[empresa]"),O$6)</f>
        <v>0</v>
      </c>
      <c r="P98" s="182">
        <f ca="1">SUMIFS(rec.uni[2028-12-01],
INDIRECT("rec.uni[natureza]"),"repasse.cef.obra",
INDIRECT("rec.uni[empresa]"),P$6)</f>
        <v>0</v>
      </c>
      <c r="Q98" s="182">
        <f ca="1">SUMIFS(rec.uni[2028-12-01],
INDIRECT("rec.uni[natureza]"),"repasse.cef.terreno",
INDIRECT("rec.uni[empresa]"),Q$6)</f>
        <v>0</v>
      </c>
      <c r="R98" s="186"/>
      <c r="S98" s="182">
        <f ca="1">SUMIFS(rec.uni[2028-12-01],
INDIRECT("rec.uni[natureza]"),"taxa.extra",
INDIRECT("rec.uni[empresa]"),S$6)</f>
        <v>0</v>
      </c>
      <c r="T98" s="170"/>
      <c r="U98" s="170" cm="1">
        <f t="array" ref="U9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V98" s="170" cm="1">
        <f t="array" ref="V9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W98" s="170" cm="1">
        <f t="array" ref="W9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X98" s="170" cm="1">
        <f t="array" ref="X9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Y98" s="170" cm="1">
        <f t="array" ref="Y9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(desp[data.pagamento]&gt;=$A98)*
    (desp[data.pagamento]&lt;EOMONTH($A98,0)+1)
  )
)</f>
        <v>0</v>
      </c>
      <c r="Z98" s="181">
        <f>COUNTIFS(
    estq[empresa], Z$6,
    estq[Data da venda / reserva], "&gt;=" &amp; $A98,
    estq[Data da venda / reserva], "&lt;"  &amp; EOMONTH($A98,0) + 1
)</f>
        <v>0</v>
      </c>
      <c r="AA98" s="182">
        <f ca="1">SUMIFS(rec.uni[2028-12-01],
INDIRECT("rec.uni[natureza]"),"pro.soluto",
INDIRECT("rec.uni[empresa]"),AA$6)</f>
        <v>0</v>
      </c>
      <c r="AB98" s="186">
        <f ca="1">SUMIFS(rec.uni[2028-12-01],
INDIRECT("rec.uni[natureza]"),"parcela.fin.total.ik",
INDIRECT("rec.uni[empresa]"),AB$6)</f>
        <v>0</v>
      </c>
      <c r="AC98" s="182">
        <f ca="1">SUMIFS(rec.uni[2028-12-01],
INDIRECT("rec.uni[natureza]"),"taxa.extra",
INDIRECT("rec.uni[empresa]"),AC$6)</f>
        <v>0</v>
      </c>
      <c r="AD98" s="170"/>
      <c r="AE98" s="170" cm="1">
        <f t="array" ref="AE9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F98" s="170" cm="1">
        <f t="array" ref="AF9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G98" s="170" cm="1">
        <f t="array" ref="AG9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H98" s="170" cm="1">
        <f t="array" ref="AH9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I98" s="170" cm="1">
        <f t="array" ref="AI9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(desp[data.pagamento]&gt;=$A98)*
    (desp[data.pagamento]&lt;EOMONTH($A98,0)+1)
  )
)</f>
        <v>0</v>
      </c>
      <c r="AJ98" s="181">
        <f>COUNTIFS(
    estq[empresa], AJ$6,
    estq[Data da venda / reserva], "&gt;=" &amp; $A98,
    estq[Data da venda / reserva], "&lt;"  &amp; EOMONTH($A98,0) + 1
)</f>
        <v>0</v>
      </c>
      <c r="AK98" s="182">
        <f ca="1">SUMIFS(rec.uni[2028-12-01],
INDIRECT("rec.uni[natureza]"),"pro.soluto",
INDIRECT("rec.uni[empresa]"),AK$6)</f>
        <v>0</v>
      </c>
      <c r="AL98" s="182">
        <f ca="1">SUMIFS(rec.uni[2028-12-01],
INDIRECT("rec.uni[natureza]"),"repasse.cef.obra",
INDIRECT("rec.uni[empresa]"),AL$6)</f>
        <v>0</v>
      </c>
      <c r="AM98" s="185">
        <f ca="1">SUMIFS(rec.uni[2028-12-01],
INDIRECT("rec.uni[natureza]"),"repasse.cef.terreno",
INDIRECT("rec.uni[empresa]"),AM$6)</f>
        <v>0</v>
      </c>
      <c r="AN98" s="186"/>
      <c r="AO98" s="182">
        <f ca="1">SUMIFS(rec.uni[2028-12-01],
INDIRECT("rec.uni[natureza]"),"taxa.extra",
INDIRECT("rec.uni[empresa]"),AO$6)</f>
        <v>0</v>
      </c>
      <c r="AP98" s="170"/>
      <c r="AQ98" s="170" cm="1">
        <f t="array" ref="AQ9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R98" s="170" cm="1">
        <f t="array" ref="AR9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S98" s="170" cm="1">
        <f t="array" ref="AS9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T98" s="170" cm="1">
        <f t="array" ref="AT9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U98" s="170" cm="1">
        <f t="array" ref="AU9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(desp[data.pagamento]&gt;=$A98)*
    (desp[data.pagamento]&lt;EOMONTH($A98,0)+1)
  )
)</f>
        <v>0</v>
      </c>
      <c r="AV98" s="181">
        <f>COUNTIFS(
    estq[empresa], AV$6,
    estq[Data da venda / reserva], "&gt;=" &amp; $A98,
    estq[Data da venda / reserva], "&lt;"  &amp; EOMONTH($A98,0) + 1
)</f>
        <v>0</v>
      </c>
      <c r="AW98" s="182">
        <f ca="1">SUMIFS(rec.uni[2028-12-01],
INDIRECT("rec.uni[natureza]"),"pro.soluto",
INDIRECT("rec.uni[empresa]"),AW$6)</f>
        <v>0</v>
      </c>
      <c r="AX98" s="182">
        <f ca="1">SUMIFS(rec.uni[2028-12-01],
INDIRECT("rec.uni[natureza]"),"repasse.cef.obra",
INDIRECT("rec.uni[empresa]"),AX$6)</f>
        <v>0</v>
      </c>
      <c r="AY98" s="185">
        <f ca="1">SUMIFS(rec.uni[2028-12-01],
INDIRECT("rec.uni[natureza]"),"repasse.cef.terreno",
INDIRECT("rec.uni[empresa]"),AY$6)</f>
        <v>0</v>
      </c>
      <c r="AZ98" s="186"/>
      <c r="BA98" s="182">
        <f ca="1">SUMIFS(rec.uni[2028-12-01],
INDIRECT("rec.uni[natureza]"),"taxa.extra",
INDIRECT("rec.uni[empresa]"),BA$6)</f>
        <v>0</v>
      </c>
      <c r="BB98" s="170"/>
      <c r="BC98" s="170" cm="1">
        <f t="array" ref="BC9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D98" s="170" cm="1">
        <f t="array" ref="BD9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E98" s="170" cm="1">
        <f t="array" ref="BE9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F98" s="170" cm="1">
        <f t="array" ref="BF9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G98" s="170" cm="1">
        <f t="array" ref="BG9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(desp[data.pagamento]&gt;=$A98)*
    (desp[data.pagamento]&lt;EOMONTH($A98,0)+1)
  )
)</f>
        <v>0</v>
      </c>
      <c r="BH98" s="181">
        <f>COUNTIFS(
    estq[empresa], BH$6,
    estq[Data da venda / reserva], "&gt;=" &amp; $A98,
    estq[Data da venda / reserva], "&lt;"  &amp; EOMONTH($A98,0) + 1
)</f>
        <v>0</v>
      </c>
      <c r="BI98" s="182">
        <f ca="1">SUMIFS(rec.uni[2028-12-01],
INDIRECT("rec.uni[natureza]"),"pro.soluto",
INDIRECT("rec.uni[empresa]"),BI$6)</f>
        <v>0</v>
      </c>
      <c r="BJ98" s="186">
        <f ca="1">SUMIFS(rec.uni[2028-12-01],
INDIRECT("rec.uni[natureza]"),"parcela.fin.total.ik",
INDIRECT("rec.uni[empresa]"),BJ$6)</f>
        <v>0</v>
      </c>
      <c r="BK98" s="182">
        <f ca="1">SUMIFS(rec.uni[2028-12-01],
INDIRECT("rec.uni[natureza]"),"taxa.extra",
INDIRECT("rec.uni[empresa]"),BK$6)</f>
        <v>0</v>
      </c>
      <c r="BL98" s="170"/>
      <c r="BM98" s="170" cm="1">
        <f t="array" ref="BM9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N98" s="170" cm="1">
        <f t="array" ref="BN9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O98" s="170" cm="1">
        <f t="array" ref="BO9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P98" s="170" cm="1">
        <f t="array" ref="BP9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Q98" s="170" cm="1">
        <f t="array" ref="BQ9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(desp[data.pagamento]&gt;=$A98)*
    (desp[data.pagamento]&lt;EOMONTH($A98,0)+1)
  )
)</f>
        <v>0</v>
      </c>
      <c r="BR98" s="181">
        <f>COUNTIFS(
    estq[empresa], BR$6,
    estq[Data da venda / reserva], "&gt;=" &amp; $A98,
    estq[Data da venda / reserva], "&lt;"  &amp; EOMONTH($A98,0) + 1
)</f>
        <v>0</v>
      </c>
      <c r="BS98" s="182">
        <f ca="1">SUMIFS(rec.uni[2028-12-01],
INDIRECT("rec.uni[natureza]"),"pro.soluto",
INDIRECT("rec.uni[empresa]"),BS$6)</f>
        <v>0</v>
      </c>
      <c r="BT98" s="186">
        <f ca="1">SUMIFS(rec.uni[2028-12-01],
INDIRECT("rec.uni[natureza]"),"parcela.fin.total.ik",
INDIRECT("rec.uni[empresa]"),BT$6)</f>
        <v>0</v>
      </c>
      <c r="BU98" s="182">
        <f ca="1">SUMIFS(rec.uni[2028-12-01],
INDIRECT("rec.uni[natureza]"),"taxa.extra",
INDIRECT("rec.uni[empresa]"),BU$6)</f>
        <v>0</v>
      </c>
      <c r="BV98" s="170"/>
      <c r="BW98" s="170" cm="1">
        <f t="array" ref="BW9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BX98" s="170" cm="1">
        <f t="array" ref="BX9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BY98" s="170" cm="1">
        <f t="array" ref="BY9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BZ98" s="170" cm="1">
        <f t="array" ref="BZ9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CA98" s="170" cm="1">
        <f t="array" ref="CA9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(desp[data.pagamento]&gt;=$A98)*
    (desp[data.pagamento]&lt;EOMONTH($A98,0)+1)
  )
)</f>
        <v>0</v>
      </c>
      <c r="CB98" s="181">
        <f>COUNTIFS(
    estq[empresa], CB$6,
    estq[Data da venda / reserva], "&gt;=" &amp; $A98,
    estq[Data da venda / reserva], "&lt;"  &amp; EOMONTH($A98,0) + 1
)</f>
        <v>0</v>
      </c>
      <c r="CC98" s="182">
        <f ca="1">SUMIFS(rec.uni[2028-12-01],
INDIRECT("rec.uni[natureza]"),"pro.soluto",
INDIRECT("rec.uni[empresa]"),CC$6)</f>
        <v>0</v>
      </c>
      <c r="CD98" s="182">
        <f ca="1">SUMIFS(rec.uni[2028-12-01],
INDIRECT("rec.uni[natureza]"),"repasse.cef.obra",
INDIRECT("rec.uni[empresa]"),CD$6)</f>
        <v>0</v>
      </c>
      <c r="CE98" s="185">
        <f ca="1">SUMIFS(rec.uni[2028-12-01],
INDIRECT("rec.uni[natureza]"),"repasse.cef.terreno",
INDIRECT("rec.uni[empresa]"),CE$6)</f>
        <v>0</v>
      </c>
      <c r="CF98" s="186"/>
      <c r="CG98" s="182">
        <f ca="1">SUMIFS(rec.uni[2028-12-01],
INDIRECT("rec.uni[natureza]"),"taxa.extra",
INDIRECT("rec.uni[empresa]"),CG$6)</f>
        <v>0</v>
      </c>
      <c r="CH98" s="170"/>
      <c r="CI98" s="170" cm="1">
        <f t="array" ref="CI9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J98" s="170" cm="1">
        <f t="array" ref="CJ9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K98" s="170" cm="1">
        <f t="array" ref="CK9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L98" s="170" cm="1">
        <f t="array" ref="CL9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M98" s="170" cm="1">
        <f t="array" ref="CM9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(desp[data.pagamento]&gt;=$A98)*
    (desp[data.pagamento]&lt;EOMONTH($A98,0)+1)
  )
)</f>
        <v>0</v>
      </c>
      <c r="CN98" s="181">
        <f>COUNTIFS(
    estq[empresa], CN$6,
    estq[Data da venda / reserva], "&gt;=" &amp; $A98,
    estq[Data da venda / reserva], "&lt;"  &amp; EOMONTH($A98,0) + 1
)</f>
        <v>0</v>
      </c>
      <c r="CO98" s="182">
        <f ca="1">SUMIFS(rec.uni[2028-12-01],
INDIRECT("rec.uni[natureza]"),"pro.soluto",
INDIRECT("rec.uni[empresa]"),CO$6)</f>
        <v>0</v>
      </c>
      <c r="CP98" s="182">
        <f ca="1">SUMIFS(rec.uni[2028-12-01],
INDIRECT("rec.uni[natureza]"),"repasse.cef.obra",
INDIRECT("rec.uni[empresa]"),CP$6)</f>
        <v>0</v>
      </c>
      <c r="CQ98" s="185">
        <f ca="1">SUMIFS(rec.uni[2028-12-01],
INDIRECT("rec.uni[natureza]"),"repasse.cef.terreno",
INDIRECT("rec.uni[empresa]"),CQ$6)</f>
        <v>0</v>
      </c>
      <c r="CR98" s="186"/>
      <c r="CS98" s="182">
        <f ca="1">SUMIFS(rec.uni[2028-12-01],
INDIRECT("rec.uni[natureza]"),"taxa.extra",
INDIRECT("rec.uni[empresa]"),CS$6)</f>
        <v>0</v>
      </c>
      <c r="CT98" s="170"/>
      <c r="CU98" s="170" cm="1">
        <f t="array" ref="CU9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  <c r="CV98" s="170" cm="1">
        <f t="array" ref="CV9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  <c r="CW98" s="170" cm="1">
        <f t="array" ref="CW9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  <c r="CX98" s="170" cm="1">
        <f t="array" ref="CX9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  <c r="CY98" s="295" cm="1">
        <f t="array" ref="CY9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(desp[data.pagamento]&gt;=$A98)*
    (desp[data.pagamento]&lt;EOMONTH($A98,0)+1)
  )
)</f>
        <v>0</v>
      </c>
    </row>
    <row r="99" spans="1:103" x14ac:dyDescent="0.25">
      <c r="A99" s="180">
        <v>47119</v>
      </c>
      <c r="B99" s="181">
        <f>COUNTIFS(
    estq[empresa], B$6,
    estq[Data da venda / reserva], "&gt;=" &amp; $A99,
    estq[Data da venda / reserva], "&lt;"  &amp; EOMONTH($A99,0) + 1
)</f>
        <v>0</v>
      </c>
      <c r="C99" s="182">
        <f ca="1">SUMIFS(rec.uni[2029-01-01],
INDIRECT("rec.uni[natureza]"),"pro.soluto",
INDIRECT("rec.uni[empresa]"),C$6)</f>
        <v>0</v>
      </c>
      <c r="D99" s="182">
        <f ca="1">SUMIFS(rec.uni[2029-01-01],
INDIRECT("rec.uni[natureza]"),"repasse.cef.obra",
INDIRECT("rec.uni[empresa]"),D$6)</f>
        <v>0</v>
      </c>
      <c r="E99" s="182">
        <f ca="1">SUMIFS(rec.uni[2029-01-01],
INDIRECT("rec.uni[natureza]"),"repasse.cef.terreno",
INDIRECT("rec.uni[empresa]"),E$6)</f>
        <v>0</v>
      </c>
      <c r="F99" s="186"/>
      <c r="G99" s="182">
        <f ca="1">SUMIFS(rec.uni[2029-01-01],
INDIRECT("rec.uni[natureza]"),"taxa.extra",
INDIRECT("rec.uni[empresa]"),G$6)</f>
        <v>0</v>
      </c>
      <c r="H99" s="170"/>
      <c r="I99" s="170" cm="1">
        <f t="array" ref="I9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J99" s="170" cm="1">
        <f t="array" ref="J9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K99" s="170" cm="1">
        <f t="array" ref="K9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L99" s="170" cm="1">
        <f t="array" ref="L9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M99" s="170" cm="1">
        <f t="array" ref="M9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(desp[data.pagamento]&gt;=$A99)*
    (desp[data.pagamento]&lt;EOMONTH($A99,0)+1)
  )
)</f>
        <v>0</v>
      </c>
      <c r="N99" s="181">
        <f>COUNTIFS(
    estq[empresa], N$6,
    estq[Data da venda / reserva], "&gt;=" &amp; $A99,
    estq[Data da venda / reserva], "&lt;"  &amp; EOMONTH($A99,0) + 1
)</f>
        <v>0</v>
      </c>
      <c r="O99" s="182">
        <f ca="1">SUMIFS(rec.uni[2029-01-01],
INDIRECT("rec.uni[natureza]"),"pro.soluto",
INDIRECT("rec.uni[empresa]"),O$6)</f>
        <v>0</v>
      </c>
      <c r="P99" s="182">
        <f ca="1">SUMIFS(rec.uni[2029-01-01],
INDIRECT("rec.uni[natureza]"),"repasse.cef.obra",
INDIRECT("rec.uni[empresa]"),P$6)</f>
        <v>0</v>
      </c>
      <c r="Q99" s="182">
        <f ca="1">SUMIFS(rec.uni[2029-01-01],
INDIRECT("rec.uni[natureza]"),"repasse.cef.terreno",
INDIRECT("rec.uni[empresa]"),Q$6)</f>
        <v>0</v>
      </c>
      <c r="R99" s="186"/>
      <c r="S99" s="182">
        <f ca="1">SUMIFS(rec.uni[2029-01-01],
INDIRECT("rec.uni[natureza]"),"taxa.extra",
INDIRECT("rec.uni[empresa]"),S$6)</f>
        <v>0</v>
      </c>
      <c r="T99" s="170"/>
      <c r="U99" s="170" cm="1">
        <f t="array" ref="U9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V99" s="170" cm="1">
        <f t="array" ref="V9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W99" s="170" cm="1">
        <f t="array" ref="W9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X99" s="170" cm="1">
        <f t="array" ref="X9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Y99" s="170" cm="1">
        <f t="array" ref="Y9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(desp[data.pagamento]&gt;=$A99)*
    (desp[data.pagamento]&lt;EOMONTH($A99,0)+1)
  )
)</f>
        <v>0</v>
      </c>
      <c r="Z99" s="181">
        <f>COUNTIFS(
    estq[empresa], Z$6,
    estq[Data da venda / reserva], "&gt;=" &amp; $A99,
    estq[Data da venda / reserva], "&lt;"  &amp; EOMONTH($A99,0) + 1
)</f>
        <v>0</v>
      </c>
      <c r="AA99" s="182">
        <f ca="1">SUMIFS(rec.uni[2029-01-01],
INDIRECT("rec.uni[natureza]"),"pro.soluto",
INDIRECT("rec.uni[empresa]"),AA$6)</f>
        <v>0</v>
      </c>
      <c r="AB99" s="186">
        <f ca="1">SUMIFS(rec.uni[2029-01-01],
INDIRECT("rec.uni[natureza]"),"parcela.fin.total.ik",
INDIRECT("rec.uni[empresa]"),AB$6)</f>
        <v>0</v>
      </c>
      <c r="AC99" s="182">
        <f ca="1">SUMIFS(rec.uni[2029-01-01],
INDIRECT("rec.uni[natureza]"),"taxa.extra",
INDIRECT("rec.uni[empresa]"),AC$6)</f>
        <v>0</v>
      </c>
      <c r="AD99" s="170"/>
      <c r="AE99" s="170" cm="1">
        <f t="array" ref="AE9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F99" s="170" cm="1">
        <f t="array" ref="AF9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G99" s="170" cm="1">
        <f t="array" ref="AG9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H99" s="170" cm="1">
        <f t="array" ref="AH9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I99" s="170" cm="1">
        <f t="array" ref="AI9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(desp[data.pagamento]&gt;=$A99)*
    (desp[data.pagamento]&lt;EOMONTH($A99,0)+1)
  )
)</f>
        <v>0</v>
      </c>
      <c r="AJ99" s="181">
        <f>COUNTIFS(
    estq[empresa], AJ$6,
    estq[Data da venda / reserva], "&gt;=" &amp; $A99,
    estq[Data da venda / reserva], "&lt;"  &amp; EOMONTH($A99,0) + 1
)</f>
        <v>0</v>
      </c>
      <c r="AK99" s="182">
        <f ca="1">SUMIFS(rec.uni[2029-01-01],
INDIRECT("rec.uni[natureza]"),"pro.soluto",
INDIRECT("rec.uni[empresa]"),AK$6)</f>
        <v>0</v>
      </c>
      <c r="AL99" s="182">
        <f ca="1">SUMIFS(rec.uni[2029-01-01],
INDIRECT("rec.uni[natureza]"),"repasse.cef.obra",
INDIRECT("rec.uni[empresa]"),AL$6)</f>
        <v>0</v>
      </c>
      <c r="AM99" s="185">
        <f ca="1">SUMIFS(rec.uni[2029-01-01],
INDIRECT("rec.uni[natureza]"),"repasse.cef.terreno",
INDIRECT("rec.uni[empresa]"),AM$6)</f>
        <v>0</v>
      </c>
      <c r="AN99" s="186"/>
      <c r="AO99" s="182">
        <f ca="1">SUMIFS(rec.uni[2029-01-01],
INDIRECT("rec.uni[natureza]"),"taxa.extra",
INDIRECT("rec.uni[empresa]"),AO$6)</f>
        <v>0</v>
      </c>
      <c r="AP99" s="170"/>
      <c r="AQ99" s="170" cm="1">
        <f t="array" ref="AQ9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R99" s="170" cm="1">
        <f t="array" ref="AR9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S99" s="170" cm="1">
        <f t="array" ref="AS9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T99" s="170" cm="1">
        <f t="array" ref="AT9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U99" s="170" cm="1">
        <f t="array" ref="AU9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(desp[data.pagamento]&gt;=$A99)*
    (desp[data.pagamento]&lt;EOMONTH($A99,0)+1)
  )
)</f>
        <v>0</v>
      </c>
      <c r="AV99" s="181">
        <f>COUNTIFS(
    estq[empresa], AV$6,
    estq[Data da venda / reserva], "&gt;=" &amp; $A99,
    estq[Data da venda / reserva], "&lt;"  &amp; EOMONTH($A99,0) + 1
)</f>
        <v>0</v>
      </c>
      <c r="AW99" s="182">
        <f ca="1">SUMIFS(rec.uni[2029-01-01],
INDIRECT("rec.uni[natureza]"),"pro.soluto",
INDIRECT("rec.uni[empresa]"),AW$6)</f>
        <v>0</v>
      </c>
      <c r="AX99" s="182">
        <f ca="1">SUMIFS(rec.uni[2029-01-01],
INDIRECT("rec.uni[natureza]"),"repasse.cef.obra",
INDIRECT("rec.uni[empresa]"),AX$6)</f>
        <v>0</v>
      </c>
      <c r="AY99" s="185">
        <f ca="1">SUMIFS(rec.uni[2029-01-01],
INDIRECT("rec.uni[natureza]"),"repasse.cef.terreno",
INDIRECT("rec.uni[empresa]"),AY$6)</f>
        <v>0</v>
      </c>
      <c r="AZ99" s="186"/>
      <c r="BA99" s="182">
        <f ca="1">SUMIFS(rec.uni[2029-01-01],
INDIRECT("rec.uni[natureza]"),"taxa.extra",
INDIRECT("rec.uni[empresa]"),BA$6)</f>
        <v>0</v>
      </c>
      <c r="BB99" s="170"/>
      <c r="BC99" s="170" cm="1">
        <f t="array" ref="BC9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D99" s="170" cm="1">
        <f t="array" ref="BD9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E99" s="170" cm="1">
        <f t="array" ref="BE9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F99" s="170" cm="1">
        <f t="array" ref="BF9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G99" s="170" cm="1">
        <f t="array" ref="BG9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(desp[data.pagamento]&gt;=$A99)*
    (desp[data.pagamento]&lt;EOMONTH($A99,0)+1)
  )
)</f>
        <v>0</v>
      </c>
      <c r="BH99" s="181">
        <f>COUNTIFS(
    estq[empresa], BH$6,
    estq[Data da venda / reserva], "&gt;=" &amp; $A99,
    estq[Data da venda / reserva], "&lt;"  &amp; EOMONTH($A99,0) + 1
)</f>
        <v>0</v>
      </c>
      <c r="BI99" s="182">
        <f ca="1">SUMIFS(rec.uni[2029-01-01],
INDIRECT("rec.uni[natureza]"),"pro.soluto",
INDIRECT("rec.uni[empresa]"),BI$6)</f>
        <v>0</v>
      </c>
      <c r="BJ99" s="186">
        <f ca="1">SUMIFS(rec.uni[2029-01-01],
INDIRECT("rec.uni[natureza]"),"parcela.fin.total.ik",
INDIRECT("rec.uni[empresa]"),BJ$6)</f>
        <v>0</v>
      </c>
      <c r="BK99" s="182">
        <f ca="1">SUMIFS(rec.uni[2029-01-01],
INDIRECT("rec.uni[natureza]"),"taxa.extra",
INDIRECT("rec.uni[empresa]"),BK$6)</f>
        <v>0</v>
      </c>
      <c r="BL99" s="170"/>
      <c r="BM99" s="170" cm="1">
        <f t="array" ref="BM9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N99" s="170" cm="1">
        <f t="array" ref="BN9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O99" s="170" cm="1">
        <f t="array" ref="BO9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P99" s="170" cm="1">
        <f t="array" ref="BP9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Q99" s="170" cm="1">
        <f t="array" ref="BQ9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(desp[data.pagamento]&gt;=$A99)*
    (desp[data.pagamento]&lt;EOMONTH($A99,0)+1)
  )
)</f>
        <v>0</v>
      </c>
      <c r="BR99" s="181">
        <f>COUNTIFS(
    estq[empresa], BR$6,
    estq[Data da venda / reserva], "&gt;=" &amp; $A99,
    estq[Data da venda / reserva], "&lt;"  &amp; EOMONTH($A99,0) + 1
)</f>
        <v>0</v>
      </c>
      <c r="BS99" s="182">
        <f ca="1">SUMIFS(rec.uni[2029-01-01],
INDIRECT("rec.uni[natureza]"),"pro.soluto",
INDIRECT("rec.uni[empresa]"),BS$6)</f>
        <v>0</v>
      </c>
      <c r="BT99" s="186">
        <f ca="1">SUMIFS(rec.uni[2029-01-01],
INDIRECT("rec.uni[natureza]"),"parcela.fin.total.ik",
INDIRECT("rec.uni[empresa]"),BT$6)</f>
        <v>0</v>
      </c>
      <c r="BU99" s="182">
        <f ca="1">SUMIFS(rec.uni[2029-01-01],
INDIRECT("rec.uni[natureza]"),"taxa.extra",
INDIRECT("rec.uni[empresa]"),BU$6)</f>
        <v>0</v>
      </c>
      <c r="BV99" s="170"/>
      <c r="BW99" s="170" cm="1">
        <f t="array" ref="BW9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BX99" s="170" cm="1">
        <f t="array" ref="BX9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BY99" s="170" cm="1">
        <f t="array" ref="BY9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BZ99" s="170" cm="1">
        <f t="array" ref="BZ9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CA99" s="170" cm="1">
        <f t="array" ref="CA9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(desp[data.pagamento]&gt;=$A99)*
    (desp[data.pagamento]&lt;EOMONTH($A99,0)+1)
  )
)</f>
        <v>0</v>
      </c>
      <c r="CB99" s="181">
        <f>COUNTIFS(
    estq[empresa], CB$6,
    estq[Data da venda / reserva], "&gt;=" &amp; $A99,
    estq[Data da venda / reserva], "&lt;"  &amp; EOMONTH($A99,0) + 1
)</f>
        <v>0</v>
      </c>
      <c r="CC99" s="182">
        <f ca="1">SUMIFS(rec.uni[2029-01-01],
INDIRECT("rec.uni[natureza]"),"pro.soluto",
INDIRECT("rec.uni[empresa]"),CC$6)</f>
        <v>0</v>
      </c>
      <c r="CD99" s="182">
        <f ca="1">SUMIFS(rec.uni[2029-01-01],
INDIRECT("rec.uni[natureza]"),"repasse.cef.obra",
INDIRECT("rec.uni[empresa]"),CD$6)</f>
        <v>0</v>
      </c>
      <c r="CE99" s="185">
        <f ca="1">SUMIFS(rec.uni[2029-01-01],
INDIRECT("rec.uni[natureza]"),"repasse.cef.terreno",
INDIRECT("rec.uni[empresa]"),CE$6)</f>
        <v>0</v>
      </c>
      <c r="CF99" s="186"/>
      <c r="CG99" s="182">
        <f ca="1">SUMIFS(rec.uni[2029-01-01],
INDIRECT("rec.uni[natureza]"),"taxa.extra",
INDIRECT("rec.uni[empresa]"),CG$6)</f>
        <v>0</v>
      </c>
      <c r="CH99" s="170"/>
      <c r="CI99" s="170" cm="1">
        <f t="array" ref="CI9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J99" s="170" cm="1">
        <f t="array" ref="CJ9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K99" s="170" cm="1">
        <f t="array" ref="CK9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L99" s="170" cm="1">
        <f t="array" ref="CL9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M99" s="170" cm="1">
        <f t="array" ref="CM9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(desp[data.pagamento]&gt;=$A99)*
    (desp[data.pagamento]&lt;EOMONTH($A99,0)+1)
  )
)</f>
        <v>0</v>
      </c>
      <c r="CN99" s="181">
        <f>COUNTIFS(
    estq[empresa], CN$6,
    estq[Data da venda / reserva], "&gt;=" &amp; $A99,
    estq[Data da venda / reserva], "&lt;"  &amp; EOMONTH($A99,0) + 1
)</f>
        <v>0</v>
      </c>
      <c r="CO99" s="182">
        <f ca="1">SUMIFS(rec.uni[2029-01-01],
INDIRECT("rec.uni[natureza]"),"pro.soluto",
INDIRECT("rec.uni[empresa]"),CO$6)</f>
        <v>0</v>
      </c>
      <c r="CP99" s="182">
        <f ca="1">SUMIFS(rec.uni[2029-01-01],
INDIRECT("rec.uni[natureza]"),"repasse.cef.obra",
INDIRECT("rec.uni[empresa]"),CP$6)</f>
        <v>0</v>
      </c>
      <c r="CQ99" s="185">
        <f ca="1">SUMIFS(rec.uni[2029-01-01],
INDIRECT("rec.uni[natureza]"),"repasse.cef.terreno",
INDIRECT("rec.uni[empresa]"),CQ$6)</f>
        <v>0</v>
      </c>
      <c r="CR99" s="186"/>
      <c r="CS99" s="182">
        <f ca="1">SUMIFS(rec.uni[2029-01-01],
INDIRECT("rec.uni[natureza]"),"taxa.extra",
INDIRECT("rec.uni[empresa]"),CS$6)</f>
        <v>0</v>
      </c>
      <c r="CT99" s="170"/>
      <c r="CU99" s="170" cm="1">
        <f t="array" ref="CU9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  <c r="CV99" s="170" cm="1">
        <f t="array" ref="CV9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  <c r="CW99" s="170" cm="1">
        <f t="array" ref="CW9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  <c r="CX99" s="170" cm="1">
        <f t="array" ref="CX9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  <c r="CY99" s="295" cm="1">
        <f t="array" ref="CY9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(desp[data.pagamento]&gt;=$A99)*
    (desp[data.pagamento]&lt;EOMONTH($A99,0)+1)
  )
)</f>
        <v>0</v>
      </c>
    </row>
    <row r="100" spans="1:103" x14ac:dyDescent="0.25">
      <c r="A100" s="180">
        <v>47150</v>
      </c>
      <c r="B100" s="181">
        <f>COUNTIFS(
    estq[empresa], B$6,
    estq[Data da venda / reserva], "&gt;=" &amp; $A100,
    estq[Data da venda / reserva], "&lt;"  &amp; EOMONTH($A100,0) + 1
)</f>
        <v>0</v>
      </c>
      <c r="C100" s="182">
        <f ca="1">SUMIFS(rec.uni[2029-02-01],
INDIRECT("rec.uni[natureza]"),"pro.soluto",
INDIRECT("rec.uni[empresa]"),C$6)</f>
        <v>0</v>
      </c>
      <c r="D100" s="182">
        <f ca="1">SUMIFS(rec.uni[2029-02-01],
INDIRECT("rec.uni[natureza]"),"repasse.cef.obra",
INDIRECT("rec.uni[empresa]"),D$6)</f>
        <v>0</v>
      </c>
      <c r="E100" s="182">
        <f ca="1">SUMIFS(rec.uni[2029-02-01],
INDIRECT("rec.uni[natureza]"),"repasse.cef.terreno",
INDIRECT("rec.uni[empresa]"),E$6)</f>
        <v>0</v>
      </c>
      <c r="F100" s="186"/>
      <c r="G100" s="182">
        <f ca="1">SUMIFS(rec.uni[2029-02-01],
INDIRECT("rec.uni[natureza]"),"taxa.extra",
INDIRECT("rec.uni[empresa]"),G$6)</f>
        <v>0</v>
      </c>
      <c r="H100" s="170"/>
      <c r="I100" s="170" cm="1">
        <f t="array" ref="I10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J100" s="170" cm="1">
        <f t="array" ref="J10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K100" s="170" cm="1">
        <f t="array" ref="K10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L100" s="170" cm="1">
        <f t="array" ref="L10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M100" s="170" cm="1">
        <f t="array" ref="M10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(desp[data.pagamento]&gt;=$A100)*
    (desp[data.pagamento]&lt;EOMONTH($A100,0)+1)
  )
)</f>
        <v>0</v>
      </c>
      <c r="N100" s="181">
        <f>COUNTIFS(
    estq[empresa], N$6,
    estq[Data da venda / reserva], "&gt;=" &amp; $A100,
    estq[Data da venda / reserva], "&lt;"  &amp; EOMONTH($A100,0) + 1
)</f>
        <v>0</v>
      </c>
      <c r="O100" s="182">
        <f ca="1">SUMIFS(rec.uni[2029-02-01],
INDIRECT("rec.uni[natureza]"),"pro.soluto",
INDIRECT("rec.uni[empresa]"),O$6)</f>
        <v>0</v>
      </c>
      <c r="P100" s="182">
        <f ca="1">SUMIFS(rec.uni[2029-02-01],
INDIRECT("rec.uni[natureza]"),"repasse.cef.obra",
INDIRECT("rec.uni[empresa]"),P$6)</f>
        <v>0</v>
      </c>
      <c r="Q100" s="182">
        <f ca="1">SUMIFS(rec.uni[2029-02-01],
INDIRECT("rec.uni[natureza]"),"repasse.cef.terreno",
INDIRECT("rec.uni[empresa]"),Q$6)</f>
        <v>0</v>
      </c>
      <c r="R100" s="186"/>
      <c r="S100" s="182">
        <f ca="1">SUMIFS(rec.uni[2029-02-01],
INDIRECT("rec.uni[natureza]"),"taxa.extra",
INDIRECT("rec.uni[empresa]"),S$6)</f>
        <v>0</v>
      </c>
      <c r="T100" s="170"/>
      <c r="U100" s="170" cm="1">
        <f t="array" ref="U10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V100" s="170" cm="1">
        <f t="array" ref="V10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W100" s="170" cm="1">
        <f t="array" ref="W10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X100" s="170" cm="1">
        <f t="array" ref="X10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Y100" s="170" cm="1">
        <f t="array" ref="Y10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(desp[data.pagamento]&gt;=$A100)*
    (desp[data.pagamento]&lt;EOMONTH($A100,0)+1)
  )
)</f>
        <v>0</v>
      </c>
      <c r="Z100" s="181">
        <f>COUNTIFS(
    estq[empresa], Z$6,
    estq[Data da venda / reserva], "&gt;=" &amp; $A100,
    estq[Data da venda / reserva], "&lt;"  &amp; EOMONTH($A100,0) + 1
)</f>
        <v>0</v>
      </c>
      <c r="AA100" s="182">
        <f ca="1">SUMIFS(rec.uni[2029-02-01],
INDIRECT("rec.uni[natureza]"),"pro.soluto",
INDIRECT("rec.uni[empresa]"),AA$6)</f>
        <v>0</v>
      </c>
      <c r="AB100" s="186">
        <f ca="1">SUMIFS(rec.uni[2029-02-01],
INDIRECT("rec.uni[natureza]"),"parcela.fin.total.ik",
INDIRECT("rec.uni[empresa]"),AB$6)</f>
        <v>0</v>
      </c>
      <c r="AC100" s="182">
        <f ca="1">SUMIFS(rec.uni[2029-02-01],
INDIRECT("rec.uni[natureza]"),"taxa.extra",
INDIRECT("rec.uni[empresa]"),AC$6)</f>
        <v>0</v>
      </c>
      <c r="AD100" s="170"/>
      <c r="AE100" s="170" cm="1">
        <f t="array" ref="AE10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F100" s="170" cm="1">
        <f t="array" ref="AF10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G100" s="170" cm="1">
        <f t="array" ref="AG10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H100" s="170" cm="1">
        <f t="array" ref="AH10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I100" s="170" cm="1">
        <f t="array" ref="AI10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(desp[data.pagamento]&gt;=$A100)*
    (desp[data.pagamento]&lt;EOMONTH($A100,0)+1)
  )
)</f>
        <v>0</v>
      </c>
      <c r="AJ100" s="181">
        <f>COUNTIFS(
    estq[empresa], AJ$6,
    estq[Data da venda / reserva], "&gt;=" &amp; $A100,
    estq[Data da venda / reserva], "&lt;"  &amp; EOMONTH($A100,0) + 1
)</f>
        <v>0</v>
      </c>
      <c r="AK100" s="182">
        <f ca="1">SUMIFS(rec.uni[2029-02-01],
INDIRECT("rec.uni[natureza]"),"pro.soluto",
INDIRECT("rec.uni[empresa]"),AK$6)</f>
        <v>0</v>
      </c>
      <c r="AL100" s="182">
        <f ca="1">SUMIFS(rec.uni[2029-02-01],
INDIRECT("rec.uni[natureza]"),"repasse.cef.obra",
INDIRECT("rec.uni[empresa]"),AL$6)</f>
        <v>0</v>
      </c>
      <c r="AM100" s="185">
        <f ca="1">SUMIFS(rec.uni[2029-02-01],
INDIRECT("rec.uni[natureza]"),"repasse.cef.terreno",
INDIRECT("rec.uni[empresa]"),AM$6)</f>
        <v>0</v>
      </c>
      <c r="AN100" s="186"/>
      <c r="AO100" s="182">
        <f ca="1">SUMIFS(rec.uni[2029-02-01],
INDIRECT("rec.uni[natureza]"),"taxa.extra",
INDIRECT("rec.uni[empresa]"),AO$6)</f>
        <v>0</v>
      </c>
      <c r="AP100" s="170"/>
      <c r="AQ100" s="170" cm="1">
        <f t="array" ref="AQ10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R100" s="170" cm="1">
        <f t="array" ref="AR10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S100" s="170" cm="1">
        <f t="array" ref="AS10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T100" s="170" cm="1">
        <f t="array" ref="AT10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U100" s="170" cm="1">
        <f t="array" ref="AU10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(desp[data.pagamento]&gt;=$A100)*
    (desp[data.pagamento]&lt;EOMONTH($A100,0)+1)
  )
)</f>
        <v>0</v>
      </c>
      <c r="AV100" s="181">
        <f>COUNTIFS(
    estq[empresa], AV$6,
    estq[Data da venda / reserva], "&gt;=" &amp; $A100,
    estq[Data da venda / reserva], "&lt;"  &amp; EOMONTH($A100,0) + 1
)</f>
        <v>0</v>
      </c>
      <c r="AW100" s="182">
        <f ca="1">SUMIFS(rec.uni[2029-02-01],
INDIRECT("rec.uni[natureza]"),"pro.soluto",
INDIRECT("rec.uni[empresa]"),AW$6)</f>
        <v>0</v>
      </c>
      <c r="AX100" s="182">
        <f ca="1">SUMIFS(rec.uni[2029-02-01],
INDIRECT("rec.uni[natureza]"),"repasse.cef.obra",
INDIRECT("rec.uni[empresa]"),AX$6)</f>
        <v>0</v>
      </c>
      <c r="AY100" s="185">
        <f ca="1">SUMIFS(rec.uni[2029-02-01],
INDIRECT("rec.uni[natureza]"),"repasse.cef.terreno",
INDIRECT("rec.uni[empresa]"),AY$6)</f>
        <v>0</v>
      </c>
      <c r="AZ100" s="186"/>
      <c r="BA100" s="182">
        <f ca="1">SUMIFS(rec.uni[2029-02-01],
INDIRECT("rec.uni[natureza]"),"taxa.extra",
INDIRECT("rec.uni[empresa]"),BA$6)</f>
        <v>0</v>
      </c>
      <c r="BB100" s="170"/>
      <c r="BC100" s="170" cm="1">
        <f t="array" ref="BC10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D100" s="170" cm="1">
        <f t="array" ref="BD10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E100" s="170" cm="1">
        <f t="array" ref="BE10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F100" s="170" cm="1">
        <f t="array" ref="BF10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G100" s="170" cm="1">
        <f t="array" ref="BG10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(desp[data.pagamento]&gt;=$A100)*
    (desp[data.pagamento]&lt;EOMONTH($A100,0)+1)
  )
)</f>
        <v>0</v>
      </c>
      <c r="BH100" s="181">
        <f>COUNTIFS(
    estq[empresa], BH$6,
    estq[Data da venda / reserva], "&gt;=" &amp; $A100,
    estq[Data da venda / reserva], "&lt;"  &amp; EOMONTH($A100,0) + 1
)</f>
        <v>0</v>
      </c>
      <c r="BI100" s="182">
        <f ca="1">SUMIFS(rec.uni[2029-02-01],
INDIRECT("rec.uni[natureza]"),"pro.soluto",
INDIRECT("rec.uni[empresa]"),BI$6)</f>
        <v>0</v>
      </c>
      <c r="BJ100" s="186">
        <f ca="1">SUMIFS(rec.uni[2029-02-01],
INDIRECT("rec.uni[natureza]"),"parcela.fin.total.ik",
INDIRECT("rec.uni[empresa]"),BJ$6)</f>
        <v>0</v>
      </c>
      <c r="BK100" s="182">
        <f ca="1">SUMIFS(rec.uni[2029-02-01],
INDIRECT("rec.uni[natureza]"),"taxa.extra",
INDIRECT("rec.uni[empresa]"),BK$6)</f>
        <v>0</v>
      </c>
      <c r="BL100" s="170"/>
      <c r="BM100" s="170" cm="1">
        <f t="array" ref="BM10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N100" s="170" cm="1">
        <f t="array" ref="BN10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O100" s="170" cm="1">
        <f t="array" ref="BO10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P100" s="170" cm="1">
        <f t="array" ref="BP10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Q100" s="170" cm="1">
        <f t="array" ref="BQ10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(desp[data.pagamento]&gt;=$A100)*
    (desp[data.pagamento]&lt;EOMONTH($A100,0)+1)
  )
)</f>
        <v>0</v>
      </c>
      <c r="BR100" s="181">
        <f>COUNTIFS(
    estq[empresa], BR$6,
    estq[Data da venda / reserva], "&gt;=" &amp; $A100,
    estq[Data da venda / reserva], "&lt;"  &amp; EOMONTH($A100,0) + 1
)</f>
        <v>0</v>
      </c>
      <c r="BS100" s="182">
        <f ca="1">SUMIFS(rec.uni[2029-02-01],
INDIRECT("rec.uni[natureza]"),"pro.soluto",
INDIRECT("rec.uni[empresa]"),BS$6)</f>
        <v>0</v>
      </c>
      <c r="BT100" s="186">
        <f ca="1">SUMIFS(rec.uni[2029-02-01],
INDIRECT("rec.uni[natureza]"),"parcela.fin.total.ik",
INDIRECT("rec.uni[empresa]"),BT$6)</f>
        <v>0</v>
      </c>
      <c r="BU100" s="182">
        <f ca="1">SUMIFS(rec.uni[2029-02-01],
INDIRECT("rec.uni[natureza]"),"taxa.extra",
INDIRECT("rec.uni[empresa]"),BU$6)</f>
        <v>0</v>
      </c>
      <c r="BV100" s="170"/>
      <c r="BW100" s="170" cm="1">
        <f t="array" ref="BW10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BX100" s="170" cm="1">
        <f t="array" ref="BX10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BY100" s="170" cm="1">
        <f t="array" ref="BY10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BZ100" s="170" cm="1">
        <f t="array" ref="BZ10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CA100" s="170" cm="1">
        <f t="array" ref="CA10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(desp[data.pagamento]&gt;=$A100)*
    (desp[data.pagamento]&lt;EOMONTH($A100,0)+1)
  )
)</f>
        <v>0</v>
      </c>
      <c r="CB100" s="181">
        <f>COUNTIFS(
    estq[empresa], CB$6,
    estq[Data da venda / reserva], "&gt;=" &amp; $A100,
    estq[Data da venda / reserva], "&lt;"  &amp; EOMONTH($A100,0) + 1
)</f>
        <v>0</v>
      </c>
      <c r="CC100" s="182">
        <f ca="1">SUMIFS(rec.uni[2029-02-01],
INDIRECT("rec.uni[natureza]"),"pro.soluto",
INDIRECT("rec.uni[empresa]"),CC$6)</f>
        <v>0</v>
      </c>
      <c r="CD100" s="182">
        <f ca="1">SUMIFS(rec.uni[2029-02-01],
INDIRECT("rec.uni[natureza]"),"repasse.cef.obra",
INDIRECT("rec.uni[empresa]"),CD$6)</f>
        <v>0</v>
      </c>
      <c r="CE100" s="185">
        <f ca="1">SUMIFS(rec.uni[2029-02-01],
INDIRECT("rec.uni[natureza]"),"repasse.cef.terreno",
INDIRECT("rec.uni[empresa]"),CE$6)</f>
        <v>0</v>
      </c>
      <c r="CF100" s="186"/>
      <c r="CG100" s="182">
        <f ca="1">SUMIFS(rec.uni[2029-02-01],
INDIRECT("rec.uni[natureza]"),"taxa.extra",
INDIRECT("rec.uni[empresa]"),CG$6)</f>
        <v>0</v>
      </c>
      <c r="CH100" s="170"/>
      <c r="CI100" s="170" cm="1">
        <f t="array" ref="CI10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J100" s="170" cm="1">
        <f t="array" ref="CJ10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K100" s="170" cm="1">
        <f t="array" ref="CK10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L100" s="170" cm="1">
        <f t="array" ref="CL10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M100" s="170" cm="1">
        <f t="array" ref="CM10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(desp[data.pagamento]&gt;=$A100)*
    (desp[data.pagamento]&lt;EOMONTH($A100,0)+1)
  )
)</f>
        <v>0</v>
      </c>
      <c r="CN100" s="181">
        <f>COUNTIFS(
    estq[empresa], CN$6,
    estq[Data da venda / reserva], "&gt;=" &amp; $A100,
    estq[Data da venda / reserva], "&lt;"  &amp; EOMONTH($A100,0) + 1
)</f>
        <v>0</v>
      </c>
      <c r="CO100" s="182">
        <f ca="1">SUMIFS(rec.uni[2029-02-01],
INDIRECT("rec.uni[natureza]"),"pro.soluto",
INDIRECT("rec.uni[empresa]"),CO$6)</f>
        <v>0</v>
      </c>
      <c r="CP100" s="182">
        <f ca="1">SUMIFS(rec.uni[2029-02-01],
INDIRECT("rec.uni[natureza]"),"repasse.cef.obra",
INDIRECT("rec.uni[empresa]"),CP$6)</f>
        <v>0</v>
      </c>
      <c r="CQ100" s="185">
        <f ca="1">SUMIFS(rec.uni[2029-02-01],
INDIRECT("rec.uni[natureza]"),"repasse.cef.terreno",
INDIRECT("rec.uni[empresa]"),CQ$6)</f>
        <v>0</v>
      </c>
      <c r="CR100" s="186"/>
      <c r="CS100" s="182">
        <f ca="1">SUMIFS(rec.uni[2029-02-01],
INDIRECT("rec.uni[natureza]"),"taxa.extra",
INDIRECT("rec.uni[empresa]"),CS$6)</f>
        <v>0</v>
      </c>
      <c r="CT100" s="170"/>
      <c r="CU100" s="170" cm="1">
        <f t="array" ref="CU10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  <c r="CV100" s="170" cm="1">
        <f t="array" ref="CV10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  <c r="CW100" s="170" cm="1">
        <f t="array" ref="CW10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  <c r="CX100" s="170" cm="1">
        <f t="array" ref="CX10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  <c r="CY100" s="295" cm="1">
        <f t="array" ref="CY10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(desp[data.pagamento]&gt;=$A100)*
    (desp[data.pagamento]&lt;EOMONTH($A100,0)+1)
  )
)</f>
        <v>0</v>
      </c>
    </row>
    <row r="101" spans="1:103" x14ac:dyDescent="0.25">
      <c r="A101" s="180">
        <v>47178</v>
      </c>
      <c r="B101" s="181">
        <f>COUNTIFS(
    estq[empresa], B$6,
    estq[Data da venda / reserva], "&gt;=" &amp; $A101,
    estq[Data da venda / reserva], "&lt;"  &amp; EOMONTH($A101,0) + 1
)</f>
        <v>0</v>
      </c>
      <c r="C101" s="182">
        <f ca="1">SUMIFS(rec.uni[2029-03-01],
INDIRECT("rec.uni[natureza]"),"pro.soluto",
INDIRECT("rec.uni[empresa]"),C$6)</f>
        <v>0</v>
      </c>
      <c r="D101" s="182">
        <f ca="1">SUMIFS(rec.uni[2029-03-01],
INDIRECT("rec.uni[natureza]"),"repasse.cef.obra",
INDIRECT("rec.uni[empresa]"),D$6)</f>
        <v>0</v>
      </c>
      <c r="E101" s="182">
        <f ca="1">SUMIFS(rec.uni[2029-03-01],
INDIRECT("rec.uni[natureza]"),"repasse.cef.terreno",
INDIRECT("rec.uni[empresa]"),E$6)</f>
        <v>0</v>
      </c>
      <c r="F101" s="186"/>
      <c r="G101" s="182">
        <f ca="1">SUMIFS(rec.uni[2029-03-01],
INDIRECT("rec.uni[natureza]"),"taxa.extra",
INDIRECT("rec.uni[empresa]"),G$6)</f>
        <v>0</v>
      </c>
      <c r="H101" s="170"/>
      <c r="I101" s="170" cm="1">
        <f t="array" ref="I10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J101" s="170" cm="1">
        <f t="array" ref="J10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K101" s="170" cm="1">
        <f t="array" ref="K10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L101" s="170" cm="1">
        <f t="array" ref="L10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M101" s="170" cm="1">
        <f t="array" ref="M10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(desp[data.pagamento]&gt;=$A101)*
    (desp[data.pagamento]&lt;EOMONTH($A101,0)+1)
  )
)</f>
        <v>0</v>
      </c>
      <c r="N101" s="181">
        <f>COUNTIFS(
    estq[empresa], N$6,
    estq[Data da venda / reserva], "&gt;=" &amp; $A101,
    estq[Data da venda / reserva], "&lt;"  &amp; EOMONTH($A101,0) + 1
)</f>
        <v>0</v>
      </c>
      <c r="O101" s="182">
        <f ca="1">SUMIFS(rec.uni[2029-03-01],
INDIRECT("rec.uni[natureza]"),"pro.soluto",
INDIRECT("rec.uni[empresa]"),O$6)</f>
        <v>0</v>
      </c>
      <c r="P101" s="182">
        <f ca="1">SUMIFS(rec.uni[2029-03-01],
INDIRECT("rec.uni[natureza]"),"repasse.cef.obra",
INDIRECT("rec.uni[empresa]"),P$6)</f>
        <v>0</v>
      </c>
      <c r="Q101" s="182">
        <f ca="1">SUMIFS(rec.uni[2029-03-01],
INDIRECT("rec.uni[natureza]"),"repasse.cef.terreno",
INDIRECT("rec.uni[empresa]"),Q$6)</f>
        <v>0</v>
      </c>
      <c r="R101" s="186"/>
      <c r="S101" s="182">
        <f ca="1">SUMIFS(rec.uni[2029-03-01],
INDIRECT("rec.uni[natureza]"),"taxa.extra",
INDIRECT("rec.uni[empresa]"),S$6)</f>
        <v>0</v>
      </c>
      <c r="T101" s="170"/>
      <c r="U101" s="170" cm="1">
        <f t="array" ref="U10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V101" s="170" cm="1">
        <f t="array" ref="V10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W101" s="170" cm="1">
        <f t="array" ref="W10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X101" s="170" cm="1">
        <f t="array" ref="X10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Y101" s="170" cm="1">
        <f t="array" ref="Y10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(desp[data.pagamento]&gt;=$A101)*
    (desp[data.pagamento]&lt;EOMONTH($A101,0)+1)
  )
)</f>
        <v>0</v>
      </c>
      <c r="Z101" s="181">
        <f>COUNTIFS(
    estq[empresa], Z$6,
    estq[Data da venda / reserva], "&gt;=" &amp; $A101,
    estq[Data da venda / reserva], "&lt;"  &amp; EOMONTH($A101,0) + 1
)</f>
        <v>0</v>
      </c>
      <c r="AA101" s="182">
        <f ca="1">SUMIFS(rec.uni[2029-03-01],
INDIRECT("rec.uni[natureza]"),"pro.soluto",
INDIRECT("rec.uni[empresa]"),AA$6)</f>
        <v>0</v>
      </c>
      <c r="AB101" s="186">
        <f ca="1">SUMIFS(rec.uni[2029-03-01],
INDIRECT("rec.uni[natureza]"),"parcela.fin.total.ik",
INDIRECT("rec.uni[empresa]"),AB$6)</f>
        <v>0</v>
      </c>
      <c r="AC101" s="182">
        <f ca="1">SUMIFS(rec.uni[2029-03-01],
INDIRECT("rec.uni[natureza]"),"taxa.extra",
INDIRECT("rec.uni[empresa]"),AC$6)</f>
        <v>0</v>
      </c>
      <c r="AD101" s="170"/>
      <c r="AE101" s="170" cm="1">
        <f t="array" ref="AE10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F101" s="170" cm="1">
        <f t="array" ref="AF10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G101" s="170" cm="1">
        <f t="array" ref="AG10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H101" s="170" cm="1">
        <f t="array" ref="AH10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I101" s="170" cm="1">
        <f t="array" ref="AI10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(desp[data.pagamento]&gt;=$A101)*
    (desp[data.pagamento]&lt;EOMONTH($A101,0)+1)
  )
)</f>
        <v>0</v>
      </c>
      <c r="AJ101" s="181">
        <f>COUNTIFS(
    estq[empresa], AJ$6,
    estq[Data da venda / reserva], "&gt;=" &amp; $A101,
    estq[Data da venda / reserva], "&lt;"  &amp; EOMONTH($A101,0) + 1
)</f>
        <v>0</v>
      </c>
      <c r="AK101" s="182">
        <f ca="1">SUMIFS(rec.uni[2029-03-01],
INDIRECT("rec.uni[natureza]"),"pro.soluto",
INDIRECT("rec.uni[empresa]"),AK$6)</f>
        <v>0</v>
      </c>
      <c r="AL101" s="182">
        <f ca="1">SUMIFS(rec.uni[2029-03-01],
INDIRECT("rec.uni[natureza]"),"repasse.cef.obra",
INDIRECT("rec.uni[empresa]"),AL$6)</f>
        <v>0</v>
      </c>
      <c r="AM101" s="185">
        <f ca="1">SUMIFS(rec.uni[2029-03-01],
INDIRECT("rec.uni[natureza]"),"repasse.cef.terreno",
INDIRECT("rec.uni[empresa]"),AM$6)</f>
        <v>0</v>
      </c>
      <c r="AN101" s="186"/>
      <c r="AO101" s="182">
        <f ca="1">SUMIFS(rec.uni[2029-03-01],
INDIRECT("rec.uni[natureza]"),"taxa.extra",
INDIRECT("rec.uni[empresa]"),AO$6)</f>
        <v>0</v>
      </c>
      <c r="AP101" s="170"/>
      <c r="AQ101" s="170" cm="1">
        <f t="array" ref="AQ10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R101" s="170" cm="1">
        <f t="array" ref="AR10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S101" s="170" cm="1">
        <f t="array" ref="AS10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T101" s="170" cm="1">
        <f t="array" ref="AT10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U101" s="170" cm="1">
        <f t="array" ref="AU10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(desp[data.pagamento]&gt;=$A101)*
    (desp[data.pagamento]&lt;EOMONTH($A101,0)+1)
  )
)</f>
        <v>0</v>
      </c>
      <c r="AV101" s="181">
        <f>COUNTIFS(
    estq[empresa], AV$6,
    estq[Data da venda / reserva], "&gt;=" &amp; $A101,
    estq[Data da venda / reserva], "&lt;"  &amp; EOMONTH($A101,0) + 1
)</f>
        <v>0</v>
      </c>
      <c r="AW101" s="182">
        <f ca="1">SUMIFS(rec.uni[2029-03-01],
INDIRECT("rec.uni[natureza]"),"pro.soluto",
INDIRECT("rec.uni[empresa]"),AW$6)</f>
        <v>0</v>
      </c>
      <c r="AX101" s="182">
        <f ca="1">SUMIFS(rec.uni[2029-03-01],
INDIRECT("rec.uni[natureza]"),"repasse.cef.obra",
INDIRECT("rec.uni[empresa]"),AX$6)</f>
        <v>0</v>
      </c>
      <c r="AY101" s="185">
        <f ca="1">SUMIFS(rec.uni[2029-03-01],
INDIRECT("rec.uni[natureza]"),"repasse.cef.terreno",
INDIRECT("rec.uni[empresa]"),AY$6)</f>
        <v>0</v>
      </c>
      <c r="AZ101" s="186"/>
      <c r="BA101" s="182">
        <f ca="1">SUMIFS(rec.uni[2029-03-01],
INDIRECT("rec.uni[natureza]"),"taxa.extra",
INDIRECT("rec.uni[empresa]"),BA$6)</f>
        <v>0</v>
      </c>
      <c r="BB101" s="170"/>
      <c r="BC101" s="170" cm="1">
        <f t="array" ref="BC10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D101" s="170" cm="1">
        <f t="array" ref="BD10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E101" s="170" cm="1">
        <f t="array" ref="BE10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F101" s="170" cm="1">
        <f t="array" ref="BF10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G101" s="170" cm="1">
        <f t="array" ref="BG10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(desp[data.pagamento]&gt;=$A101)*
    (desp[data.pagamento]&lt;EOMONTH($A101,0)+1)
  )
)</f>
        <v>0</v>
      </c>
      <c r="BH101" s="181">
        <f>COUNTIFS(
    estq[empresa], BH$6,
    estq[Data da venda / reserva], "&gt;=" &amp; $A101,
    estq[Data da venda / reserva], "&lt;"  &amp; EOMONTH($A101,0) + 1
)</f>
        <v>0</v>
      </c>
      <c r="BI101" s="182">
        <f ca="1">SUMIFS(rec.uni[2029-03-01],
INDIRECT("rec.uni[natureza]"),"pro.soluto",
INDIRECT("rec.uni[empresa]"),BI$6)</f>
        <v>0</v>
      </c>
      <c r="BJ101" s="186">
        <f ca="1">SUMIFS(rec.uni[2029-03-01],
INDIRECT("rec.uni[natureza]"),"parcela.fin.total.ik",
INDIRECT("rec.uni[empresa]"),BJ$6)</f>
        <v>0</v>
      </c>
      <c r="BK101" s="182">
        <f ca="1">SUMIFS(rec.uni[2029-03-01],
INDIRECT("rec.uni[natureza]"),"taxa.extra",
INDIRECT("rec.uni[empresa]"),BK$6)</f>
        <v>0</v>
      </c>
      <c r="BL101" s="170"/>
      <c r="BM101" s="170" cm="1">
        <f t="array" ref="BM10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N101" s="170" cm="1">
        <f t="array" ref="BN10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O101" s="170" cm="1">
        <f t="array" ref="BO10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P101" s="170" cm="1">
        <f t="array" ref="BP10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Q101" s="170" cm="1">
        <f t="array" ref="BQ10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(desp[data.pagamento]&gt;=$A101)*
    (desp[data.pagamento]&lt;EOMONTH($A101,0)+1)
  )
)</f>
        <v>0</v>
      </c>
      <c r="BR101" s="181">
        <f>COUNTIFS(
    estq[empresa], BR$6,
    estq[Data da venda / reserva], "&gt;=" &amp; $A101,
    estq[Data da venda / reserva], "&lt;"  &amp; EOMONTH($A101,0) + 1
)</f>
        <v>0</v>
      </c>
      <c r="BS101" s="182">
        <f ca="1">SUMIFS(rec.uni[2029-03-01],
INDIRECT("rec.uni[natureza]"),"pro.soluto",
INDIRECT("rec.uni[empresa]"),BS$6)</f>
        <v>0</v>
      </c>
      <c r="BT101" s="186">
        <f ca="1">SUMIFS(rec.uni[2029-03-01],
INDIRECT("rec.uni[natureza]"),"parcela.fin.total.ik",
INDIRECT("rec.uni[empresa]"),BT$6)</f>
        <v>0</v>
      </c>
      <c r="BU101" s="182">
        <f ca="1">SUMIFS(rec.uni[2029-03-01],
INDIRECT("rec.uni[natureza]"),"taxa.extra",
INDIRECT("rec.uni[empresa]"),BU$6)</f>
        <v>0</v>
      </c>
      <c r="BV101" s="170"/>
      <c r="BW101" s="170" cm="1">
        <f t="array" ref="BW10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BX101" s="170" cm="1">
        <f t="array" ref="BX10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BY101" s="170" cm="1">
        <f t="array" ref="BY10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BZ101" s="170" cm="1">
        <f t="array" ref="BZ10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CA101" s="170" cm="1">
        <f t="array" ref="CA10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(desp[data.pagamento]&gt;=$A101)*
    (desp[data.pagamento]&lt;EOMONTH($A101,0)+1)
  )
)</f>
        <v>0</v>
      </c>
      <c r="CB101" s="181">
        <f>COUNTIFS(
    estq[empresa], CB$6,
    estq[Data da venda / reserva], "&gt;=" &amp; $A101,
    estq[Data da venda / reserva], "&lt;"  &amp; EOMONTH($A101,0) + 1
)</f>
        <v>0</v>
      </c>
      <c r="CC101" s="182">
        <f ca="1">SUMIFS(rec.uni[2029-03-01],
INDIRECT("rec.uni[natureza]"),"pro.soluto",
INDIRECT("rec.uni[empresa]"),CC$6)</f>
        <v>0</v>
      </c>
      <c r="CD101" s="182">
        <f ca="1">SUMIFS(rec.uni[2029-03-01],
INDIRECT("rec.uni[natureza]"),"repasse.cef.obra",
INDIRECT("rec.uni[empresa]"),CD$6)</f>
        <v>0</v>
      </c>
      <c r="CE101" s="185">
        <f ca="1">SUMIFS(rec.uni[2029-03-01],
INDIRECT("rec.uni[natureza]"),"repasse.cef.terreno",
INDIRECT("rec.uni[empresa]"),CE$6)</f>
        <v>0</v>
      </c>
      <c r="CF101" s="186"/>
      <c r="CG101" s="182">
        <f ca="1">SUMIFS(rec.uni[2029-03-01],
INDIRECT("rec.uni[natureza]"),"taxa.extra",
INDIRECT("rec.uni[empresa]"),CG$6)</f>
        <v>0</v>
      </c>
      <c r="CH101" s="170"/>
      <c r="CI101" s="170" cm="1">
        <f t="array" ref="CI10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J101" s="170" cm="1">
        <f t="array" ref="CJ10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K101" s="170" cm="1">
        <f t="array" ref="CK10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L101" s="170" cm="1">
        <f t="array" ref="CL10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M101" s="170" cm="1">
        <f t="array" ref="CM10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(desp[data.pagamento]&gt;=$A101)*
    (desp[data.pagamento]&lt;EOMONTH($A101,0)+1)
  )
)</f>
        <v>0</v>
      </c>
      <c r="CN101" s="181">
        <f>COUNTIFS(
    estq[empresa], CN$6,
    estq[Data da venda / reserva], "&gt;=" &amp; $A101,
    estq[Data da venda / reserva], "&lt;"  &amp; EOMONTH($A101,0) + 1
)</f>
        <v>0</v>
      </c>
      <c r="CO101" s="182">
        <f ca="1">SUMIFS(rec.uni[2029-03-01],
INDIRECT("rec.uni[natureza]"),"pro.soluto",
INDIRECT("rec.uni[empresa]"),CO$6)</f>
        <v>0</v>
      </c>
      <c r="CP101" s="182">
        <f ca="1">SUMIFS(rec.uni[2029-03-01],
INDIRECT("rec.uni[natureza]"),"repasse.cef.obra",
INDIRECT("rec.uni[empresa]"),CP$6)</f>
        <v>0</v>
      </c>
      <c r="CQ101" s="185">
        <f ca="1">SUMIFS(rec.uni[2029-03-01],
INDIRECT("rec.uni[natureza]"),"repasse.cef.terreno",
INDIRECT("rec.uni[empresa]"),CQ$6)</f>
        <v>0</v>
      </c>
      <c r="CR101" s="186"/>
      <c r="CS101" s="182">
        <f ca="1">SUMIFS(rec.uni[2029-03-01],
INDIRECT("rec.uni[natureza]"),"taxa.extra",
INDIRECT("rec.uni[empresa]"),CS$6)</f>
        <v>0</v>
      </c>
      <c r="CT101" s="170"/>
      <c r="CU101" s="170" cm="1">
        <f t="array" ref="CU10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  <c r="CV101" s="170" cm="1">
        <f t="array" ref="CV10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  <c r="CW101" s="170" cm="1">
        <f t="array" ref="CW10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  <c r="CX101" s="170" cm="1">
        <f t="array" ref="CX10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  <c r="CY101" s="295" cm="1">
        <f t="array" ref="CY10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(desp[data.pagamento]&gt;=$A101)*
    (desp[data.pagamento]&lt;EOMONTH($A101,0)+1)
  )
)</f>
        <v>0</v>
      </c>
    </row>
    <row r="102" spans="1:103" x14ac:dyDescent="0.25">
      <c r="A102" s="180">
        <v>47209</v>
      </c>
      <c r="B102" s="181">
        <f>COUNTIFS(
    estq[empresa], B$6,
    estq[Data da venda / reserva], "&gt;=" &amp; $A102,
    estq[Data da venda / reserva], "&lt;"  &amp; EOMONTH($A102,0) + 1
)</f>
        <v>0</v>
      </c>
      <c r="C102" s="182">
        <f ca="1">SUMIFS(rec.uni[2029-04-01],
INDIRECT("rec.uni[natureza]"),"pro.soluto",
INDIRECT("rec.uni[empresa]"),C$6)</f>
        <v>0</v>
      </c>
      <c r="D102" s="182">
        <f ca="1">SUMIFS(rec.uni[2029-04-01],
INDIRECT("rec.uni[natureza]"),"repasse.cef.obra",
INDIRECT("rec.uni[empresa]"),D$6)</f>
        <v>0</v>
      </c>
      <c r="E102" s="182">
        <f ca="1">SUMIFS(rec.uni[2029-04-01],
INDIRECT("rec.uni[natureza]"),"repasse.cef.terreno",
INDIRECT("rec.uni[empresa]"),E$6)</f>
        <v>0</v>
      </c>
      <c r="F102" s="186"/>
      <c r="G102" s="182">
        <f ca="1">SUMIFS(rec.uni[2029-04-01],
INDIRECT("rec.uni[natureza]"),"taxa.extra",
INDIRECT("rec.uni[empresa]"),G$6)</f>
        <v>0</v>
      </c>
      <c r="H102" s="170"/>
      <c r="I102" s="170" cm="1">
        <f t="array" ref="I10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J102" s="170" cm="1">
        <f t="array" ref="J10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K102" s="170" cm="1">
        <f t="array" ref="K10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L102" s="170" cm="1">
        <f t="array" ref="L10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M102" s="170" cm="1">
        <f t="array" ref="M10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(desp[data.pagamento]&gt;=$A102)*
    (desp[data.pagamento]&lt;EOMONTH($A102,0)+1)
  )
)</f>
        <v>0</v>
      </c>
      <c r="N102" s="181">
        <f>COUNTIFS(
    estq[empresa], N$6,
    estq[Data da venda / reserva], "&gt;=" &amp; $A102,
    estq[Data da venda / reserva], "&lt;"  &amp; EOMONTH($A102,0) + 1
)</f>
        <v>0</v>
      </c>
      <c r="O102" s="182">
        <f ca="1">SUMIFS(rec.uni[2029-04-01],
INDIRECT("rec.uni[natureza]"),"pro.soluto",
INDIRECT("rec.uni[empresa]"),O$6)</f>
        <v>0</v>
      </c>
      <c r="P102" s="182">
        <f ca="1">SUMIFS(rec.uni[2029-04-01],
INDIRECT("rec.uni[natureza]"),"repasse.cef.obra",
INDIRECT("rec.uni[empresa]"),P$6)</f>
        <v>0</v>
      </c>
      <c r="Q102" s="182">
        <f ca="1">SUMIFS(rec.uni[2029-04-01],
INDIRECT("rec.uni[natureza]"),"repasse.cef.terreno",
INDIRECT("rec.uni[empresa]"),Q$6)</f>
        <v>0</v>
      </c>
      <c r="R102" s="186"/>
      <c r="S102" s="182">
        <f ca="1">SUMIFS(rec.uni[2029-04-01],
INDIRECT("rec.uni[natureza]"),"taxa.extra",
INDIRECT("rec.uni[empresa]"),S$6)</f>
        <v>0</v>
      </c>
      <c r="T102" s="170"/>
      <c r="U102" s="170" cm="1">
        <f t="array" ref="U10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V102" s="170" cm="1">
        <f t="array" ref="V10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W102" s="170" cm="1">
        <f t="array" ref="W10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X102" s="170" cm="1">
        <f t="array" ref="X10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Y102" s="170" cm="1">
        <f t="array" ref="Y10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(desp[data.pagamento]&gt;=$A102)*
    (desp[data.pagamento]&lt;EOMONTH($A102,0)+1)
  )
)</f>
        <v>0</v>
      </c>
      <c r="Z102" s="181">
        <f>COUNTIFS(
    estq[empresa], Z$6,
    estq[Data da venda / reserva], "&gt;=" &amp; $A102,
    estq[Data da venda / reserva], "&lt;"  &amp; EOMONTH($A102,0) + 1
)</f>
        <v>0</v>
      </c>
      <c r="AA102" s="182">
        <f ca="1">SUMIFS(rec.uni[2029-04-01],
INDIRECT("rec.uni[natureza]"),"pro.soluto",
INDIRECT("rec.uni[empresa]"),AA$6)</f>
        <v>0</v>
      </c>
      <c r="AB102" s="186">
        <f ca="1">SUMIFS(rec.uni[2029-04-01],
INDIRECT("rec.uni[natureza]"),"parcela.fin.total.ik",
INDIRECT("rec.uni[empresa]"),AB$6)</f>
        <v>0</v>
      </c>
      <c r="AC102" s="182">
        <f ca="1">SUMIFS(rec.uni[2029-04-01],
INDIRECT("rec.uni[natureza]"),"taxa.extra",
INDIRECT("rec.uni[empresa]"),AC$6)</f>
        <v>0</v>
      </c>
      <c r="AD102" s="170"/>
      <c r="AE102" s="170" cm="1">
        <f t="array" ref="AE10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F102" s="170" cm="1">
        <f t="array" ref="AF10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G102" s="170" cm="1">
        <f t="array" ref="AG10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H102" s="170" cm="1">
        <f t="array" ref="AH10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I102" s="170" cm="1">
        <f t="array" ref="AI10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(desp[data.pagamento]&gt;=$A102)*
    (desp[data.pagamento]&lt;EOMONTH($A102,0)+1)
  )
)</f>
        <v>0</v>
      </c>
      <c r="AJ102" s="181">
        <f>COUNTIFS(
    estq[empresa], AJ$6,
    estq[Data da venda / reserva], "&gt;=" &amp; $A102,
    estq[Data da venda / reserva], "&lt;"  &amp; EOMONTH($A102,0) + 1
)</f>
        <v>0</v>
      </c>
      <c r="AK102" s="182">
        <f ca="1">SUMIFS(rec.uni[2029-04-01],
INDIRECT("rec.uni[natureza]"),"pro.soluto",
INDIRECT("rec.uni[empresa]"),AK$6)</f>
        <v>0</v>
      </c>
      <c r="AL102" s="182">
        <f ca="1">SUMIFS(rec.uni[2029-04-01],
INDIRECT("rec.uni[natureza]"),"repasse.cef.obra",
INDIRECT("rec.uni[empresa]"),AL$6)</f>
        <v>0</v>
      </c>
      <c r="AM102" s="185">
        <f ca="1">SUMIFS(rec.uni[2029-04-01],
INDIRECT("rec.uni[natureza]"),"repasse.cef.terreno",
INDIRECT("rec.uni[empresa]"),AM$6)</f>
        <v>0</v>
      </c>
      <c r="AN102" s="186"/>
      <c r="AO102" s="182">
        <f ca="1">SUMIFS(rec.uni[2029-04-01],
INDIRECT("rec.uni[natureza]"),"taxa.extra",
INDIRECT("rec.uni[empresa]"),AO$6)</f>
        <v>0</v>
      </c>
      <c r="AP102" s="170"/>
      <c r="AQ102" s="170" cm="1">
        <f t="array" ref="AQ10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R102" s="170" cm="1">
        <f t="array" ref="AR10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S102" s="170" cm="1">
        <f t="array" ref="AS10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T102" s="170" cm="1">
        <f t="array" ref="AT10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U102" s="170" cm="1">
        <f t="array" ref="AU10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(desp[data.pagamento]&gt;=$A102)*
    (desp[data.pagamento]&lt;EOMONTH($A102,0)+1)
  )
)</f>
        <v>0</v>
      </c>
      <c r="AV102" s="181">
        <f>COUNTIFS(
    estq[empresa], AV$6,
    estq[Data da venda / reserva], "&gt;=" &amp; $A102,
    estq[Data da venda / reserva], "&lt;"  &amp; EOMONTH($A102,0) + 1
)</f>
        <v>0</v>
      </c>
      <c r="AW102" s="182">
        <f ca="1">SUMIFS(rec.uni[2029-04-01],
INDIRECT("rec.uni[natureza]"),"pro.soluto",
INDIRECT("rec.uni[empresa]"),AW$6)</f>
        <v>0</v>
      </c>
      <c r="AX102" s="182">
        <f ca="1">SUMIFS(rec.uni[2029-04-01],
INDIRECT("rec.uni[natureza]"),"repasse.cef.obra",
INDIRECT("rec.uni[empresa]"),AX$6)</f>
        <v>0</v>
      </c>
      <c r="AY102" s="185">
        <f ca="1">SUMIFS(rec.uni[2029-04-01],
INDIRECT("rec.uni[natureza]"),"repasse.cef.terreno",
INDIRECT("rec.uni[empresa]"),AY$6)</f>
        <v>0</v>
      </c>
      <c r="AZ102" s="186"/>
      <c r="BA102" s="182">
        <f ca="1">SUMIFS(rec.uni[2029-04-01],
INDIRECT("rec.uni[natureza]"),"taxa.extra",
INDIRECT("rec.uni[empresa]"),BA$6)</f>
        <v>0</v>
      </c>
      <c r="BB102" s="170"/>
      <c r="BC102" s="170" cm="1">
        <f t="array" ref="BC10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D102" s="170" cm="1">
        <f t="array" ref="BD10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E102" s="170" cm="1">
        <f t="array" ref="BE10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F102" s="170" cm="1">
        <f t="array" ref="BF10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G102" s="170" cm="1">
        <f t="array" ref="BG10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(desp[data.pagamento]&gt;=$A102)*
    (desp[data.pagamento]&lt;EOMONTH($A102,0)+1)
  )
)</f>
        <v>0</v>
      </c>
      <c r="BH102" s="181">
        <f>COUNTIFS(
    estq[empresa], BH$6,
    estq[Data da venda / reserva], "&gt;=" &amp; $A102,
    estq[Data da venda / reserva], "&lt;"  &amp; EOMONTH($A102,0) + 1
)</f>
        <v>0</v>
      </c>
      <c r="BI102" s="182">
        <f ca="1">SUMIFS(rec.uni[2029-04-01],
INDIRECT("rec.uni[natureza]"),"pro.soluto",
INDIRECT("rec.uni[empresa]"),BI$6)</f>
        <v>0</v>
      </c>
      <c r="BJ102" s="186">
        <f ca="1">SUMIFS(rec.uni[2029-04-01],
INDIRECT("rec.uni[natureza]"),"parcela.fin.total.ik",
INDIRECT("rec.uni[empresa]"),BJ$6)</f>
        <v>0</v>
      </c>
      <c r="BK102" s="182">
        <f ca="1">SUMIFS(rec.uni[2029-04-01],
INDIRECT("rec.uni[natureza]"),"taxa.extra",
INDIRECT("rec.uni[empresa]"),BK$6)</f>
        <v>0</v>
      </c>
      <c r="BL102" s="170"/>
      <c r="BM102" s="170" cm="1">
        <f t="array" ref="BM10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N102" s="170" cm="1">
        <f t="array" ref="BN10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O102" s="170" cm="1">
        <f t="array" ref="BO10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P102" s="170" cm="1">
        <f t="array" ref="BP10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Q102" s="170" cm="1">
        <f t="array" ref="BQ10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(desp[data.pagamento]&gt;=$A102)*
    (desp[data.pagamento]&lt;EOMONTH($A102,0)+1)
  )
)</f>
        <v>0</v>
      </c>
      <c r="BR102" s="181">
        <f>COUNTIFS(
    estq[empresa], BR$6,
    estq[Data da venda / reserva], "&gt;=" &amp; $A102,
    estq[Data da venda / reserva], "&lt;"  &amp; EOMONTH($A102,0) + 1
)</f>
        <v>0</v>
      </c>
      <c r="BS102" s="182">
        <f ca="1">SUMIFS(rec.uni[2029-04-01],
INDIRECT("rec.uni[natureza]"),"pro.soluto",
INDIRECT("rec.uni[empresa]"),BS$6)</f>
        <v>0</v>
      </c>
      <c r="BT102" s="186">
        <f ca="1">SUMIFS(rec.uni[2029-04-01],
INDIRECT("rec.uni[natureza]"),"parcela.fin.total.ik",
INDIRECT("rec.uni[empresa]"),BT$6)</f>
        <v>0</v>
      </c>
      <c r="BU102" s="182">
        <f ca="1">SUMIFS(rec.uni[2029-04-01],
INDIRECT("rec.uni[natureza]"),"taxa.extra",
INDIRECT("rec.uni[empresa]"),BU$6)</f>
        <v>0</v>
      </c>
      <c r="BV102" s="170"/>
      <c r="BW102" s="170" cm="1">
        <f t="array" ref="BW10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BX102" s="170" cm="1">
        <f t="array" ref="BX10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BY102" s="170" cm="1">
        <f t="array" ref="BY10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BZ102" s="170" cm="1">
        <f t="array" ref="BZ10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CA102" s="170" cm="1">
        <f t="array" ref="CA10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(desp[data.pagamento]&gt;=$A102)*
    (desp[data.pagamento]&lt;EOMONTH($A102,0)+1)
  )
)</f>
        <v>0</v>
      </c>
      <c r="CB102" s="181">
        <f>COUNTIFS(
    estq[empresa], CB$6,
    estq[Data da venda / reserva], "&gt;=" &amp; $A102,
    estq[Data da venda / reserva], "&lt;"  &amp; EOMONTH($A102,0) + 1
)</f>
        <v>0</v>
      </c>
      <c r="CC102" s="182">
        <f ca="1">SUMIFS(rec.uni[2029-04-01],
INDIRECT("rec.uni[natureza]"),"pro.soluto",
INDIRECT("rec.uni[empresa]"),CC$6)</f>
        <v>0</v>
      </c>
      <c r="CD102" s="182">
        <f ca="1">SUMIFS(rec.uni[2029-04-01],
INDIRECT("rec.uni[natureza]"),"repasse.cef.obra",
INDIRECT("rec.uni[empresa]"),CD$6)</f>
        <v>0</v>
      </c>
      <c r="CE102" s="185">
        <f ca="1">SUMIFS(rec.uni[2029-04-01],
INDIRECT("rec.uni[natureza]"),"repasse.cef.terreno",
INDIRECT("rec.uni[empresa]"),CE$6)</f>
        <v>0</v>
      </c>
      <c r="CF102" s="186"/>
      <c r="CG102" s="182">
        <f ca="1">SUMIFS(rec.uni[2029-04-01],
INDIRECT("rec.uni[natureza]"),"taxa.extra",
INDIRECT("rec.uni[empresa]"),CG$6)</f>
        <v>0</v>
      </c>
      <c r="CH102" s="170"/>
      <c r="CI102" s="170" cm="1">
        <f t="array" ref="CI10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J102" s="170" cm="1">
        <f t="array" ref="CJ10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K102" s="170" cm="1">
        <f t="array" ref="CK10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L102" s="170" cm="1">
        <f t="array" ref="CL10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M102" s="170" cm="1">
        <f t="array" ref="CM10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(desp[data.pagamento]&gt;=$A102)*
    (desp[data.pagamento]&lt;EOMONTH($A102,0)+1)
  )
)</f>
        <v>0</v>
      </c>
      <c r="CN102" s="181">
        <f>COUNTIFS(
    estq[empresa], CN$6,
    estq[Data da venda / reserva], "&gt;=" &amp; $A102,
    estq[Data da venda / reserva], "&lt;"  &amp; EOMONTH($A102,0) + 1
)</f>
        <v>0</v>
      </c>
      <c r="CO102" s="182">
        <f ca="1">SUMIFS(rec.uni[2029-04-01],
INDIRECT("rec.uni[natureza]"),"pro.soluto",
INDIRECT("rec.uni[empresa]"),CO$6)</f>
        <v>0</v>
      </c>
      <c r="CP102" s="182">
        <f ca="1">SUMIFS(rec.uni[2029-04-01],
INDIRECT("rec.uni[natureza]"),"repasse.cef.obra",
INDIRECT("rec.uni[empresa]"),CP$6)</f>
        <v>0</v>
      </c>
      <c r="CQ102" s="185">
        <f ca="1">SUMIFS(rec.uni[2029-04-01],
INDIRECT("rec.uni[natureza]"),"repasse.cef.terreno",
INDIRECT("rec.uni[empresa]"),CQ$6)</f>
        <v>0</v>
      </c>
      <c r="CR102" s="186"/>
      <c r="CS102" s="182">
        <f ca="1">SUMIFS(rec.uni[2029-04-01],
INDIRECT("rec.uni[natureza]"),"taxa.extra",
INDIRECT("rec.uni[empresa]"),CS$6)</f>
        <v>0</v>
      </c>
      <c r="CT102" s="170"/>
      <c r="CU102" s="170" cm="1">
        <f t="array" ref="CU10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  <c r="CV102" s="170" cm="1">
        <f t="array" ref="CV10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  <c r="CW102" s="170" cm="1">
        <f t="array" ref="CW10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  <c r="CX102" s="170" cm="1">
        <f t="array" ref="CX10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  <c r="CY102" s="295" cm="1">
        <f t="array" ref="CY10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(desp[data.pagamento]&gt;=$A102)*
    (desp[data.pagamento]&lt;EOMONTH($A102,0)+1)
  )
)</f>
        <v>0</v>
      </c>
    </row>
    <row r="103" spans="1:103" x14ac:dyDescent="0.25">
      <c r="A103" s="180">
        <v>47239</v>
      </c>
      <c r="B103" s="181">
        <f>COUNTIFS(
    estq[empresa], B$6,
    estq[Data da venda / reserva], "&gt;=" &amp; $A103,
    estq[Data da venda / reserva], "&lt;"  &amp; EOMONTH($A103,0) + 1
)</f>
        <v>0</v>
      </c>
      <c r="C103" s="182">
        <f ca="1">SUMIFS(rec.uni[2029-05-01],
INDIRECT("rec.uni[natureza]"),"pro.soluto",
INDIRECT("rec.uni[empresa]"),C$6)</f>
        <v>0</v>
      </c>
      <c r="D103" s="182">
        <f ca="1">SUMIFS(rec.uni[2029-05-01],
INDIRECT("rec.uni[natureza]"),"repasse.cef.obra",
INDIRECT("rec.uni[empresa]"),D$6)</f>
        <v>0</v>
      </c>
      <c r="E103" s="182">
        <f ca="1">SUMIFS(rec.uni[2029-05-01],
INDIRECT("rec.uni[natureza]"),"repasse.cef.terreno",
INDIRECT("rec.uni[empresa]"),E$6)</f>
        <v>0</v>
      </c>
      <c r="F103" s="186"/>
      <c r="G103" s="182">
        <f ca="1">SUMIFS(rec.uni[2029-05-01],
INDIRECT("rec.uni[natureza]"),"taxa.extra",
INDIRECT("rec.uni[empresa]"),G$6)</f>
        <v>0</v>
      </c>
      <c r="H103" s="170"/>
      <c r="I103" s="170" cm="1">
        <f t="array" ref="I10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J103" s="170" cm="1">
        <f t="array" ref="J10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K103" s="170" cm="1">
        <f t="array" ref="K10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L103" s="170" cm="1">
        <f t="array" ref="L10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M103" s="170" cm="1">
        <f t="array" ref="M10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(desp[data.pagamento]&gt;=$A103)*
    (desp[data.pagamento]&lt;EOMONTH($A103,0)+1)
  )
)</f>
        <v>0</v>
      </c>
      <c r="N103" s="181">
        <f>COUNTIFS(
    estq[empresa], N$6,
    estq[Data da venda / reserva], "&gt;=" &amp; $A103,
    estq[Data da venda / reserva], "&lt;"  &amp; EOMONTH($A103,0) + 1
)</f>
        <v>0</v>
      </c>
      <c r="O103" s="182">
        <f ca="1">SUMIFS(rec.uni[2029-05-01],
INDIRECT("rec.uni[natureza]"),"pro.soluto",
INDIRECT("rec.uni[empresa]"),O$6)</f>
        <v>0</v>
      </c>
      <c r="P103" s="182">
        <f ca="1">SUMIFS(rec.uni[2029-05-01],
INDIRECT("rec.uni[natureza]"),"repasse.cef.obra",
INDIRECT("rec.uni[empresa]"),P$6)</f>
        <v>0</v>
      </c>
      <c r="Q103" s="182">
        <f ca="1">SUMIFS(rec.uni[2029-05-01],
INDIRECT("rec.uni[natureza]"),"repasse.cef.terreno",
INDIRECT("rec.uni[empresa]"),Q$6)</f>
        <v>0</v>
      </c>
      <c r="R103" s="186"/>
      <c r="S103" s="182">
        <f ca="1">SUMIFS(rec.uni[2029-05-01],
INDIRECT("rec.uni[natureza]"),"taxa.extra",
INDIRECT("rec.uni[empresa]"),S$6)</f>
        <v>0</v>
      </c>
      <c r="T103" s="170"/>
      <c r="U103" s="170" cm="1">
        <f t="array" ref="U10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V103" s="170" cm="1">
        <f t="array" ref="V10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W103" s="170" cm="1">
        <f t="array" ref="W10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X103" s="170" cm="1">
        <f t="array" ref="X10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Y103" s="170" cm="1">
        <f t="array" ref="Y10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(desp[data.pagamento]&gt;=$A103)*
    (desp[data.pagamento]&lt;EOMONTH($A103,0)+1)
  )
)</f>
        <v>0</v>
      </c>
      <c r="Z103" s="181">
        <f>COUNTIFS(
    estq[empresa], Z$6,
    estq[Data da venda / reserva], "&gt;=" &amp; $A103,
    estq[Data da venda / reserva], "&lt;"  &amp; EOMONTH($A103,0) + 1
)</f>
        <v>0</v>
      </c>
      <c r="AA103" s="182">
        <f ca="1">SUMIFS(rec.uni[2029-05-01],
INDIRECT("rec.uni[natureza]"),"pro.soluto",
INDIRECT("rec.uni[empresa]"),AA$6)</f>
        <v>0</v>
      </c>
      <c r="AB103" s="186">
        <f ca="1">SUMIFS(rec.uni[2029-05-01],
INDIRECT("rec.uni[natureza]"),"parcela.fin.total.ik",
INDIRECT("rec.uni[empresa]"),AB$6)</f>
        <v>0</v>
      </c>
      <c r="AC103" s="182">
        <f ca="1">SUMIFS(rec.uni[2029-05-01],
INDIRECT("rec.uni[natureza]"),"taxa.extra",
INDIRECT("rec.uni[empresa]"),AC$6)</f>
        <v>0</v>
      </c>
      <c r="AD103" s="170"/>
      <c r="AE103" s="170" cm="1">
        <f t="array" ref="AE10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F103" s="170" cm="1">
        <f t="array" ref="AF10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G103" s="170" cm="1">
        <f t="array" ref="AG10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H103" s="170" cm="1">
        <f t="array" ref="AH10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I103" s="170" cm="1">
        <f t="array" ref="AI10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(desp[data.pagamento]&gt;=$A103)*
    (desp[data.pagamento]&lt;EOMONTH($A103,0)+1)
  )
)</f>
        <v>0</v>
      </c>
      <c r="AJ103" s="181">
        <f>COUNTIFS(
    estq[empresa], AJ$6,
    estq[Data da venda / reserva], "&gt;=" &amp; $A103,
    estq[Data da venda / reserva], "&lt;"  &amp; EOMONTH($A103,0) + 1
)</f>
        <v>0</v>
      </c>
      <c r="AK103" s="182">
        <f ca="1">SUMIFS(rec.uni[2029-05-01],
INDIRECT("rec.uni[natureza]"),"pro.soluto",
INDIRECT("rec.uni[empresa]"),AK$6)</f>
        <v>0</v>
      </c>
      <c r="AL103" s="182">
        <f ca="1">SUMIFS(rec.uni[2029-05-01],
INDIRECT("rec.uni[natureza]"),"repasse.cef.obra",
INDIRECT("rec.uni[empresa]"),AL$6)</f>
        <v>0</v>
      </c>
      <c r="AM103" s="185">
        <f ca="1">SUMIFS(rec.uni[2029-05-01],
INDIRECT("rec.uni[natureza]"),"repasse.cef.terreno",
INDIRECT("rec.uni[empresa]"),AM$6)</f>
        <v>0</v>
      </c>
      <c r="AN103" s="186"/>
      <c r="AO103" s="182">
        <f ca="1">SUMIFS(rec.uni[2029-05-01],
INDIRECT("rec.uni[natureza]"),"taxa.extra",
INDIRECT("rec.uni[empresa]"),AO$6)</f>
        <v>0</v>
      </c>
      <c r="AP103" s="170"/>
      <c r="AQ103" s="170" cm="1">
        <f t="array" ref="AQ10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R103" s="170" cm="1">
        <f t="array" ref="AR10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S103" s="170" cm="1">
        <f t="array" ref="AS10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T103" s="170" cm="1">
        <f t="array" ref="AT10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U103" s="170" cm="1">
        <f t="array" ref="AU10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(desp[data.pagamento]&gt;=$A103)*
    (desp[data.pagamento]&lt;EOMONTH($A103,0)+1)
  )
)</f>
        <v>0</v>
      </c>
      <c r="AV103" s="181">
        <f>COUNTIFS(
    estq[empresa], AV$6,
    estq[Data da venda / reserva], "&gt;=" &amp; $A103,
    estq[Data da venda / reserva], "&lt;"  &amp; EOMONTH($A103,0) + 1
)</f>
        <v>0</v>
      </c>
      <c r="AW103" s="182">
        <f ca="1">SUMIFS(rec.uni[2029-05-01],
INDIRECT("rec.uni[natureza]"),"pro.soluto",
INDIRECT("rec.uni[empresa]"),AW$6)</f>
        <v>0</v>
      </c>
      <c r="AX103" s="182">
        <f ca="1">SUMIFS(rec.uni[2029-05-01],
INDIRECT("rec.uni[natureza]"),"repasse.cef.obra",
INDIRECT("rec.uni[empresa]"),AX$6)</f>
        <v>0</v>
      </c>
      <c r="AY103" s="185">
        <f ca="1">SUMIFS(rec.uni[2029-05-01],
INDIRECT("rec.uni[natureza]"),"repasse.cef.terreno",
INDIRECT("rec.uni[empresa]"),AY$6)</f>
        <v>0</v>
      </c>
      <c r="AZ103" s="186"/>
      <c r="BA103" s="182">
        <f ca="1">SUMIFS(rec.uni[2029-05-01],
INDIRECT("rec.uni[natureza]"),"taxa.extra",
INDIRECT("rec.uni[empresa]"),BA$6)</f>
        <v>0</v>
      </c>
      <c r="BB103" s="170"/>
      <c r="BC103" s="170" cm="1">
        <f t="array" ref="BC10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D103" s="170" cm="1">
        <f t="array" ref="BD10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E103" s="170" cm="1">
        <f t="array" ref="BE10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F103" s="170" cm="1">
        <f t="array" ref="BF10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G103" s="170" cm="1">
        <f t="array" ref="BG10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(desp[data.pagamento]&gt;=$A103)*
    (desp[data.pagamento]&lt;EOMONTH($A103,0)+1)
  )
)</f>
        <v>0</v>
      </c>
      <c r="BH103" s="181">
        <f>COUNTIFS(
    estq[empresa], BH$6,
    estq[Data da venda / reserva], "&gt;=" &amp; $A103,
    estq[Data da venda / reserva], "&lt;"  &amp; EOMONTH($A103,0) + 1
)</f>
        <v>0</v>
      </c>
      <c r="BI103" s="182">
        <f ca="1">SUMIFS(rec.uni[2029-05-01],
INDIRECT("rec.uni[natureza]"),"pro.soluto",
INDIRECT("rec.uni[empresa]"),BI$6)</f>
        <v>0</v>
      </c>
      <c r="BJ103" s="186">
        <f ca="1">SUMIFS(rec.uni[2029-05-01],
INDIRECT("rec.uni[natureza]"),"parcela.fin.total.ik",
INDIRECT("rec.uni[empresa]"),BJ$6)</f>
        <v>0</v>
      </c>
      <c r="BK103" s="182">
        <f ca="1">SUMIFS(rec.uni[2029-05-01],
INDIRECT("rec.uni[natureza]"),"taxa.extra",
INDIRECT("rec.uni[empresa]"),BK$6)</f>
        <v>0</v>
      </c>
      <c r="BL103" s="170"/>
      <c r="BM103" s="170" cm="1">
        <f t="array" ref="BM10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N103" s="170" cm="1">
        <f t="array" ref="BN10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O103" s="170" cm="1">
        <f t="array" ref="BO10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P103" s="170" cm="1">
        <f t="array" ref="BP10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Q103" s="170" cm="1">
        <f t="array" ref="BQ10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(desp[data.pagamento]&gt;=$A103)*
    (desp[data.pagamento]&lt;EOMONTH($A103,0)+1)
  )
)</f>
        <v>0</v>
      </c>
      <c r="BR103" s="181">
        <f>COUNTIFS(
    estq[empresa], BR$6,
    estq[Data da venda / reserva], "&gt;=" &amp; $A103,
    estq[Data da venda / reserva], "&lt;"  &amp; EOMONTH($A103,0) + 1
)</f>
        <v>0</v>
      </c>
      <c r="BS103" s="182">
        <f ca="1">SUMIFS(rec.uni[2029-05-01],
INDIRECT("rec.uni[natureza]"),"pro.soluto",
INDIRECT("rec.uni[empresa]"),BS$6)</f>
        <v>0</v>
      </c>
      <c r="BT103" s="186">
        <f ca="1">SUMIFS(rec.uni[2029-05-01],
INDIRECT("rec.uni[natureza]"),"parcela.fin.total.ik",
INDIRECT("rec.uni[empresa]"),BT$6)</f>
        <v>0</v>
      </c>
      <c r="BU103" s="182">
        <f ca="1">SUMIFS(rec.uni[2029-05-01],
INDIRECT("rec.uni[natureza]"),"taxa.extra",
INDIRECT("rec.uni[empresa]"),BU$6)</f>
        <v>0</v>
      </c>
      <c r="BV103" s="170"/>
      <c r="BW103" s="170" cm="1">
        <f t="array" ref="BW10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BX103" s="170" cm="1">
        <f t="array" ref="BX10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BY103" s="170" cm="1">
        <f t="array" ref="BY10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BZ103" s="170" cm="1">
        <f t="array" ref="BZ10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CA103" s="170" cm="1">
        <f t="array" ref="CA10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(desp[data.pagamento]&gt;=$A103)*
    (desp[data.pagamento]&lt;EOMONTH($A103,0)+1)
  )
)</f>
        <v>0</v>
      </c>
      <c r="CB103" s="181">
        <f>COUNTIFS(
    estq[empresa], CB$6,
    estq[Data da venda / reserva], "&gt;=" &amp; $A103,
    estq[Data da venda / reserva], "&lt;"  &amp; EOMONTH($A103,0) + 1
)</f>
        <v>0</v>
      </c>
      <c r="CC103" s="182">
        <f ca="1">SUMIFS(rec.uni[2029-05-01],
INDIRECT("rec.uni[natureza]"),"pro.soluto",
INDIRECT("rec.uni[empresa]"),CC$6)</f>
        <v>0</v>
      </c>
      <c r="CD103" s="182">
        <f ca="1">SUMIFS(rec.uni[2029-05-01],
INDIRECT("rec.uni[natureza]"),"repasse.cef.obra",
INDIRECT("rec.uni[empresa]"),CD$6)</f>
        <v>0</v>
      </c>
      <c r="CE103" s="185">
        <f ca="1">SUMIFS(rec.uni[2029-05-01],
INDIRECT("rec.uni[natureza]"),"repasse.cef.terreno",
INDIRECT("rec.uni[empresa]"),CE$6)</f>
        <v>0</v>
      </c>
      <c r="CF103" s="186"/>
      <c r="CG103" s="182">
        <f ca="1">SUMIFS(rec.uni[2029-05-01],
INDIRECT("rec.uni[natureza]"),"taxa.extra",
INDIRECT("rec.uni[empresa]"),CG$6)</f>
        <v>0</v>
      </c>
      <c r="CH103" s="170"/>
      <c r="CI103" s="170" cm="1">
        <f t="array" ref="CI10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J103" s="170" cm="1">
        <f t="array" ref="CJ10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K103" s="170" cm="1">
        <f t="array" ref="CK10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L103" s="170" cm="1">
        <f t="array" ref="CL10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M103" s="170" cm="1">
        <f t="array" ref="CM10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(desp[data.pagamento]&gt;=$A103)*
    (desp[data.pagamento]&lt;EOMONTH($A103,0)+1)
  )
)</f>
        <v>0</v>
      </c>
      <c r="CN103" s="181">
        <f>COUNTIFS(
    estq[empresa], CN$6,
    estq[Data da venda / reserva], "&gt;=" &amp; $A103,
    estq[Data da venda / reserva], "&lt;"  &amp; EOMONTH($A103,0) + 1
)</f>
        <v>0</v>
      </c>
      <c r="CO103" s="182">
        <f ca="1">SUMIFS(rec.uni[2029-05-01],
INDIRECT("rec.uni[natureza]"),"pro.soluto",
INDIRECT("rec.uni[empresa]"),CO$6)</f>
        <v>0</v>
      </c>
      <c r="CP103" s="182">
        <f ca="1">SUMIFS(rec.uni[2029-05-01],
INDIRECT("rec.uni[natureza]"),"repasse.cef.obra",
INDIRECT("rec.uni[empresa]"),CP$6)</f>
        <v>0</v>
      </c>
      <c r="CQ103" s="185">
        <f ca="1">SUMIFS(rec.uni[2029-05-01],
INDIRECT("rec.uni[natureza]"),"repasse.cef.terreno",
INDIRECT("rec.uni[empresa]"),CQ$6)</f>
        <v>0</v>
      </c>
      <c r="CR103" s="186"/>
      <c r="CS103" s="182">
        <f ca="1">SUMIFS(rec.uni[2029-05-01],
INDIRECT("rec.uni[natureza]"),"taxa.extra",
INDIRECT("rec.uni[empresa]"),CS$6)</f>
        <v>0</v>
      </c>
      <c r="CT103" s="170"/>
      <c r="CU103" s="170" cm="1">
        <f t="array" ref="CU10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  <c r="CV103" s="170" cm="1">
        <f t="array" ref="CV10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  <c r="CW103" s="170" cm="1">
        <f t="array" ref="CW10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  <c r="CX103" s="170" cm="1">
        <f t="array" ref="CX10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  <c r="CY103" s="295" cm="1">
        <f t="array" ref="CY10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(desp[data.pagamento]&gt;=$A103)*
    (desp[data.pagamento]&lt;EOMONTH($A103,0)+1)
  )
)</f>
        <v>0</v>
      </c>
    </row>
    <row r="104" spans="1:103" x14ac:dyDescent="0.25">
      <c r="A104" s="180">
        <v>47270</v>
      </c>
      <c r="B104" s="181">
        <f>COUNTIFS(
    estq[empresa], B$6,
    estq[Data da venda / reserva], "&gt;=" &amp; $A104,
    estq[Data da venda / reserva], "&lt;"  &amp; EOMONTH($A104,0) + 1
)</f>
        <v>0</v>
      </c>
      <c r="C104" s="182">
        <f ca="1">SUMIFS(rec.uni[2029-06-01],
INDIRECT("rec.uni[natureza]"),"pro.soluto",
INDIRECT("rec.uni[empresa]"),C$6)</f>
        <v>0</v>
      </c>
      <c r="D104" s="182">
        <f ca="1">SUMIFS(rec.uni[2029-06-01],
INDIRECT("rec.uni[natureza]"),"repasse.cef.obra",
INDIRECT("rec.uni[empresa]"),D$6)</f>
        <v>0</v>
      </c>
      <c r="E104" s="182">
        <f ca="1">SUMIFS(rec.uni[2029-06-01],
INDIRECT("rec.uni[natureza]"),"repasse.cef.terreno",
INDIRECT("rec.uni[empresa]"),E$6)</f>
        <v>0</v>
      </c>
      <c r="F104" s="186"/>
      <c r="G104" s="182">
        <f ca="1">SUMIFS(rec.uni[2029-06-01],
INDIRECT("rec.uni[natureza]"),"taxa.extra",
INDIRECT("rec.uni[empresa]"),G$6)</f>
        <v>0</v>
      </c>
      <c r="H104" s="170"/>
      <c r="I104" s="170" cm="1">
        <f t="array" ref="I10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J104" s="170" cm="1">
        <f t="array" ref="J10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K104" s="170" cm="1">
        <f t="array" ref="K10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L104" s="170" cm="1">
        <f t="array" ref="L10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M104" s="170" cm="1">
        <f t="array" ref="M10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(desp[data.pagamento]&gt;=$A104)*
    (desp[data.pagamento]&lt;EOMONTH($A104,0)+1)
  )
)</f>
        <v>0</v>
      </c>
      <c r="N104" s="181">
        <f>COUNTIFS(
    estq[empresa], N$6,
    estq[Data da venda / reserva], "&gt;=" &amp; $A104,
    estq[Data da venda / reserva], "&lt;"  &amp; EOMONTH($A104,0) + 1
)</f>
        <v>0</v>
      </c>
      <c r="O104" s="182">
        <f ca="1">SUMIFS(rec.uni[2029-06-01],
INDIRECT("rec.uni[natureza]"),"pro.soluto",
INDIRECT("rec.uni[empresa]"),O$6)</f>
        <v>0</v>
      </c>
      <c r="P104" s="182">
        <f ca="1">SUMIFS(rec.uni[2029-06-01],
INDIRECT("rec.uni[natureza]"),"repasse.cef.obra",
INDIRECT("rec.uni[empresa]"),P$6)</f>
        <v>0</v>
      </c>
      <c r="Q104" s="182">
        <f ca="1">SUMIFS(rec.uni[2029-06-01],
INDIRECT("rec.uni[natureza]"),"repasse.cef.terreno",
INDIRECT("rec.uni[empresa]"),Q$6)</f>
        <v>0</v>
      </c>
      <c r="R104" s="186"/>
      <c r="S104" s="182">
        <f ca="1">SUMIFS(rec.uni[2029-06-01],
INDIRECT("rec.uni[natureza]"),"taxa.extra",
INDIRECT("rec.uni[empresa]"),S$6)</f>
        <v>0</v>
      </c>
      <c r="T104" s="170"/>
      <c r="U104" s="170" cm="1">
        <f t="array" ref="U10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V104" s="170" cm="1">
        <f t="array" ref="V10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W104" s="170" cm="1">
        <f t="array" ref="W10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X104" s="170" cm="1">
        <f t="array" ref="X10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Y104" s="170" cm="1">
        <f t="array" ref="Y10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(desp[data.pagamento]&gt;=$A104)*
    (desp[data.pagamento]&lt;EOMONTH($A104,0)+1)
  )
)</f>
        <v>0</v>
      </c>
      <c r="Z104" s="181">
        <f>COUNTIFS(
    estq[empresa], Z$6,
    estq[Data da venda / reserva], "&gt;=" &amp; $A104,
    estq[Data da venda / reserva], "&lt;"  &amp; EOMONTH($A104,0) + 1
)</f>
        <v>0</v>
      </c>
      <c r="AA104" s="182">
        <f ca="1">SUMIFS(rec.uni[2029-06-01],
INDIRECT("rec.uni[natureza]"),"pro.soluto",
INDIRECT("rec.uni[empresa]"),AA$6)</f>
        <v>0</v>
      </c>
      <c r="AB104" s="186">
        <f ca="1">SUMIFS(rec.uni[2029-06-01],
INDIRECT("rec.uni[natureza]"),"parcela.fin.total.ik",
INDIRECT("rec.uni[empresa]"),AB$6)</f>
        <v>0</v>
      </c>
      <c r="AC104" s="182">
        <f ca="1">SUMIFS(rec.uni[2029-06-01],
INDIRECT("rec.uni[natureza]"),"taxa.extra",
INDIRECT("rec.uni[empresa]"),AC$6)</f>
        <v>0</v>
      </c>
      <c r="AD104" s="170"/>
      <c r="AE104" s="170" cm="1">
        <f t="array" ref="AE10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F104" s="170" cm="1">
        <f t="array" ref="AF10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G104" s="170" cm="1">
        <f t="array" ref="AG10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H104" s="170" cm="1">
        <f t="array" ref="AH10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I104" s="170" cm="1">
        <f t="array" ref="AI10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(desp[data.pagamento]&gt;=$A104)*
    (desp[data.pagamento]&lt;EOMONTH($A104,0)+1)
  )
)</f>
        <v>0</v>
      </c>
      <c r="AJ104" s="181">
        <f>COUNTIFS(
    estq[empresa], AJ$6,
    estq[Data da venda / reserva], "&gt;=" &amp; $A104,
    estq[Data da venda / reserva], "&lt;"  &amp; EOMONTH($A104,0) + 1
)</f>
        <v>0</v>
      </c>
      <c r="AK104" s="182">
        <f ca="1">SUMIFS(rec.uni[2029-06-01],
INDIRECT("rec.uni[natureza]"),"pro.soluto",
INDIRECT("rec.uni[empresa]"),AK$6)</f>
        <v>0</v>
      </c>
      <c r="AL104" s="182">
        <f ca="1">SUMIFS(rec.uni[2029-06-01],
INDIRECT("rec.uni[natureza]"),"repasse.cef.obra",
INDIRECT("rec.uni[empresa]"),AL$6)</f>
        <v>0</v>
      </c>
      <c r="AM104" s="185">
        <f ca="1">SUMIFS(rec.uni[2029-06-01],
INDIRECT("rec.uni[natureza]"),"repasse.cef.terreno",
INDIRECT("rec.uni[empresa]"),AM$6)</f>
        <v>0</v>
      </c>
      <c r="AN104" s="186"/>
      <c r="AO104" s="182">
        <f ca="1">SUMIFS(rec.uni[2029-06-01],
INDIRECT("rec.uni[natureza]"),"taxa.extra",
INDIRECT("rec.uni[empresa]"),AO$6)</f>
        <v>0</v>
      </c>
      <c r="AP104" s="170"/>
      <c r="AQ104" s="170" cm="1">
        <f t="array" ref="AQ10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R104" s="170" cm="1">
        <f t="array" ref="AR10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S104" s="170" cm="1">
        <f t="array" ref="AS10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T104" s="170" cm="1">
        <f t="array" ref="AT10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U104" s="170" cm="1">
        <f t="array" ref="AU10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(desp[data.pagamento]&gt;=$A104)*
    (desp[data.pagamento]&lt;EOMONTH($A104,0)+1)
  )
)</f>
        <v>0</v>
      </c>
      <c r="AV104" s="181">
        <f>COUNTIFS(
    estq[empresa], AV$6,
    estq[Data da venda / reserva], "&gt;=" &amp; $A104,
    estq[Data da venda / reserva], "&lt;"  &amp; EOMONTH($A104,0) + 1
)</f>
        <v>0</v>
      </c>
      <c r="AW104" s="182">
        <f ca="1">SUMIFS(rec.uni[2029-06-01],
INDIRECT("rec.uni[natureza]"),"pro.soluto",
INDIRECT("rec.uni[empresa]"),AW$6)</f>
        <v>0</v>
      </c>
      <c r="AX104" s="182">
        <f ca="1">SUMIFS(rec.uni[2029-06-01],
INDIRECT("rec.uni[natureza]"),"repasse.cef.obra",
INDIRECT("rec.uni[empresa]"),AX$6)</f>
        <v>0</v>
      </c>
      <c r="AY104" s="185">
        <f ca="1">SUMIFS(rec.uni[2029-06-01],
INDIRECT("rec.uni[natureza]"),"repasse.cef.terreno",
INDIRECT("rec.uni[empresa]"),AY$6)</f>
        <v>0</v>
      </c>
      <c r="AZ104" s="186"/>
      <c r="BA104" s="182">
        <f ca="1">SUMIFS(rec.uni[2029-06-01],
INDIRECT("rec.uni[natureza]"),"taxa.extra",
INDIRECT("rec.uni[empresa]"),BA$6)</f>
        <v>0</v>
      </c>
      <c r="BB104" s="170"/>
      <c r="BC104" s="170" cm="1">
        <f t="array" ref="BC10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D104" s="170" cm="1">
        <f t="array" ref="BD10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E104" s="170" cm="1">
        <f t="array" ref="BE10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F104" s="170" cm="1">
        <f t="array" ref="BF10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G104" s="170" cm="1">
        <f t="array" ref="BG10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(desp[data.pagamento]&gt;=$A104)*
    (desp[data.pagamento]&lt;EOMONTH($A104,0)+1)
  )
)</f>
        <v>0</v>
      </c>
      <c r="BH104" s="181">
        <f>COUNTIFS(
    estq[empresa], BH$6,
    estq[Data da venda / reserva], "&gt;=" &amp; $A104,
    estq[Data da venda / reserva], "&lt;"  &amp; EOMONTH($A104,0) + 1
)</f>
        <v>0</v>
      </c>
      <c r="BI104" s="182">
        <f ca="1">SUMIFS(rec.uni[2029-06-01],
INDIRECT("rec.uni[natureza]"),"pro.soluto",
INDIRECT("rec.uni[empresa]"),BI$6)</f>
        <v>0</v>
      </c>
      <c r="BJ104" s="186">
        <f ca="1">SUMIFS(rec.uni[2029-06-01],
INDIRECT("rec.uni[natureza]"),"parcela.fin.total.ik",
INDIRECT("rec.uni[empresa]"),BJ$6)</f>
        <v>0</v>
      </c>
      <c r="BK104" s="182">
        <f ca="1">SUMIFS(rec.uni[2029-06-01],
INDIRECT("rec.uni[natureza]"),"taxa.extra",
INDIRECT("rec.uni[empresa]"),BK$6)</f>
        <v>0</v>
      </c>
      <c r="BL104" s="170"/>
      <c r="BM104" s="170" cm="1">
        <f t="array" ref="BM10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N104" s="170" cm="1">
        <f t="array" ref="BN10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O104" s="170" cm="1">
        <f t="array" ref="BO10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P104" s="170" cm="1">
        <f t="array" ref="BP10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Q104" s="170" cm="1">
        <f t="array" ref="BQ10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(desp[data.pagamento]&gt;=$A104)*
    (desp[data.pagamento]&lt;EOMONTH($A104,0)+1)
  )
)</f>
        <v>0</v>
      </c>
      <c r="BR104" s="181">
        <f>COUNTIFS(
    estq[empresa], BR$6,
    estq[Data da venda / reserva], "&gt;=" &amp; $A104,
    estq[Data da venda / reserva], "&lt;"  &amp; EOMONTH($A104,0) + 1
)</f>
        <v>0</v>
      </c>
      <c r="BS104" s="182">
        <f ca="1">SUMIFS(rec.uni[2029-06-01],
INDIRECT("rec.uni[natureza]"),"pro.soluto",
INDIRECT("rec.uni[empresa]"),BS$6)</f>
        <v>0</v>
      </c>
      <c r="BT104" s="186">
        <f ca="1">SUMIFS(rec.uni[2029-06-01],
INDIRECT("rec.uni[natureza]"),"parcela.fin.total.ik",
INDIRECT("rec.uni[empresa]"),BT$6)</f>
        <v>0</v>
      </c>
      <c r="BU104" s="182">
        <f ca="1">SUMIFS(rec.uni[2029-06-01],
INDIRECT("rec.uni[natureza]"),"taxa.extra",
INDIRECT("rec.uni[empresa]"),BU$6)</f>
        <v>0</v>
      </c>
      <c r="BV104" s="170"/>
      <c r="BW104" s="170" cm="1">
        <f t="array" ref="BW10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BX104" s="170" cm="1">
        <f t="array" ref="BX10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BY104" s="170" cm="1">
        <f t="array" ref="BY10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BZ104" s="170" cm="1">
        <f t="array" ref="BZ10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CA104" s="170" cm="1">
        <f t="array" ref="CA10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(desp[data.pagamento]&gt;=$A104)*
    (desp[data.pagamento]&lt;EOMONTH($A104,0)+1)
  )
)</f>
        <v>0</v>
      </c>
      <c r="CB104" s="181">
        <f>COUNTIFS(
    estq[empresa], CB$6,
    estq[Data da venda / reserva], "&gt;=" &amp; $A104,
    estq[Data da venda / reserva], "&lt;"  &amp; EOMONTH($A104,0) + 1
)</f>
        <v>0</v>
      </c>
      <c r="CC104" s="182">
        <f ca="1">SUMIFS(rec.uni[2029-06-01],
INDIRECT("rec.uni[natureza]"),"pro.soluto",
INDIRECT("rec.uni[empresa]"),CC$6)</f>
        <v>0</v>
      </c>
      <c r="CD104" s="182">
        <f ca="1">SUMIFS(rec.uni[2029-06-01],
INDIRECT("rec.uni[natureza]"),"repasse.cef.obra",
INDIRECT("rec.uni[empresa]"),CD$6)</f>
        <v>0</v>
      </c>
      <c r="CE104" s="185">
        <f ca="1">SUMIFS(rec.uni[2029-06-01],
INDIRECT("rec.uni[natureza]"),"repasse.cef.terreno",
INDIRECT("rec.uni[empresa]"),CE$6)</f>
        <v>0</v>
      </c>
      <c r="CF104" s="186"/>
      <c r="CG104" s="182">
        <f ca="1">SUMIFS(rec.uni[2029-06-01],
INDIRECT("rec.uni[natureza]"),"taxa.extra",
INDIRECT("rec.uni[empresa]"),CG$6)</f>
        <v>0</v>
      </c>
      <c r="CH104" s="170"/>
      <c r="CI104" s="170" cm="1">
        <f t="array" ref="CI10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J104" s="170" cm="1">
        <f t="array" ref="CJ10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K104" s="170" cm="1">
        <f t="array" ref="CK10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L104" s="170" cm="1">
        <f t="array" ref="CL10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M104" s="170" cm="1">
        <f t="array" ref="CM10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(desp[data.pagamento]&gt;=$A104)*
    (desp[data.pagamento]&lt;EOMONTH($A104,0)+1)
  )
)</f>
        <v>0</v>
      </c>
      <c r="CN104" s="181">
        <f>COUNTIFS(
    estq[empresa], CN$6,
    estq[Data da venda / reserva], "&gt;=" &amp; $A104,
    estq[Data da venda / reserva], "&lt;"  &amp; EOMONTH($A104,0) + 1
)</f>
        <v>0</v>
      </c>
      <c r="CO104" s="182">
        <f ca="1">SUMIFS(rec.uni[2029-06-01],
INDIRECT("rec.uni[natureza]"),"pro.soluto",
INDIRECT("rec.uni[empresa]"),CO$6)</f>
        <v>0</v>
      </c>
      <c r="CP104" s="182">
        <f ca="1">SUMIFS(rec.uni[2029-06-01],
INDIRECT("rec.uni[natureza]"),"repasse.cef.obra",
INDIRECT("rec.uni[empresa]"),CP$6)</f>
        <v>0</v>
      </c>
      <c r="CQ104" s="185">
        <f ca="1">SUMIFS(rec.uni[2029-06-01],
INDIRECT("rec.uni[natureza]"),"repasse.cef.terreno",
INDIRECT("rec.uni[empresa]"),CQ$6)</f>
        <v>0</v>
      </c>
      <c r="CR104" s="186"/>
      <c r="CS104" s="182">
        <f ca="1">SUMIFS(rec.uni[2029-06-01],
INDIRECT("rec.uni[natureza]"),"taxa.extra",
INDIRECT("rec.uni[empresa]"),CS$6)</f>
        <v>0</v>
      </c>
      <c r="CT104" s="170"/>
      <c r="CU104" s="170" cm="1">
        <f t="array" ref="CU10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  <c r="CV104" s="170" cm="1">
        <f t="array" ref="CV10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  <c r="CW104" s="170" cm="1">
        <f t="array" ref="CW10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  <c r="CX104" s="170" cm="1">
        <f t="array" ref="CX10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  <c r="CY104" s="295" cm="1">
        <f t="array" ref="CY10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(desp[data.pagamento]&gt;=$A104)*
    (desp[data.pagamento]&lt;EOMONTH($A104,0)+1)
  )
)</f>
        <v>0</v>
      </c>
    </row>
    <row r="105" spans="1:103" x14ac:dyDescent="0.25">
      <c r="A105" s="180">
        <v>47300</v>
      </c>
      <c r="B105" s="181">
        <f>COUNTIFS(
    estq[empresa], B$6,
    estq[Data da venda / reserva], "&gt;=" &amp; $A105,
    estq[Data da venda / reserva], "&lt;"  &amp; EOMONTH($A105,0) + 1
)</f>
        <v>0</v>
      </c>
      <c r="C105" s="182">
        <f ca="1">SUMIFS(rec.uni[2029-07-01],
INDIRECT("rec.uni[natureza]"),"pro.soluto",
INDIRECT("rec.uni[empresa]"),C$6)</f>
        <v>0</v>
      </c>
      <c r="D105" s="182">
        <f ca="1">SUMIFS(rec.uni[2029-07-01],
INDIRECT("rec.uni[natureza]"),"repasse.cef.obra",
INDIRECT("rec.uni[empresa]"),D$6)</f>
        <v>0</v>
      </c>
      <c r="E105" s="182">
        <f ca="1">SUMIFS(rec.uni[2029-07-01],
INDIRECT("rec.uni[natureza]"),"repasse.cef.terreno",
INDIRECT("rec.uni[empresa]"),E$6)</f>
        <v>0</v>
      </c>
      <c r="F105" s="186"/>
      <c r="G105" s="182">
        <f ca="1">SUMIFS(rec.uni[2029-07-01],
INDIRECT("rec.uni[natureza]"),"taxa.extra",
INDIRECT("rec.uni[empresa]"),G$6)</f>
        <v>0</v>
      </c>
      <c r="H105" s="170"/>
      <c r="I105" s="170" cm="1">
        <f t="array" ref="I10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J105" s="170" cm="1">
        <f t="array" ref="J10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K105" s="170" cm="1">
        <f t="array" ref="K10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L105" s="170" cm="1">
        <f t="array" ref="L10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M105" s="170" cm="1">
        <f t="array" ref="M10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(desp[data.pagamento]&gt;=$A105)*
    (desp[data.pagamento]&lt;EOMONTH($A105,0)+1)
  )
)</f>
        <v>0</v>
      </c>
      <c r="N105" s="181">
        <f>COUNTIFS(
    estq[empresa], N$6,
    estq[Data da venda / reserva], "&gt;=" &amp; $A105,
    estq[Data da venda / reserva], "&lt;"  &amp; EOMONTH($A105,0) + 1
)</f>
        <v>0</v>
      </c>
      <c r="O105" s="182">
        <f ca="1">SUMIFS(rec.uni[2029-07-01],
INDIRECT("rec.uni[natureza]"),"pro.soluto",
INDIRECT("rec.uni[empresa]"),O$6)</f>
        <v>0</v>
      </c>
      <c r="P105" s="182">
        <f ca="1">SUMIFS(rec.uni[2029-07-01],
INDIRECT("rec.uni[natureza]"),"repasse.cef.obra",
INDIRECT("rec.uni[empresa]"),P$6)</f>
        <v>0</v>
      </c>
      <c r="Q105" s="182">
        <f ca="1">SUMIFS(rec.uni[2029-07-01],
INDIRECT("rec.uni[natureza]"),"repasse.cef.terreno",
INDIRECT("rec.uni[empresa]"),Q$6)</f>
        <v>0</v>
      </c>
      <c r="R105" s="186"/>
      <c r="S105" s="182">
        <f ca="1">SUMIFS(rec.uni[2029-07-01],
INDIRECT("rec.uni[natureza]"),"taxa.extra",
INDIRECT("rec.uni[empresa]"),S$6)</f>
        <v>0</v>
      </c>
      <c r="T105" s="170"/>
      <c r="U105" s="170" cm="1">
        <f t="array" ref="U10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V105" s="170" cm="1">
        <f t="array" ref="V10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W105" s="170" cm="1">
        <f t="array" ref="W10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X105" s="170" cm="1">
        <f t="array" ref="X10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Y105" s="170" cm="1">
        <f t="array" ref="Y10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(desp[data.pagamento]&gt;=$A105)*
    (desp[data.pagamento]&lt;EOMONTH($A105,0)+1)
  )
)</f>
        <v>0</v>
      </c>
      <c r="Z105" s="181">
        <f>COUNTIFS(
    estq[empresa], Z$6,
    estq[Data da venda / reserva], "&gt;=" &amp; $A105,
    estq[Data da venda / reserva], "&lt;"  &amp; EOMONTH($A105,0) + 1
)</f>
        <v>0</v>
      </c>
      <c r="AA105" s="182">
        <f ca="1">SUMIFS(rec.uni[2029-07-01],
INDIRECT("rec.uni[natureza]"),"pro.soluto",
INDIRECT("rec.uni[empresa]"),AA$6)</f>
        <v>0</v>
      </c>
      <c r="AB105" s="186">
        <f ca="1">SUMIFS(rec.uni[2029-07-01],
INDIRECT("rec.uni[natureza]"),"parcela.fin.total.ik",
INDIRECT("rec.uni[empresa]"),AB$6)</f>
        <v>0</v>
      </c>
      <c r="AC105" s="182">
        <f ca="1">SUMIFS(rec.uni[2029-07-01],
INDIRECT("rec.uni[natureza]"),"taxa.extra",
INDIRECT("rec.uni[empresa]"),AC$6)</f>
        <v>0</v>
      </c>
      <c r="AD105" s="170"/>
      <c r="AE105" s="170" cm="1">
        <f t="array" ref="AE10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F105" s="170" cm="1">
        <f t="array" ref="AF10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G105" s="170" cm="1">
        <f t="array" ref="AG10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H105" s="170" cm="1">
        <f t="array" ref="AH10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I105" s="170" cm="1">
        <f t="array" ref="AI10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(desp[data.pagamento]&gt;=$A105)*
    (desp[data.pagamento]&lt;EOMONTH($A105,0)+1)
  )
)</f>
        <v>0</v>
      </c>
      <c r="AJ105" s="181">
        <f>COUNTIFS(
    estq[empresa], AJ$6,
    estq[Data da venda / reserva], "&gt;=" &amp; $A105,
    estq[Data da venda / reserva], "&lt;"  &amp; EOMONTH($A105,0) + 1
)</f>
        <v>0</v>
      </c>
      <c r="AK105" s="182">
        <f ca="1">SUMIFS(rec.uni[2029-07-01],
INDIRECT("rec.uni[natureza]"),"pro.soluto",
INDIRECT("rec.uni[empresa]"),AK$6)</f>
        <v>0</v>
      </c>
      <c r="AL105" s="182">
        <f ca="1">SUMIFS(rec.uni[2029-07-01],
INDIRECT("rec.uni[natureza]"),"repasse.cef.obra",
INDIRECT("rec.uni[empresa]"),AL$6)</f>
        <v>0</v>
      </c>
      <c r="AM105" s="185">
        <f ca="1">SUMIFS(rec.uni[2029-07-01],
INDIRECT("rec.uni[natureza]"),"repasse.cef.terreno",
INDIRECT("rec.uni[empresa]"),AM$6)</f>
        <v>0</v>
      </c>
      <c r="AN105" s="186"/>
      <c r="AO105" s="182">
        <f ca="1">SUMIFS(rec.uni[2029-07-01],
INDIRECT("rec.uni[natureza]"),"taxa.extra",
INDIRECT("rec.uni[empresa]"),AO$6)</f>
        <v>0</v>
      </c>
      <c r="AP105" s="170"/>
      <c r="AQ105" s="170" cm="1">
        <f t="array" ref="AQ10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R105" s="170" cm="1">
        <f t="array" ref="AR10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S105" s="170" cm="1">
        <f t="array" ref="AS10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T105" s="170" cm="1">
        <f t="array" ref="AT10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U105" s="170" cm="1">
        <f t="array" ref="AU10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(desp[data.pagamento]&gt;=$A105)*
    (desp[data.pagamento]&lt;EOMONTH($A105,0)+1)
  )
)</f>
        <v>0</v>
      </c>
      <c r="AV105" s="181">
        <f>COUNTIFS(
    estq[empresa], AV$6,
    estq[Data da venda / reserva], "&gt;=" &amp; $A105,
    estq[Data da venda / reserva], "&lt;"  &amp; EOMONTH($A105,0) + 1
)</f>
        <v>0</v>
      </c>
      <c r="AW105" s="182">
        <f ca="1">SUMIFS(rec.uni[2029-07-01],
INDIRECT("rec.uni[natureza]"),"pro.soluto",
INDIRECT("rec.uni[empresa]"),AW$6)</f>
        <v>0</v>
      </c>
      <c r="AX105" s="182">
        <f ca="1">SUMIFS(rec.uni[2029-07-01],
INDIRECT("rec.uni[natureza]"),"repasse.cef.obra",
INDIRECT("rec.uni[empresa]"),AX$6)</f>
        <v>0</v>
      </c>
      <c r="AY105" s="185">
        <f ca="1">SUMIFS(rec.uni[2029-07-01],
INDIRECT("rec.uni[natureza]"),"repasse.cef.terreno",
INDIRECT("rec.uni[empresa]"),AY$6)</f>
        <v>0</v>
      </c>
      <c r="AZ105" s="186"/>
      <c r="BA105" s="182">
        <f ca="1">SUMIFS(rec.uni[2029-07-01],
INDIRECT("rec.uni[natureza]"),"taxa.extra",
INDIRECT("rec.uni[empresa]"),BA$6)</f>
        <v>0</v>
      </c>
      <c r="BB105" s="170"/>
      <c r="BC105" s="170" cm="1">
        <f t="array" ref="BC10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D105" s="170" cm="1">
        <f t="array" ref="BD10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E105" s="170" cm="1">
        <f t="array" ref="BE10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F105" s="170" cm="1">
        <f t="array" ref="BF10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G105" s="170" cm="1">
        <f t="array" ref="BG10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(desp[data.pagamento]&gt;=$A105)*
    (desp[data.pagamento]&lt;EOMONTH($A105,0)+1)
  )
)</f>
        <v>0</v>
      </c>
      <c r="BH105" s="181">
        <f>COUNTIFS(
    estq[empresa], BH$6,
    estq[Data da venda / reserva], "&gt;=" &amp; $A105,
    estq[Data da venda / reserva], "&lt;"  &amp; EOMONTH($A105,0) + 1
)</f>
        <v>0</v>
      </c>
      <c r="BI105" s="182">
        <f ca="1">SUMIFS(rec.uni[2029-07-01],
INDIRECT("rec.uni[natureza]"),"pro.soluto",
INDIRECT("rec.uni[empresa]"),BI$6)</f>
        <v>0</v>
      </c>
      <c r="BJ105" s="186">
        <f ca="1">SUMIFS(rec.uni[2029-07-01],
INDIRECT("rec.uni[natureza]"),"parcela.fin.total.ik",
INDIRECT("rec.uni[empresa]"),BJ$6)</f>
        <v>0</v>
      </c>
      <c r="BK105" s="182">
        <f ca="1">SUMIFS(rec.uni[2029-07-01],
INDIRECT("rec.uni[natureza]"),"taxa.extra",
INDIRECT("rec.uni[empresa]"),BK$6)</f>
        <v>0</v>
      </c>
      <c r="BL105" s="170"/>
      <c r="BM105" s="170" cm="1">
        <f t="array" ref="BM10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N105" s="170" cm="1">
        <f t="array" ref="BN10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O105" s="170" cm="1">
        <f t="array" ref="BO10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P105" s="170" cm="1">
        <f t="array" ref="BP10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Q105" s="170" cm="1">
        <f t="array" ref="BQ10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(desp[data.pagamento]&gt;=$A105)*
    (desp[data.pagamento]&lt;EOMONTH($A105,0)+1)
  )
)</f>
        <v>0</v>
      </c>
      <c r="BR105" s="181">
        <f>COUNTIFS(
    estq[empresa], BR$6,
    estq[Data da venda / reserva], "&gt;=" &amp; $A105,
    estq[Data da venda / reserva], "&lt;"  &amp; EOMONTH($A105,0) + 1
)</f>
        <v>0</v>
      </c>
      <c r="BS105" s="182">
        <f ca="1">SUMIFS(rec.uni[2029-07-01],
INDIRECT("rec.uni[natureza]"),"pro.soluto",
INDIRECT("rec.uni[empresa]"),BS$6)</f>
        <v>0</v>
      </c>
      <c r="BT105" s="186">
        <f ca="1">SUMIFS(rec.uni[2029-07-01],
INDIRECT("rec.uni[natureza]"),"parcela.fin.total.ik",
INDIRECT("rec.uni[empresa]"),BT$6)</f>
        <v>0</v>
      </c>
      <c r="BU105" s="182">
        <f ca="1">SUMIFS(rec.uni[2029-07-01],
INDIRECT("rec.uni[natureza]"),"taxa.extra",
INDIRECT("rec.uni[empresa]"),BU$6)</f>
        <v>0</v>
      </c>
      <c r="BV105" s="170"/>
      <c r="BW105" s="170" cm="1">
        <f t="array" ref="BW10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BX105" s="170" cm="1">
        <f t="array" ref="BX10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BY105" s="170" cm="1">
        <f t="array" ref="BY10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BZ105" s="170" cm="1">
        <f t="array" ref="BZ10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CA105" s="170" cm="1">
        <f t="array" ref="CA10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(desp[data.pagamento]&gt;=$A105)*
    (desp[data.pagamento]&lt;EOMONTH($A105,0)+1)
  )
)</f>
        <v>0</v>
      </c>
      <c r="CB105" s="181">
        <f>COUNTIFS(
    estq[empresa], CB$6,
    estq[Data da venda / reserva], "&gt;=" &amp; $A105,
    estq[Data da venda / reserva], "&lt;"  &amp; EOMONTH($A105,0) + 1
)</f>
        <v>0</v>
      </c>
      <c r="CC105" s="182">
        <f ca="1">SUMIFS(rec.uni[2029-07-01],
INDIRECT("rec.uni[natureza]"),"pro.soluto",
INDIRECT("rec.uni[empresa]"),CC$6)</f>
        <v>0</v>
      </c>
      <c r="CD105" s="182">
        <f ca="1">SUMIFS(rec.uni[2029-07-01],
INDIRECT("rec.uni[natureza]"),"repasse.cef.obra",
INDIRECT("rec.uni[empresa]"),CD$6)</f>
        <v>0</v>
      </c>
      <c r="CE105" s="185">
        <f ca="1">SUMIFS(rec.uni[2029-07-01],
INDIRECT("rec.uni[natureza]"),"repasse.cef.terreno",
INDIRECT("rec.uni[empresa]"),CE$6)</f>
        <v>0</v>
      </c>
      <c r="CF105" s="186"/>
      <c r="CG105" s="182">
        <f ca="1">SUMIFS(rec.uni[2029-07-01],
INDIRECT("rec.uni[natureza]"),"taxa.extra",
INDIRECT("rec.uni[empresa]"),CG$6)</f>
        <v>0</v>
      </c>
      <c r="CH105" s="170"/>
      <c r="CI105" s="170" cm="1">
        <f t="array" ref="CI10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J105" s="170" cm="1">
        <f t="array" ref="CJ10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K105" s="170" cm="1">
        <f t="array" ref="CK10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L105" s="170" cm="1">
        <f t="array" ref="CL10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M105" s="170" cm="1">
        <f t="array" ref="CM10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(desp[data.pagamento]&gt;=$A105)*
    (desp[data.pagamento]&lt;EOMONTH($A105,0)+1)
  )
)</f>
        <v>0</v>
      </c>
      <c r="CN105" s="181">
        <f>COUNTIFS(
    estq[empresa], CN$6,
    estq[Data da venda / reserva], "&gt;=" &amp; $A105,
    estq[Data da venda / reserva], "&lt;"  &amp; EOMONTH($A105,0) + 1
)</f>
        <v>0</v>
      </c>
      <c r="CO105" s="182">
        <f ca="1">SUMIFS(rec.uni[2029-07-01],
INDIRECT("rec.uni[natureza]"),"pro.soluto",
INDIRECT("rec.uni[empresa]"),CO$6)</f>
        <v>0</v>
      </c>
      <c r="CP105" s="182">
        <f ca="1">SUMIFS(rec.uni[2029-07-01],
INDIRECT("rec.uni[natureza]"),"repasse.cef.obra",
INDIRECT("rec.uni[empresa]"),CP$6)</f>
        <v>0</v>
      </c>
      <c r="CQ105" s="185">
        <f ca="1">SUMIFS(rec.uni[2029-07-01],
INDIRECT("rec.uni[natureza]"),"repasse.cef.terreno",
INDIRECT("rec.uni[empresa]"),CQ$6)</f>
        <v>0</v>
      </c>
      <c r="CR105" s="186"/>
      <c r="CS105" s="182">
        <f ca="1">SUMIFS(rec.uni[2029-07-01],
INDIRECT("rec.uni[natureza]"),"taxa.extra",
INDIRECT("rec.uni[empresa]"),CS$6)</f>
        <v>0</v>
      </c>
      <c r="CT105" s="170"/>
      <c r="CU105" s="170" cm="1">
        <f t="array" ref="CU10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  <c r="CV105" s="170" cm="1">
        <f t="array" ref="CV10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  <c r="CW105" s="170" cm="1">
        <f t="array" ref="CW10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  <c r="CX105" s="170" cm="1">
        <f t="array" ref="CX10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  <c r="CY105" s="295" cm="1">
        <f t="array" ref="CY10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(desp[data.pagamento]&gt;=$A105)*
    (desp[data.pagamento]&lt;EOMONTH($A105,0)+1)
  )
)</f>
        <v>0</v>
      </c>
    </row>
    <row r="106" spans="1:103" x14ac:dyDescent="0.25">
      <c r="A106" s="180">
        <v>47331</v>
      </c>
      <c r="B106" s="181">
        <f>COUNTIFS(
    estq[empresa], B$6,
    estq[Data da venda / reserva], "&gt;=" &amp; $A106,
    estq[Data da venda / reserva], "&lt;"  &amp; EOMONTH($A106,0) + 1
)</f>
        <v>0</v>
      </c>
      <c r="C106" s="182">
        <f ca="1">SUMIFS(rec.uni[2029-08-01],
INDIRECT("rec.uni[natureza]"),"pro.soluto",
INDIRECT("rec.uni[empresa]"),C$6)</f>
        <v>0</v>
      </c>
      <c r="D106" s="182">
        <f ca="1">SUMIFS(rec.uni[2029-08-01],
INDIRECT("rec.uni[natureza]"),"repasse.cef.obra",
INDIRECT("rec.uni[empresa]"),D$6)</f>
        <v>0</v>
      </c>
      <c r="E106" s="182">
        <f ca="1">SUMIFS(rec.uni[2029-08-01],
INDIRECT("rec.uni[natureza]"),"repasse.cef.terreno",
INDIRECT("rec.uni[empresa]"),E$6)</f>
        <v>0</v>
      </c>
      <c r="F106" s="186"/>
      <c r="G106" s="182">
        <f ca="1">SUMIFS(rec.uni[2029-08-01],
INDIRECT("rec.uni[natureza]"),"taxa.extra",
INDIRECT("rec.uni[empresa]"),G$6)</f>
        <v>0</v>
      </c>
      <c r="H106" s="170"/>
      <c r="I106" s="170" cm="1">
        <f t="array" ref="I10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J106" s="170" cm="1">
        <f t="array" ref="J10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K106" s="170" cm="1">
        <f t="array" ref="K10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L106" s="170" cm="1">
        <f t="array" ref="L10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M106" s="170" cm="1">
        <f t="array" ref="M10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(desp[data.pagamento]&gt;=$A106)*
    (desp[data.pagamento]&lt;EOMONTH($A106,0)+1)
  )
)</f>
        <v>0</v>
      </c>
      <c r="N106" s="181">
        <f>COUNTIFS(
    estq[empresa], N$6,
    estq[Data da venda / reserva], "&gt;=" &amp; $A106,
    estq[Data da venda / reserva], "&lt;"  &amp; EOMONTH($A106,0) + 1
)</f>
        <v>0</v>
      </c>
      <c r="O106" s="182">
        <f ca="1">SUMIFS(rec.uni[2029-08-01],
INDIRECT("rec.uni[natureza]"),"pro.soluto",
INDIRECT("rec.uni[empresa]"),O$6)</f>
        <v>0</v>
      </c>
      <c r="P106" s="182">
        <f ca="1">SUMIFS(rec.uni[2029-08-01],
INDIRECT("rec.uni[natureza]"),"repasse.cef.obra",
INDIRECT("rec.uni[empresa]"),P$6)</f>
        <v>0</v>
      </c>
      <c r="Q106" s="182">
        <f ca="1">SUMIFS(rec.uni[2029-08-01],
INDIRECT("rec.uni[natureza]"),"repasse.cef.terreno",
INDIRECT("rec.uni[empresa]"),Q$6)</f>
        <v>0</v>
      </c>
      <c r="R106" s="186"/>
      <c r="S106" s="182">
        <f ca="1">SUMIFS(rec.uni[2029-08-01],
INDIRECT("rec.uni[natureza]"),"taxa.extra",
INDIRECT("rec.uni[empresa]"),S$6)</f>
        <v>0</v>
      </c>
      <c r="T106" s="170"/>
      <c r="U106" s="170" cm="1">
        <f t="array" ref="U10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V106" s="170" cm="1">
        <f t="array" ref="V10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W106" s="170" cm="1">
        <f t="array" ref="W10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X106" s="170" cm="1">
        <f t="array" ref="X10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Y106" s="170" cm="1">
        <f t="array" ref="Y10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(desp[data.pagamento]&gt;=$A106)*
    (desp[data.pagamento]&lt;EOMONTH($A106,0)+1)
  )
)</f>
        <v>0</v>
      </c>
      <c r="Z106" s="181">
        <f>COUNTIFS(
    estq[empresa], Z$6,
    estq[Data da venda / reserva], "&gt;=" &amp; $A106,
    estq[Data da venda / reserva], "&lt;"  &amp; EOMONTH($A106,0) + 1
)</f>
        <v>0</v>
      </c>
      <c r="AA106" s="182">
        <f ca="1">SUMIFS(rec.uni[2029-08-01],
INDIRECT("rec.uni[natureza]"),"pro.soluto",
INDIRECT("rec.uni[empresa]"),AA$6)</f>
        <v>0</v>
      </c>
      <c r="AB106" s="186">
        <f ca="1">SUMIFS(rec.uni[2029-08-01],
INDIRECT("rec.uni[natureza]"),"parcela.fin.total.ik",
INDIRECT("rec.uni[empresa]"),AB$6)</f>
        <v>0</v>
      </c>
      <c r="AC106" s="182">
        <f ca="1">SUMIFS(rec.uni[2029-08-01],
INDIRECT("rec.uni[natureza]"),"taxa.extra",
INDIRECT("rec.uni[empresa]"),AC$6)</f>
        <v>0</v>
      </c>
      <c r="AD106" s="170"/>
      <c r="AE106" s="170" cm="1">
        <f t="array" ref="AE10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F106" s="170" cm="1">
        <f t="array" ref="AF10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G106" s="170" cm="1">
        <f t="array" ref="AG10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H106" s="170" cm="1">
        <f t="array" ref="AH10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I106" s="170" cm="1">
        <f t="array" ref="AI10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(desp[data.pagamento]&gt;=$A106)*
    (desp[data.pagamento]&lt;EOMONTH($A106,0)+1)
  )
)</f>
        <v>0</v>
      </c>
      <c r="AJ106" s="181">
        <f>COUNTIFS(
    estq[empresa], AJ$6,
    estq[Data da venda / reserva], "&gt;=" &amp; $A106,
    estq[Data da venda / reserva], "&lt;"  &amp; EOMONTH($A106,0) + 1
)</f>
        <v>0</v>
      </c>
      <c r="AK106" s="182">
        <f ca="1">SUMIFS(rec.uni[2029-08-01],
INDIRECT("rec.uni[natureza]"),"pro.soluto",
INDIRECT("rec.uni[empresa]"),AK$6)</f>
        <v>0</v>
      </c>
      <c r="AL106" s="182">
        <f ca="1">SUMIFS(rec.uni[2029-08-01],
INDIRECT("rec.uni[natureza]"),"repasse.cef.obra",
INDIRECT("rec.uni[empresa]"),AL$6)</f>
        <v>0</v>
      </c>
      <c r="AM106" s="185">
        <f ca="1">SUMIFS(rec.uni[2029-08-01],
INDIRECT("rec.uni[natureza]"),"repasse.cef.terreno",
INDIRECT("rec.uni[empresa]"),AM$6)</f>
        <v>0</v>
      </c>
      <c r="AN106" s="186"/>
      <c r="AO106" s="182">
        <f ca="1">SUMIFS(rec.uni[2029-08-01],
INDIRECT("rec.uni[natureza]"),"taxa.extra",
INDIRECT("rec.uni[empresa]"),AO$6)</f>
        <v>0</v>
      </c>
      <c r="AP106" s="170"/>
      <c r="AQ106" s="170" cm="1">
        <f t="array" ref="AQ10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R106" s="170" cm="1">
        <f t="array" ref="AR10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S106" s="170" cm="1">
        <f t="array" ref="AS10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T106" s="170" cm="1">
        <f t="array" ref="AT10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U106" s="170" cm="1">
        <f t="array" ref="AU10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(desp[data.pagamento]&gt;=$A106)*
    (desp[data.pagamento]&lt;EOMONTH($A106,0)+1)
  )
)</f>
        <v>0</v>
      </c>
      <c r="AV106" s="181">
        <f>COUNTIFS(
    estq[empresa], AV$6,
    estq[Data da venda / reserva], "&gt;=" &amp; $A106,
    estq[Data da venda / reserva], "&lt;"  &amp; EOMONTH($A106,0) + 1
)</f>
        <v>0</v>
      </c>
      <c r="AW106" s="182">
        <f ca="1">SUMIFS(rec.uni[2029-08-01],
INDIRECT("rec.uni[natureza]"),"pro.soluto",
INDIRECT("rec.uni[empresa]"),AW$6)</f>
        <v>0</v>
      </c>
      <c r="AX106" s="182">
        <f ca="1">SUMIFS(rec.uni[2029-08-01],
INDIRECT("rec.uni[natureza]"),"repasse.cef.obra",
INDIRECT("rec.uni[empresa]"),AX$6)</f>
        <v>0</v>
      </c>
      <c r="AY106" s="185">
        <f ca="1">SUMIFS(rec.uni[2029-08-01],
INDIRECT("rec.uni[natureza]"),"repasse.cef.terreno",
INDIRECT("rec.uni[empresa]"),AY$6)</f>
        <v>0</v>
      </c>
      <c r="AZ106" s="186"/>
      <c r="BA106" s="182">
        <f ca="1">SUMIFS(rec.uni[2029-08-01],
INDIRECT("rec.uni[natureza]"),"taxa.extra",
INDIRECT("rec.uni[empresa]"),BA$6)</f>
        <v>0</v>
      </c>
      <c r="BB106" s="170"/>
      <c r="BC106" s="170" cm="1">
        <f t="array" ref="BC10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D106" s="170" cm="1">
        <f t="array" ref="BD10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E106" s="170" cm="1">
        <f t="array" ref="BE10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F106" s="170" cm="1">
        <f t="array" ref="BF10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G106" s="170" cm="1">
        <f t="array" ref="BG10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(desp[data.pagamento]&gt;=$A106)*
    (desp[data.pagamento]&lt;EOMONTH($A106,0)+1)
  )
)</f>
        <v>0</v>
      </c>
      <c r="BH106" s="181">
        <f>COUNTIFS(
    estq[empresa], BH$6,
    estq[Data da venda / reserva], "&gt;=" &amp; $A106,
    estq[Data da venda / reserva], "&lt;"  &amp; EOMONTH($A106,0) + 1
)</f>
        <v>0</v>
      </c>
      <c r="BI106" s="182">
        <f ca="1">SUMIFS(rec.uni[2029-08-01],
INDIRECT("rec.uni[natureza]"),"pro.soluto",
INDIRECT("rec.uni[empresa]"),BI$6)</f>
        <v>0</v>
      </c>
      <c r="BJ106" s="186">
        <f ca="1">SUMIFS(rec.uni[2029-08-01],
INDIRECT("rec.uni[natureza]"),"parcela.fin.total.ik",
INDIRECT("rec.uni[empresa]"),BJ$6)</f>
        <v>0</v>
      </c>
      <c r="BK106" s="182">
        <f ca="1">SUMIFS(rec.uni[2029-08-01],
INDIRECT("rec.uni[natureza]"),"taxa.extra",
INDIRECT("rec.uni[empresa]"),BK$6)</f>
        <v>0</v>
      </c>
      <c r="BL106" s="170"/>
      <c r="BM106" s="170" cm="1">
        <f t="array" ref="BM10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N106" s="170" cm="1">
        <f t="array" ref="BN10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O106" s="170" cm="1">
        <f t="array" ref="BO10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P106" s="170" cm="1">
        <f t="array" ref="BP10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Q106" s="170" cm="1">
        <f t="array" ref="BQ10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(desp[data.pagamento]&gt;=$A106)*
    (desp[data.pagamento]&lt;EOMONTH($A106,0)+1)
  )
)</f>
        <v>0</v>
      </c>
      <c r="BR106" s="181">
        <f>COUNTIFS(
    estq[empresa], BR$6,
    estq[Data da venda / reserva], "&gt;=" &amp; $A106,
    estq[Data da venda / reserva], "&lt;"  &amp; EOMONTH($A106,0) + 1
)</f>
        <v>0</v>
      </c>
      <c r="BS106" s="182">
        <f ca="1">SUMIFS(rec.uni[2029-08-01],
INDIRECT("rec.uni[natureza]"),"pro.soluto",
INDIRECT("rec.uni[empresa]"),BS$6)</f>
        <v>0</v>
      </c>
      <c r="BT106" s="186">
        <f ca="1">SUMIFS(rec.uni[2029-08-01],
INDIRECT("rec.uni[natureza]"),"parcela.fin.total.ik",
INDIRECT("rec.uni[empresa]"),BT$6)</f>
        <v>0</v>
      </c>
      <c r="BU106" s="182">
        <f ca="1">SUMIFS(rec.uni[2029-08-01],
INDIRECT("rec.uni[natureza]"),"taxa.extra",
INDIRECT("rec.uni[empresa]"),BU$6)</f>
        <v>0</v>
      </c>
      <c r="BV106" s="170"/>
      <c r="BW106" s="170" cm="1">
        <f t="array" ref="BW10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BX106" s="170" cm="1">
        <f t="array" ref="BX10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BY106" s="170" cm="1">
        <f t="array" ref="BY10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BZ106" s="170" cm="1">
        <f t="array" ref="BZ10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CA106" s="170" cm="1">
        <f t="array" ref="CA10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(desp[data.pagamento]&gt;=$A106)*
    (desp[data.pagamento]&lt;EOMONTH($A106,0)+1)
  )
)</f>
        <v>0</v>
      </c>
      <c r="CB106" s="181">
        <f>COUNTIFS(
    estq[empresa], CB$6,
    estq[Data da venda / reserva], "&gt;=" &amp; $A106,
    estq[Data da venda / reserva], "&lt;"  &amp; EOMONTH($A106,0) + 1
)</f>
        <v>0</v>
      </c>
      <c r="CC106" s="182">
        <f ca="1">SUMIFS(rec.uni[2029-08-01],
INDIRECT("rec.uni[natureza]"),"pro.soluto",
INDIRECT("rec.uni[empresa]"),CC$6)</f>
        <v>0</v>
      </c>
      <c r="CD106" s="182">
        <f ca="1">SUMIFS(rec.uni[2029-08-01],
INDIRECT("rec.uni[natureza]"),"repasse.cef.obra",
INDIRECT("rec.uni[empresa]"),CD$6)</f>
        <v>0</v>
      </c>
      <c r="CE106" s="185">
        <f ca="1">SUMIFS(rec.uni[2029-08-01],
INDIRECT("rec.uni[natureza]"),"repasse.cef.terreno",
INDIRECT("rec.uni[empresa]"),CE$6)</f>
        <v>0</v>
      </c>
      <c r="CF106" s="186"/>
      <c r="CG106" s="182">
        <f ca="1">SUMIFS(rec.uni[2029-08-01],
INDIRECT("rec.uni[natureza]"),"taxa.extra",
INDIRECT("rec.uni[empresa]"),CG$6)</f>
        <v>0</v>
      </c>
      <c r="CH106" s="170"/>
      <c r="CI106" s="170" cm="1">
        <f t="array" ref="CI10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J106" s="170" cm="1">
        <f t="array" ref="CJ10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K106" s="170" cm="1">
        <f t="array" ref="CK10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L106" s="170" cm="1">
        <f t="array" ref="CL10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M106" s="170" cm="1">
        <f t="array" ref="CM10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(desp[data.pagamento]&gt;=$A106)*
    (desp[data.pagamento]&lt;EOMONTH($A106,0)+1)
  )
)</f>
        <v>0</v>
      </c>
      <c r="CN106" s="181">
        <f>COUNTIFS(
    estq[empresa], CN$6,
    estq[Data da venda / reserva], "&gt;=" &amp; $A106,
    estq[Data da venda / reserva], "&lt;"  &amp; EOMONTH($A106,0) + 1
)</f>
        <v>0</v>
      </c>
      <c r="CO106" s="182">
        <f ca="1">SUMIFS(rec.uni[2029-08-01],
INDIRECT("rec.uni[natureza]"),"pro.soluto",
INDIRECT("rec.uni[empresa]"),CO$6)</f>
        <v>0</v>
      </c>
      <c r="CP106" s="182">
        <f ca="1">SUMIFS(rec.uni[2029-08-01],
INDIRECT("rec.uni[natureza]"),"repasse.cef.obra",
INDIRECT("rec.uni[empresa]"),CP$6)</f>
        <v>0</v>
      </c>
      <c r="CQ106" s="185">
        <f ca="1">SUMIFS(rec.uni[2029-08-01],
INDIRECT("rec.uni[natureza]"),"repasse.cef.terreno",
INDIRECT("rec.uni[empresa]"),CQ$6)</f>
        <v>0</v>
      </c>
      <c r="CR106" s="186"/>
      <c r="CS106" s="182">
        <f ca="1">SUMIFS(rec.uni[2029-08-01],
INDIRECT("rec.uni[natureza]"),"taxa.extra",
INDIRECT("rec.uni[empresa]"),CS$6)</f>
        <v>0</v>
      </c>
      <c r="CT106" s="170"/>
      <c r="CU106" s="170" cm="1">
        <f t="array" ref="CU10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  <c r="CV106" s="170" cm="1">
        <f t="array" ref="CV10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  <c r="CW106" s="170" cm="1">
        <f t="array" ref="CW10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  <c r="CX106" s="170" cm="1">
        <f t="array" ref="CX10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  <c r="CY106" s="295" cm="1">
        <f t="array" ref="CY10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(desp[data.pagamento]&gt;=$A106)*
    (desp[data.pagamento]&lt;EOMONTH($A106,0)+1)
  )
)</f>
        <v>0</v>
      </c>
    </row>
    <row r="107" spans="1:103" x14ac:dyDescent="0.25">
      <c r="A107" s="180">
        <v>47362</v>
      </c>
      <c r="B107" s="181">
        <f>COUNTIFS(
    estq[empresa], B$6,
    estq[Data da venda / reserva], "&gt;=" &amp; $A107,
    estq[Data da venda / reserva], "&lt;"  &amp; EOMONTH($A107,0) + 1
)</f>
        <v>0</v>
      </c>
      <c r="C107" s="182">
        <f ca="1">SUMIFS(rec.uni[2029-09-01],
INDIRECT("rec.uni[natureza]"),"pro.soluto",
INDIRECT("rec.uni[empresa]"),C$6)</f>
        <v>0</v>
      </c>
      <c r="D107" s="182">
        <f ca="1">SUMIFS(rec.uni[2029-09-01],
INDIRECT("rec.uni[natureza]"),"repasse.cef.obra",
INDIRECT("rec.uni[empresa]"),D$6)</f>
        <v>0</v>
      </c>
      <c r="E107" s="182">
        <f ca="1">SUMIFS(rec.uni[2029-09-01],
INDIRECT("rec.uni[natureza]"),"repasse.cef.terreno",
INDIRECT("rec.uni[empresa]"),E$6)</f>
        <v>0</v>
      </c>
      <c r="F107" s="186"/>
      <c r="G107" s="182">
        <f ca="1">SUMIFS(rec.uni[2029-09-01],
INDIRECT("rec.uni[natureza]"),"taxa.extra",
INDIRECT("rec.uni[empresa]"),G$6)</f>
        <v>0</v>
      </c>
      <c r="H107" s="170"/>
      <c r="I107" s="170" cm="1">
        <f t="array" ref="I10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J107" s="170" cm="1">
        <f t="array" ref="J10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K107" s="170" cm="1">
        <f t="array" ref="K10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L107" s="170" cm="1">
        <f t="array" ref="L10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M107" s="170" cm="1">
        <f t="array" ref="M10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(desp[data.pagamento]&gt;=$A107)*
    (desp[data.pagamento]&lt;EOMONTH($A107,0)+1)
  )
)</f>
        <v>0</v>
      </c>
      <c r="N107" s="181">
        <f>COUNTIFS(
    estq[empresa], N$6,
    estq[Data da venda / reserva], "&gt;=" &amp; $A107,
    estq[Data da venda / reserva], "&lt;"  &amp; EOMONTH($A107,0) + 1
)</f>
        <v>0</v>
      </c>
      <c r="O107" s="182">
        <f ca="1">SUMIFS(rec.uni[2029-09-01],
INDIRECT("rec.uni[natureza]"),"pro.soluto",
INDIRECT("rec.uni[empresa]"),O$6)</f>
        <v>0</v>
      </c>
      <c r="P107" s="182">
        <f ca="1">SUMIFS(rec.uni[2029-09-01],
INDIRECT("rec.uni[natureza]"),"repasse.cef.obra",
INDIRECT("rec.uni[empresa]"),P$6)</f>
        <v>0</v>
      </c>
      <c r="Q107" s="182">
        <f ca="1">SUMIFS(rec.uni[2029-09-01],
INDIRECT("rec.uni[natureza]"),"repasse.cef.terreno",
INDIRECT("rec.uni[empresa]"),Q$6)</f>
        <v>0</v>
      </c>
      <c r="R107" s="186"/>
      <c r="S107" s="182">
        <f ca="1">SUMIFS(rec.uni[2029-09-01],
INDIRECT("rec.uni[natureza]"),"taxa.extra",
INDIRECT("rec.uni[empresa]"),S$6)</f>
        <v>0</v>
      </c>
      <c r="T107" s="170"/>
      <c r="U107" s="170" cm="1">
        <f t="array" ref="U10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V107" s="170" cm="1">
        <f t="array" ref="V10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W107" s="170" cm="1">
        <f t="array" ref="W10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X107" s="170" cm="1">
        <f t="array" ref="X10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Y107" s="170" cm="1">
        <f t="array" ref="Y10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(desp[data.pagamento]&gt;=$A107)*
    (desp[data.pagamento]&lt;EOMONTH($A107,0)+1)
  )
)</f>
        <v>0</v>
      </c>
      <c r="Z107" s="181">
        <f>COUNTIFS(
    estq[empresa], Z$6,
    estq[Data da venda / reserva], "&gt;=" &amp; $A107,
    estq[Data da venda / reserva], "&lt;"  &amp; EOMONTH($A107,0) + 1
)</f>
        <v>0</v>
      </c>
      <c r="AA107" s="182">
        <f ca="1">SUMIFS(rec.uni[2029-09-01],
INDIRECT("rec.uni[natureza]"),"pro.soluto",
INDIRECT("rec.uni[empresa]"),AA$6)</f>
        <v>0</v>
      </c>
      <c r="AB107" s="186">
        <f ca="1">SUMIFS(rec.uni[2029-09-01],
INDIRECT("rec.uni[natureza]"),"parcela.fin.total.ik",
INDIRECT("rec.uni[empresa]"),AB$6)</f>
        <v>0</v>
      </c>
      <c r="AC107" s="182">
        <f ca="1">SUMIFS(rec.uni[2029-09-01],
INDIRECT("rec.uni[natureza]"),"taxa.extra",
INDIRECT("rec.uni[empresa]"),AC$6)</f>
        <v>0</v>
      </c>
      <c r="AD107" s="170"/>
      <c r="AE107" s="170" cm="1">
        <f t="array" ref="AE10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F107" s="170" cm="1">
        <f t="array" ref="AF10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G107" s="170" cm="1">
        <f t="array" ref="AG10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H107" s="170" cm="1">
        <f t="array" ref="AH10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I107" s="170" cm="1">
        <f t="array" ref="AI10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(desp[data.pagamento]&gt;=$A107)*
    (desp[data.pagamento]&lt;EOMONTH($A107,0)+1)
  )
)</f>
        <v>0</v>
      </c>
      <c r="AJ107" s="181">
        <f>COUNTIFS(
    estq[empresa], AJ$6,
    estq[Data da venda / reserva], "&gt;=" &amp; $A107,
    estq[Data da venda / reserva], "&lt;"  &amp; EOMONTH($A107,0) + 1
)</f>
        <v>0</v>
      </c>
      <c r="AK107" s="182">
        <f ca="1">SUMIFS(rec.uni[2029-09-01],
INDIRECT("rec.uni[natureza]"),"pro.soluto",
INDIRECT("rec.uni[empresa]"),AK$6)</f>
        <v>0</v>
      </c>
      <c r="AL107" s="182">
        <f ca="1">SUMIFS(rec.uni[2029-09-01],
INDIRECT("rec.uni[natureza]"),"repasse.cef.obra",
INDIRECT("rec.uni[empresa]"),AL$6)</f>
        <v>0</v>
      </c>
      <c r="AM107" s="185">
        <f ca="1">SUMIFS(rec.uni[2029-09-01],
INDIRECT("rec.uni[natureza]"),"repasse.cef.terreno",
INDIRECT("rec.uni[empresa]"),AM$6)</f>
        <v>0</v>
      </c>
      <c r="AN107" s="186"/>
      <c r="AO107" s="182">
        <f ca="1">SUMIFS(rec.uni[2029-09-01],
INDIRECT("rec.uni[natureza]"),"taxa.extra",
INDIRECT("rec.uni[empresa]"),AO$6)</f>
        <v>0</v>
      </c>
      <c r="AP107" s="170"/>
      <c r="AQ107" s="170" cm="1">
        <f t="array" ref="AQ10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R107" s="170" cm="1">
        <f t="array" ref="AR10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S107" s="170" cm="1">
        <f t="array" ref="AS10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T107" s="170" cm="1">
        <f t="array" ref="AT10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U107" s="170" cm="1">
        <f t="array" ref="AU10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(desp[data.pagamento]&gt;=$A107)*
    (desp[data.pagamento]&lt;EOMONTH($A107,0)+1)
  )
)</f>
        <v>0</v>
      </c>
      <c r="AV107" s="181">
        <f>COUNTIFS(
    estq[empresa], AV$6,
    estq[Data da venda / reserva], "&gt;=" &amp; $A107,
    estq[Data da venda / reserva], "&lt;"  &amp; EOMONTH($A107,0) + 1
)</f>
        <v>0</v>
      </c>
      <c r="AW107" s="182">
        <f ca="1">SUMIFS(rec.uni[2029-09-01],
INDIRECT("rec.uni[natureza]"),"pro.soluto",
INDIRECT("rec.uni[empresa]"),AW$6)</f>
        <v>0</v>
      </c>
      <c r="AX107" s="182">
        <f ca="1">SUMIFS(rec.uni[2029-09-01],
INDIRECT("rec.uni[natureza]"),"repasse.cef.obra",
INDIRECT("rec.uni[empresa]"),AX$6)</f>
        <v>0</v>
      </c>
      <c r="AY107" s="185">
        <f ca="1">SUMIFS(rec.uni[2029-09-01],
INDIRECT("rec.uni[natureza]"),"repasse.cef.terreno",
INDIRECT("rec.uni[empresa]"),AY$6)</f>
        <v>0</v>
      </c>
      <c r="AZ107" s="186"/>
      <c r="BA107" s="182">
        <f ca="1">SUMIFS(rec.uni[2029-09-01],
INDIRECT("rec.uni[natureza]"),"taxa.extra",
INDIRECT("rec.uni[empresa]"),BA$6)</f>
        <v>0</v>
      </c>
      <c r="BB107" s="170"/>
      <c r="BC107" s="170" cm="1">
        <f t="array" ref="BC10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D107" s="170" cm="1">
        <f t="array" ref="BD10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E107" s="170" cm="1">
        <f t="array" ref="BE10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F107" s="170" cm="1">
        <f t="array" ref="BF10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G107" s="170" cm="1">
        <f t="array" ref="BG10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(desp[data.pagamento]&gt;=$A107)*
    (desp[data.pagamento]&lt;EOMONTH($A107,0)+1)
  )
)</f>
        <v>0</v>
      </c>
      <c r="BH107" s="181">
        <f>COUNTIFS(
    estq[empresa], BH$6,
    estq[Data da venda / reserva], "&gt;=" &amp; $A107,
    estq[Data da venda / reserva], "&lt;"  &amp; EOMONTH($A107,0) + 1
)</f>
        <v>0</v>
      </c>
      <c r="BI107" s="182">
        <f ca="1">SUMIFS(rec.uni[2029-09-01],
INDIRECT("rec.uni[natureza]"),"pro.soluto",
INDIRECT("rec.uni[empresa]"),BI$6)</f>
        <v>0</v>
      </c>
      <c r="BJ107" s="186">
        <f ca="1">SUMIFS(rec.uni[2029-09-01],
INDIRECT("rec.uni[natureza]"),"parcela.fin.total.ik",
INDIRECT("rec.uni[empresa]"),BJ$6)</f>
        <v>0</v>
      </c>
      <c r="BK107" s="182">
        <f ca="1">SUMIFS(rec.uni[2029-09-01],
INDIRECT("rec.uni[natureza]"),"taxa.extra",
INDIRECT("rec.uni[empresa]"),BK$6)</f>
        <v>0</v>
      </c>
      <c r="BL107" s="170"/>
      <c r="BM107" s="170" cm="1">
        <f t="array" ref="BM10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N107" s="170" cm="1">
        <f t="array" ref="BN10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O107" s="170" cm="1">
        <f t="array" ref="BO10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P107" s="170" cm="1">
        <f t="array" ref="BP10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Q107" s="170" cm="1">
        <f t="array" ref="BQ10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(desp[data.pagamento]&gt;=$A107)*
    (desp[data.pagamento]&lt;EOMONTH($A107,0)+1)
  )
)</f>
        <v>0</v>
      </c>
      <c r="BR107" s="181">
        <f>COUNTIFS(
    estq[empresa], BR$6,
    estq[Data da venda / reserva], "&gt;=" &amp; $A107,
    estq[Data da venda / reserva], "&lt;"  &amp; EOMONTH($A107,0) + 1
)</f>
        <v>0</v>
      </c>
      <c r="BS107" s="182">
        <f ca="1">SUMIFS(rec.uni[2029-09-01],
INDIRECT("rec.uni[natureza]"),"pro.soluto",
INDIRECT("rec.uni[empresa]"),BS$6)</f>
        <v>0</v>
      </c>
      <c r="BT107" s="186">
        <f ca="1">SUMIFS(rec.uni[2029-09-01],
INDIRECT("rec.uni[natureza]"),"parcela.fin.total.ik",
INDIRECT("rec.uni[empresa]"),BT$6)</f>
        <v>0</v>
      </c>
      <c r="BU107" s="182">
        <f ca="1">SUMIFS(rec.uni[2029-09-01],
INDIRECT("rec.uni[natureza]"),"taxa.extra",
INDIRECT("rec.uni[empresa]"),BU$6)</f>
        <v>0</v>
      </c>
      <c r="BV107" s="170"/>
      <c r="BW107" s="170" cm="1">
        <f t="array" ref="BW10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BX107" s="170" cm="1">
        <f t="array" ref="BX10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BY107" s="170" cm="1">
        <f t="array" ref="BY10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BZ107" s="170" cm="1">
        <f t="array" ref="BZ10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CA107" s="170" cm="1">
        <f t="array" ref="CA10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(desp[data.pagamento]&gt;=$A107)*
    (desp[data.pagamento]&lt;EOMONTH($A107,0)+1)
  )
)</f>
        <v>0</v>
      </c>
      <c r="CB107" s="181">
        <f>COUNTIFS(
    estq[empresa], CB$6,
    estq[Data da venda / reserva], "&gt;=" &amp; $A107,
    estq[Data da venda / reserva], "&lt;"  &amp; EOMONTH($A107,0) + 1
)</f>
        <v>0</v>
      </c>
      <c r="CC107" s="182">
        <f ca="1">SUMIFS(rec.uni[2029-09-01],
INDIRECT("rec.uni[natureza]"),"pro.soluto",
INDIRECT("rec.uni[empresa]"),CC$6)</f>
        <v>0</v>
      </c>
      <c r="CD107" s="182">
        <f ca="1">SUMIFS(rec.uni[2029-09-01],
INDIRECT("rec.uni[natureza]"),"repasse.cef.obra",
INDIRECT("rec.uni[empresa]"),CD$6)</f>
        <v>0</v>
      </c>
      <c r="CE107" s="185">
        <f ca="1">SUMIFS(rec.uni[2029-09-01],
INDIRECT("rec.uni[natureza]"),"repasse.cef.terreno",
INDIRECT("rec.uni[empresa]"),CE$6)</f>
        <v>0</v>
      </c>
      <c r="CF107" s="186"/>
      <c r="CG107" s="182">
        <f ca="1">SUMIFS(rec.uni[2029-09-01],
INDIRECT("rec.uni[natureza]"),"taxa.extra",
INDIRECT("rec.uni[empresa]"),CG$6)</f>
        <v>0</v>
      </c>
      <c r="CH107" s="170"/>
      <c r="CI107" s="170" cm="1">
        <f t="array" ref="CI10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J107" s="170" cm="1">
        <f t="array" ref="CJ10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K107" s="170" cm="1">
        <f t="array" ref="CK10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L107" s="170" cm="1">
        <f t="array" ref="CL10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M107" s="170" cm="1">
        <f t="array" ref="CM10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(desp[data.pagamento]&gt;=$A107)*
    (desp[data.pagamento]&lt;EOMONTH($A107,0)+1)
  )
)</f>
        <v>0</v>
      </c>
      <c r="CN107" s="181">
        <f>COUNTIFS(
    estq[empresa], CN$6,
    estq[Data da venda / reserva], "&gt;=" &amp; $A107,
    estq[Data da venda / reserva], "&lt;"  &amp; EOMONTH($A107,0) + 1
)</f>
        <v>0</v>
      </c>
      <c r="CO107" s="182">
        <f ca="1">SUMIFS(rec.uni[2029-09-01],
INDIRECT("rec.uni[natureza]"),"pro.soluto",
INDIRECT("rec.uni[empresa]"),CO$6)</f>
        <v>0</v>
      </c>
      <c r="CP107" s="182">
        <f ca="1">SUMIFS(rec.uni[2029-09-01],
INDIRECT("rec.uni[natureza]"),"repasse.cef.obra",
INDIRECT("rec.uni[empresa]"),CP$6)</f>
        <v>0</v>
      </c>
      <c r="CQ107" s="185">
        <f ca="1">SUMIFS(rec.uni[2029-09-01],
INDIRECT("rec.uni[natureza]"),"repasse.cef.terreno",
INDIRECT("rec.uni[empresa]"),CQ$6)</f>
        <v>0</v>
      </c>
      <c r="CR107" s="186"/>
      <c r="CS107" s="182">
        <f ca="1">SUMIFS(rec.uni[2029-09-01],
INDIRECT("rec.uni[natureza]"),"taxa.extra",
INDIRECT("rec.uni[empresa]"),CS$6)</f>
        <v>0</v>
      </c>
      <c r="CT107" s="170"/>
      <c r="CU107" s="170" cm="1">
        <f t="array" ref="CU10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  <c r="CV107" s="170" cm="1">
        <f t="array" ref="CV10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  <c r="CW107" s="170" cm="1">
        <f t="array" ref="CW10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  <c r="CX107" s="170" cm="1">
        <f t="array" ref="CX10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  <c r="CY107" s="295" cm="1">
        <f t="array" ref="CY10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(desp[data.pagamento]&gt;=$A107)*
    (desp[data.pagamento]&lt;EOMONTH($A107,0)+1)
  )
)</f>
        <v>0</v>
      </c>
    </row>
    <row r="108" spans="1:103" x14ac:dyDescent="0.25">
      <c r="A108" s="180">
        <v>47392</v>
      </c>
      <c r="B108" s="181">
        <f>COUNTIFS(
    estq[empresa], B$6,
    estq[Data da venda / reserva], "&gt;=" &amp; $A108,
    estq[Data da venda / reserva], "&lt;"  &amp; EOMONTH($A108,0) + 1
)</f>
        <v>0</v>
      </c>
      <c r="C108" s="182">
        <f ca="1">SUMIFS(rec.uni[2029-10-01],
INDIRECT("rec.uni[natureza]"),"pro.soluto",
INDIRECT("rec.uni[empresa]"),C$6)</f>
        <v>0</v>
      </c>
      <c r="D108" s="182">
        <f ca="1">SUMIFS(rec.uni[2029-10-01],
INDIRECT("rec.uni[natureza]"),"repasse.cef.obra",
INDIRECT("rec.uni[empresa]"),D$6)</f>
        <v>0</v>
      </c>
      <c r="E108" s="182">
        <f ca="1">SUMIFS(rec.uni[2029-10-01],
INDIRECT("rec.uni[natureza]"),"repasse.cef.terreno",
INDIRECT("rec.uni[empresa]"),E$6)</f>
        <v>0</v>
      </c>
      <c r="F108" s="186"/>
      <c r="G108" s="182">
        <f ca="1">SUMIFS(rec.uni[2029-10-01],
INDIRECT("rec.uni[natureza]"),"taxa.extra",
INDIRECT("rec.uni[empresa]"),G$6)</f>
        <v>0</v>
      </c>
      <c r="H108" s="170"/>
      <c r="I108" s="170" cm="1">
        <f t="array" ref="I10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J108" s="170" cm="1">
        <f t="array" ref="J10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K108" s="170" cm="1">
        <f t="array" ref="K10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L108" s="170" cm="1">
        <f t="array" ref="L10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M108" s="170" cm="1">
        <f t="array" ref="M10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(desp[data.pagamento]&gt;=$A108)*
    (desp[data.pagamento]&lt;EOMONTH($A108,0)+1)
  )
)</f>
        <v>0</v>
      </c>
      <c r="N108" s="181">
        <f>COUNTIFS(
    estq[empresa], N$6,
    estq[Data da venda / reserva], "&gt;=" &amp; $A108,
    estq[Data da venda / reserva], "&lt;"  &amp; EOMONTH($A108,0) + 1
)</f>
        <v>0</v>
      </c>
      <c r="O108" s="182">
        <f ca="1">SUMIFS(rec.uni[2029-10-01],
INDIRECT("rec.uni[natureza]"),"pro.soluto",
INDIRECT("rec.uni[empresa]"),O$6)</f>
        <v>0</v>
      </c>
      <c r="P108" s="182">
        <f ca="1">SUMIFS(rec.uni[2029-10-01],
INDIRECT("rec.uni[natureza]"),"repasse.cef.obra",
INDIRECT("rec.uni[empresa]"),P$6)</f>
        <v>0</v>
      </c>
      <c r="Q108" s="182">
        <f ca="1">SUMIFS(rec.uni[2029-10-01],
INDIRECT("rec.uni[natureza]"),"repasse.cef.terreno",
INDIRECT("rec.uni[empresa]"),Q$6)</f>
        <v>0</v>
      </c>
      <c r="R108" s="186"/>
      <c r="S108" s="182">
        <f ca="1">SUMIFS(rec.uni[2029-10-01],
INDIRECT("rec.uni[natureza]"),"taxa.extra",
INDIRECT("rec.uni[empresa]"),S$6)</f>
        <v>0</v>
      </c>
      <c r="T108" s="170"/>
      <c r="U108" s="170" cm="1">
        <f t="array" ref="U10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V108" s="170" cm="1">
        <f t="array" ref="V10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W108" s="170" cm="1">
        <f t="array" ref="W10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X108" s="170" cm="1">
        <f t="array" ref="X10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Y108" s="170" cm="1">
        <f t="array" ref="Y10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(desp[data.pagamento]&gt;=$A108)*
    (desp[data.pagamento]&lt;EOMONTH($A108,0)+1)
  )
)</f>
        <v>0</v>
      </c>
      <c r="Z108" s="181">
        <f>COUNTIFS(
    estq[empresa], Z$6,
    estq[Data da venda / reserva], "&gt;=" &amp; $A108,
    estq[Data da venda / reserva], "&lt;"  &amp; EOMONTH($A108,0) + 1
)</f>
        <v>0</v>
      </c>
      <c r="AA108" s="182">
        <f ca="1">SUMIFS(rec.uni[2029-10-01],
INDIRECT("rec.uni[natureza]"),"pro.soluto",
INDIRECT("rec.uni[empresa]"),AA$6)</f>
        <v>0</v>
      </c>
      <c r="AB108" s="186">
        <f ca="1">SUMIFS(rec.uni[2029-10-01],
INDIRECT("rec.uni[natureza]"),"parcela.fin.total.ik",
INDIRECT("rec.uni[empresa]"),AB$6)</f>
        <v>0</v>
      </c>
      <c r="AC108" s="182">
        <f ca="1">SUMIFS(rec.uni[2029-10-01],
INDIRECT("rec.uni[natureza]"),"taxa.extra",
INDIRECT("rec.uni[empresa]"),AC$6)</f>
        <v>0</v>
      </c>
      <c r="AD108" s="170"/>
      <c r="AE108" s="170" cm="1">
        <f t="array" ref="AE10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F108" s="170" cm="1">
        <f t="array" ref="AF10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G108" s="170" cm="1">
        <f t="array" ref="AG10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H108" s="170" cm="1">
        <f t="array" ref="AH10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I108" s="170" cm="1">
        <f t="array" ref="AI10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(desp[data.pagamento]&gt;=$A108)*
    (desp[data.pagamento]&lt;EOMONTH($A108,0)+1)
  )
)</f>
        <v>0</v>
      </c>
      <c r="AJ108" s="181">
        <f>COUNTIFS(
    estq[empresa], AJ$6,
    estq[Data da venda / reserva], "&gt;=" &amp; $A108,
    estq[Data da venda / reserva], "&lt;"  &amp; EOMONTH($A108,0) + 1
)</f>
        <v>0</v>
      </c>
      <c r="AK108" s="182">
        <f ca="1">SUMIFS(rec.uni[2029-10-01],
INDIRECT("rec.uni[natureza]"),"pro.soluto",
INDIRECT("rec.uni[empresa]"),AK$6)</f>
        <v>0</v>
      </c>
      <c r="AL108" s="182">
        <f ca="1">SUMIFS(rec.uni[2029-10-01],
INDIRECT("rec.uni[natureza]"),"repasse.cef.obra",
INDIRECT("rec.uni[empresa]"),AL$6)</f>
        <v>0</v>
      </c>
      <c r="AM108" s="185">
        <f ca="1">SUMIFS(rec.uni[2029-10-01],
INDIRECT("rec.uni[natureza]"),"repasse.cef.terreno",
INDIRECT("rec.uni[empresa]"),AM$6)</f>
        <v>0</v>
      </c>
      <c r="AN108" s="186"/>
      <c r="AO108" s="182">
        <f ca="1">SUMIFS(rec.uni[2029-10-01],
INDIRECT("rec.uni[natureza]"),"taxa.extra",
INDIRECT("rec.uni[empresa]"),AO$6)</f>
        <v>0</v>
      </c>
      <c r="AP108" s="170"/>
      <c r="AQ108" s="170" cm="1">
        <f t="array" ref="AQ10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R108" s="170" cm="1">
        <f t="array" ref="AR10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S108" s="170" cm="1">
        <f t="array" ref="AS10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T108" s="170" cm="1">
        <f t="array" ref="AT10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U108" s="170" cm="1">
        <f t="array" ref="AU10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(desp[data.pagamento]&gt;=$A108)*
    (desp[data.pagamento]&lt;EOMONTH($A108,0)+1)
  )
)</f>
        <v>0</v>
      </c>
      <c r="AV108" s="181">
        <f>COUNTIFS(
    estq[empresa], AV$6,
    estq[Data da venda / reserva], "&gt;=" &amp; $A108,
    estq[Data da venda / reserva], "&lt;"  &amp; EOMONTH($A108,0) + 1
)</f>
        <v>0</v>
      </c>
      <c r="AW108" s="182">
        <f ca="1">SUMIFS(rec.uni[2029-10-01],
INDIRECT("rec.uni[natureza]"),"pro.soluto",
INDIRECT("rec.uni[empresa]"),AW$6)</f>
        <v>0</v>
      </c>
      <c r="AX108" s="182">
        <f ca="1">SUMIFS(rec.uni[2029-10-01],
INDIRECT("rec.uni[natureza]"),"repasse.cef.obra",
INDIRECT("rec.uni[empresa]"),AX$6)</f>
        <v>0</v>
      </c>
      <c r="AY108" s="185">
        <f ca="1">SUMIFS(rec.uni[2029-10-01],
INDIRECT("rec.uni[natureza]"),"repasse.cef.terreno",
INDIRECT("rec.uni[empresa]"),AY$6)</f>
        <v>0</v>
      </c>
      <c r="AZ108" s="186"/>
      <c r="BA108" s="182">
        <f ca="1">SUMIFS(rec.uni[2029-10-01],
INDIRECT("rec.uni[natureza]"),"taxa.extra",
INDIRECT("rec.uni[empresa]"),BA$6)</f>
        <v>0</v>
      </c>
      <c r="BB108" s="170"/>
      <c r="BC108" s="170" cm="1">
        <f t="array" ref="BC10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D108" s="170" cm="1">
        <f t="array" ref="BD10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E108" s="170" cm="1">
        <f t="array" ref="BE10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F108" s="170" cm="1">
        <f t="array" ref="BF10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G108" s="170" cm="1">
        <f t="array" ref="BG10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(desp[data.pagamento]&gt;=$A108)*
    (desp[data.pagamento]&lt;EOMONTH($A108,0)+1)
  )
)</f>
        <v>0</v>
      </c>
      <c r="BH108" s="181">
        <f>COUNTIFS(
    estq[empresa], BH$6,
    estq[Data da venda / reserva], "&gt;=" &amp; $A108,
    estq[Data da venda / reserva], "&lt;"  &amp; EOMONTH($A108,0) + 1
)</f>
        <v>0</v>
      </c>
      <c r="BI108" s="182">
        <f ca="1">SUMIFS(rec.uni[2029-10-01],
INDIRECT("rec.uni[natureza]"),"pro.soluto",
INDIRECT("rec.uni[empresa]"),BI$6)</f>
        <v>0</v>
      </c>
      <c r="BJ108" s="186">
        <f ca="1">SUMIFS(rec.uni[2029-10-01],
INDIRECT("rec.uni[natureza]"),"parcela.fin.total.ik",
INDIRECT("rec.uni[empresa]"),BJ$6)</f>
        <v>0</v>
      </c>
      <c r="BK108" s="182">
        <f ca="1">SUMIFS(rec.uni[2029-10-01],
INDIRECT("rec.uni[natureza]"),"taxa.extra",
INDIRECT("rec.uni[empresa]"),BK$6)</f>
        <v>0</v>
      </c>
      <c r="BL108" s="170"/>
      <c r="BM108" s="170" cm="1">
        <f t="array" ref="BM10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N108" s="170" cm="1">
        <f t="array" ref="BN10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O108" s="170" cm="1">
        <f t="array" ref="BO10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P108" s="170" cm="1">
        <f t="array" ref="BP10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Q108" s="170" cm="1">
        <f t="array" ref="BQ10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(desp[data.pagamento]&gt;=$A108)*
    (desp[data.pagamento]&lt;EOMONTH($A108,0)+1)
  )
)</f>
        <v>0</v>
      </c>
      <c r="BR108" s="181">
        <f>COUNTIFS(
    estq[empresa], BR$6,
    estq[Data da venda / reserva], "&gt;=" &amp; $A108,
    estq[Data da venda / reserva], "&lt;"  &amp; EOMONTH($A108,0) + 1
)</f>
        <v>0</v>
      </c>
      <c r="BS108" s="182">
        <f ca="1">SUMIFS(rec.uni[2029-10-01],
INDIRECT("rec.uni[natureza]"),"pro.soluto",
INDIRECT("rec.uni[empresa]"),BS$6)</f>
        <v>0</v>
      </c>
      <c r="BT108" s="186">
        <f ca="1">SUMIFS(rec.uni[2029-10-01],
INDIRECT("rec.uni[natureza]"),"parcela.fin.total.ik",
INDIRECT("rec.uni[empresa]"),BT$6)</f>
        <v>0</v>
      </c>
      <c r="BU108" s="182">
        <f ca="1">SUMIFS(rec.uni[2029-10-01],
INDIRECT("rec.uni[natureza]"),"taxa.extra",
INDIRECT("rec.uni[empresa]"),BU$6)</f>
        <v>0</v>
      </c>
      <c r="BV108" s="170"/>
      <c r="BW108" s="170" cm="1">
        <f t="array" ref="BW10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BX108" s="170" cm="1">
        <f t="array" ref="BX10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BY108" s="170" cm="1">
        <f t="array" ref="BY10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BZ108" s="170" cm="1">
        <f t="array" ref="BZ10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CA108" s="170" cm="1">
        <f t="array" ref="CA10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(desp[data.pagamento]&gt;=$A108)*
    (desp[data.pagamento]&lt;EOMONTH($A108,0)+1)
  )
)</f>
        <v>0</v>
      </c>
      <c r="CB108" s="181">
        <f>COUNTIFS(
    estq[empresa], CB$6,
    estq[Data da venda / reserva], "&gt;=" &amp; $A108,
    estq[Data da venda / reserva], "&lt;"  &amp; EOMONTH($A108,0) + 1
)</f>
        <v>0</v>
      </c>
      <c r="CC108" s="182">
        <f ca="1">SUMIFS(rec.uni[2029-10-01],
INDIRECT("rec.uni[natureza]"),"pro.soluto",
INDIRECT("rec.uni[empresa]"),CC$6)</f>
        <v>0</v>
      </c>
      <c r="CD108" s="182">
        <f ca="1">SUMIFS(rec.uni[2029-10-01],
INDIRECT("rec.uni[natureza]"),"repasse.cef.obra",
INDIRECT("rec.uni[empresa]"),CD$6)</f>
        <v>0</v>
      </c>
      <c r="CE108" s="185">
        <f ca="1">SUMIFS(rec.uni[2029-10-01],
INDIRECT("rec.uni[natureza]"),"repasse.cef.terreno",
INDIRECT("rec.uni[empresa]"),CE$6)</f>
        <v>0</v>
      </c>
      <c r="CF108" s="186"/>
      <c r="CG108" s="182">
        <f ca="1">SUMIFS(rec.uni[2029-10-01],
INDIRECT("rec.uni[natureza]"),"taxa.extra",
INDIRECT("rec.uni[empresa]"),CG$6)</f>
        <v>0</v>
      </c>
      <c r="CH108" s="170"/>
      <c r="CI108" s="170" cm="1">
        <f t="array" ref="CI10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J108" s="170" cm="1">
        <f t="array" ref="CJ10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K108" s="170" cm="1">
        <f t="array" ref="CK10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L108" s="170" cm="1">
        <f t="array" ref="CL10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M108" s="170" cm="1">
        <f t="array" ref="CM10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(desp[data.pagamento]&gt;=$A108)*
    (desp[data.pagamento]&lt;EOMONTH($A108,0)+1)
  )
)</f>
        <v>0</v>
      </c>
      <c r="CN108" s="181">
        <f>COUNTIFS(
    estq[empresa], CN$6,
    estq[Data da venda / reserva], "&gt;=" &amp; $A108,
    estq[Data da venda / reserva], "&lt;"  &amp; EOMONTH($A108,0) + 1
)</f>
        <v>0</v>
      </c>
      <c r="CO108" s="182">
        <f ca="1">SUMIFS(rec.uni[2029-10-01],
INDIRECT("rec.uni[natureza]"),"pro.soluto",
INDIRECT("rec.uni[empresa]"),CO$6)</f>
        <v>0</v>
      </c>
      <c r="CP108" s="182">
        <f ca="1">SUMIFS(rec.uni[2029-10-01],
INDIRECT("rec.uni[natureza]"),"repasse.cef.obra",
INDIRECT("rec.uni[empresa]"),CP$6)</f>
        <v>0</v>
      </c>
      <c r="CQ108" s="185">
        <f ca="1">SUMIFS(rec.uni[2029-10-01],
INDIRECT("rec.uni[natureza]"),"repasse.cef.terreno",
INDIRECT("rec.uni[empresa]"),CQ$6)</f>
        <v>0</v>
      </c>
      <c r="CR108" s="186"/>
      <c r="CS108" s="182">
        <f ca="1">SUMIFS(rec.uni[2029-10-01],
INDIRECT("rec.uni[natureza]"),"taxa.extra",
INDIRECT("rec.uni[empresa]"),CS$6)</f>
        <v>0</v>
      </c>
      <c r="CT108" s="170"/>
      <c r="CU108" s="170" cm="1">
        <f t="array" ref="CU10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  <c r="CV108" s="170" cm="1">
        <f t="array" ref="CV10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  <c r="CW108" s="170" cm="1">
        <f t="array" ref="CW10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  <c r="CX108" s="170" cm="1">
        <f t="array" ref="CX10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  <c r="CY108" s="295" cm="1">
        <f t="array" ref="CY10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(desp[data.pagamento]&gt;=$A108)*
    (desp[data.pagamento]&lt;EOMONTH($A108,0)+1)
  )
)</f>
        <v>0</v>
      </c>
    </row>
    <row r="109" spans="1:103" x14ac:dyDescent="0.25">
      <c r="A109" s="180">
        <v>47423</v>
      </c>
      <c r="B109" s="181">
        <f>COUNTIFS(
    estq[empresa], B$6,
    estq[Data da venda / reserva], "&gt;=" &amp; $A109,
    estq[Data da venda / reserva], "&lt;"  &amp; EOMONTH($A109,0) + 1
)</f>
        <v>0</v>
      </c>
      <c r="C109" s="182">
        <f ca="1">SUMIFS(rec.uni[2029-11-01],
INDIRECT("rec.uni[natureza]"),"pro.soluto",
INDIRECT("rec.uni[empresa]"),C$6)</f>
        <v>0</v>
      </c>
      <c r="D109" s="182">
        <f ca="1">SUMIFS(rec.uni[2029-11-01],
INDIRECT("rec.uni[natureza]"),"repasse.cef.obra",
INDIRECT("rec.uni[empresa]"),D$6)</f>
        <v>0</v>
      </c>
      <c r="E109" s="182">
        <f ca="1">SUMIFS(rec.uni[2029-11-01],
INDIRECT("rec.uni[natureza]"),"repasse.cef.terreno",
INDIRECT("rec.uni[empresa]"),E$6)</f>
        <v>0</v>
      </c>
      <c r="F109" s="186"/>
      <c r="G109" s="182">
        <f ca="1">SUMIFS(rec.uni[2029-11-01],
INDIRECT("rec.uni[natureza]"),"taxa.extra",
INDIRECT("rec.uni[empresa]"),G$6)</f>
        <v>0</v>
      </c>
      <c r="H109" s="170"/>
      <c r="I109" s="170" cm="1">
        <f t="array" ref="I10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J109" s="170" cm="1">
        <f t="array" ref="J10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K109" s="170" cm="1">
        <f t="array" ref="K10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L109" s="170" cm="1">
        <f t="array" ref="L10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M109" s="170" cm="1">
        <f t="array" ref="M10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(desp[data.pagamento]&gt;=$A109)*
    (desp[data.pagamento]&lt;EOMONTH($A109,0)+1)
  )
)</f>
        <v>0</v>
      </c>
      <c r="N109" s="181">
        <f>COUNTIFS(
    estq[empresa], N$6,
    estq[Data da venda / reserva], "&gt;=" &amp; $A109,
    estq[Data da venda / reserva], "&lt;"  &amp; EOMONTH($A109,0) + 1
)</f>
        <v>0</v>
      </c>
      <c r="O109" s="182">
        <f ca="1">SUMIFS(rec.uni[2029-11-01],
INDIRECT("rec.uni[natureza]"),"pro.soluto",
INDIRECT("rec.uni[empresa]"),O$6)</f>
        <v>0</v>
      </c>
      <c r="P109" s="182">
        <f ca="1">SUMIFS(rec.uni[2029-11-01],
INDIRECT("rec.uni[natureza]"),"repasse.cef.obra",
INDIRECT("rec.uni[empresa]"),P$6)</f>
        <v>0</v>
      </c>
      <c r="Q109" s="182">
        <f ca="1">SUMIFS(rec.uni[2029-11-01],
INDIRECT("rec.uni[natureza]"),"repasse.cef.terreno",
INDIRECT("rec.uni[empresa]"),Q$6)</f>
        <v>0</v>
      </c>
      <c r="R109" s="186"/>
      <c r="S109" s="182">
        <f ca="1">SUMIFS(rec.uni[2029-11-01],
INDIRECT("rec.uni[natureza]"),"taxa.extra",
INDIRECT("rec.uni[empresa]"),S$6)</f>
        <v>0</v>
      </c>
      <c r="T109" s="170"/>
      <c r="U109" s="170" cm="1">
        <f t="array" ref="U10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V109" s="170" cm="1">
        <f t="array" ref="V10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W109" s="170" cm="1">
        <f t="array" ref="W10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X109" s="170" cm="1">
        <f t="array" ref="X10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Y109" s="170" cm="1">
        <f t="array" ref="Y10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(desp[data.pagamento]&gt;=$A109)*
    (desp[data.pagamento]&lt;EOMONTH($A109,0)+1)
  )
)</f>
        <v>0</v>
      </c>
      <c r="Z109" s="181">
        <f>COUNTIFS(
    estq[empresa], Z$6,
    estq[Data da venda / reserva], "&gt;=" &amp; $A109,
    estq[Data da venda / reserva], "&lt;"  &amp; EOMONTH($A109,0) + 1
)</f>
        <v>0</v>
      </c>
      <c r="AA109" s="182">
        <f ca="1">SUMIFS(rec.uni[2029-11-01],
INDIRECT("rec.uni[natureza]"),"pro.soluto",
INDIRECT("rec.uni[empresa]"),AA$6)</f>
        <v>0</v>
      </c>
      <c r="AB109" s="186">
        <f ca="1">SUMIFS(rec.uni[2029-11-01],
INDIRECT("rec.uni[natureza]"),"parcela.fin.total.ik",
INDIRECT("rec.uni[empresa]"),AB$6)</f>
        <v>0</v>
      </c>
      <c r="AC109" s="182">
        <f ca="1">SUMIFS(rec.uni[2029-11-01],
INDIRECT("rec.uni[natureza]"),"taxa.extra",
INDIRECT("rec.uni[empresa]"),AC$6)</f>
        <v>0</v>
      </c>
      <c r="AD109" s="170"/>
      <c r="AE109" s="170" cm="1">
        <f t="array" ref="AE10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F109" s="170" cm="1">
        <f t="array" ref="AF10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G109" s="170" cm="1">
        <f t="array" ref="AG10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H109" s="170" cm="1">
        <f t="array" ref="AH10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I109" s="170" cm="1">
        <f t="array" ref="AI10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(desp[data.pagamento]&gt;=$A109)*
    (desp[data.pagamento]&lt;EOMONTH($A109,0)+1)
  )
)</f>
        <v>0</v>
      </c>
      <c r="AJ109" s="181">
        <f>COUNTIFS(
    estq[empresa], AJ$6,
    estq[Data da venda / reserva], "&gt;=" &amp; $A109,
    estq[Data da venda / reserva], "&lt;"  &amp; EOMONTH($A109,0) + 1
)</f>
        <v>0</v>
      </c>
      <c r="AK109" s="182">
        <f ca="1">SUMIFS(rec.uni[2029-11-01],
INDIRECT("rec.uni[natureza]"),"pro.soluto",
INDIRECT("rec.uni[empresa]"),AK$6)</f>
        <v>0</v>
      </c>
      <c r="AL109" s="182">
        <f ca="1">SUMIFS(rec.uni[2029-11-01],
INDIRECT("rec.uni[natureza]"),"repasse.cef.obra",
INDIRECT("rec.uni[empresa]"),AL$6)</f>
        <v>0</v>
      </c>
      <c r="AM109" s="185">
        <f ca="1">SUMIFS(rec.uni[2029-11-01],
INDIRECT("rec.uni[natureza]"),"repasse.cef.terreno",
INDIRECT("rec.uni[empresa]"),AM$6)</f>
        <v>0</v>
      </c>
      <c r="AN109" s="186"/>
      <c r="AO109" s="182">
        <f ca="1">SUMIFS(rec.uni[2029-11-01],
INDIRECT("rec.uni[natureza]"),"taxa.extra",
INDIRECT("rec.uni[empresa]"),AO$6)</f>
        <v>0</v>
      </c>
      <c r="AP109" s="170"/>
      <c r="AQ109" s="170" cm="1">
        <f t="array" ref="AQ10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R109" s="170" cm="1">
        <f t="array" ref="AR10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S109" s="170" cm="1">
        <f t="array" ref="AS10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T109" s="170" cm="1">
        <f t="array" ref="AT10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U109" s="170" cm="1">
        <f t="array" ref="AU10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(desp[data.pagamento]&gt;=$A109)*
    (desp[data.pagamento]&lt;EOMONTH($A109,0)+1)
  )
)</f>
        <v>0</v>
      </c>
      <c r="AV109" s="181">
        <f>COUNTIFS(
    estq[empresa], AV$6,
    estq[Data da venda / reserva], "&gt;=" &amp; $A109,
    estq[Data da venda / reserva], "&lt;"  &amp; EOMONTH($A109,0) + 1
)</f>
        <v>0</v>
      </c>
      <c r="AW109" s="182">
        <f ca="1">SUMIFS(rec.uni[2029-11-01],
INDIRECT("rec.uni[natureza]"),"pro.soluto",
INDIRECT("rec.uni[empresa]"),AW$6)</f>
        <v>0</v>
      </c>
      <c r="AX109" s="182">
        <f ca="1">SUMIFS(rec.uni[2029-11-01],
INDIRECT("rec.uni[natureza]"),"repasse.cef.obra",
INDIRECT("rec.uni[empresa]"),AX$6)</f>
        <v>0</v>
      </c>
      <c r="AY109" s="185">
        <f ca="1">SUMIFS(rec.uni[2029-11-01],
INDIRECT("rec.uni[natureza]"),"repasse.cef.terreno",
INDIRECT("rec.uni[empresa]"),AY$6)</f>
        <v>0</v>
      </c>
      <c r="AZ109" s="186"/>
      <c r="BA109" s="182">
        <f ca="1">SUMIFS(rec.uni[2029-11-01],
INDIRECT("rec.uni[natureza]"),"taxa.extra",
INDIRECT("rec.uni[empresa]"),BA$6)</f>
        <v>0</v>
      </c>
      <c r="BB109" s="170"/>
      <c r="BC109" s="170" cm="1">
        <f t="array" ref="BC10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D109" s="170" cm="1">
        <f t="array" ref="BD10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E109" s="170" cm="1">
        <f t="array" ref="BE10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F109" s="170" cm="1">
        <f t="array" ref="BF10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G109" s="170" cm="1">
        <f t="array" ref="BG10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(desp[data.pagamento]&gt;=$A109)*
    (desp[data.pagamento]&lt;EOMONTH($A109,0)+1)
  )
)</f>
        <v>0</v>
      </c>
      <c r="BH109" s="181">
        <f>COUNTIFS(
    estq[empresa], BH$6,
    estq[Data da venda / reserva], "&gt;=" &amp; $A109,
    estq[Data da venda / reserva], "&lt;"  &amp; EOMONTH($A109,0) + 1
)</f>
        <v>0</v>
      </c>
      <c r="BI109" s="182">
        <f ca="1">SUMIFS(rec.uni[2029-11-01],
INDIRECT("rec.uni[natureza]"),"pro.soluto",
INDIRECT("rec.uni[empresa]"),BI$6)</f>
        <v>0</v>
      </c>
      <c r="BJ109" s="186">
        <f ca="1">SUMIFS(rec.uni[2029-11-01],
INDIRECT("rec.uni[natureza]"),"parcela.fin.total.ik",
INDIRECT("rec.uni[empresa]"),BJ$6)</f>
        <v>0</v>
      </c>
      <c r="BK109" s="182">
        <f ca="1">SUMIFS(rec.uni[2029-11-01],
INDIRECT("rec.uni[natureza]"),"taxa.extra",
INDIRECT("rec.uni[empresa]"),BK$6)</f>
        <v>0</v>
      </c>
      <c r="BL109" s="170"/>
      <c r="BM109" s="170" cm="1">
        <f t="array" ref="BM10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N109" s="170" cm="1">
        <f t="array" ref="BN10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O109" s="170" cm="1">
        <f t="array" ref="BO10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P109" s="170" cm="1">
        <f t="array" ref="BP10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Q109" s="170" cm="1">
        <f t="array" ref="BQ10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(desp[data.pagamento]&gt;=$A109)*
    (desp[data.pagamento]&lt;EOMONTH($A109,0)+1)
  )
)</f>
        <v>0</v>
      </c>
      <c r="BR109" s="181">
        <f>COUNTIFS(
    estq[empresa], BR$6,
    estq[Data da venda / reserva], "&gt;=" &amp; $A109,
    estq[Data da venda / reserva], "&lt;"  &amp; EOMONTH($A109,0) + 1
)</f>
        <v>0</v>
      </c>
      <c r="BS109" s="182">
        <f ca="1">SUMIFS(rec.uni[2029-11-01],
INDIRECT("rec.uni[natureza]"),"pro.soluto",
INDIRECT("rec.uni[empresa]"),BS$6)</f>
        <v>0</v>
      </c>
      <c r="BT109" s="186">
        <f ca="1">SUMIFS(rec.uni[2029-11-01],
INDIRECT("rec.uni[natureza]"),"parcela.fin.total.ik",
INDIRECT("rec.uni[empresa]"),BT$6)</f>
        <v>0</v>
      </c>
      <c r="BU109" s="182">
        <f ca="1">SUMIFS(rec.uni[2029-11-01],
INDIRECT("rec.uni[natureza]"),"taxa.extra",
INDIRECT("rec.uni[empresa]"),BU$6)</f>
        <v>0</v>
      </c>
      <c r="BV109" s="170"/>
      <c r="BW109" s="170" cm="1">
        <f t="array" ref="BW10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BX109" s="170" cm="1">
        <f t="array" ref="BX10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BY109" s="170" cm="1">
        <f t="array" ref="BY10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BZ109" s="170" cm="1">
        <f t="array" ref="BZ10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CA109" s="170" cm="1">
        <f t="array" ref="CA10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(desp[data.pagamento]&gt;=$A109)*
    (desp[data.pagamento]&lt;EOMONTH($A109,0)+1)
  )
)</f>
        <v>0</v>
      </c>
      <c r="CB109" s="181">
        <f>COUNTIFS(
    estq[empresa], CB$6,
    estq[Data da venda / reserva], "&gt;=" &amp; $A109,
    estq[Data da venda / reserva], "&lt;"  &amp; EOMONTH($A109,0) + 1
)</f>
        <v>0</v>
      </c>
      <c r="CC109" s="182">
        <f ca="1">SUMIFS(rec.uni[2029-11-01],
INDIRECT("rec.uni[natureza]"),"pro.soluto",
INDIRECT("rec.uni[empresa]"),CC$6)</f>
        <v>0</v>
      </c>
      <c r="CD109" s="182">
        <f ca="1">SUMIFS(rec.uni[2029-11-01],
INDIRECT("rec.uni[natureza]"),"repasse.cef.obra",
INDIRECT("rec.uni[empresa]"),CD$6)</f>
        <v>0</v>
      </c>
      <c r="CE109" s="185">
        <f ca="1">SUMIFS(rec.uni[2029-11-01],
INDIRECT("rec.uni[natureza]"),"repasse.cef.terreno",
INDIRECT("rec.uni[empresa]"),CE$6)</f>
        <v>0</v>
      </c>
      <c r="CF109" s="186"/>
      <c r="CG109" s="182">
        <f ca="1">SUMIFS(rec.uni[2029-11-01],
INDIRECT("rec.uni[natureza]"),"taxa.extra",
INDIRECT("rec.uni[empresa]"),CG$6)</f>
        <v>0</v>
      </c>
      <c r="CH109" s="170"/>
      <c r="CI109" s="170" cm="1">
        <f t="array" ref="CI10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J109" s="170" cm="1">
        <f t="array" ref="CJ10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K109" s="170" cm="1">
        <f t="array" ref="CK10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L109" s="170" cm="1">
        <f t="array" ref="CL10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M109" s="170" cm="1">
        <f t="array" ref="CM10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(desp[data.pagamento]&gt;=$A109)*
    (desp[data.pagamento]&lt;EOMONTH($A109,0)+1)
  )
)</f>
        <v>0</v>
      </c>
      <c r="CN109" s="181">
        <f>COUNTIFS(
    estq[empresa], CN$6,
    estq[Data da venda / reserva], "&gt;=" &amp; $A109,
    estq[Data da venda / reserva], "&lt;"  &amp; EOMONTH($A109,0) + 1
)</f>
        <v>0</v>
      </c>
      <c r="CO109" s="182">
        <f ca="1">SUMIFS(rec.uni[2029-11-01],
INDIRECT("rec.uni[natureza]"),"pro.soluto",
INDIRECT("rec.uni[empresa]"),CO$6)</f>
        <v>0</v>
      </c>
      <c r="CP109" s="182">
        <f ca="1">SUMIFS(rec.uni[2029-11-01],
INDIRECT("rec.uni[natureza]"),"repasse.cef.obra",
INDIRECT("rec.uni[empresa]"),CP$6)</f>
        <v>0</v>
      </c>
      <c r="CQ109" s="185">
        <f ca="1">SUMIFS(rec.uni[2029-11-01],
INDIRECT("rec.uni[natureza]"),"repasse.cef.terreno",
INDIRECT("rec.uni[empresa]"),CQ$6)</f>
        <v>0</v>
      </c>
      <c r="CR109" s="186"/>
      <c r="CS109" s="182">
        <f ca="1">SUMIFS(rec.uni[2029-11-01],
INDIRECT("rec.uni[natureza]"),"taxa.extra",
INDIRECT("rec.uni[empresa]"),CS$6)</f>
        <v>0</v>
      </c>
      <c r="CT109" s="170"/>
      <c r="CU109" s="170" cm="1">
        <f t="array" ref="CU10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  <c r="CV109" s="170" cm="1">
        <f t="array" ref="CV10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  <c r="CW109" s="170" cm="1">
        <f t="array" ref="CW10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  <c r="CX109" s="170" cm="1">
        <f t="array" ref="CX10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  <c r="CY109" s="295" cm="1">
        <f t="array" ref="CY10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(desp[data.pagamento]&gt;=$A109)*
    (desp[data.pagamento]&lt;EOMONTH($A109,0)+1)
  )
)</f>
        <v>0</v>
      </c>
    </row>
    <row r="110" spans="1:103" x14ac:dyDescent="0.25">
      <c r="A110" s="180">
        <v>47453</v>
      </c>
      <c r="B110" s="181">
        <f>COUNTIFS(
    estq[empresa], B$6,
    estq[Data da venda / reserva], "&gt;=" &amp; $A110,
    estq[Data da venda / reserva], "&lt;"  &amp; EOMONTH($A110,0) + 1
)</f>
        <v>0</v>
      </c>
      <c r="C110" s="182">
        <f ca="1">SUMIFS(rec.uni[2029-12-01],
INDIRECT("rec.uni[natureza]"),"pro.soluto",
INDIRECT("rec.uni[empresa]"),C$6)</f>
        <v>0</v>
      </c>
      <c r="D110" s="182">
        <f ca="1">SUMIFS(rec.uni[2029-12-01],
INDIRECT("rec.uni[natureza]"),"repasse.cef.obra",
INDIRECT("rec.uni[empresa]"),D$6)</f>
        <v>0</v>
      </c>
      <c r="E110" s="182">
        <f ca="1">SUMIFS(rec.uni[2029-12-01],
INDIRECT("rec.uni[natureza]"),"repasse.cef.terreno",
INDIRECT("rec.uni[empresa]"),E$6)</f>
        <v>0</v>
      </c>
      <c r="F110" s="186"/>
      <c r="G110" s="182">
        <f ca="1">SUMIFS(rec.uni[2029-12-01],
INDIRECT("rec.uni[natureza]"),"taxa.extra",
INDIRECT("rec.uni[empresa]"),G$6)</f>
        <v>0</v>
      </c>
      <c r="H110" s="170"/>
      <c r="I110" s="170" cm="1">
        <f t="array" ref="I11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J110" s="170" cm="1">
        <f t="array" ref="J11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K110" s="170" cm="1">
        <f t="array" ref="K11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L110" s="170" cm="1">
        <f t="array" ref="L11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M110" s="170" cm="1">
        <f t="array" ref="M11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(desp[data.pagamento]&gt;=$A110)*
    (desp[data.pagamento]&lt;EOMONTH($A110,0)+1)
  )
)</f>
        <v>0</v>
      </c>
      <c r="N110" s="181">
        <f>COUNTIFS(
    estq[empresa], N$6,
    estq[Data da venda / reserva], "&gt;=" &amp; $A110,
    estq[Data da venda / reserva], "&lt;"  &amp; EOMONTH($A110,0) + 1
)</f>
        <v>0</v>
      </c>
      <c r="O110" s="182">
        <f ca="1">SUMIFS(rec.uni[2029-12-01],
INDIRECT("rec.uni[natureza]"),"pro.soluto",
INDIRECT("rec.uni[empresa]"),O$6)</f>
        <v>0</v>
      </c>
      <c r="P110" s="182">
        <f ca="1">SUMIFS(rec.uni[2029-12-01],
INDIRECT("rec.uni[natureza]"),"repasse.cef.obra",
INDIRECT("rec.uni[empresa]"),P$6)</f>
        <v>0</v>
      </c>
      <c r="Q110" s="182">
        <f ca="1">SUMIFS(rec.uni[2029-12-01],
INDIRECT("rec.uni[natureza]"),"repasse.cef.terreno",
INDIRECT("rec.uni[empresa]"),Q$6)</f>
        <v>0</v>
      </c>
      <c r="R110" s="186"/>
      <c r="S110" s="182">
        <f ca="1">SUMIFS(rec.uni[2029-12-01],
INDIRECT("rec.uni[natureza]"),"taxa.extra",
INDIRECT("rec.uni[empresa]"),S$6)</f>
        <v>0</v>
      </c>
      <c r="T110" s="170"/>
      <c r="U110" s="170" cm="1">
        <f t="array" ref="U11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V110" s="170" cm="1">
        <f t="array" ref="V11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W110" s="170" cm="1">
        <f t="array" ref="W11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X110" s="170" cm="1">
        <f t="array" ref="X11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Y110" s="170" cm="1">
        <f t="array" ref="Y11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(desp[data.pagamento]&gt;=$A110)*
    (desp[data.pagamento]&lt;EOMONTH($A110,0)+1)
  )
)</f>
        <v>0</v>
      </c>
      <c r="Z110" s="181">
        <f>COUNTIFS(
    estq[empresa], Z$6,
    estq[Data da venda / reserva], "&gt;=" &amp; $A110,
    estq[Data da venda / reserva], "&lt;"  &amp; EOMONTH($A110,0) + 1
)</f>
        <v>0</v>
      </c>
      <c r="AA110" s="182">
        <f ca="1">SUMIFS(rec.uni[2029-12-01],
INDIRECT("rec.uni[natureza]"),"pro.soluto",
INDIRECT("rec.uni[empresa]"),AA$6)</f>
        <v>0</v>
      </c>
      <c r="AB110" s="186">
        <f ca="1">SUMIFS(rec.uni[2029-12-01],
INDIRECT("rec.uni[natureza]"),"parcela.fin.total.ik",
INDIRECT("rec.uni[empresa]"),AB$6)</f>
        <v>0</v>
      </c>
      <c r="AC110" s="182">
        <f ca="1">SUMIFS(rec.uni[2029-12-01],
INDIRECT("rec.uni[natureza]"),"taxa.extra",
INDIRECT("rec.uni[empresa]"),AC$6)</f>
        <v>0</v>
      </c>
      <c r="AD110" s="170"/>
      <c r="AE110" s="170" cm="1">
        <f t="array" ref="AE11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F110" s="170" cm="1">
        <f t="array" ref="AF11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G110" s="170" cm="1">
        <f t="array" ref="AG11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H110" s="170" cm="1">
        <f t="array" ref="AH11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I110" s="170" cm="1">
        <f t="array" ref="AI11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(desp[data.pagamento]&gt;=$A110)*
    (desp[data.pagamento]&lt;EOMONTH($A110,0)+1)
  )
)</f>
        <v>0</v>
      </c>
      <c r="AJ110" s="181">
        <f>COUNTIFS(
    estq[empresa], AJ$6,
    estq[Data da venda / reserva], "&gt;=" &amp; $A110,
    estq[Data da venda / reserva], "&lt;"  &amp; EOMONTH($A110,0) + 1
)</f>
        <v>0</v>
      </c>
      <c r="AK110" s="182">
        <f ca="1">SUMIFS(rec.uni[2029-12-01],
INDIRECT("rec.uni[natureza]"),"pro.soluto",
INDIRECT("rec.uni[empresa]"),AK$6)</f>
        <v>0</v>
      </c>
      <c r="AL110" s="182">
        <f ca="1">SUMIFS(rec.uni[2029-12-01],
INDIRECT("rec.uni[natureza]"),"repasse.cef.obra",
INDIRECT("rec.uni[empresa]"),AL$6)</f>
        <v>0</v>
      </c>
      <c r="AM110" s="185">
        <f ca="1">SUMIFS(rec.uni[2029-12-01],
INDIRECT("rec.uni[natureza]"),"repasse.cef.terreno",
INDIRECT("rec.uni[empresa]"),AM$6)</f>
        <v>0</v>
      </c>
      <c r="AN110" s="186"/>
      <c r="AO110" s="182">
        <f ca="1">SUMIFS(rec.uni[2029-12-01],
INDIRECT("rec.uni[natureza]"),"taxa.extra",
INDIRECT("rec.uni[empresa]"),AO$6)</f>
        <v>0</v>
      </c>
      <c r="AP110" s="170"/>
      <c r="AQ110" s="170" cm="1">
        <f t="array" ref="AQ11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R110" s="170" cm="1">
        <f t="array" ref="AR11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S110" s="170" cm="1">
        <f t="array" ref="AS11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T110" s="170" cm="1">
        <f t="array" ref="AT11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U110" s="170" cm="1">
        <f t="array" ref="AU11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(desp[data.pagamento]&gt;=$A110)*
    (desp[data.pagamento]&lt;EOMONTH($A110,0)+1)
  )
)</f>
        <v>0</v>
      </c>
      <c r="AV110" s="181">
        <f>COUNTIFS(
    estq[empresa], AV$6,
    estq[Data da venda / reserva], "&gt;=" &amp; $A110,
    estq[Data da venda / reserva], "&lt;"  &amp; EOMONTH($A110,0) + 1
)</f>
        <v>0</v>
      </c>
      <c r="AW110" s="182">
        <f ca="1">SUMIFS(rec.uni[2029-12-01],
INDIRECT("rec.uni[natureza]"),"pro.soluto",
INDIRECT("rec.uni[empresa]"),AW$6)</f>
        <v>0</v>
      </c>
      <c r="AX110" s="182">
        <f ca="1">SUMIFS(rec.uni[2029-12-01],
INDIRECT("rec.uni[natureza]"),"repasse.cef.obra",
INDIRECT("rec.uni[empresa]"),AX$6)</f>
        <v>0</v>
      </c>
      <c r="AY110" s="185">
        <f ca="1">SUMIFS(rec.uni[2029-12-01],
INDIRECT("rec.uni[natureza]"),"repasse.cef.terreno",
INDIRECT("rec.uni[empresa]"),AY$6)</f>
        <v>0</v>
      </c>
      <c r="AZ110" s="186"/>
      <c r="BA110" s="182">
        <f ca="1">SUMIFS(rec.uni[2029-12-01],
INDIRECT("rec.uni[natureza]"),"taxa.extra",
INDIRECT("rec.uni[empresa]"),BA$6)</f>
        <v>0</v>
      </c>
      <c r="BB110" s="170"/>
      <c r="BC110" s="170" cm="1">
        <f t="array" ref="BC11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D110" s="170" cm="1">
        <f t="array" ref="BD11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E110" s="170" cm="1">
        <f t="array" ref="BE11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F110" s="170" cm="1">
        <f t="array" ref="BF11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G110" s="170" cm="1">
        <f t="array" ref="BG11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(desp[data.pagamento]&gt;=$A110)*
    (desp[data.pagamento]&lt;EOMONTH($A110,0)+1)
  )
)</f>
        <v>0</v>
      </c>
      <c r="BH110" s="181">
        <f>COUNTIFS(
    estq[empresa], BH$6,
    estq[Data da venda / reserva], "&gt;=" &amp; $A110,
    estq[Data da venda / reserva], "&lt;"  &amp; EOMONTH($A110,0) + 1
)</f>
        <v>0</v>
      </c>
      <c r="BI110" s="182">
        <f ca="1">SUMIFS(rec.uni[2029-12-01],
INDIRECT("rec.uni[natureza]"),"pro.soluto",
INDIRECT("rec.uni[empresa]"),BI$6)</f>
        <v>0</v>
      </c>
      <c r="BJ110" s="186">
        <f ca="1">SUMIFS(rec.uni[2029-12-01],
INDIRECT("rec.uni[natureza]"),"parcela.fin.total.ik",
INDIRECT("rec.uni[empresa]"),BJ$6)</f>
        <v>0</v>
      </c>
      <c r="BK110" s="182">
        <f ca="1">SUMIFS(rec.uni[2029-12-01],
INDIRECT("rec.uni[natureza]"),"taxa.extra",
INDIRECT("rec.uni[empresa]"),BK$6)</f>
        <v>0</v>
      </c>
      <c r="BL110" s="170"/>
      <c r="BM110" s="170" cm="1">
        <f t="array" ref="BM11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N110" s="170" cm="1">
        <f t="array" ref="BN11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O110" s="170" cm="1">
        <f t="array" ref="BO11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P110" s="170" cm="1">
        <f t="array" ref="BP11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Q110" s="170" cm="1">
        <f t="array" ref="BQ11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(desp[data.pagamento]&gt;=$A110)*
    (desp[data.pagamento]&lt;EOMONTH($A110,0)+1)
  )
)</f>
        <v>0</v>
      </c>
      <c r="BR110" s="181">
        <f>COUNTIFS(
    estq[empresa], BR$6,
    estq[Data da venda / reserva], "&gt;=" &amp; $A110,
    estq[Data da venda / reserva], "&lt;"  &amp; EOMONTH($A110,0) + 1
)</f>
        <v>0</v>
      </c>
      <c r="BS110" s="182">
        <f ca="1">SUMIFS(rec.uni[2029-12-01],
INDIRECT("rec.uni[natureza]"),"pro.soluto",
INDIRECT("rec.uni[empresa]"),BS$6)</f>
        <v>0</v>
      </c>
      <c r="BT110" s="186">
        <f ca="1">SUMIFS(rec.uni[2029-12-01],
INDIRECT("rec.uni[natureza]"),"parcela.fin.total.ik",
INDIRECT("rec.uni[empresa]"),BT$6)</f>
        <v>0</v>
      </c>
      <c r="BU110" s="182">
        <f ca="1">SUMIFS(rec.uni[2029-12-01],
INDIRECT("rec.uni[natureza]"),"taxa.extra",
INDIRECT("rec.uni[empresa]"),BU$6)</f>
        <v>0</v>
      </c>
      <c r="BV110" s="170"/>
      <c r="BW110" s="170" cm="1">
        <f t="array" ref="BW11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BX110" s="170" cm="1">
        <f t="array" ref="BX11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BY110" s="170" cm="1">
        <f t="array" ref="BY11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BZ110" s="170" cm="1">
        <f t="array" ref="BZ11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CA110" s="170" cm="1">
        <f t="array" ref="CA11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(desp[data.pagamento]&gt;=$A110)*
    (desp[data.pagamento]&lt;EOMONTH($A110,0)+1)
  )
)</f>
        <v>0</v>
      </c>
      <c r="CB110" s="181">
        <f>COUNTIFS(
    estq[empresa], CB$6,
    estq[Data da venda / reserva], "&gt;=" &amp; $A110,
    estq[Data da venda / reserva], "&lt;"  &amp; EOMONTH($A110,0) + 1
)</f>
        <v>0</v>
      </c>
      <c r="CC110" s="182">
        <f ca="1">SUMIFS(rec.uni[2029-12-01],
INDIRECT("rec.uni[natureza]"),"pro.soluto",
INDIRECT("rec.uni[empresa]"),CC$6)</f>
        <v>0</v>
      </c>
      <c r="CD110" s="182">
        <f ca="1">SUMIFS(rec.uni[2029-12-01],
INDIRECT("rec.uni[natureza]"),"repasse.cef.obra",
INDIRECT("rec.uni[empresa]"),CD$6)</f>
        <v>0</v>
      </c>
      <c r="CE110" s="185">
        <f ca="1">SUMIFS(rec.uni[2029-12-01],
INDIRECT("rec.uni[natureza]"),"repasse.cef.terreno",
INDIRECT("rec.uni[empresa]"),CE$6)</f>
        <v>0</v>
      </c>
      <c r="CF110" s="186"/>
      <c r="CG110" s="182">
        <f ca="1">SUMIFS(rec.uni[2029-12-01],
INDIRECT("rec.uni[natureza]"),"taxa.extra",
INDIRECT("rec.uni[empresa]"),CG$6)</f>
        <v>0</v>
      </c>
      <c r="CH110" s="170"/>
      <c r="CI110" s="170" cm="1">
        <f t="array" ref="CI11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J110" s="170" cm="1">
        <f t="array" ref="CJ11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K110" s="170" cm="1">
        <f t="array" ref="CK11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L110" s="170" cm="1">
        <f t="array" ref="CL11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M110" s="170" cm="1">
        <f t="array" ref="CM11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(desp[data.pagamento]&gt;=$A110)*
    (desp[data.pagamento]&lt;EOMONTH($A110,0)+1)
  )
)</f>
        <v>0</v>
      </c>
      <c r="CN110" s="181">
        <f>COUNTIFS(
    estq[empresa], CN$6,
    estq[Data da venda / reserva], "&gt;=" &amp; $A110,
    estq[Data da venda / reserva], "&lt;"  &amp; EOMONTH($A110,0) + 1
)</f>
        <v>0</v>
      </c>
      <c r="CO110" s="182">
        <f ca="1">SUMIFS(rec.uni[2029-12-01],
INDIRECT("rec.uni[natureza]"),"pro.soluto",
INDIRECT("rec.uni[empresa]"),CO$6)</f>
        <v>0</v>
      </c>
      <c r="CP110" s="182">
        <f ca="1">SUMIFS(rec.uni[2029-12-01],
INDIRECT("rec.uni[natureza]"),"repasse.cef.obra",
INDIRECT("rec.uni[empresa]"),CP$6)</f>
        <v>0</v>
      </c>
      <c r="CQ110" s="185">
        <f ca="1">SUMIFS(rec.uni[2029-12-01],
INDIRECT("rec.uni[natureza]"),"repasse.cef.terreno",
INDIRECT("rec.uni[empresa]"),CQ$6)</f>
        <v>0</v>
      </c>
      <c r="CR110" s="186"/>
      <c r="CS110" s="182">
        <f ca="1">SUMIFS(rec.uni[2029-12-01],
INDIRECT("rec.uni[natureza]"),"taxa.extra",
INDIRECT("rec.uni[empresa]"),CS$6)</f>
        <v>0</v>
      </c>
      <c r="CT110" s="170"/>
      <c r="CU110" s="170" cm="1">
        <f t="array" ref="CU11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  <c r="CV110" s="170" cm="1">
        <f t="array" ref="CV11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  <c r="CW110" s="170" cm="1">
        <f t="array" ref="CW11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  <c r="CX110" s="170" cm="1">
        <f t="array" ref="CX11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  <c r="CY110" s="295" cm="1">
        <f t="array" ref="CY11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(desp[data.pagamento]&gt;=$A110)*
    (desp[data.pagamento]&lt;EOMONTH($A110,0)+1)
  )
)</f>
        <v>0</v>
      </c>
    </row>
    <row r="111" spans="1:103" x14ac:dyDescent="0.25">
      <c r="A111" s="180">
        <v>47484</v>
      </c>
      <c r="B111" s="181">
        <f>COUNTIFS(
    estq[empresa], B$6,
    estq[Data da venda / reserva], "&gt;=" &amp; $A111,
    estq[Data da venda / reserva], "&lt;"  &amp; EOMONTH($A111,0) + 1
)</f>
        <v>0</v>
      </c>
      <c r="C111" s="182">
        <f ca="1">SUMIFS(rec.uni[2030-01-01],
INDIRECT("rec.uni[natureza]"),"pro.soluto",
INDIRECT("rec.uni[empresa]"),C$6)</f>
        <v>0</v>
      </c>
      <c r="D111" s="182">
        <f ca="1">SUMIFS(rec.uni[2030-01-01],
INDIRECT("rec.uni[natureza]"),"repasse.cef.obra",
INDIRECT("rec.uni[empresa]"),D$6)</f>
        <v>0</v>
      </c>
      <c r="E111" s="182">
        <f ca="1">SUMIFS(rec.uni[2030-01-01],
INDIRECT("rec.uni[natureza]"),"repasse.cef.terreno",
INDIRECT("rec.uni[empresa]"),E$6)</f>
        <v>0</v>
      </c>
      <c r="F111" s="186"/>
      <c r="G111" s="182">
        <f ca="1">SUMIFS(rec.uni[2030-01-01],
INDIRECT("rec.uni[natureza]"),"taxa.extra",
INDIRECT("rec.uni[empresa]"),G$6)</f>
        <v>0</v>
      </c>
      <c r="H111" s="170"/>
      <c r="I111" s="170" cm="1">
        <f t="array" ref="I11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J111" s="170" cm="1">
        <f t="array" ref="J11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K111" s="170" cm="1">
        <f t="array" ref="K11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L111" s="170" cm="1">
        <f t="array" ref="L11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M111" s="170" cm="1">
        <f t="array" ref="M11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(desp[data.pagamento]&gt;=$A111)*
    (desp[data.pagamento]&lt;EOMONTH($A111,0)+1)
  )
)</f>
        <v>0</v>
      </c>
      <c r="N111" s="181">
        <f>COUNTIFS(
    estq[empresa], N$6,
    estq[Data da venda / reserva], "&gt;=" &amp; $A111,
    estq[Data da venda / reserva], "&lt;"  &amp; EOMONTH($A111,0) + 1
)</f>
        <v>0</v>
      </c>
      <c r="O111" s="182">
        <f ca="1">SUMIFS(rec.uni[2030-01-01],
INDIRECT("rec.uni[natureza]"),"pro.soluto",
INDIRECT("rec.uni[empresa]"),O$6)</f>
        <v>0</v>
      </c>
      <c r="P111" s="182">
        <f ca="1">SUMIFS(rec.uni[2030-01-01],
INDIRECT("rec.uni[natureza]"),"repasse.cef.obra",
INDIRECT("rec.uni[empresa]"),P$6)</f>
        <v>0</v>
      </c>
      <c r="Q111" s="182">
        <f ca="1">SUMIFS(rec.uni[2030-01-01],
INDIRECT("rec.uni[natureza]"),"repasse.cef.terreno",
INDIRECT("rec.uni[empresa]"),Q$6)</f>
        <v>0</v>
      </c>
      <c r="R111" s="186"/>
      <c r="S111" s="182">
        <f ca="1">SUMIFS(rec.uni[2030-01-01],
INDIRECT("rec.uni[natureza]"),"taxa.extra",
INDIRECT("rec.uni[empresa]"),S$6)</f>
        <v>0</v>
      </c>
      <c r="T111" s="170"/>
      <c r="U111" s="170" cm="1">
        <f t="array" ref="U11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V111" s="170" cm="1">
        <f t="array" ref="V11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W111" s="170" cm="1">
        <f t="array" ref="W11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X111" s="170" cm="1">
        <f t="array" ref="X11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Y111" s="170" cm="1">
        <f t="array" ref="Y11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(desp[data.pagamento]&gt;=$A111)*
    (desp[data.pagamento]&lt;EOMONTH($A111,0)+1)
  )
)</f>
        <v>0</v>
      </c>
      <c r="Z111" s="181">
        <f>COUNTIFS(
    estq[empresa], Z$6,
    estq[Data da venda / reserva], "&gt;=" &amp; $A111,
    estq[Data da venda / reserva], "&lt;"  &amp; EOMONTH($A111,0) + 1
)</f>
        <v>0</v>
      </c>
      <c r="AA111" s="182">
        <f ca="1">SUMIFS(rec.uni[2030-01-01],
INDIRECT("rec.uni[natureza]"),"pro.soluto",
INDIRECT("rec.uni[empresa]"),AA$6)</f>
        <v>0</v>
      </c>
      <c r="AB111" s="186">
        <f ca="1">SUMIFS(rec.uni[2030-01-01],
INDIRECT("rec.uni[natureza]"),"parcela.fin.total.ik",
INDIRECT("rec.uni[empresa]"),AB$6)</f>
        <v>0</v>
      </c>
      <c r="AC111" s="182">
        <f ca="1">SUMIFS(rec.uni[2030-01-01],
INDIRECT("rec.uni[natureza]"),"taxa.extra",
INDIRECT("rec.uni[empresa]"),AC$6)</f>
        <v>0</v>
      </c>
      <c r="AD111" s="170"/>
      <c r="AE111" s="170" cm="1">
        <f t="array" ref="AE11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F111" s="170" cm="1">
        <f t="array" ref="AF11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G111" s="170" cm="1">
        <f t="array" ref="AG11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H111" s="170" cm="1">
        <f t="array" ref="AH11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I111" s="170" cm="1">
        <f t="array" ref="AI11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(desp[data.pagamento]&gt;=$A111)*
    (desp[data.pagamento]&lt;EOMONTH($A111,0)+1)
  )
)</f>
        <v>0</v>
      </c>
      <c r="AJ111" s="181">
        <f>COUNTIFS(
    estq[empresa], AJ$6,
    estq[Data da venda / reserva], "&gt;=" &amp; $A111,
    estq[Data da venda / reserva], "&lt;"  &amp; EOMONTH($A111,0) + 1
)</f>
        <v>0</v>
      </c>
      <c r="AK111" s="182">
        <f ca="1">SUMIFS(rec.uni[2030-01-01],
INDIRECT("rec.uni[natureza]"),"pro.soluto",
INDIRECT("rec.uni[empresa]"),AK$6)</f>
        <v>0</v>
      </c>
      <c r="AL111" s="182">
        <f ca="1">SUMIFS(rec.uni[2030-01-01],
INDIRECT("rec.uni[natureza]"),"repasse.cef.obra",
INDIRECT("rec.uni[empresa]"),AL$6)</f>
        <v>0</v>
      </c>
      <c r="AM111" s="185">
        <f ca="1">SUMIFS(rec.uni[2030-01-01],
INDIRECT("rec.uni[natureza]"),"repasse.cef.terreno",
INDIRECT("rec.uni[empresa]"),AM$6)</f>
        <v>0</v>
      </c>
      <c r="AN111" s="186"/>
      <c r="AO111" s="182">
        <f ca="1">SUMIFS(rec.uni[2030-01-01],
INDIRECT("rec.uni[natureza]"),"taxa.extra",
INDIRECT("rec.uni[empresa]"),AO$6)</f>
        <v>0</v>
      </c>
      <c r="AP111" s="170"/>
      <c r="AQ111" s="170" cm="1">
        <f t="array" ref="AQ11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R111" s="170" cm="1">
        <f t="array" ref="AR11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S111" s="170" cm="1">
        <f t="array" ref="AS11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T111" s="170" cm="1">
        <f t="array" ref="AT11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U111" s="170" cm="1">
        <f t="array" ref="AU11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(desp[data.pagamento]&gt;=$A111)*
    (desp[data.pagamento]&lt;EOMONTH($A111,0)+1)
  )
)</f>
        <v>0</v>
      </c>
      <c r="AV111" s="181">
        <f>COUNTIFS(
    estq[empresa], AV$6,
    estq[Data da venda / reserva], "&gt;=" &amp; $A111,
    estq[Data da venda / reserva], "&lt;"  &amp; EOMONTH($A111,0) + 1
)</f>
        <v>0</v>
      </c>
      <c r="AW111" s="182">
        <f ca="1">SUMIFS(rec.uni[2030-01-01],
INDIRECT("rec.uni[natureza]"),"pro.soluto",
INDIRECT("rec.uni[empresa]"),AW$6)</f>
        <v>0</v>
      </c>
      <c r="AX111" s="182">
        <f ca="1">SUMIFS(rec.uni[2030-01-01],
INDIRECT("rec.uni[natureza]"),"repasse.cef.obra",
INDIRECT("rec.uni[empresa]"),AX$6)</f>
        <v>0</v>
      </c>
      <c r="AY111" s="185">
        <f ca="1">SUMIFS(rec.uni[2030-01-01],
INDIRECT("rec.uni[natureza]"),"repasse.cef.terreno",
INDIRECT("rec.uni[empresa]"),AY$6)</f>
        <v>0</v>
      </c>
      <c r="AZ111" s="186"/>
      <c r="BA111" s="182">
        <f ca="1">SUMIFS(rec.uni[2030-01-01],
INDIRECT("rec.uni[natureza]"),"taxa.extra",
INDIRECT("rec.uni[empresa]"),BA$6)</f>
        <v>0</v>
      </c>
      <c r="BB111" s="170"/>
      <c r="BC111" s="170" cm="1">
        <f t="array" ref="BC11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D111" s="170" cm="1">
        <f t="array" ref="BD11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E111" s="170" cm="1">
        <f t="array" ref="BE11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F111" s="170" cm="1">
        <f t="array" ref="BF11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G111" s="170" cm="1">
        <f t="array" ref="BG11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(desp[data.pagamento]&gt;=$A111)*
    (desp[data.pagamento]&lt;EOMONTH($A111,0)+1)
  )
)</f>
        <v>0</v>
      </c>
      <c r="BH111" s="181">
        <f>COUNTIFS(
    estq[empresa], BH$6,
    estq[Data da venda / reserva], "&gt;=" &amp; $A111,
    estq[Data da venda / reserva], "&lt;"  &amp; EOMONTH($A111,0) + 1
)</f>
        <v>0</v>
      </c>
      <c r="BI111" s="182">
        <f ca="1">SUMIFS(rec.uni[2030-01-01],
INDIRECT("rec.uni[natureza]"),"pro.soluto",
INDIRECT("rec.uni[empresa]"),BI$6)</f>
        <v>0</v>
      </c>
      <c r="BJ111" s="186">
        <f ca="1">SUMIFS(rec.uni[2030-01-01],
INDIRECT("rec.uni[natureza]"),"parcela.fin.total.ik",
INDIRECT("rec.uni[empresa]"),BJ$6)</f>
        <v>0</v>
      </c>
      <c r="BK111" s="182">
        <f ca="1">SUMIFS(rec.uni[2030-01-01],
INDIRECT("rec.uni[natureza]"),"taxa.extra",
INDIRECT("rec.uni[empresa]"),BK$6)</f>
        <v>0</v>
      </c>
      <c r="BL111" s="170"/>
      <c r="BM111" s="170" cm="1">
        <f t="array" ref="BM11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N111" s="170" cm="1">
        <f t="array" ref="BN11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O111" s="170" cm="1">
        <f t="array" ref="BO11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P111" s="170" cm="1">
        <f t="array" ref="BP11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Q111" s="170" cm="1">
        <f t="array" ref="BQ11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(desp[data.pagamento]&gt;=$A111)*
    (desp[data.pagamento]&lt;EOMONTH($A111,0)+1)
  )
)</f>
        <v>0</v>
      </c>
      <c r="BR111" s="181">
        <f>COUNTIFS(
    estq[empresa], BR$6,
    estq[Data da venda / reserva], "&gt;=" &amp; $A111,
    estq[Data da venda / reserva], "&lt;"  &amp; EOMONTH($A111,0) + 1
)</f>
        <v>0</v>
      </c>
      <c r="BS111" s="182">
        <f ca="1">SUMIFS(rec.uni[2030-01-01],
INDIRECT("rec.uni[natureza]"),"pro.soluto",
INDIRECT("rec.uni[empresa]"),BS$6)</f>
        <v>0</v>
      </c>
      <c r="BT111" s="186">
        <f ca="1">SUMIFS(rec.uni[2030-01-01],
INDIRECT("rec.uni[natureza]"),"parcela.fin.total.ik",
INDIRECT("rec.uni[empresa]"),BT$6)</f>
        <v>0</v>
      </c>
      <c r="BU111" s="182">
        <f ca="1">SUMIFS(rec.uni[2030-01-01],
INDIRECT("rec.uni[natureza]"),"taxa.extra",
INDIRECT("rec.uni[empresa]"),BU$6)</f>
        <v>0</v>
      </c>
      <c r="BV111" s="170"/>
      <c r="BW111" s="170" cm="1">
        <f t="array" ref="BW11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BX111" s="170" cm="1">
        <f t="array" ref="BX11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BY111" s="170" cm="1">
        <f t="array" ref="BY11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BZ111" s="170" cm="1">
        <f t="array" ref="BZ11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CA111" s="170" cm="1">
        <f t="array" ref="CA11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(desp[data.pagamento]&gt;=$A111)*
    (desp[data.pagamento]&lt;EOMONTH($A111,0)+1)
  )
)</f>
        <v>0</v>
      </c>
      <c r="CB111" s="181">
        <f>COUNTIFS(
    estq[empresa], CB$6,
    estq[Data da venda / reserva], "&gt;=" &amp; $A111,
    estq[Data da venda / reserva], "&lt;"  &amp; EOMONTH($A111,0) + 1
)</f>
        <v>0</v>
      </c>
      <c r="CC111" s="182">
        <f ca="1">SUMIFS(rec.uni[2030-01-01],
INDIRECT("rec.uni[natureza]"),"pro.soluto",
INDIRECT("rec.uni[empresa]"),CC$6)</f>
        <v>0</v>
      </c>
      <c r="CD111" s="182">
        <f ca="1">SUMIFS(rec.uni[2030-01-01],
INDIRECT("rec.uni[natureza]"),"repasse.cef.obra",
INDIRECT("rec.uni[empresa]"),CD$6)</f>
        <v>0</v>
      </c>
      <c r="CE111" s="185">
        <f ca="1">SUMIFS(rec.uni[2030-01-01],
INDIRECT("rec.uni[natureza]"),"repasse.cef.terreno",
INDIRECT("rec.uni[empresa]"),CE$6)</f>
        <v>0</v>
      </c>
      <c r="CF111" s="186"/>
      <c r="CG111" s="182">
        <f ca="1">SUMIFS(rec.uni[2030-01-01],
INDIRECT("rec.uni[natureza]"),"taxa.extra",
INDIRECT("rec.uni[empresa]"),CG$6)</f>
        <v>0</v>
      </c>
      <c r="CH111" s="170"/>
      <c r="CI111" s="170" cm="1">
        <f t="array" ref="CI11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J111" s="170" cm="1">
        <f t="array" ref="CJ11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K111" s="170" cm="1">
        <f t="array" ref="CK11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L111" s="170" cm="1">
        <f t="array" ref="CL11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M111" s="170" cm="1">
        <f t="array" ref="CM11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(desp[data.pagamento]&gt;=$A111)*
    (desp[data.pagamento]&lt;EOMONTH($A111,0)+1)
  )
)</f>
        <v>0</v>
      </c>
      <c r="CN111" s="181">
        <f>COUNTIFS(
    estq[empresa], CN$6,
    estq[Data da venda / reserva], "&gt;=" &amp; $A111,
    estq[Data da venda / reserva], "&lt;"  &amp; EOMONTH($A111,0) + 1
)</f>
        <v>0</v>
      </c>
      <c r="CO111" s="182">
        <f ca="1">SUMIFS(rec.uni[2030-01-01],
INDIRECT("rec.uni[natureza]"),"pro.soluto",
INDIRECT("rec.uni[empresa]"),CO$6)</f>
        <v>0</v>
      </c>
      <c r="CP111" s="182">
        <f ca="1">SUMIFS(rec.uni[2030-01-01],
INDIRECT("rec.uni[natureza]"),"repasse.cef.obra",
INDIRECT("rec.uni[empresa]"),CP$6)</f>
        <v>0</v>
      </c>
      <c r="CQ111" s="185">
        <f ca="1">SUMIFS(rec.uni[2030-01-01],
INDIRECT("rec.uni[natureza]"),"repasse.cef.terreno",
INDIRECT("rec.uni[empresa]"),CQ$6)</f>
        <v>0</v>
      </c>
      <c r="CR111" s="186"/>
      <c r="CS111" s="182">
        <f ca="1">SUMIFS(rec.uni[2030-01-01],
INDIRECT("rec.uni[natureza]"),"taxa.extra",
INDIRECT("rec.uni[empresa]"),CS$6)</f>
        <v>0</v>
      </c>
      <c r="CT111" s="170"/>
      <c r="CU111" s="170" cm="1">
        <f t="array" ref="CU11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  <c r="CV111" s="170" cm="1">
        <f t="array" ref="CV11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  <c r="CW111" s="170" cm="1">
        <f t="array" ref="CW11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  <c r="CX111" s="170" cm="1">
        <f t="array" ref="CX11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  <c r="CY111" s="295" cm="1">
        <f t="array" ref="CY11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(desp[data.pagamento]&gt;=$A111)*
    (desp[data.pagamento]&lt;EOMONTH($A111,0)+1)
  )
)</f>
        <v>0</v>
      </c>
    </row>
    <row r="112" spans="1:103" x14ac:dyDescent="0.25">
      <c r="A112" s="180">
        <v>47515</v>
      </c>
      <c r="B112" s="181">
        <f>COUNTIFS(
    estq[empresa], B$6,
    estq[Data da venda / reserva], "&gt;=" &amp; $A112,
    estq[Data da venda / reserva], "&lt;"  &amp; EOMONTH($A112,0) + 1
)</f>
        <v>0</v>
      </c>
      <c r="C112" s="182">
        <f ca="1">SUMIFS(rec.uni[2030-02-01],
INDIRECT("rec.uni[natureza]"),"pro.soluto",
INDIRECT("rec.uni[empresa]"),C$6)</f>
        <v>0</v>
      </c>
      <c r="D112" s="182">
        <f ca="1">SUMIFS(rec.uni[2030-02-01],
INDIRECT("rec.uni[natureza]"),"repasse.cef.obra",
INDIRECT("rec.uni[empresa]"),D$6)</f>
        <v>0</v>
      </c>
      <c r="E112" s="182">
        <f ca="1">SUMIFS(rec.uni[2030-02-01],
INDIRECT("rec.uni[natureza]"),"repasse.cef.terreno",
INDIRECT("rec.uni[empresa]"),E$6)</f>
        <v>0</v>
      </c>
      <c r="F112" s="186"/>
      <c r="G112" s="182">
        <f ca="1">SUMIFS(rec.uni[2030-02-01],
INDIRECT("rec.uni[natureza]"),"taxa.extra",
INDIRECT("rec.uni[empresa]"),G$6)</f>
        <v>0</v>
      </c>
      <c r="H112" s="170"/>
      <c r="I112" s="170" cm="1">
        <f t="array" ref="I11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J112" s="170" cm="1">
        <f t="array" ref="J11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K112" s="170" cm="1">
        <f t="array" ref="K11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L112" s="170" cm="1">
        <f t="array" ref="L11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M112" s="170" cm="1">
        <f t="array" ref="M11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(desp[data.pagamento]&gt;=$A112)*
    (desp[data.pagamento]&lt;EOMONTH($A112,0)+1)
  )
)</f>
        <v>0</v>
      </c>
      <c r="N112" s="181">
        <f>COUNTIFS(
    estq[empresa], N$6,
    estq[Data da venda / reserva], "&gt;=" &amp; $A112,
    estq[Data da venda / reserva], "&lt;"  &amp; EOMONTH($A112,0) + 1
)</f>
        <v>0</v>
      </c>
      <c r="O112" s="182">
        <f ca="1">SUMIFS(rec.uni[2030-02-01],
INDIRECT("rec.uni[natureza]"),"pro.soluto",
INDIRECT("rec.uni[empresa]"),O$6)</f>
        <v>0</v>
      </c>
      <c r="P112" s="182">
        <f ca="1">SUMIFS(rec.uni[2030-02-01],
INDIRECT("rec.uni[natureza]"),"repasse.cef.obra",
INDIRECT("rec.uni[empresa]"),P$6)</f>
        <v>0</v>
      </c>
      <c r="Q112" s="182">
        <f ca="1">SUMIFS(rec.uni[2030-02-01],
INDIRECT("rec.uni[natureza]"),"repasse.cef.terreno",
INDIRECT("rec.uni[empresa]"),Q$6)</f>
        <v>0</v>
      </c>
      <c r="R112" s="186"/>
      <c r="S112" s="182">
        <f ca="1">SUMIFS(rec.uni[2030-02-01],
INDIRECT("rec.uni[natureza]"),"taxa.extra",
INDIRECT("rec.uni[empresa]"),S$6)</f>
        <v>0</v>
      </c>
      <c r="T112" s="170"/>
      <c r="U112" s="170" cm="1">
        <f t="array" ref="U11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V112" s="170" cm="1">
        <f t="array" ref="V11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W112" s="170" cm="1">
        <f t="array" ref="W11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X112" s="170" cm="1">
        <f t="array" ref="X11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Y112" s="170" cm="1">
        <f t="array" ref="Y11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(desp[data.pagamento]&gt;=$A112)*
    (desp[data.pagamento]&lt;EOMONTH($A112,0)+1)
  )
)</f>
        <v>0</v>
      </c>
      <c r="Z112" s="181">
        <f>COUNTIFS(
    estq[empresa], Z$6,
    estq[Data da venda / reserva], "&gt;=" &amp; $A112,
    estq[Data da venda / reserva], "&lt;"  &amp; EOMONTH($A112,0) + 1
)</f>
        <v>0</v>
      </c>
      <c r="AA112" s="182">
        <f ca="1">SUMIFS(rec.uni[2030-02-01],
INDIRECT("rec.uni[natureza]"),"pro.soluto",
INDIRECT("rec.uni[empresa]"),AA$6)</f>
        <v>0</v>
      </c>
      <c r="AB112" s="186">
        <f ca="1">SUMIFS(rec.uni[2030-02-01],
INDIRECT("rec.uni[natureza]"),"parcela.fin.total.ik",
INDIRECT("rec.uni[empresa]"),AB$6)</f>
        <v>0</v>
      </c>
      <c r="AC112" s="182">
        <f ca="1">SUMIFS(rec.uni[2030-02-01],
INDIRECT("rec.uni[natureza]"),"taxa.extra",
INDIRECT("rec.uni[empresa]"),AC$6)</f>
        <v>0</v>
      </c>
      <c r="AD112" s="170"/>
      <c r="AE112" s="170" cm="1">
        <f t="array" ref="AE11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F112" s="170" cm="1">
        <f t="array" ref="AF11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G112" s="170" cm="1">
        <f t="array" ref="AG11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H112" s="170" cm="1">
        <f t="array" ref="AH11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I112" s="170" cm="1">
        <f t="array" ref="AI11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(desp[data.pagamento]&gt;=$A112)*
    (desp[data.pagamento]&lt;EOMONTH($A112,0)+1)
  )
)</f>
        <v>0</v>
      </c>
      <c r="AJ112" s="181">
        <f>COUNTIFS(
    estq[empresa], AJ$6,
    estq[Data da venda / reserva], "&gt;=" &amp; $A112,
    estq[Data da venda / reserva], "&lt;"  &amp; EOMONTH($A112,0) + 1
)</f>
        <v>0</v>
      </c>
      <c r="AK112" s="182">
        <f ca="1">SUMIFS(rec.uni[2030-02-01],
INDIRECT("rec.uni[natureza]"),"pro.soluto",
INDIRECT("rec.uni[empresa]"),AK$6)</f>
        <v>0</v>
      </c>
      <c r="AL112" s="182">
        <f ca="1">SUMIFS(rec.uni[2030-02-01],
INDIRECT("rec.uni[natureza]"),"repasse.cef.obra",
INDIRECT("rec.uni[empresa]"),AL$6)</f>
        <v>0</v>
      </c>
      <c r="AM112" s="185">
        <f ca="1">SUMIFS(rec.uni[2030-02-01],
INDIRECT("rec.uni[natureza]"),"repasse.cef.terreno",
INDIRECT("rec.uni[empresa]"),AM$6)</f>
        <v>0</v>
      </c>
      <c r="AN112" s="186"/>
      <c r="AO112" s="182">
        <f ca="1">SUMIFS(rec.uni[2030-02-01],
INDIRECT("rec.uni[natureza]"),"taxa.extra",
INDIRECT("rec.uni[empresa]"),AO$6)</f>
        <v>0</v>
      </c>
      <c r="AP112" s="170"/>
      <c r="AQ112" s="170" cm="1">
        <f t="array" ref="AQ11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R112" s="170" cm="1">
        <f t="array" ref="AR11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S112" s="170" cm="1">
        <f t="array" ref="AS11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T112" s="170" cm="1">
        <f t="array" ref="AT11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U112" s="170" cm="1">
        <f t="array" ref="AU11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(desp[data.pagamento]&gt;=$A112)*
    (desp[data.pagamento]&lt;EOMONTH($A112,0)+1)
  )
)</f>
        <v>0</v>
      </c>
      <c r="AV112" s="181">
        <f>COUNTIFS(
    estq[empresa], AV$6,
    estq[Data da venda / reserva], "&gt;=" &amp; $A112,
    estq[Data da venda / reserva], "&lt;"  &amp; EOMONTH($A112,0) + 1
)</f>
        <v>0</v>
      </c>
      <c r="AW112" s="182">
        <f ca="1">SUMIFS(rec.uni[2030-02-01],
INDIRECT("rec.uni[natureza]"),"pro.soluto",
INDIRECT("rec.uni[empresa]"),AW$6)</f>
        <v>0</v>
      </c>
      <c r="AX112" s="182">
        <f ca="1">SUMIFS(rec.uni[2030-02-01],
INDIRECT("rec.uni[natureza]"),"repasse.cef.obra",
INDIRECT("rec.uni[empresa]"),AX$6)</f>
        <v>0</v>
      </c>
      <c r="AY112" s="185">
        <f ca="1">SUMIFS(rec.uni[2030-02-01],
INDIRECT("rec.uni[natureza]"),"repasse.cef.terreno",
INDIRECT("rec.uni[empresa]"),AY$6)</f>
        <v>0</v>
      </c>
      <c r="AZ112" s="186"/>
      <c r="BA112" s="182">
        <f ca="1">SUMIFS(rec.uni[2030-02-01],
INDIRECT("rec.uni[natureza]"),"taxa.extra",
INDIRECT("rec.uni[empresa]"),BA$6)</f>
        <v>0</v>
      </c>
      <c r="BB112" s="170"/>
      <c r="BC112" s="170" cm="1">
        <f t="array" ref="BC11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D112" s="170" cm="1">
        <f t="array" ref="BD11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E112" s="170" cm="1">
        <f t="array" ref="BE11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F112" s="170" cm="1">
        <f t="array" ref="BF11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G112" s="170" cm="1">
        <f t="array" ref="BG11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(desp[data.pagamento]&gt;=$A112)*
    (desp[data.pagamento]&lt;EOMONTH($A112,0)+1)
  )
)</f>
        <v>0</v>
      </c>
      <c r="BH112" s="181">
        <f>COUNTIFS(
    estq[empresa], BH$6,
    estq[Data da venda / reserva], "&gt;=" &amp; $A112,
    estq[Data da venda / reserva], "&lt;"  &amp; EOMONTH($A112,0) + 1
)</f>
        <v>0</v>
      </c>
      <c r="BI112" s="182">
        <f ca="1">SUMIFS(rec.uni[2030-02-01],
INDIRECT("rec.uni[natureza]"),"pro.soluto",
INDIRECT("rec.uni[empresa]"),BI$6)</f>
        <v>0</v>
      </c>
      <c r="BJ112" s="186">
        <f ca="1">SUMIFS(rec.uni[2030-02-01],
INDIRECT("rec.uni[natureza]"),"parcela.fin.total.ik",
INDIRECT("rec.uni[empresa]"),BJ$6)</f>
        <v>0</v>
      </c>
      <c r="BK112" s="182">
        <f ca="1">SUMIFS(rec.uni[2030-02-01],
INDIRECT("rec.uni[natureza]"),"taxa.extra",
INDIRECT("rec.uni[empresa]"),BK$6)</f>
        <v>0</v>
      </c>
      <c r="BL112" s="170"/>
      <c r="BM112" s="170" cm="1">
        <f t="array" ref="BM11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N112" s="170" cm="1">
        <f t="array" ref="BN11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O112" s="170" cm="1">
        <f t="array" ref="BO11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P112" s="170" cm="1">
        <f t="array" ref="BP11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Q112" s="170" cm="1">
        <f t="array" ref="BQ11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(desp[data.pagamento]&gt;=$A112)*
    (desp[data.pagamento]&lt;EOMONTH($A112,0)+1)
  )
)</f>
        <v>0</v>
      </c>
      <c r="BR112" s="181">
        <f>COUNTIFS(
    estq[empresa], BR$6,
    estq[Data da venda / reserva], "&gt;=" &amp; $A112,
    estq[Data da venda / reserva], "&lt;"  &amp; EOMONTH($A112,0) + 1
)</f>
        <v>0</v>
      </c>
      <c r="BS112" s="182">
        <f ca="1">SUMIFS(rec.uni[2030-02-01],
INDIRECT("rec.uni[natureza]"),"pro.soluto",
INDIRECT("rec.uni[empresa]"),BS$6)</f>
        <v>0</v>
      </c>
      <c r="BT112" s="186">
        <f ca="1">SUMIFS(rec.uni[2030-02-01],
INDIRECT("rec.uni[natureza]"),"parcela.fin.total.ik",
INDIRECT("rec.uni[empresa]"),BT$6)</f>
        <v>0</v>
      </c>
      <c r="BU112" s="182">
        <f ca="1">SUMIFS(rec.uni[2030-02-01],
INDIRECT("rec.uni[natureza]"),"taxa.extra",
INDIRECT("rec.uni[empresa]"),BU$6)</f>
        <v>0</v>
      </c>
      <c r="BV112" s="170"/>
      <c r="BW112" s="170" cm="1">
        <f t="array" ref="BW11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BX112" s="170" cm="1">
        <f t="array" ref="BX11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BY112" s="170" cm="1">
        <f t="array" ref="BY11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BZ112" s="170" cm="1">
        <f t="array" ref="BZ11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CA112" s="170" cm="1">
        <f t="array" ref="CA11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(desp[data.pagamento]&gt;=$A112)*
    (desp[data.pagamento]&lt;EOMONTH($A112,0)+1)
  )
)</f>
        <v>0</v>
      </c>
      <c r="CB112" s="181">
        <f>COUNTIFS(
    estq[empresa], CB$6,
    estq[Data da venda / reserva], "&gt;=" &amp; $A112,
    estq[Data da venda / reserva], "&lt;"  &amp; EOMONTH($A112,0) + 1
)</f>
        <v>0</v>
      </c>
      <c r="CC112" s="182">
        <f ca="1">SUMIFS(rec.uni[2030-02-01],
INDIRECT("rec.uni[natureza]"),"pro.soluto",
INDIRECT("rec.uni[empresa]"),CC$6)</f>
        <v>0</v>
      </c>
      <c r="CD112" s="182">
        <f ca="1">SUMIFS(rec.uni[2030-02-01],
INDIRECT("rec.uni[natureza]"),"repasse.cef.obra",
INDIRECT("rec.uni[empresa]"),CD$6)</f>
        <v>0</v>
      </c>
      <c r="CE112" s="185">
        <f ca="1">SUMIFS(rec.uni[2030-02-01],
INDIRECT("rec.uni[natureza]"),"repasse.cef.terreno",
INDIRECT("rec.uni[empresa]"),CE$6)</f>
        <v>0</v>
      </c>
      <c r="CF112" s="186"/>
      <c r="CG112" s="182">
        <f ca="1">SUMIFS(rec.uni[2030-02-01],
INDIRECT("rec.uni[natureza]"),"taxa.extra",
INDIRECT("rec.uni[empresa]"),CG$6)</f>
        <v>0</v>
      </c>
      <c r="CH112" s="170"/>
      <c r="CI112" s="170" cm="1">
        <f t="array" ref="CI11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J112" s="170" cm="1">
        <f t="array" ref="CJ11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K112" s="170" cm="1">
        <f t="array" ref="CK11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L112" s="170" cm="1">
        <f t="array" ref="CL11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M112" s="170" cm="1">
        <f t="array" ref="CM11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(desp[data.pagamento]&gt;=$A112)*
    (desp[data.pagamento]&lt;EOMONTH($A112,0)+1)
  )
)</f>
        <v>0</v>
      </c>
      <c r="CN112" s="181">
        <f>COUNTIFS(
    estq[empresa], CN$6,
    estq[Data da venda / reserva], "&gt;=" &amp; $A112,
    estq[Data da venda / reserva], "&lt;"  &amp; EOMONTH($A112,0) + 1
)</f>
        <v>0</v>
      </c>
      <c r="CO112" s="182">
        <f ca="1">SUMIFS(rec.uni[2030-02-01],
INDIRECT("rec.uni[natureza]"),"pro.soluto",
INDIRECT("rec.uni[empresa]"),CO$6)</f>
        <v>0</v>
      </c>
      <c r="CP112" s="182">
        <f ca="1">SUMIFS(rec.uni[2030-02-01],
INDIRECT("rec.uni[natureza]"),"repasse.cef.obra",
INDIRECT("rec.uni[empresa]"),CP$6)</f>
        <v>0</v>
      </c>
      <c r="CQ112" s="185">
        <f ca="1">SUMIFS(rec.uni[2030-02-01],
INDIRECT("rec.uni[natureza]"),"repasse.cef.terreno",
INDIRECT("rec.uni[empresa]"),CQ$6)</f>
        <v>0</v>
      </c>
      <c r="CR112" s="186"/>
      <c r="CS112" s="182">
        <f ca="1">SUMIFS(rec.uni[2030-02-01],
INDIRECT("rec.uni[natureza]"),"taxa.extra",
INDIRECT("rec.uni[empresa]"),CS$6)</f>
        <v>0</v>
      </c>
      <c r="CT112" s="170"/>
      <c r="CU112" s="170" cm="1">
        <f t="array" ref="CU11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  <c r="CV112" s="170" cm="1">
        <f t="array" ref="CV11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  <c r="CW112" s="170" cm="1">
        <f t="array" ref="CW11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  <c r="CX112" s="170" cm="1">
        <f t="array" ref="CX11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  <c r="CY112" s="295" cm="1">
        <f t="array" ref="CY11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(desp[data.pagamento]&gt;=$A112)*
    (desp[data.pagamento]&lt;EOMONTH($A112,0)+1)
  )
)</f>
        <v>0</v>
      </c>
    </row>
    <row r="113" spans="1:103" x14ac:dyDescent="0.25">
      <c r="A113" s="180">
        <v>47543</v>
      </c>
      <c r="B113" s="181">
        <f>COUNTIFS(
    estq[empresa], B$6,
    estq[Data da venda / reserva], "&gt;=" &amp; $A113,
    estq[Data da venda / reserva], "&lt;"  &amp; EOMONTH($A113,0) + 1
)</f>
        <v>0</v>
      </c>
      <c r="C113" s="182">
        <f ca="1">SUMIFS(rec.uni[2030-03-01],
INDIRECT("rec.uni[natureza]"),"pro.soluto",
INDIRECT("rec.uni[empresa]"),C$6)</f>
        <v>0</v>
      </c>
      <c r="D113" s="182">
        <f ca="1">SUMIFS(rec.uni[2030-03-01],
INDIRECT("rec.uni[natureza]"),"repasse.cef.obra",
INDIRECT("rec.uni[empresa]"),D$6)</f>
        <v>0</v>
      </c>
      <c r="E113" s="182">
        <f ca="1">SUMIFS(rec.uni[2030-03-01],
INDIRECT("rec.uni[natureza]"),"repasse.cef.terreno",
INDIRECT("rec.uni[empresa]"),E$6)</f>
        <v>0</v>
      </c>
      <c r="F113" s="186"/>
      <c r="G113" s="182">
        <f ca="1">SUMIFS(rec.uni[2030-03-01],
INDIRECT("rec.uni[natureza]"),"taxa.extra",
INDIRECT("rec.uni[empresa]"),G$6)</f>
        <v>0</v>
      </c>
      <c r="H113" s="170"/>
      <c r="I113" s="170" cm="1">
        <f t="array" ref="I11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J113" s="170" cm="1">
        <f t="array" ref="J11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K113" s="170" cm="1">
        <f t="array" ref="K11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L113" s="170" cm="1">
        <f t="array" ref="L11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M113" s="170" cm="1">
        <f t="array" ref="M11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(desp[data.pagamento]&gt;=$A113)*
    (desp[data.pagamento]&lt;EOMONTH($A113,0)+1)
  )
)</f>
        <v>0</v>
      </c>
      <c r="N113" s="181">
        <f>COUNTIFS(
    estq[empresa], N$6,
    estq[Data da venda / reserva], "&gt;=" &amp; $A113,
    estq[Data da venda / reserva], "&lt;"  &amp; EOMONTH($A113,0) + 1
)</f>
        <v>0</v>
      </c>
      <c r="O113" s="182">
        <f ca="1">SUMIFS(rec.uni[2030-03-01],
INDIRECT("rec.uni[natureza]"),"pro.soluto",
INDIRECT("rec.uni[empresa]"),O$6)</f>
        <v>0</v>
      </c>
      <c r="P113" s="182">
        <f ca="1">SUMIFS(rec.uni[2030-03-01],
INDIRECT("rec.uni[natureza]"),"repasse.cef.obra",
INDIRECT("rec.uni[empresa]"),P$6)</f>
        <v>0</v>
      </c>
      <c r="Q113" s="182">
        <f ca="1">SUMIFS(rec.uni[2030-03-01],
INDIRECT("rec.uni[natureza]"),"repasse.cef.terreno",
INDIRECT("rec.uni[empresa]"),Q$6)</f>
        <v>0</v>
      </c>
      <c r="R113" s="186"/>
      <c r="S113" s="182">
        <f ca="1">SUMIFS(rec.uni[2030-03-01],
INDIRECT("rec.uni[natureza]"),"taxa.extra",
INDIRECT("rec.uni[empresa]"),S$6)</f>
        <v>0</v>
      </c>
      <c r="T113" s="170"/>
      <c r="U113" s="170" cm="1">
        <f t="array" ref="U11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V113" s="170" cm="1">
        <f t="array" ref="V11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W113" s="170" cm="1">
        <f t="array" ref="W11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X113" s="170" cm="1">
        <f t="array" ref="X11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Y113" s="170" cm="1">
        <f t="array" ref="Y11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(desp[data.pagamento]&gt;=$A113)*
    (desp[data.pagamento]&lt;EOMONTH($A113,0)+1)
  )
)</f>
        <v>0</v>
      </c>
      <c r="Z113" s="181">
        <f>COUNTIFS(
    estq[empresa], Z$6,
    estq[Data da venda / reserva], "&gt;=" &amp; $A113,
    estq[Data da venda / reserva], "&lt;"  &amp; EOMONTH($A113,0) + 1
)</f>
        <v>0</v>
      </c>
      <c r="AA113" s="182">
        <f ca="1">SUMIFS(rec.uni[2030-03-01],
INDIRECT("rec.uni[natureza]"),"pro.soluto",
INDIRECT("rec.uni[empresa]"),AA$6)</f>
        <v>0</v>
      </c>
      <c r="AB113" s="186">
        <f ca="1">SUMIFS(rec.uni[2030-03-01],
INDIRECT("rec.uni[natureza]"),"parcela.fin.total.ik",
INDIRECT("rec.uni[empresa]"),AB$6)</f>
        <v>0</v>
      </c>
      <c r="AC113" s="182">
        <f ca="1">SUMIFS(rec.uni[2030-03-01],
INDIRECT("rec.uni[natureza]"),"taxa.extra",
INDIRECT("rec.uni[empresa]"),AC$6)</f>
        <v>0</v>
      </c>
      <c r="AD113" s="170"/>
      <c r="AE113" s="170" cm="1">
        <f t="array" ref="AE113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F113" s="170" cm="1">
        <f t="array" ref="AF113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G113" s="170" cm="1">
        <f t="array" ref="AG11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H113" s="170" cm="1">
        <f t="array" ref="AH11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I113" s="170" cm="1">
        <f t="array" ref="AI11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(desp[data.pagamento]&gt;=$A113)*
    (desp[data.pagamento]&lt;EOMONTH($A113,0)+1)
  )
)</f>
        <v>0</v>
      </c>
      <c r="AJ113" s="181">
        <f>COUNTIFS(
    estq[empresa], AJ$6,
    estq[Data da venda / reserva], "&gt;=" &amp; $A113,
    estq[Data da venda / reserva], "&lt;"  &amp; EOMONTH($A113,0) + 1
)</f>
        <v>0</v>
      </c>
      <c r="AK113" s="182">
        <f ca="1">SUMIFS(rec.uni[2030-03-01],
INDIRECT("rec.uni[natureza]"),"pro.soluto",
INDIRECT("rec.uni[empresa]"),AK$6)</f>
        <v>0</v>
      </c>
      <c r="AL113" s="182">
        <f ca="1">SUMIFS(rec.uni[2030-03-01],
INDIRECT("rec.uni[natureza]"),"repasse.cef.obra",
INDIRECT("rec.uni[empresa]"),AL$6)</f>
        <v>0</v>
      </c>
      <c r="AM113" s="185">
        <f ca="1">SUMIFS(rec.uni[2030-03-01],
INDIRECT("rec.uni[natureza]"),"repasse.cef.terreno",
INDIRECT("rec.uni[empresa]"),AM$6)</f>
        <v>0</v>
      </c>
      <c r="AN113" s="186"/>
      <c r="AO113" s="182">
        <f ca="1">SUMIFS(rec.uni[2030-03-01],
INDIRECT("rec.uni[natureza]"),"taxa.extra",
INDIRECT("rec.uni[empresa]"),AO$6)</f>
        <v>0</v>
      </c>
      <c r="AP113" s="170"/>
      <c r="AQ113" s="170" cm="1">
        <f t="array" ref="AQ113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R113" s="170" cm="1">
        <f t="array" ref="AR113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S113" s="170" cm="1">
        <f t="array" ref="AS11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T113" s="170" cm="1">
        <f t="array" ref="AT11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U113" s="170" cm="1">
        <f t="array" ref="AU11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(desp[data.pagamento]&gt;=$A113)*
    (desp[data.pagamento]&lt;EOMONTH($A113,0)+1)
  )
)</f>
        <v>0</v>
      </c>
      <c r="AV113" s="181">
        <f>COUNTIFS(
    estq[empresa], AV$6,
    estq[Data da venda / reserva], "&gt;=" &amp; $A113,
    estq[Data da venda / reserva], "&lt;"  &amp; EOMONTH($A113,0) + 1
)</f>
        <v>0</v>
      </c>
      <c r="AW113" s="182">
        <f ca="1">SUMIFS(rec.uni[2030-03-01],
INDIRECT("rec.uni[natureza]"),"pro.soluto",
INDIRECT("rec.uni[empresa]"),AW$6)</f>
        <v>0</v>
      </c>
      <c r="AX113" s="182">
        <f ca="1">SUMIFS(rec.uni[2030-03-01],
INDIRECT("rec.uni[natureza]"),"repasse.cef.obra",
INDIRECT("rec.uni[empresa]"),AX$6)</f>
        <v>0</v>
      </c>
      <c r="AY113" s="185">
        <f ca="1">SUMIFS(rec.uni[2030-03-01],
INDIRECT("rec.uni[natureza]"),"repasse.cef.terreno",
INDIRECT("rec.uni[empresa]"),AY$6)</f>
        <v>0</v>
      </c>
      <c r="AZ113" s="186"/>
      <c r="BA113" s="182">
        <f ca="1">SUMIFS(rec.uni[2030-03-01],
INDIRECT("rec.uni[natureza]"),"taxa.extra",
INDIRECT("rec.uni[empresa]"),BA$6)</f>
        <v>0</v>
      </c>
      <c r="BB113" s="170"/>
      <c r="BC113" s="170" cm="1">
        <f t="array" ref="BC11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D113" s="170" cm="1">
        <f t="array" ref="BD11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E113" s="170" cm="1">
        <f t="array" ref="BE11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F113" s="170" cm="1">
        <f t="array" ref="BF11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G113" s="170" cm="1">
        <f t="array" ref="BG11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(desp[data.pagamento]&gt;=$A113)*
    (desp[data.pagamento]&lt;EOMONTH($A113,0)+1)
  )
)</f>
        <v>0</v>
      </c>
      <c r="BH113" s="181">
        <f>COUNTIFS(
    estq[empresa], BH$6,
    estq[Data da venda / reserva], "&gt;=" &amp; $A113,
    estq[Data da venda / reserva], "&lt;"  &amp; EOMONTH($A113,0) + 1
)</f>
        <v>0</v>
      </c>
      <c r="BI113" s="182">
        <f ca="1">SUMIFS(rec.uni[2030-03-01],
INDIRECT("rec.uni[natureza]"),"pro.soluto",
INDIRECT("rec.uni[empresa]"),BI$6)</f>
        <v>0</v>
      </c>
      <c r="BJ113" s="186">
        <f ca="1">SUMIFS(rec.uni[2030-03-01],
INDIRECT("rec.uni[natureza]"),"parcela.fin.total.ik",
INDIRECT("rec.uni[empresa]"),BJ$6)</f>
        <v>0</v>
      </c>
      <c r="BK113" s="182">
        <f ca="1">SUMIFS(rec.uni[2030-03-01],
INDIRECT("rec.uni[natureza]"),"taxa.extra",
INDIRECT("rec.uni[empresa]"),BK$6)</f>
        <v>0</v>
      </c>
      <c r="BL113" s="170"/>
      <c r="BM113" s="170" cm="1">
        <f t="array" ref="BM113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N113" s="170" cm="1">
        <f t="array" ref="BN113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O113" s="170" cm="1">
        <f t="array" ref="BO11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P113" s="170" cm="1">
        <f t="array" ref="BP11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Q113" s="170" cm="1">
        <f t="array" ref="BQ11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(desp[data.pagamento]&gt;=$A113)*
    (desp[data.pagamento]&lt;EOMONTH($A113,0)+1)
  )
)</f>
        <v>0</v>
      </c>
      <c r="BR113" s="181">
        <f>COUNTIFS(
    estq[empresa], BR$6,
    estq[Data da venda / reserva], "&gt;=" &amp; $A113,
    estq[Data da venda / reserva], "&lt;"  &amp; EOMONTH($A113,0) + 1
)</f>
        <v>0</v>
      </c>
      <c r="BS113" s="182">
        <f ca="1">SUMIFS(rec.uni[2030-03-01],
INDIRECT("rec.uni[natureza]"),"pro.soluto",
INDIRECT("rec.uni[empresa]"),BS$6)</f>
        <v>0</v>
      </c>
      <c r="BT113" s="186">
        <f ca="1">SUMIFS(rec.uni[2030-03-01],
INDIRECT("rec.uni[natureza]"),"parcela.fin.total.ik",
INDIRECT("rec.uni[empresa]"),BT$6)</f>
        <v>0</v>
      </c>
      <c r="BU113" s="182">
        <f ca="1">SUMIFS(rec.uni[2030-03-01],
INDIRECT("rec.uni[natureza]"),"taxa.extra",
INDIRECT("rec.uni[empresa]"),BU$6)</f>
        <v>0</v>
      </c>
      <c r="BV113" s="170"/>
      <c r="BW113" s="170" cm="1">
        <f t="array" ref="BW113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BX113" s="170" cm="1">
        <f t="array" ref="BX113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BY113" s="170" cm="1">
        <f t="array" ref="BY113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BZ113" s="170" cm="1">
        <f t="array" ref="BZ113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CA113" s="170" cm="1">
        <f t="array" ref="CA11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(desp[data.pagamento]&gt;=$A113)*
    (desp[data.pagamento]&lt;EOMONTH($A113,0)+1)
  )
)</f>
        <v>0</v>
      </c>
      <c r="CB113" s="181">
        <f>COUNTIFS(
    estq[empresa], CB$6,
    estq[Data da venda / reserva], "&gt;=" &amp; $A113,
    estq[Data da venda / reserva], "&lt;"  &amp; EOMONTH($A113,0) + 1
)</f>
        <v>0</v>
      </c>
      <c r="CC113" s="182">
        <f ca="1">SUMIFS(rec.uni[2030-03-01],
INDIRECT("rec.uni[natureza]"),"pro.soluto",
INDIRECT("rec.uni[empresa]"),CC$6)</f>
        <v>0</v>
      </c>
      <c r="CD113" s="182">
        <f ca="1">SUMIFS(rec.uni[2030-03-01],
INDIRECT("rec.uni[natureza]"),"repasse.cef.obra",
INDIRECT("rec.uni[empresa]"),CD$6)</f>
        <v>0</v>
      </c>
      <c r="CE113" s="185">
        <f ca="1">SUMIFS(rec.uni[2030-03-01],
INDIRECT("rec.uni[natureza]"),"repasse.cef.terreno",
INDIRECT("rec.uni[empresa]"),CE$6)</f>
        <v>0</v>
      </c>
      <c r="CF113" s="186"/>
      <c r="CG113" s="182">
        <f ca="1">SUMIFS(rec.uni[2030-03-01],
INDIRECT("rec.uni[natureza]"),"taxa.extra",
INDIRECT("rec.uni[empresa]"),CG$6)</f>
        <v>0</v>
      </c>
      <c r="CH113" s="170"/>
      <c r="CI113" s="170" cm="1">
        <f t="array" ref="CI113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J113" s="170" cm="1">
        <f t="array" ref="CJ113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K113" s="170" cm="1">
        <f t="array" ref="CK113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L113" s="170" cm="1">
        <f t="array" ref="CL113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M113" s="170" cm="1">
        <f t="array" ref="CM113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(desp[data.pagamento]&gt;=$A113)*
    (desp[data.pagamento]&lt;EOMONTH($A113,0)+1)
  )
)</f>
        <v>0</v>
      </c>
      <c r="CN113" s="181">
        <f>COUNTIFS(
    estq[empresa], CN$6,
    estq[Data da venda / reserva], "&gt;=" &amp; $A113,
    estq[Data da venda / reserva], "&lt;"  &amp; EOMONTH($A113,0) + 1
)</f>
        <v>0</v>
      </c>
      <c r="CO113" s="182">
        <f ca="1">SUMIFS(rec.uni[2030-03-01],
INDIRECT("rec.uni[natureza]"),"pro.soluto",
INDIRECT("rec.uni[empresa]"),CO$6)</f>
        <v>0</v>
      </c>
      <c r="CP113" s="182">
        <f ca="1">SUMIFS(rec.uni[2030-03-01],
INDIRECT("rec.uni[natureza]"),"repasse.cef.obra",
INDIRECT("rec.uni[empresa]"),CP$6)</f>
        <v>0</v>
      </c>
      <c r="CQ113" s="185">
        <f ca="1">SUMIFS(rec.uni[2030-03-01],
INDIRECT("rec.uni[natureza]"),"repasse.cef.terreno",
INDIRECT("rec.uni[empresa]"),CQ$6)</f>
        <v>0</v>
      </c>
      <c r="CR113" s="186"/>
      <c r="CS113" s="182">
        <f ca="1">SUMIFS(rec.uni[2030-03-01],
INDIRECT("rec.uni[natureza]"),"taxa.extra",
INDIRECT("rec.uni[empresa]"),CS$6)</f>
        <v>0</v>
      </c>
      <c r="CT113" s="170"/>
      <c r="CU113" s="170" cm="1">
        <f t="array" ref="CU113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  <c r="CV113" s="170" cm="1">
        <f t="array" ref="CV113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  <c r="CW113" s="170" cm="1">
        <f t="array" ref="CW113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  <c r="CX113" s="170" cm="1">
        <f t="array" ref="CX113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  <c r="CY113" s="295" cm="1">
        <f t="array" ref="CY113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(desp[data.pagamento]&gt;=$A113)*
    (desp[data.pagamento]&lt;EOMONTH($A113,0)+1)
  )
)</f>
        <v>0</v>
      </c>
    </row>
    <row r="114" spans="1:103" x14ac:dyDescent="0.25">
      <c r="A114" s="180">
        <v>47574</v>
      </c>
      <c r="B114" s="181">
        <f>COUNTIFS(
    estq[empresa], B$6,
    estq[Data da venda / reserva], "&gt;=" &amp; $A114,
    estq[Data da venda / reserva], "&lt;"  &amp; EOMONTH($A114,0) + 1
)</f>
        <v>0</v>
      </c>
      <c r="C114" s="182">
        <f ca="1">SUMIFS(rec.uni[2030-04-01],
INDIRECT("rec.uni[natureza]"),"pro.soluto",
INDIRECT("rec.uni[empresa]"),C$6)</f>
        <v>0</v>
      </c>
      <c r="D114" s="182">
        <f ca="1">SUMIFS(rec.uni[2030-04-01],
INDIRECT("rec.uni[natureza]"),"repasse.cef.obra",
INDIRECT("rec.uni[empresa]"),D$6)</f>
        <v>0</v>
      </c>
      <c r="E114" s="182">
        <f ca="1">SUMIFS(rec.uni[2030-04-01],
INDIRECT("rec.uni[natureza]"),"repasse.cef.terreno",
INDIRECT("rec.uni[empresa]"),E$6)</f>
        <v>0</v>
      </c>
      <c r="F114" s="186"/>
      <c r="G114" s="182">
        <f ca="1">SUMIFS(rec.uni[2030-04-01],
INDIRECT("rec.uni[natureza]"),"taxa.extra",
INDIRECT("rec.uni[empresa]"),G$6)</f>
        <v>0</v>
      </c>
      <c r="H114" s="170"/>
      <c r="I114" s="170" cm="1">
        <f t="array" ref="I11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J114" s="170" cm="1">
        <f t="array" ref="J11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K114" s="170" cm="1">
        <f t="array" ref="K11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L114" s="170" cm="1">
        <f t="array" ref="L11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M114" s="170" cm="1">
        <f t="array" ref="M11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(desp[data.pagamento]&gt;=$A114)*
    (desp[data.pagamento]&lt;EOMONTH($A114,0)+1)
  )
)</f>
        <v>0</v>
      </c>
      <c r="N114" s="181">
        <f>COUNTIFS(
    estq[empresa], N$6,
    estq[Data da venda / reserva], "&gt;=" &amp; $A114,
    estq[Data da venda / reserva], "&lt;"  &amp; EOMONTH($A114,0) + 1
)</f>
        <v>0</v>
      </c>
      <c r="O114" s="182">
        <f ca="1">SUMIFS(rec.uni[2030-04-01],
INDIRECT("rec.uni[natureza]"),"pro.soluto",
INDIRECT("rec.uni[empresa]"),O$6)</f>
        <v>0</v>
      </c>
      <c r="P114" s="182">
        <f ca="1">SUMIFS(rec.uni[2030-04-01],
INDIRECT("rec.uni[natureza]"),"repasse.cef.obra",
INDIRECT("rec.uni[empresa]"),P$6)</f>
        <v>0</v>
      </c>
      <c r="Q114" s="182">
        <f ca="1">SUMIFS(rec.uni[2030-04-01],
INDIRECT("rec.uni[natureza]"),"repasse.cef.terreno",
INDIRECT("rec.uni[empresa]"),Q$6)</f>
        <v>0</v>
      </c>
      <c r="R114" s="186"/>
      <c r="S114" s="182">
        <f ca="1">SUMIFS(rec.uni[2030-04-01],
INDIRECT("rec.uni[natureza]"),"taxa.extra",
INDIRECT("rec.uni[empresa]"),S$6)</f>
        <v>0</v>
      </c>
      <c r="T114" s="170"/>
      <c r="U114" s="170" cm="1">
        <f t="array" ref="U11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V114" s="170" cm="1">
        <f t="array" ref="V11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W114" s="170" cm="1">
        <f t="array" ref="W11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X114" s="170" cm="1">
        <f t="array" ref="X11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Y114" s="170" cm="1">
        <f t="array" ref="Y11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(desp[data.pagamento]&gt;=$A114)*
    (desp[data.pagamento]&lt;EOMONTH($A114,0)+1)
  )
)</f>
        <v>0</v>
      </c>
      <c r="Z114" s="181">
        <f>COUNTIFS(
    estq[empresa], Z$6,
    estq[Data da venda / reserva], "&gt;=" &amp; $A114,
    estq[Data da venda / reserva], "&lt;"  &amp; EOMONTH($A114,0) + 1
)</f>
        <v>0</v>
      </c>
      <c r="AA114" s="182">
        <f ca="1">SUMIFS(rec.uni[2030-04-01],
INDIRECT("rec.uni[natureza]"),"pro.soluto",
INDIRECT("rec.uni[empresa]"),AA$6)</f>
        <v>0</v>
      </c>
      <c r="AB114" s="186">
        <f ca="1">SUMIFS(rec.uni[2030-04-01],
INDIRECT("rec.uni[natureza]"),"parcela.fin.total.ik",
INDIRECT("rec.uni[empresa]"),AB$6)</f>
        <v>0</v>
      </c>
      <c r="AC114" s="182">
        <f ca="1">SUMIFS(rec.uni[2030-04-01],
INDIRECT("rec.uni[natureza]"),"taxa.extra",
INDIRECT("rec.uni[empresa]"),AC$6)</f>
        <v>0</v>
      </c>
      <c r="AD114" s="170"/>
      <c r="AE114" s="170" cm="1">
        <f t="array" ref="AE114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F114" s="170" cm="1">
        <f t="array" ref="AF114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G114" s="170" cm="1">
        <f t="array" ref="AG11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H114" s="170" cm="1">
        <f t="array" ref="AH11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I114" s="170" cm="1">
        <f t="array" ref="AI11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(desp[data.pagamento]&gt;=$A114)*
    (desp[data.pagamento]&lt;EOMONTH($A114,0)+1)
  )
)</f>
        <v>0</v>
      </c>
      <c r="AJ114" s="181">
        <f>COUNTIFS(
    estq[empresa], AJ$6,
    estq[Data da venda / reserva], "&gt;=" &amp; $A114,
    estq[Data da venda / reserva], "&lt;"  &amp; EOMONTH($A114,0) + 1
)</f>
        <v>0</v>
      </c>
      <c r="AK114" s="182">
        <f ca="1">SUMIFS(rec.uni[2030-04-01],
INDIRECT("rec.uni[natureza]"),"pro.soluto",
INDIRECT("rec.uni[empresa]"),AK$6)</f>
        <v>0</v>
      </c>
      <c r="AL114" s="182">
        <f ca="1">SUMIFS(rec.uni[2030-04-01],
INDIRECT("rec.uni[natureza]"),"repasse.cef.obra",
INDIRECT("rec.uni[empresa]"),AL$6)</f>
        <v>0</v>
      </c>
      <c r="AM114" s="185">
        <f ca="1">SUMIFS(rec.uni[2030-04-01],
INDIRECT("rec.uni[natureza]"),"repasse.cef.terreno",
INDIRECT("rec.uni[empresa]"),AM$6)</f>
        <v>0</v>
      </c>
      <c r="AN114" s="186"/>
      <c r="AO114" s="182">
        <f ca="1">SUMIFS(rec.uni[2030-04-01],
INDIRECT("rec.uni[natureza]"),"taxa.extra",
INDIRECT("rec.uni[empresa]"),AO$6)</f>
        <v>0</v>
      </c>
      <c r="AP114" s="170"/>
      <c r="AQ114" s="170" cm="1">
        <f t="array" ref="AQ114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R114" s="170" cm="1">
        <f t="array" ref="AR114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S114" s="170" cm="1">
        <f t="array" ref="AS11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T114" s="170" cm="1">
        <f t="array" ref="AT11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U114" s="170" cm="1">
        <f t="array" ref="AU11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(desp[data.pagamento]&gt;=$A114)*
    (desp[data.pagamento]&lt;EOMONTH($A114,0)+1)
  )
)</f>
        <v>0</v>
      </c>
      <c r="AV114" s="181">
        <f>COUNTIFS(
    estq[empresa], AV$6,
    estq[Data da venda / reserva], "&gt;=" &amp; $A114,
    estq[Data da venda / reserva], "&lt;"  &amp; EOMONTH($A114,0) + 1
)</f>
        <v>0</v>
      </c>
      <c r="AW114" s="182">
        <f ca="1">SUMIFS(rec.uni[2030-04-01],
INDIRECT("rec.uni[natureza]"),"pro.soluto",
INDIRECT("rec.uni[empresa]"),AW$6)</f>
        <v>0</v>
      </c>
      <c r="AX114" s="182">
        <f ca="1">SUMIFS(rec.uni[2030-04-01],
INDIRECT("rec.uni[natureza]"),"repasse.cef.obra",
INDIRECT("rec.uni[empresa]"),AX$6)</f>
        <v>0</v>
      </c>
      <c r="AY114" s="185">
        <f ca="1">SUMIFS(rec.uni[2030-04-01],
INDIRECT("rec.uni[natureza]"),"repasse.cef.terreno",
INDIRECT("rec.uni[empresa]"),AY$6)</f>
        <v>0</v>
      </c>
      <c r="AZ114" s="186"/>
      <c r="BA114" s="182">
        <f ca="1">SUMIFS(rec.uni[2030-04-01],
INDIRECT("rec.uni[natureza]"),"taxa.extra",
INDIRECT("rec.uni[empresa]"),BA$6)</f>
        <v>0</v>
      </c>
      <c r="BB114" s="170"/>
      <c r="BC114" s="170" cm="1">
        <f t="array" ref="BC11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D114" s="170" cm="1">
        <f t="array" ref="BD11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E114" s="170" cm="1">
        <f t="array" ref="BE11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F114" s="170" cm="1">
        <f t="array" ref="BF11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G114" s="170" cm="1">
        <f t="array" ref="BG11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(desp[data.pagamento]&gt;=$A114)*
    (desp[data.pagamento]&lt;EOMONTH($A114,0)+1)
  )
)</f>
        <v>0</v>
      </c>
      <c r="BH114" s="181">
        <f>COUNTIFS(
    estq[empresa], BH$6,
    estq[Data da venda / reserva], "&gt;=" &amp; $A114,
    estq[Data da venda / reserva], "&lt;"  &amp; EOMONTH($A114,0) + 1
)</f>
        <v>0</v>
      </c>
      <c r="BI114" s="182">
        <f ca="1">SUMIFS(rec.uni[2030-04-01],
INDIRECT("rec.uni[natureza]"),"pro.soluto",
INDIRECT("rec.uni[empresa]"),BI$6)</f>
        <v>0</v>
      </c>
      <c r="BJ114" s="186">
        <f ca="1">SUMIFS(rec.uni[2030-04-01],
INDIRECT("rec.uni[natureza]"),"parcela.fin.total.ik",
INDIRECT("rec.uni[empresa]"),BJ$6)</f>
        <v>0</v>
      </c>
      <c r="BK114" s="182">
        <f ca="1">SUMIFS(rec.uni[2030-04-01],
INDIRECT("rec.uni[natureza]"),"taxa.extra",
INDIRECT("rec.uni[empresa]"),BK$6)</f>
        <v>0</v>
      </c>
      <c r="BL114" s="170"/>
      <c r="BM114" s="170" cm="1">
        <f t="array" ref="BM114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N114" s="170" cm="1">
        <f t="array" ref="BN114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O114" s="170" cm="1">
        <f t="array" ref="BO11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P114" s="170" cm="1">
        <f t="array" ref="BP11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Q114" s="170" cm="1">
        <f t="array" ref="BQ11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(desp[data.pagamento]&gt;=$A114)*
    (desp[data.pagamento]&lt;EOMONTH($A114,0)+1)
  )
)</f>
        <v>0</v>
      </c>
      <c r="BR114" s="181">
        <f>COUNTIFS(
    estq[empresa], BR$6,
    estq[Data da venda / reserva], "&gt;=" &amp; $A114,
    estq[Data da venda / reserva], "&lt;"  &amp; EOMONTH($A114,0) + 1
)</f>
        <v>0</v>
      </c>
      <c r="BS114" s="182">
        <f ca="1">SUMIFS(rec.uni[2030-04-01],
INDIRECT("rec.uni[natureza]"),"pro.soluto",
INDIRECT("rec.uni[empresa]"),BS$6)</f>
        <v>0</v>
      </c>
      <c r="BT114" s="186">
        <f ca="1">SUMIFS(rec.uni[2030-04-01],
INDIRECT("rec.uni[natureza]"),"parcela.fin.total.ik",
INDIRECT("rec.uni[empresa]"),BT$6)</f>
        <v>0</v>
      </c>
      <c r="BU114" s="182">
        <f ca="1">SUMIFS(rec.uni[2030-04-01],
INDIRECT("rec.uni[natureza]"),"taxa.extra",
INDIRECT("rec.uni[empresa]"),BU$6)</f>
        <v>0</v>
      </c>
      <c r="BV114" s="170"/>
      <c r="BW114" s="170" cm="1">
        <f t="array" ref="BW114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BX114" s="170" cm="1">
        <f t="array" ref="BX114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BY114" s="170" cm="1">
        <f t="array" ref="BY114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BZ114" s="170" cm="1">
        <f t="array" ref="BZ114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CA114" s="170" cm="1">
        <f t="array" ref="CA11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(desp[data.pagamento]&gt;=$A114)*
    (desp[data.pagamento]&lt;EOMONTH($A114,0)+1)
  )
)</f>
        <v>0</v>
      </c>
      <c r="CB114" s="181">
        <f>COUNTIFS(
    estq[empresa], CB$6,
    estq[Data da venda / reserva], "&gt;=" &amp; $A114,
    estq[Data da venda / reserva], "&lt;"  &amp; EOMONTH($A114,0) + 1
)</f>
        <v>0</v>
      </c>
      <c r="CC114" s="182">
        <f ca="1">SUMIFS(rec.uni[2030-04-01],
INDIRECT("rec.uni[natureza]"),"pro.soluto",
INDIRECT("rec.uni[empresa]"),CC$6)</f>
        <v>0</v>
      </c>
      <c r="CD114" s="182">
        <f ca="1">SUMIFS(rec.uni[2030-04-01],
INDIRECT("rec.uni[natureza]"),"repasse.cef.obra",
INDIRECT("rec.uni[empresa]"),CD$6)</f>
        <v>0</v>
      </c>
      <c r="CE114" s="185">
        <f ca="1">SUMIFS(rec.uni[2030-04-01],
INDIRECT("rec.uni[natureza]"),"repasse.cef.terreno",
INDIRECT("rec.uni[empresa]"),CE$6)</f>
        <v>0</v>
      </c>
      <c r="CF114" s="186"/>
      <c r="CG114" s="182">
        <f ca="1">SUMIFS(rec.uni[2030-04-01],
INDIRECT("rec.uni[natureza]"),"taxa.extra",
INDIRECT("rec.uni[empresa]"),CG$6)</f>
        <v>0</v>
      </c>
      <c r="CH114" s="170"/>
      <c r="CI114" s="170" cm="1">
        <f t="array" ref="CI114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J114" s="170" cm="1">
        <f t="array" ref="CJ114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K114" s="170" cm="1">
        <f t="array" ref="CK114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L114" s="170" cm="1">
        <f t="array" ref="CL114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M114" s="170" cm="1">
        <f t="array" ref="CM114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(desp[data.pagamento]&gt;=$A114)*
    (desp[data.pagamento]&lt;EOMONTH($A114,0)+1)
  )
)</f>
        <v>0</v>
      </c>
      <c r="CN114" s="181">
        <f>COUNTIFS(
    estq[empresa], CN$6,
    estq[Data da venda / reserva], "&gt;=" &amp; $A114,
    estq[Data da venda / reserva], "&lt;"  &amp; EOMONTH($A114,0) + 1
)</f>
        <v>0</v>
      </c>
      <c r="CO114" s="182">
        <f ca="1">SUMIFS(rec.uni[2030-04-01],
INDIRECT("rec.uni[natureza]"),"pro.soluto",
INDIRECT("rec.uni[empresa]"),CO$6)</f>
        <v>0</v>
      </c>
      <c r="CP114" s="182">
        <f ca="1">SUMIFS(rec.uni[2030-04-01],
INDIRECT("rec.uni[natureza]"),"repasse.cef.obra",
INDIRECT("rec.uni[empresa]"),CP$6)</f>
        <v>0</v>
      </c>
      <c r="CQ114" s="185">
        <f ca="1">SUMIFS(rec.uni[2030-04-01],
INDIRECT("rec.uni[natureza]"),"repasse.cef.terreno",
INDIRECT("rec.uni[empresa]"),CQ$6)</f>
        <v>0</v>
      </c>
      <c r="CR114" s="186"/>
      <c r="CS114" s="182">
        <f ca="1">SUMIFS(rec.uni[2030-04-01],
INDIRECT("rec.uni[natureza]"),"taxa.extra",
INDIRECT("rec.uni[empresa]"),CS$6)</f>
        <v>0</v>
      </c>
      <c r="CT114" s="170"/>
      <c r="CU114" s="170" cm="1">
        <f t="array" ref="CU114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  <c r="CV114" s="170" cm="1">
        <f t="array" ref="CV114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  <c r="CW114" s="170" cm="1">
        <f t="array" ref="CW114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  <c r="CX114" s="170" cm="1">
        <f t="array" ref="CX114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  <c r="CY114" s="295" cm="1">
        <f t="array" ref="CY114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(desp[data.pagamento]&gt;=$A114)*
    (desp[data.pagamento]&lt;EOMONTH($A114,0)+1)
  )
)</f>
        <v>0</v>
      </c>
    </row>
    <row r="115" spans="1:103" x14ac:dyDescent="0.25">
      <c r="A115" s="180">
        <v>47604</v>
      </c>
      <c r="B115" s="181">
        <f>COUNTIFS(
    estq[empresa], B$6,
    estq[Data da venda / reserva], "&gt;=" &amp; $A115,
    estq[Data da venda / reserva], "&lt;"  &amp; EOMONTH($A115,0) + 1
)</f>
        <v>0</v>
      </c>
      <c r="C115" s="182">
        <f ca="1">SUMIFS(rec.uni[2030-05-01],
INDIRECT("rec.uni[natureza]"),"pro.soluto",
INDIRECT("rec.uni[empresa]"),C$6)</f>
        <v>0</v>
      </c>
      <c r="D115" s="182">
        <f ca="1">SUMIFS(rec.uni[2030-05-01],
INDIRECT("rec.uni[natureza]"),"repasse.cef.obra",
INDIRECT("rec.uni[empresa]"),D$6)</f>
        <v>0</v>
      </c>
      <c r="E115" s="182">
        <f ca="1">SUMIFS(rec.uni[2030-05-01],
INDIRECT("rec.uni[natureza]"),"repasse.cef.terreno",
INDIRECT("rec.uni[empresa]"),E$6)</f>
        <v>0</v>
      </c>
      <c r="F115" s="186"/>
      <c r="G115" s="182">
        <f ca="1">SUMIFS(rec.uni[2030-05-01],
INDIRECT("rec.uni[natureza]"),"taxa.extra",
INDIRECT("rec.uni[empresa]"),G$6)</f>
        <v>0</v>
      </c>
      <c r="H115" s="170"/>
      <c r="I115" s="170" cm="1">
        <f t="array" ref="I11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J115" s="170" cm="1">
        <f t="array" ref="J11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K115" s="170" cm="1">
        <f t="array" ref="K11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L115" s="170" cm="1">
        <f t="array" ref="L11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M115" s="170" cm="1">
        <f t="array" ref="M11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(desp[data.pagamento]&gt;=$A115)*
    (desp[data.pagamento]&lt;EOMONTH($A115,0)+1)
  )
)</f>
        <v>0</v>
      </c>
      <c r="N115" s="181">
        <f>COUNTIFS(
    estq[empresa], N$6,
    estq[Data da venda / reserva], "&gt;=" &amp; $A115,
    estq[Data da venda / reserva], "&lt;"  &amp; EOMONTH($A115,0) + 1
)</f>
        <v>0</v>
      </c>
      <c r="O115" s="182">
        <f ca="1">SUMIFS(rec.uni[2030-05-01],
INDIRECT("rec.uni[natureza]"),"pro.soluto",
INDIRECT("rec.uni[empresa]"),O$6)</f>
        <v>0</v>
      </c>
      <c r="P115" s="182">
        <f ca="1">SUMIFS(rec.uni[2030-05-01],
INDIRECT("rec.uni[natureza]"),"repasse.cef.obra",
INDIRECT("rec.uni[empresa]"),P$6)</f>
        <v>0</v>
      </c>
      <c r="Q115" s="182">
        <f ca="1">SUMIFS(rec.uni[2030-05-01],
INDIRECT("rec.uni[natureza]"),"repasse.cef.terreno",
INDIRECT("rec.uni[empresa]"),Q$6)</f>
        <v>0</v>
      </c>
      <c r="R115" s="186"/>
      <c r="S115" s="182">
        <f ca="1">SUMIFS(rec.uni[2030-05-01],
INDIRECT("rec.uni[natureza]"),"taxa.extra",
INDIRECT("rec.uni[empresa]"),S$6)</f>
        <v>0</v>
      </c>
      <c r="T115" s="170"/>
      <c r="U115" s="170" cm="1">
        <f t="array" ref="U11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V115" s="170" cm="1">
        <f t="array" ref="V11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W115" s="170" cm="1">
        <f t="array" ref="W11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X115" s="170" cm="1">
        <f t="array" ref="X11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Y115" s="170" cm="1">
        <f t="array" ref="Y11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(desp[data.pagamento]&gt;=$A115)*
    (desp[data.pagamento]&lt;EOMONTH($A115,0)+1)
  )
)</f>
        <v>0</v>
      </c>
      <c r="Z115" s="181">
        <f>COUNTIFS(
    estq[empresa], Z$6,
    estq[Data da venda / reserva], "&gt;=" &amp; $A115,
    estq[Data da venda / reserva], "&lt;"  &amp; EOMONTH($A115,0) + 1
)</f>
        <v>0</v>
      </c>
      <c r="AA115" s="182">
        <f ca="1">SUMIFS(rec.uni[2030-05-01],
INDIRECT("rec.uni[natureza]"),"pro.soluto",
INDIRECT("rec.uni[empresa]"),AA$6)</f>
        <v>0</v>
      </c>
      <c r="AB115" s="186">
        <f ca="1">SUMIFS(rec.uni[2030-05-01],
INDIRECT("rec.uni[natureza]"),"parcela.fin.total.ik",
INDIRECT("rec.uni[empresa]"),AB$6)</f>
        <v>0</v>
      </c>
      <c r="AC115" s="182">
        <f ca="1">SUMIFS(rec.uni[2030-05-01],
INDIRECT("rec.uni[natureza]"),"taxa.extra",
INDIRECT("rec.uni[empresa]"),AC$6)</f>
        <v>0</v>
      </c>
      <c r="AD115" s="170"/>
      <c r="AE115" s="170" cm="1">
        <f t="array" ref="AE115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F115" s="170" cm="1">
        <f t="array" ref="AF115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G115" s="170" cm="1">
        <f t="array" ref="AG11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H115" s="170" cm="1">
        <f t="array" ref="AH11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I115" s="170" cm="1">
        <f t="array" ref="AI11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(desp[data.pagamento]&gt;=$A115)*
    (desp[data.pagamento]&lt;EOMONTH($A115,0)+1)
  )
)</f>
        <v>0</v>
      </c>
      <c r="AJ115" s="181">
        <f>COUNTIFS(
    estq[empresa], AJ$6,
    estq[Data da venda / reserva], "&gt;=" &amp; $A115,
    estq[Data da venda / reserva], "&lt;"  &amp; EOMONTH($A115,0) + 1
)</f>
        <v>0</v>
      </c>
      <c r="AK115" s="182">
        <f ca="1">SUMIFS(rec.uni[2030-05-01],
INDIRECT("rec.uni[natureza]"),"pro.soluto",
INDIRECT("rec.uni[empresa]"),AK$6)</f>
        <v>0</v>
      </c>
      <c r="AL115" s="182">
        <f ca="1">SUMIFS(rec.uni[2030-05-01],
INDIRECT("rec.uni[natureza]"),"repasse.cef.obra",
INDIRECT("rec.uni[empresa]"),AL$6)</f>
        <v>0</v>
      </c>
      <c r="AM115" s="185">
        <f ca="1">SUMIFS(rec.uni[2030-05-01],
INDIRECT("rec.uni[natureza]"),"repasse.cef.terreno",
INDIRECT("rec.uni[empresa]"),AM$6)</f>
        <v>0</v>
      </c>
      <c r="AN115" s="186"/>
      <c r="AO115" s="182">
        <f ca="1">SUMIFS(rec.uni[2030-05-01],
INDIRECT("rec.uni[natureza]"),"taxa.extra",
INDIRECT("rec.uni[empresa]"),AO$6)</f>
        <v>0</v>
      </c>
      <c r="AP115" s="170"/>
      <c r="AQ115" s="170" cm="1">
        <f t="array" ref="AQ115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R115" s="170" cm="1">
        <f t="array" ref="AR115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S115" s="170" cm="1">
        <f t="array" ref="AS11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T115" s="170" cm="1">
        <f t="array" ref="AT11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U115" s="170" cm="1">
        <f t="array" ref="AU11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(desp[data.pagamento]&gt;=$A115)*
    (desp[data.pagamento]&lt;EOMONTH($A115,0)+1)
  )
)</f>
        <v>0</v>
      </c>
      <c r="AV115" s="181">
        <f>COUNTIFS(
    estq[empresa], AV$6,
    estq[Data da venda / reserva], "&gt;=" &amp; $A115,
    estq[Data da venda / reserva], "&lt;"  &amp; EOMONTH($A115,0) + 1
)</f>
        <v>0</v>
      </c>
      <c r="AW115" s="182">
        <f ca="1">SUMIFS(rec.uni[2030-05-01],
INDIRECT("rec.uni[natureza]"),"pro.soluto",
INDIRECT("rec.uni[empresa]"),AW$6)</f>
        <v>0</v>
      </c>
      <c r="AX115" s="182">
        <f ca="1">SUMIFS(rec.uni[2030-05-01],
INDIRECT("rec.uni[natureza]"),"repasse.cef.obra",
INDIRECT("rec.uni[empresa]"),AX$6)</f>
        <v>0</v>
      </c>
      <c r="AY115" s="185">
        <f ca="1">SUMIFS(rec.uni[2030-05-01],
INDIRECT("rec.uni[natureza]"),"repasse.cef.terreno",
INDIRECT("rec.uni[empresa]"),AY$6)</f>
        <v>0</v>
      </c>
      <c r="AZ115" s="186"/>
      <c r="BA115" s="182">
        <f ca="1">SUMIFS(rec.uni[2030-05-01],
INDIRECT("rec.uni[natureza]"),"taxa.extra",
INDIRECT("rec.uni[empresa]"),BA$6)</f>
        <v>0</v>
      </c>
      <c r="BB115" s="170"/>
      <c r="BC115" s="170" cm="1">
        <f t="array" ref="BC11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D115" s="170" cm="1">
        <f t="array" ref="BD11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E115" s="170" cm="1">
        <f t="array" ref="BE11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F115" s="170" cm="1">
        <f t="array" ref="BF11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G115" s="170" cm="1">
        <f t="array" ref="BG11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(desp[data.pagamento]&gt;=$A115)*
    (desp[data.pagamento]&lt;EOMONTH($A115,0)+1)
  )
)</f>
        <v>0</v>
      </c>
      <c r="BH115" s="181">
        <f>COUNTIFS(
    estq[empresa], BH$6,
    estq[Data da venda / reserva], "&gt;=" &amp; $A115,
    estq[Data da venda / reserva], "&lt;"  &amp; EOMONTH($A115,0) + 1
)</f>
        <v>0</v>
      </c>
      <c r="BI115" s="182">
        <f ca="1">SUMIFS(rec.uni[2030-05-01],
INDIRECT("rec.uni[natureza]"),"pro.soluto",
INDIRECT("rec.uni[empresa]"),BI$6)</f>
        <v>0</v>
      </c>
      <c r="BJ115" s="186">
        <f ca="1">SUMIFS(rec.uni[2030-05-01],
INDIRECT("rec.uni[natureza]"),"parcela.fin.total.ik",
INDIRECT("rec.uni[empresa]"),BJ$6)</f>
        <v>0</v>
      </c>
      <c r="BK115" s="182">
        <f ca="1">SUMIFS(rec.uni[2030-05-01],
INDIRECT("rec.uni[natureza]"),"taxa.extra",
INDIRECT("rec.uni[empresa]"),BK$6)</f>
        <v>0</v>
      </c>
      <c r="BL115" s="170"/>
      <c r="BM115" s="170" cm="1">
        <f t="array" ref="BM115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N115" s="170" cm="1">
        <f t="array" ref="BN115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O115" s="170" cm="1">
        <f t="array" ref="BO11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P115" s="170" cm="1">
        <f t="array" ref="BP11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Q115" s="170" cm="1">
        <f t="array" ref="BQ11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(desp[data.pagamento]&gt;=$A115)*
    (desp[data.pagamento]&lt;EOMONTH($A115,0)+1)
  )
)</f>
        <v>0</v>
      </c>
      <c r="BR115" s="181">
        <f>COUNTIFS(
    estq[empresa], BR$6,
    estq[Data da venda / reserva], "&gt;=" &amp; $A115,
    estq[Data da venda / reserva], "&lt;"  &amp; EOMONTH($A115,0) + 1
)</f>
        <v>0</v>
      </c>
      <c r="BS115" s="182">
        <f ca="1">SUMIFS(rec.uni[2030-05-01],
INDIRECT("rec.uni[natureza]"),"pro.soluto",
INDIRECT("rec.uni[empresa]"),BS$6)</f>
        <v>0</v>
      </c>
      <c r="BT115" s="186">
        <f ca="1">SUMIFS(rec.uni[2030-05-01],
INDIRECT("rec.uni[natureza]"),"parcela.fin.total.ik",
INDIRECT("rec.uni[empresa]"),BT$6)</f>
        <v>0</v>
      </c>
      <c r="BU115" s="182">
        <f ca="1">SUMIFS(rec.uni[2030-05-01],
INDIRECT("rec.uni[natureza]"),"taxa.extra",
INDIRECT("rec.uni[empresa]"),BU$6)</f>
        <v>0</v>
      </c>
      <c r="BV115" s="170"/>
      <c r="BW115" s="170" cm="1">
        <f t="array" ref="BW115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BX115" s="170" cm="1">
        <f t="array" ref="BX115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BY115" s="170" cm="1">
        <f t="array" ref="BY115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BZ115" s="170" cm="1">
        <f t="array" ref="BZ115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CA115" s="170" cm="1">
        <f t="array" ref="CA11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(desp[data.pagamento]&gt;=$A115)*
    (desp[data.pagamento]&lt;EOMONTH($A115,0)+1)
  )
)</f>
        <v>0</v>
      </c>
      <c r="CB115" s="181">
        <f>COUNTIFS(
    estq[empresa], CB$6,
    estq[Data da venda / reserva], "&gt;=" &amp; $A115,
    estq[Data da venda / reserva], "&lt;"  &amp; EOMONTH($A115,0) + 1
)</f>
        <v>0</v>
      </c>
      <c r="CC115" s="182">
        <f ca="1">SUMIFS(rec.uni[2030-05-01],
INDIRECT("rec.uni[natureza]"),"pro.soluto",
INDIRECT("rec.uni[empresa]"),CC$6)</f>
        <v>0</v>
      </c>
      <c r="CD115" s="182">
        <f ca="1">SUMIFS(rec.uni[2030-05-01],
INDIRECT("rec.uni[natureza]"),"repasse.cef.obra",
INDIRECT("rec.uni[empresa]"),CD$6)</f>
        <v>0</v>
      </c>
      <c r="CE115" s="185">
        <f ca="1">SUMIFS(rec.uni[2030-05-01],
INDIRECT("rec.uni[natureza]"),"repasse.cef.terreno",
INDIRECT("rec.uni[empresa]"),CE$6)</f>
        <v>0</v>
      </c>
      <c r="CF115" s="186"/>
      <c r="CG115" s="182">
        <f ca="1">SUMIFS(rec.uni[2030-05-01],
INDIRECT("rec.uni[natureza]"),"taxa.extra",
INDIRECT("rec.uni[empresa]"),CG$6)</f>
        <v>0</v>
      </c>
      <c r="CH115" s="170"/>
      <c r="CI115" s="170" cm="1">
        <f t="array" ref="CI115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J115" s="170" cm="1">
        <f t="array" ref="CJ115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K115" s="170" cm="1">
        <f t="array" ref="CK115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L115" s="170" cm="1">
        <f t="array" ref="CL115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M115" s="170" cm="1">
        <f t="array" ref="CM115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(desp[data.pagamento]&gt;=$A115)*
    (desp[data.pagamento]&lt;EOMONTH($A115,0)+1)
  )
)</f>
        <v>0</v>
      </c>
      <c r="CN115" s="181">
        <f>COUNTIFS(
    estq[empresa], CN$6,
    estq[Data da venda / reserva], "&gt;=" &amp; $A115,
    estq[Data da venda / reserva], "&lt;"  &amp; EOMONTH($A115,0) + 1
)</f>
        <v>0</v>
      </c>
      <c r="CO115" s="182">
        <f ca="1">SUMIFS(rec.uni[2030-05-01],
INDIRECT("rec.uni[natureza]"),"pro.soluto",
INDIRECT("rec.uni[empresa]"),CO$6)</f>
        <v>0</v>
      </c>
      <c r="CP115" s="182">
        <f ca="1">SUMIFS(rec.uni[2030-05-01],
INDIRECT("rec.uni[natureza]"),"repasse.cef.obra",
INDIRECT("rec.uni[empresa]"),CP$6)</f>
        <v>0</v>
      </c>
      <c r="CQ115" s="185">
        <f ca="1">SUMIFS(rec.uni[2030-05-01],
INDIRECT("rec.uni[natureza]"),"repasse.cef.terreno",
INDIRECT("rec.uni[empresa]"),CQ$6)</f>
        <v>0</v>
      </c>
      <c r="CR115" s="186"/>
      <c r="CS115" s="182">
        <f ca="1">SUMIFS(rec.uni[2030-05-01],
INDIRECT("rec.uni[natureza]"),"taxa.extra",
INDIRECT("rec.uni[empresa]"),CS$6)</f>
        <v>0</v>
      </c>
      <c r="CT115" s="170"/>
      <c r="CU115" s="170" cm="1">
        <f t="array" ref="CU115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  <c r="CV115" s="170" cm="1">
        <f t="array" ref="CV115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  <c r="CW115" s="170" cm="1">
        <f t="array" ref="CW115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  <c r="CX115" s="170" cm="1">
        <f t="array" ref="CX115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  <c r="CY115" s="295" cm="1">
        <f t="array" ref="CY115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(desp[data.pagamento]&gt;=$A115)*
    (desp[data.pagamento]&lt;EOMONTH($A115,0)+1)
  )
)</f>
        <v>0</v>
      </c>
    </row>
    <row r="116" spans="1:103" x14ac:dyDescent="0.25">
      <c r="A116" s="180">
        <v>47635</v>
      </c>
      <c r="B116" s="181">
        <f>COUNTIFS(
    estq[empresa], B$6,
    estq[Data da venda / reserva], "&gt;=" &amp; $A116,
    estq[Data da venda / reserva], "&lt;"  &amp; EOMONTH($A116,0) + 1
)</f>
        <v>0</v>
      </c>
      <c r="C116" s="182">
        <f ca="1">SUMIFS(rec.uni[2030-06-01],
INDIRECT("rec.uni[natureza]"),"pro.soluto",
INDIRECT("rec.uni[empresa]"),C$6)</f>
        <v>0</v>
      </c>
      <c r="D116" s="182">
        <f ca="1">SUMIFS(rec.uni[2030-06-01],
INDIRECT("rec.uni[natureza]"),"repasse.cef.obra",
INDIRECT("rec.uni[empresa]"),D$6)</f>
        <v>0</v>
      </c>
      <c r="E116" s="182">
        <f ca="1">SUMIFS(rec.uni[2030-06-01],
INDIRECT("rec.uni[natureza]"),"repasse.cef.terreno",
INDIRECT("rec.uni[empresa]"),E$6)</f>
        <v>0</v>
      </c>
      <c r="F116" s="186"/>
      <c r="G116" s="182">
        <f ca="1">SUMIFS(rec.uni[2030-06-01],
INDIRECT("rec.uni[natureza]"),"taxa.extra",
INDIRECT("rec.uni[empresa]"),G$6)</f>
        <v>0</v>
      </c>
      <c r="H116" s="170"/>
      <c r="I116" s="170" cm="1">
        <f t="array" ref="I11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J116" s="170" cm="1">
        <f t="array" ref="J11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K116" s="170" cm="1">
        <f t="array" ref="K11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L116" s="170" cm="1">
        <f t="array" ref="L11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M116" s="170" cm="1">
        <f t="array" ref="M11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(desp[data.pagamento]&gt;=$A116)*
    (desp[data.pagamento]&lt;EOMONTH($A116,0)+1)
  )
)</f>
        <v>0</v>
      </c>
      <c r="N116" s="181">
        <f>COUNTIFS(
    estq[empresa], N$6,
    estq[Data da venda / reserva], "&gt;=" &amp; $A116,
    estq[Data da venda / reserva], "&lt;"  &amp; EOMONTH($A116,0) + 1
)</f>
        <v>0</v>
      </c>
      <c r="O116" s="182">
        <f ca="1">SUMIFS(rec.uni[2030-06-01],
INDIRECT("rec.uni[natureza]"),"pro.soluto",
INDIRECT("rec.uni[empresa]"),O$6)</f>
        <v>0</v>
      </c>
      <c r="P116" s="182">
        <f ca="1">SUMIFS(rec.uni[2030-06-01],
INDIRECT("rec.uni[natureza]"),"repasse.cef.obra",
INDIRECT("rec.uni[empresa]"),P$6)</f>
        <v>0</v>
      </c>
      <c r="Q116" s="182">
        <f ca="1">SUMIFS(rec.uni[2030-06-01],
INDIRECT("rec.uni[natureza]"),"repasse.cef.terreno",
INDIRECT("rec.uni[empresa]"),Q$6)</f>
        <v>0</v>
      </c>
      <c r="R116" s="186"/>
      <c r="S116" s="182">
        <f ca="1">SUMIFS(rec.uni[2030-06-01],
INDIRECT("rec.uni[natureza]"),"taxa.extra",
INDIRECT("rec.uni[empresa]"),S$6)</f>
        <v>0</v>
      </c>
      <c r="T116" s="170"/>
      <c r="U116" s="170" cm="1">
        <f t="array" ref="U11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V116" s="170" cm="1">
        <f t="array" ref="V11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W116" s="170" cm="1">
        <f t="array" ref="W11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X116" s="170" cm="1">
        <f t="array" ref="X11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Y116" s="170" cm="1">
        <f t="array" ref="Y11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(desp[data.pagamento]&gt;=$A116)*
    (desp[data.pagamento]&lt;EOMONTH($A116,0)+1)
  )
)</f>
        <v>0</v>
      </c>
      <c r="Z116" s="181">
        <f>COUNTIFS(
    estq[empresa], Z$6,
    estq[Data da venda / reserva], "&gt;=" &amp; $A116,
    estq[Data da venda / reserva], "&lt;"  &amp; EOMONTH($A116,0) + 1
)</f>
        <v>0</v>
      </c>
      <c r="AA116" s="182">
        <f ca="1">SUMIFS(rec.uni[2030-06-01],
INDIRECT("rec.uni[natureza]"),"pro.soluto",
INDIRECT("rec.uni[empresa]"),AA$6)</f>
        <v>0</v>
      </c>
      <c r="AB116" s="186">
        <f ca="1">SUMIFS(rec.uni[2030-06-01],
INDIRECT("rec.uni[natureza]"),"parcela.fin.total.ik",
INDIRECT("rec.uni[empresa]"),AB$6)</f>
        <v>0</v>
      </c>
      <c r="AC116" s="182">
        <f ca="1">SUMIFS(rec.uni[2030-06-01],
INDIRECT("rec.uni[natureza]"),"taxa.extra",
INDIRECT("rec.uni[empresa]"),AC$6)</f>
        <v>0</v>
      </c>
      <c r="AD116" s="170"/>
      <c r="AE116" s="170" cm="1">
        <f t="array" ref="AE116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F116" s="170" cm="1">
        <f t="array" ref="AF116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G116" s="170" cm="1">
        <f t="array" ref="AG11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H116" s="170" cm="1">
        <f t="array" ref="AH11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I116" s="170" cm="1">
        <f t="array" ref="AI11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(desp[data.pagamento]&gt;=$A116)*
    (desp[data.pagamento]&lt;EOMONTH($A116,0)+1)
  )
)</f>
        <v>0</v>
      </c>
      <c r="AJ116" s="181">
        <f>COUNTIFS(
    estq[empresa], AJ$6,
    estq[Data da venda / reserva], "&gt;=" &amp; $A116,
    estq[Data da venda / reserva], "&lt;"  &amp; EOMONTH($A116,0) + 1
)</f>
        <v>0</v>
      </c>
      <c r="AK116" s="182">
        <f ca="1">SUMIFS(rec.uni[2030-06-01],
INDIRECT("rec.uni[natureza]"),"pro.soluto",
INDIRECT("rec.uni[empresa]"),AK$6)</f>
        <v>0</v>
      </c>
      <c r="AL116" s="182">
        <f ca="1">SUMIFS(rec.uni[2030-06-01],
INDIRECT("rec.uni[natureza]"),"repasse.cef.obra",
INDIRECT("rec.uni[empresa]"),AL$6)</f>
        <v>0</v>
      </c>
      <c r="AM116" s="185">
        <f ca="1">SUMIFS(rec.uni[2030-06-01],
INDIRECT("rec.uni[natureza]"),"repasse.cef.terreno",
INDIRECT("rec.uni[empresa]"),AM$6)</f>
        <v>0</v>
      </c>
      <c r="AN116" s="186"/>
      <c r="AO116" s="182">
        <f ca="1">SUMIFS(rec.uni[2030-06-01],
INDIRECT("rec.uni[natureza]"),"taxa.extra",
INDIRECT("rec.uni[empresa]"),AO$6)</f>
        <v>0</v>
      </c>
      <c r="AP116" s="170"/>
      <c r="AQ116" s="170" cm="1">
        <f t="array" ref="AQ116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R116" s="170" cm="1">
        <f t="array" ref="AR116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S116" s="170" cm="1">
        <f t="array" ref="AS11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T116" s="170" cm="1">
        <f t="array" ref="AT11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U116" s="170" cm="1">
        <f t="array" ref="AU11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(desp[data.pagamento]&gt;=$A116)*
    (desp[data.pagamento]&lt;EOMONTH($A116,0)+1)
  )
)</f>
        <v>0</v>
      </c>
      <c r="AV116" s="181">
        <f>COUNTIFS(
    estq[empresa], AV$6,
    estq[Data da venda / reserva], "&gt;=" &amp; $A116,
    estq[Data da venda / reserva], "&lt;"  &amp; EOMONTH($A116,0) + 1
)</f>
        <v>0</v>
      </c>
      <c r="AW116" s="182">
        <f ca="1">SUMIFS(rec.uni[2030-06-01],
INDIRECT("rec.uni[natureza]"),"pro.soluto",
INDIRECT("rec.uni[empresa]"),AW$6)</f>
        <v>0</v>
      </c>
      <c r="AX116" s="182">
        <f ca="1">SUMIFS(rec.uni[2030-06-01],
INDIRECT("rec.uni[natureza]"),"repasse.cef.obra",
INDIRECT("rec.uni[empresa]"),AX$6)</f>
        <v>0</v>
      </c>
      <c r="AY116" s="185">
        <f ca="1">SUMIFS(rec.uni[2030-06-01],
INDIRECT("rec.uni[natureza]"),"repasse.cef.terreno",
INDIRECT("rec.uni[empresa]"),AY$6)</f>
        <v>0</v>
      </c>
      <c r="AZ116" s="186"/>
      <c r="BA116" s="182">
        <f ca="1">SUMIFS(rec.uni[2030-06-01],
INDIRECT("rec.uni[natureza]"),"taxa.extra",
INDIRECT("rec.uni[empresa]"),BA$6)</f>
        <v>0</v>
      </c>
      <c r="BB116" s="170"/>
      <c r="BC116" s="170" cm="1">
        <f t="array" ref="BC11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D116" s="170" cm="1">
        <f t="array" ref="BD11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E116" s="170" cm="1">
        <f t="array" ref="BE11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F116" s="170" cm="1">
        <f t="array" ref="BF11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G116" s="170" cm="1">
        <f t="array" ref="BG11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(desp[data.pagamento]&gt;=$A116)*
    (desp[data.pagamento]&lt;EOMONTH($A116,0)+1)
  )
)</f>
        <v>0</v>
      </c>
      <c r="BH116" s="181">
        <f>COUNTIFS(
    estq[empresa], BH$6,
    estq[Data da venda / reserva], "&gt;=" &amp; $A116,
    estq[Data da venda / reserva], "&lt;"  &amp; EOMONTH($A116,0) + 1
)</f>
        <v>0</v>
      </c>
      <c r="BI116" s="182">
        <f ca="1">SUMIFS(rec.uni[2030-06-01],
INDIRECT("rec.uni[natureza]"),"pro.soluto",
INDIRECT("rec.uni[empresa]"),BI$6)</f>
        <v>0</v>
      </c>
      <c r="BJ116" s="186">
        <f ca="1">SUMIFS(rec.uni[2030-06-01],
INDIRECT("rec.uni[natureza]"),"parcela.fin.total.ik",
INDIRECT("rec.uni[empresa]"),BJ$6)</f>
        <v>0</v>
      </c>
      <c r="BK116" s="182">
        <f ca="1">SUMIFS(rec.uni[2030-06-01],
INDIRECT("rec.uni[natureza]"),"taxa.extra",
INDIRECT("rec.uni[empresa]"),BK$6)</f>
        <v>0</v>
      </c>
      <c r="BL116" s="170"/>
      <c r="BM116" s="170" cm="1">
        <f t="array" ref="BM116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N116" s="170" cm="1">
        <f t="array" ref="BN116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O116" s="170" cm="1">
        <f t="array" ref="BO11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P116" s="170" cm="1">
        <f t="array" ref="BP11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Q116" s="170" cm="1">
        <f t="array" ref="BQ11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(desp[data.pagamento]&gt;=$A116)*
    (desp[data.pagamento]&lt;EOMONTH($A116,0)+1)
  )
)</f>
        <v>0</v>
      </c>
      <c r="BR116" s="181">
        <f>COUNTIFS(
    estq[empresa], BR$6,
    estq[Data da venda / reserva], "&gt;=" &amp; $A116,
    estq[Data da venda / reserva], "&lt;"  &amp; EOMONTH($A116,0) + 1
)</f>
        <v>0</v>
      </c>
      <c r="BS116" s="182">
        <f ca="1">SUMIFS(rec.uni[2030-06-01],
INDIRECT("rec.uni[natureza]"),"pro.soluto",
INDIRECT("rec.uni[empresa]"),BS$6)</f>
        <v>0</v>
      </c>
      <c r="BT116" s="186">
        <f ca="1">SUMIFS(rec.uni[2030-06-01],
INDIRECT("rec.uni[natureza]"),"parcela.fin.total.ik",
INDIRECT("rec.uni[empresa]"),BT$6)</f>
        <v>0</v>
      </c>
      <c r="BU116" s="182">
        <f ca="1">SUMIFS(rec.uni[2030-06-01],
INDIRECT("rec.uni[natureza]"),"taxa.extra",
INDIRECT("rec.uni[empresa]"),BU$6)</f>
        <v>0</v>
      </c>
      <c r="BV116" s="170"/>
      <c r="BW116" s="170" cm="1">
        <f t="array" ref="BW116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BX116" s="170" cm="1">
        <f t="array" ref="BX116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BY116" s="170" cm="1">
        <f t="array" ref="BY116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BZ116" s="170" cm="1">
        <f t="array" ref="BZ116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CA116" s="170" cm="1">
        <f t="array" ref="CA11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(desp[data.pagamento]&gt;=$A116)*
    (desp[data.pagamento]&lt;EOMONTH($A116,0)+1)
  )
)</f>
        <v>0</v>
      </c>
      <c r="CB116" s="181">
        <f>COUNTIFS(
    estq[empresa], CB$6,
    estq[Data da venda / reserva], "&gt;=" &amp; $A116,
    estq[Data da venda / reserva], "&lt;"  &amp; EOMONTH($A116,0) + 1
)</f>
        <v>0</v>
      </c>
      <c r="CC116" s="182">
        <f ca="1">SUMIFS(rec.uni[2030-06-01],
INDIRECT("rec.uni[natureza]"),"pro.soluto",
INDIRECT("rec.uni[empresa]"),CC$6)</f>
        <v>0</v>
      </c>
      <c r="CD116" s="182">
        <f ca="1">SUMIFS(rec.uni[2030-06-01],
INDIRECT("rec.uni[natureza]"),"repasse.cef.obra",
INDIRECT("rec.uni[empresa]"),CD$6)</f>
        <v>0</v>
      </c>
      <c r="CE116" s="185">
        <f ca="1">SUMIFS(rec.uni[2030-06-01],
INDIRECT("rec.uni[natureza]"),"repasse.cef.terreno",
INDIRECT("rec.uni[empresa]"),CE$6)</f>
        <v>0</v>
      </c>
      <c r="CF116" s="186"/>
      <c r="CG116" s="182">
        <f ca="1">SUMIFS(rec.uni[2030-06-01],
INDIRECT("rec.uni[natureza]"),"taxa.extra",
INDIRECT("rec.uni[empresa]"),CG$6)</f>
        <v>0</v>
      </c>
      <c r="CH116" s="170"/>
      <c r="CI116" s="170" cm="1">
        <f t="array" ref="CI116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J116" s="170" cm="1">
        <f t="array" ref="CJ116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K116" s="170" cm="1">
        <f t="array" ref="CK116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L116" s="170" cm="1">
        <f t="array" ref="CL116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M116" s="170" cm="1">
        <f t="array" ref="CM116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(desp[data.pagamento]&gt;=$A116)*
    (desp[data.pagamento]&lt;EOMONTH($A116,0)+1)
  )
)</f>
        <v>0</v>
      </c>
      <c r="CN116" s="181">
        <f>COUNTIFS(
    estq[empresa], CN$6,
    estq[Data da venda / reserva], "&gt;=" &amp; $A116,
    estq[Data da venda / reserva], "&lt;"  &amp; EOMONTH($A116,0) + 1
)</f>
        <v>0</v>
      </c>
      <c r="CO116" s="182">
        <f ca="1">SUMIFS(rec.uni[2030-06-01],
INDIRECT("rec.uni[natureza]"),"pro.soluto",
INDIRECT("rec.uni[empresa]"),CO$6)</f>
        <v>0</v>
      </c>
      <c r="CP116" s="182">
        <f ca="1">SUMIFS(rec.uni[2030-06-01],
INDIRECT("rec.uni[natureza]"),"repasse.cef.obra",
INDIRECT("rec.uni[empresa]"),CP$6)</f>
        <v>0</v>
      </c>
      <c r="CQ116" s="185">
        <f ca="1">SUMIFS(rec.uni[2030-06-01],
INDIRECT("rec.uni[natureza]"),"repasse.cef.terreno",
INDIRECT("rec.uni[empresa]"),CQ$6)</f>
        <v>0</v>
      </c>
      <c r="CR116" s="186"/>
      <c r="CS116" s="182">
        <f ca="1">SUMIFS(rec.uni[2030-06-01],
INDIRECT("rec.uni[natureza]"),"taxa.extra",
INDIRECT("rec.uni[empresa]"),CS$6)</f>
        <v>0</v>
      </c>
      <c r="CT116" s="170"/>
      <c r="CU116" s="170" cm="1">
        <f t="array" ref="CU116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  <c r="CV116" s="170" cm="1">
        <f t="array" ref="CV116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  <c r="CW116" s="170" cm="1">
        <f t="array" ref="CW116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  <c r="CX116" s="170" cm="1">
        <f t="array" ref="CX116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  <c r="CY116" s="295" cm="1">
        <f t="array" ref="CY116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(desp[data.pagamento]&gt;=$A116)*
    (desp[data.pagamento]&lt;EOMONTH($A116,0)+1)
  )
)</f>
        <v>0</v>
      </c>
    </row>
    <row r="117" spans="1:103" x14ac:dyDescent="0.25">
      <c r="A117" s="180">
        <v>47665</v>
      </c>
      <c r="B117" s="181">
        <f>COUNTIFS(
    estq[empresa], B$6,
    estq[Data da venda / reserva], "&gt;=" &amp; $A117,
    estq[Data da venda / reserva], "&lt;"  &amp; EOMONTH($A117,0) + 1
)</f>
        <v>0</v>
      </c>
      <c r="C117" s="182">
        <f ca="1">SUMIFS(rec.uni[2030-07-01],
INDIRECT("rec.uni[natureza]"),"pro.soluto",
INDIRECT("rec.uni[empresa]"),C$6)</f>
        <v>0</v>
      </c>
      <c r="D117" s="182">
        <f ca="1">SUMIFS(rec.uni[2030-07-01],
INDIRECT("rec.uni[natureza]"),"repasse.cef.obra",
INDIRECT("rec.uni[empresa]"),D$6)</f>
        <v>0</v>
      </c>
      <c r="E117" s="182">
        <f ca="1">SUMIFS(rec.uni[2030-07-01],
INDIRECT("rec.uni[natureza]"),"repasse.cef.terreno",
INDIRECT("rec.uni[empresa]"),E$6)</f>
        <v>0</v>
      </c>
      <c r="F117" s="186"/>
      <c r="G117" s="182">
        <f ca="1">SUMIFS(rec.uni[2030-07-01],
INDIRECT("rec.uni[natureza]"),"taxa.extra",
INDIRECT("rec.uni[empresa]"),G$6)</f>
        <v>0</v>
      </c>
      <c r="H117" s="170"/>
      <c r="I117" s="170" cm="1">
        <f t="array" ref="I11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J117" s="170" cm="1">
        <f t="array" ref="J11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K117" s="170" cm="1">
        <f t="array" ref="K11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L117" s="170" cm="1">
        <f t="array" ref="L11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M117" s="170" cm="1">
        <f t="array" ref="M11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(desp[data.pagamento]&gt;=$A117)*
    (desp[data.pagamento]&lt;EOMONTH($A117,0)+1)
  )
)</f>
        <v>0</v>
      </c>
      <c r="N117" s="181">
        <f>COUNTIFS(
    estq[empresa], N$6,
    estq[Data da venda / reserva], "&gt;=" &amp; $A117,
    estq[Data da venda / reserva], "&lt;"  &amp; EOMONTH($A117,0) + 1
)</f>
        <v>0</v>
      </c>
      <c r="O117" s="182">
        <f ca="1">SUMIFS(rec.uni[2030-07-01],
INDIRECT("rec.uni[natureza]"),"pro.soluto",
INDIRECT("rec.uni[empresa]"),O$6)</f>
        <v>0</v>
      </c>
      <c r="P117" s="182">
        <f ca="1">SUMIFS(rec.uni[2030-07-01],
INDIRECT("rec.uni[natureza]"),"repasse.cef.obra",
INDIRECT("rec.uni[empresa]"),P$6)</f>
        <v>0</v>
      </c>
      <c r="Q117" s="182">
        <f ca="1">SUMIFS(rec.uni[2030-07-01],
INDIRECT("rec.uni[natureza]"),"repasse.cef.terreno",
INDIRECT("rec.uni[empresa]"),Q$6)</f>
        <v>0</v>
      </c>
      <c r="R117" s="186"/>
      <c r="S117" s="182">
        <f ca="1">SUMIFS(rec.uni[2030-07-01],
INDIRECT("rec.uni[natureza]"),"taxa.extra",
INDIRECT("rec.uni[empresa]"),S$6)</f>
        <v>0</v>
      </c>
      <c r="T117" s="170"/>
      <c r="U117" s="170" cm="1">
        <f t="array" ref="U11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V117" s="170" cm="1">
        <f t="array" ref="V11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W117" s="170" cm="1">
        <f t="array" ref="W11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X117" s="170" cm="1">
        <f t="array" ref="X11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Y117" s="170" cm="1">
        <f t="array" ref="Y11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(desp[data.pagamento]&gt;=$A117)*
    (desp[data.pagamento]&lt;EOMONTH($A117,0)+1)
  )
)</f>
        <v>0</v>
      </c>
      <c r="Z117" s="181">
        <f>COUNTIFS(
    estq[empresa], Z$6,
    estq[Data da venda / reserva], "&gt;=" &amp; $A117,
    estq[Data da venda / reserva], "&lt;"  &amp; EOMONTH($A117,0) + 1
)</f>
        <v>0</v>
      </c>
      <c r="AA117" s="182">
        <f ca="1">SUMIFS(rec.uni[2030-07-01],
INDIRECT("rec.uni[natureza]"),"pro.soluto",
INDIRECT("rec.uni[empresa]"),AA$6)</f>
        <v>0</v>
      </c>
      <c r="AB117" s="186">
        <f ca="1">SUMIFS(rec.uni[2030-07-01],
INDIRECT("rec.uni[natureza]"),"parcela.fin.total.ik",
INDIRECT("rec.uni[empresa]"),AB$6)</f>
        <v>0</v>
      </c>
      <c r="AC117" s="182">
        <f ca="1">SUMIFS(rec.uni[2030-07-01],
INDIRECT("rec.uni[natureza]"),"taxa.extra",
INDIRECT("rec.uni[empresa]"),AC$6)</f>
        <v>0</v>
      </c>
      <c r="AD117" s="170"/>
      <c r="AE117" s="170" cm="1">
        <f t="array" ref="AE117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F117" s="170" cm="1">
        <f t="array" ref="AF117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G117" s="170" cm="1">
        <f t="array" ref="AG11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H117" s="170" cm="1">
        <f t="array" ref="AH11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I117" s="170" cm="1">
        <f t="array" ref="AI11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(desp[data.pagamento]&gt;=$A117)*
    (desp[data.pagamento]&lt;EOMONTH($A117,0)+1)
  )
)</f>
        <v>0</v>
      </c>
      <c r="AJ117" s="181">
        <f>COUNTIFS(
    estq[empresa], AJ$6,
    estq[Data da venda / reserva], "&gt;=" &amp; $A117,
    estq[Data da venda / reserva], "&lt;"  &amp; EOMONTH($A117,0) + 1
)</f>
        <v>0</v>
      </c>
      <c r="AK117" s="182">
        <f ca="1">SUMIFS(rec.uni[2030-07-01],
INDIRECT("rec.uni[natureza]"),"pro.soluto",
INDIRECT("rec.uni[empresa]"),AK$6)</f>
        <v>0</v>
      </c>
      <c r="AL117" s="182">
        <f ca="1">SUMIFS(rec.uni[2030-07-01],
INDIRECT("rec.uni[natureza]"),"repasse.cef.obra",
INDIRECT("rec.uni[empresa]"),AL$6)</f>
        <v>0</v>
      </c>
      <c r="AM117" s="185">
        <f ca="1">SUMIFS(rec.uni[2030-07-01],
INDIRECT("rec.uni[natureza]"),"repasse.cef.terreno",
INDIRECT("rec.uni[empresa]"),AM$6)</f>
        <v>0</v>
      </c>
      <c r="AN117" s="186"/>
      <c r="AO117" s="182">
        <f ca="1">SUMIFS(rec.uni[2030-07-01],
INDIRECT("rec.uni[natureza]"),"taxa.extra",
INDIRECT("rec.uni[empresa]"),AO$6)</f>
        <v>0</v>
      </c>
      <c r="AP117" s="170"/>
      <c r="AQ117" s="170" cm="1">
        <f t="array" ref="AQ117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R117" s="170" cm="1">
        <f t="array" ref="AR117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S117" s="170" cm="1">
        <f t="array" ref="AS11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T117" s="170" cm="1">
        <f t="array" ref="AT11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U117" s="170" cm="1">
        <f t="array" ref="AU11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(desp[data.pagamento]&gt;=$A117)*
    (desp[data.pagamento]&lt;EOMONTH($A117,0)+1)
  )
)</f>
        <v>0</v>
      </c>
      <c r="AV117" s="181">
        <f>COUNTIFS(
    estq[empresa], AV$6,
    estq[Data da venda / reserva], "&gt;=" &amp; $A117,
    estq[Data da venda / reserva], "&lt;"  &amp; EOMONTH($A117,0) + 1
)</f>
        <v>0</v>
      </c>
      <c r="AW117" s="182">
        <f ca="1">SUMIFS(rec.uni[2030-07-01],
INDIRECT("rec.uni[natureza]"),"pro.soluto",
INDIRECT("rec.uni[empresa]"),AW$6)</f>
        <v>0</v>
      </c>
      <c r="AX117" s="182">
        <f ca="1">SUMIFS(rec.uni[2030-07-01],
INDIRECT("rec.uni[natureza]"),"repasse.cef.obra",
INDIRECT("rec.uni[empresa]"),AX$6)</f>
        <v>0</v>
      </c>
      <c r="AY117" s="185">
        <f ca="1">SUMIFS(rec.uni[2030-07-01],
INDIRECT("rec.uni[natureza]"),"repasse.cef.terreno",
INDIRECT("rec.uni[empresa]"),AY$6)</f>
        <v>0</v>
      </c>
      <c r="AZ117" s="186"/>
      <c r="BA117" s="182">
        <f ca="1">SUMIFS(rec.uni[2030-07-01],
INDIRECT("rec.uni[natureza]"),"taxa.extra",
INDIRECT("rec.uni[empresa]"),BA$6)</f>
        <v>0</v>
      </c>
      <c r="BB117" s="170"/>
      <c r="BC117" s="170" cm="1">
        <f t="array" ref="BC11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D117" s="170" cm="1">
        <f t="array" ref="BD11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E117" s="170" cm="1">
        <f t="array" ref="BE11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F117" s="170" cm="1">
        <f t="array" ref="BF11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G117" s="170" cm="1">
        <f t="array" ref="BG11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(desp[data.pagamento]&gt;=$A117)*
    (desp[data.pagamento]&lt;EOMONTH($A117,0)+1)
  )
)</f>
        <v>0</v>
      </c>
      <c r="BH117" s="181">
        <f>COUNTIFS(
    estq[empresa], BH$6,
    estq[Data da venda / reserva], "&gt;=" &amp; $A117,
    estq[Data da venda / reserva], "&lt;"  &amp; EOMONTH($A117,0) + 1
)</f>
        <v>0</v>
      </c>
      <c r="BI117" s="182">
        <f ca="1">SUMIFS(rec.uni[2030-07-01],
INDIRECT("rec.uni[natureza]"),"pro.soluto",
INDIRECT("rec.uni[empresa]"),BI$6)</f>
        <v>0</v>
      </c>
      <c r="BJ117" s="186">
        <f ca="1">SUMIFS(rec.uni[2030-07-01],
INDIRECT("rec.uni[natureza]"),"parcela.fin.total.ik",
INDIRECT("rec.uni[empresa]"),BJ$6)</f>
        <v>0</v>
      </c>
      <c r="BK117" s="182">
        <f ca="1">SUMIFS(rec.uni[2030-07-01],
INDIRECT("rec.uni[natureza]"),"taxa.extra",
INDIRECT("rec.uni[empresa]"),BK$6)</f>
        <v>0</v>
      </c>
      <c r="BL117" s="170"/>
      <c r="BM117" s="170" cm="1">
        <f t="array" ref="BM117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N117" s="170" cm="1">
        <f t="array" ref="BN117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O117" s="170" cm="1">
        <f t="array" ref="BO11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P117" s="170" cm="1">
        <f t="array" ref="BP11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Q117" s="170" cm="1">
        <f t="array" ref="BQ11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(desp[data.pagamento]&gt;=$A117)*
    (desp[data.pagamento]&lt;EOMONTH($A117,0)+1)
  )
)</f>
        <v>0</v>
      </c>
      <c r="BR117" s="181">
        <f>COUNTIFS(
    estq[empresa], BR$6,
    estq[Data da venda / reserva], "&gt;=" &amp; $A117,
    estq[Data da venda / reserva], "&lt;"  &amp; EOMONTH($A117,0) + 1
)</f>
        <v>0</v>
      </c>
      <c r="BS117" s="182">
        <f ca="1">SUMIFS(rec.uni[2030-07-01],
INDIRECT("rec.uni[natureza]"),"pro.soluto",
INDIRECT("rec.uni[empresa]"),BS$6)</f>
        <v>0</v>
      </c>
      <c r="BT117" s="186">
        <f ca="1">SUMIFS(rec.uni[2030-07-01],
INDIRECT("rec.uni[natureza]"),"parcela.fin.total.ik",
INDIRECT("rec.uni[empresa]"),BT$6)</f>
        <v>0</v>
      </c>
      <c r="BU117" s="182">
        <f ca="1">SUMIFS(rec.uni[2030-07-01],
INDIRECT("rec.uni[natureza]"),"taxa.extra",
INDIRECT("rec.uni[empresa]"),BU$6)</f>
        <v>0</v>
      </c>
      <c r="BV117" s="170"/>
      <c r="BW117" s="170" cm="1">
        <f t="array" ref="BW117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BX117" s="170" cm="1">
        <f t="array" ref="BX117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BY117" s="170" cm="1">
        <f t="array" ref="BY117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BZ117" s="170" cm="1">
        <f t="array" ref="BZ117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CA117" s="170" cm="1">
        <f t="array" ref="CA11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(desp[data.pagamento]&gt;=$A117)*
    (desp[data.pagamento]&lt;EOMONTH($A117,0)+1)
  )
)</f>
        <v>0</v>
      </c>
      <c r="CB117" s="181">
        <f>COUNTIFS(
    estq[empresa], CB$6,
    estq[Data da venda / reserva], "&gt;=" &amp; $A117,
    estq[Data da venda / reserva], "&lt;"  &amp; EOMONTH($A117,0) + 1
)</f>
        <v>0</v>
      </c>
      <c r="CC117" s="182">
        <f ca="1">SUMIFS(rec.uni[2030-07-01],
INDIRECT("rec.uni[natureza]"),"pro.soluto",
INDIRECT("rec.uni[empresa]"),CC$6)</f>
        <v>0</v>
      </c>
      <c r="CD117" s="182">
        <f ca="1">SUMIFS(rec.uni[2030-07-01],
INDIRECT("rec.uni[natureza]"),"repasse.cef.obra",
INDIRECT("rec.uni[empresa]"),CD$6)</f>
        <v>0</v>
      </c>
      <c r="CE117" s="185">
        <f ca="1">SUMIFS(rec.uni[2030-07-01],
INDIRECT("rec.uni[natureza]"),"repasse.cef.terreno",
INDIRECT("rec.uni[empresa]"),CE$6)</f>
        <v>0</v>
      </c>
      <c r="CF117" s="186"/>
      <c r="CG117" s="182">
        <f ca="1">SUMIFS(rec.uni[2030-07-01],
INDIRECT("rec.uni[natureza]"),"taxa.extra",
INDIRECT("rec.uni[empresa]"),CG$6)</f>
        <v>0</v>
      </c>
      <c r="CH117" s="170"/>
      <c r="CI117" s="170" cm="1">
        <f t="array" ref="CI117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J117" s="170" cm="1">
        <f t="array" ref="CJ117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K117" s="170" cm="1">
        <f t="array" ref="CK117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L117" s="170" cm="1">
        <f t="array" ref="CL117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M117" s="170" cm="1">
        <f t="array" ref="CM117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(desp[data.pagamento]&gt;=$A117)*
    (desp[data.pagamento]&lt;EOMONTH($A117,0)+1)
  )
)</f>
        <v>0</v>
      </c>
      <c r="CN117" s="181">
        <f>COUNTIFS(
    estq[empresa], CN$6,
    estq[Data da venda / reserva], "&gt;=" &amp; $A117,
    estq[Data da venda / reserva], "&lt;"  &amp; EOMONTH($A117,0) + 1
)</f>
        <v>0</v>
      </c>
      <c r="CO117" s="182">
        <f ca="1">SUMIFS(rec.uni[2030-07-01],
INDIRECT("rec.uni[natureza]"),"pro.soluto",
INDIRECT("rec.uni[empresa]"),CO$6)</f>
        <v>0</v>
      </c>
      <c r="CP117" s="182">
        <f ca="1">SUMIFS(rec.uni[2030-07-01],
INDIRECT("rec.uni[natureza]"),"repasse.cef.obra",
INDIRECT("rec.uni[empresa]"),CP$6)</f>
        <v>0</v>
      </c>
      <c r="CQ117" s="185">
        <f ca="1">SUMIFS(rec.uni[2030-07-01],
INDIRECT("rec.uni[natureza]"),"repasse.cef.terreno",
INDIRECT("rec.uni[empresa]"),CQ$6)</f>
        <v>0</v>
      </c>
      <c r="CR117" s="186"/>
      <c r="CS117" s="182">
        <f ca="1">SUMIFS(rec.uni[2030-07-01],
INDIRECT("rec.uni[natureza]"),"taxa.extra",
INDIRECT("rec.uni[empresa]"),CS$6)</f>
        <v>0</v>
      </c>
      <c r="CT117" s="170"/>
      <c r="CU117" s="170" cm="1">
        <f t="array" ref="CU117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  <c r="CV117" s="170" cm="1">
        <f t="array" ref="CV117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  <c r="CW117" s="170" cm="1">
        <f t="array" ref="CW117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  <c r="CX117" s="170" cm="1">
        <f t="array" ref="CX117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  <c r="CY117" s="295" cm="1">
        <f t="array" ref="CY117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(desp[data.pagamento]&gt;=$A117)*
    (desp[data.pagamento]&lt;EOMONTH($A117,0)+1)
  )
)</f>
        <v>0</v>
      </c>
    </row>
    <row r="118" spans="1:103" x14ac:dyDescent="0.25">
      <c r="A118" s="180">
        <v>47696</v>
      </c>
      <c r="B118" s="181">
        <f>COUNTIFS(
    estq[empresa], B$6,
    estq[Data da venda / reserva], "&gt;=" &amp; $A118,
    estq[Data da venda / reserva], "&lt;"  &amp; EOMONTH($A118,0) + 1
)</f>
        <v>0</v>
      </c>
      <c r="C118" s="182">
        <f ca="1">SUMIFS(rec.uni[2030-08-01],
INDIRECT("rec.uni[natureza]"),"pro.soluto",
INDIRECT("rec.uni[empresa]"),C$6)</f>
        <v>0</v>
      </c>
      <c r="D118" s="182">
        <f ca="1">SUMIFS(rec.uni[2030-08-01],
INDIRECT("rec.uni[natureza]"),"repasse.cef.obra",
INDIRECT("rec.uni[empresa]"),D$6)</f>
        <v>0</v>
      </c>
      <c r="E118" s="182">
        <f ca="1">SUMIFS(rec.uni[2030-08-01],
INDIRECT("rec.uni[natureza]"),"repasse.cef.terreno",
INDIRECT("rec.uni[empresa]"),E$6)</f>
        <v>0</v>
      </c>
      <c r="F118" s="186"/>
      <c r="G118" s="182">
        <f ca="1">SUMIFS(rec.uni[2030-08-01],
INDIRECT("rec.uni[natureza]"),"taxa.extra",
INDIRECT("rec.uni[empresa]"),G$6)</f>
        <v>0</v>
      </c>
      <c r="H118" s="170"/>
      <c r="I118" s="170" cm="1">
        <f t="array" ref="I11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J118" s="170" cm="1">
        <f t="array" ref="J11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K118" s="170" cm="1">
        <f t="array" ref="K11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L118" s="170" cm="1">
        <f t="array" ref="L11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M118" s="170" cm="1">
        <f t="array" ref="M11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(desp[data.pagamento]&gt;=$A118)*
    (desp[data.pagamento]&lt;EOMONTH($A118,0)+1)
  )
)</f>
        <v>0</v>
      </c>
      <c r="N118" s="181">
        <f>COUNTIFS(
    estq[empresa], N$6,
    estq[Data da venda / reserva], "&gt;=" &amp; $A118,
    estq[Data da venda / reserva], "&lt;"  &amp; EOMONTH($A118,0) + 1
)</f>
        <v>0</v>
      </c>
      <c r="O118" s="182">
        <f ca="1">SUMIFS(rec.uni[2030-08-01],
INDIRECT("rec.uni[natureza]"),"pro.soluto",
INDIRECT("rec.uni[empresa]"),O$6)</f>
        <v>0</v>
      </c>
      <c r="P118" s="182">
        <f ca="1">SUMIFS(rec.uni[2030-08-01],
INDIRECT("rec.uni[natureza]"),"repasse.cef.obra",
INDIRECT("rec.uni[empresa]"),P$6)</f>
        <v>0</v>
      </c>
      <c r="Q118" s="182">
        <f ca="1">SUMIFS(rec.uni[2030-08-01],
INDIRECT("rec.uni[natureza]"),"repasse.cef.terreno",
INDIRECT("rec.uni[empresa]"),Q$6)</f>
        <v>0</v>
      </c>
      <c r="R118" s="186"/>
      <c r="S118" s="182">
        <f ca="1">SUMIFS(rec.uni[2030-08-01],
INDIRECT("rec.uni[natureza]"),"taxa.extra",
INDIRECT("rec.uni[empresa]"),S$6)</f>
        <v>0</v>
      </c>
      <c r="T118" s="170"/>
      <c r="U118" s="170" cm="1">
        <f t="array" ref="U11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V118" s="170" cm="1">
        <f t="array" ref="V11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W118" s="170" cm="1">
        <f t="array" ref="W11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X118" s="170" cm="1">
        <f t="array" ref="X11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Y118" s="170" cm="1">
        <f t="array" ref="Y11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(desp[data.pagamento]&gt;=$A118)*
    (desp[data.pagamento]&lt;EOMONTH($A118,0)+1)
  )
)</f>
        <v>0</v>
      </c>
      <c r="Z118" s="181">
        <f>COUNTIFS(
    estq[empresa], Z$6,
    estq[Data da venda / reserva], "&gt;=" &amp; $A118,
    estq[Data da venda / reserva], "&lt;"  &amp; EOMONTH($A118,0) + 1
)</f>
        <v>0</v>
      </c>
      <c r="AA118" s="182">
        <f ca="1">SUMIFS(rec.uni[2030-08-01],
INDIRECT("rec.uni[natureza]"),"pro.soluto",
INDIRECT("rec.uni[empresa]"),AA$6)</f>
        <v>0</v>
      </c>
      <c r="AB118" s="186">
        <f ca="1">SUMIFS(rec.uni[2030-08-01],
INDIRECT("rec.uni[natureza]"),"parcela.fin.total.ik",
INDIRECT("rec.uni[empresa]"),AB$6)</f>
        <v>0</v>
      </c>
      <c r="AC118" s="182">
        <f ca="1">SUMIFS(rec.uni[2030-08-01],
INDIRECT("rec.uni[natureza]"),"taxa.extra",
INDIRECT("rec.uni[empresa]"),AC$6)</f>
        <v>0</v>
      </c>
      <c r="AD118" s="170"/>
      <c r="AE118" s="170" cm="1">
        <f t="array" ref="AE118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F118" s="170" cm="1">
        <f t="array" ref="AF118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G118" s="170" cm="1">
        <f t="array" ref="AG11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H118" s="170" cm="1">
        <f t="array" ref="AH11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I118" s="170" cm="1">
        <f t="array" ref="AI11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(desp[data.pagamento]&gt;=$A118)*
    (desp[data.pagamento]&lt;EOMONTH($A118,0)+1)
  )
)</f>
        <v>0</v>
      </c>
      <c r="AJ118" s="181">
        <f>COUNTIFS(
    estq[empresa], AJ$6,
    estq[Data da venda / reserva], "&gt;=" &amp; $A118,
    estq[Data da venda / reserva], "&lt;"  &amp; EOMONTH($A118,0) + 1
)</f>
        <v>0</v>
      </c>
      <c r="AK118" s="182">
        <f ca="1">SUMIFS(rec.uni[2030-08-01],
INDIRECT("rec.uni[natureza]"),"pro.soluto",
INDIRECT("rec.uni[empresa]"),AK$6)</f>
        <v>0</v>
      </c>
      <c r="AL118" s="182">
        <f ca="1">SUMIFS(rec.uni[2030-08-01],
INDIRECT("rec.uni[natureza]"),"repasse.cef.obra",
INDIRECT("rec.uni[empresa]"),AL$6)</f>
        <v>0</v>
      </c>
      <c r="AM118" s="185">
        <f ca="1">SUMIFS(rec.uni[2030-08-01],
INDIRECT("rec.uni[natureza]"),"repasse.cef.terreno",
INDIRECT("rec.uni[empresa]"),AM$6)</f>
        <v>0</v>
      </c>
      <c r="AN118" s="186"/>
      <c r="AO118" s="182">
        <f ca="1">SUMIFS(rec.uni[2030-08-01],
INDIRECT("rec.uni[natureza]"),"taxa.extra",
INDIRECT("rec.uni[empresa]"),AO$6)</f>
        <v>0</v>
      </c>
      <c r="AP118" s="170"/>
      <c r="AQ118" s="170" cm="1">
        <f t="array" ref="AQ118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R118" s="170" cm="1">
        <f t="array" ref="AR118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S118" s="170" cm="1">
        <f t="array" ref="AS11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T118" s="170" cm="1">
        <f t="array" ref="AT11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U118" s="170" cm="1">
        <f t="array" ref="AU11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(desp[data.pagamento]&gt;=$A118)*
    (desp[data.pagamento]&lt;EOMONTH($A118,0)+1)
  )
)</f>
        <v>0</v>
      </c>
      <c r="AV118" s="181">
        <f>COUNTIFS(
    estq[empresa], AV$6,
    estq[Data da venda / reserva], "&gt;=" &amp; $A118,
    estq[Data da venda / reserva], "&lt;"  &amp; EOMONTH($A118,0) + 1
)</f>
        <v>0</v>
      </c>
      <c r="AW118" s="182">
        <f ca="1">SUMIFS(rec.uni[2030-08-01],
INDIRECT("rec.uni[natureza]"),"pro.soluto",
INDIRECT("rec.uni[empresa]"),AW$6)</f>
        <v>0</v>
      </c>
      <c r="AX118" s="182">
        <f ca="1">SUMIFS(rec.uni[2030-08-01],
INDIRECT("rec.uni[natureza]"),"repasse.cef.obra",
INDIRECT("rec.uni[empresa]"),AX$6)</f>
        <v>0</v>
      </c>
      <c r="AY118" s="185">
        <f ca="1">SUMIFS(rec.uni[2030-08-01],
INDIRECT("rec.uni[natureza]"),"repasse.cef.terreno",
INDIRECT("rec.uni[empresa]"),AY$6)</f>
        <v>0</v>
      </c>
      <c r="AZ118" s="186"/>
      <c r="BA118" s="182">
        <f ca="1">SUMIFS(rec.uni[2030-08-01],
INDIRECT("rec.uni[natureza]"),"taxa.extra",
INDIRECT("rec.uni[empresa]"),BA$6)</f>
        <v>0</v>
      </c>
      <c r="BB118" s="170"/>
      <c r="BC118" s="170" cm="1">
        <f t="array" ref="BC11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D118" s="170" cm="1">
        <f t="array" ref="BD11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E118" s="170" cm="1">
        <f t="array" ref="BE11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F118" s="170" cm="1">
        <f t="array" ref="BF11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G118" s="170" cm="1">
        <f t="array" ref="BG11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(desp[data.pagamento]&gt;=$A118)*
    (desp[data.pagamento]&lt;EOMONTH($A118,0)+1)
  )
)</f>
        <v>0</v>
      </c>
      <c r="BH118" s="181">
        <f>COUNTIFS(
    estq[empresa], BH$6,
    estq[Data da venda / reserva], "&gt;=" &amp; $A118,
    estq[Data da venda / reserva], "&lt;"  &amp; EOMONTH($A118,0) + 1
)</f>
        <v>0</v>
      </c>
      <c r="BI118" s="182">
        <f ca="1">SUMIFS(rec.uni[2030-08-01],
INDIRECT("rec.uni[natureza]"),"pro.soluto",
INDIRECT("rec.uni[empresa]"),BI$6)</f>
        <v>0</v>
      </c>
      <c r="BJ118" s="186">
        <f ca="1">SUMIFS(rec.uni[2030-08-01],
INDIRECT("rec.uni[natureza]"),"parcela.fin.total.ik",
INDIRECT("rec.uni[empresa]"),BJ$6)</f>
        <v>0</v>
      </c>
      <c r="BK118" s="182">
        <f ca="1">SUMIFS(rec.uni[2030-08-01],
INDIRECT("rec.uni[natureza]"),"taxa.extra",
INDIRECT("rec.uni[empresa]"),BK$6)</f>
        <v>0</v>
      </c>
      <c r="BL118" s="170"/>
      <c r="BM118" s="170" cm="1">
        <f t="array" ref="BM118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N118" s="170" cm="1">
        <f t="array" ref="BN118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O118" s="170" cm="1">
        <f t="array" ref="BO11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P118" s="170" cm="1">
        <f t="array" ref="BP11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Q118" s="170" cm="1">
        <f t="array" ref="BQ11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(desp[data.pagamento]&gt;=$A118)*
    (desp[data.pagamento]&lt;EOMONTH($A118,0)+1)
  )
)</f>
        <v>0</v>
      </c>
      <c r="BR118" s="181">
        <f>COUNTIFS(
    estq[empresa], BR$6,
    estq[Data da venda / reserva], "&gt;=" &amp; $A118,
    estq[Data da venda / reserva], "&lt;"  &amp; EOMONTH($A118,0) + 1
)</f>
        <v>0</v>
      </c>
      <c r="BS118" s="182">
        <f ca="1">SUMIFS(rec.uni[2030-08-01],
INDIRECT("rec.uni[natureza]"),"pro.soluto",
INDIRECT("rec.uni[empresa]"),BS$6)</f>
        <v>0</v>
      </c>
      <c r="BT118" s="186">
        <f ca="1">SUMIFS(rec.uni[2030-08-01],
INDIRECT("rec.uni[natureza]"),"parcela.fin.total.ik",
INDIRECT("rec.uni[empresa]"),BT$6)</f>
        <v>0</v>
      </c>
      <c r="BU118" s="182">
        <f ca="1">SUMIFS(rec.uni[2030-08-01],
INDIRECT("rec.uni[natureza]"),"taxa.extra",
INDIRECT("rec.uni[empresa]"),BU$6)</f>
        <v>0</v>
      </c>
      <c r="BV118" s="170"/>
      <c r="BW118" s="170" cm="1">
        <f t="array" ref="BW118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BX118" s="170" cm="1">
        <f t="array" ref="BX118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BY118" s="170" cm="1">
        <f t="array" ref="BY118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BZ118" s="170" cm="1">
        <f t="array" ref="BZ118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CA118" s="170" cm="1">
        <f t="array" ref="CA11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(desp[data.pagamento]&gt;=$A118)*
    (desp[data.pagamento]&lt;EOMONTH($A118,0)+1)
  )
)</f>
        <v>0</v>
      </c>
      <c r="CB118" s="181">
        <f>COUNTIFS(
    estq[empresa], CB$6,
    estq[Data da venda / reserva], "&gt;=" &amp; $A118,
    estq[Data da venda / reserva], "&lt;"  &amp; EOMONTH($A118,0) + 1
)</f>
        <v>0</v>
      </c>
      <c r="CC118" s="182">
        <f ca="1">SUMIFS(rec.uni[2030-08-01],
INDIRECT("rec.uni[natureza]"),"pro.soluto",
INDIRECT("rec.uni[empresa]"),CC$6)</f>
        <v>0</v>
      </c>
      <c r="CD118" s="182">
        <f ca="1">SUMIFS(rec.uni[2030-08-01],
INDIRECT("rec.uni[natureza]"),"repasse.cef.obra",
INDIRECT("rec.uni[empresa]"),CD$6)</f>
        <v>0</v>
      </c>
      <c r="CE118" s="185">
        <f ca="1">SUMIFS(rec.uni[2030-08-01],
INDIRECT("rec.uni[natureza]"),"repasse.cef.terreno",
INDIRECT("rec.uni[empresa]"),CE$6)</f>
        <v>0</v>
      </c>
      <c r="CF118" s="186"/>
      <c r="CG118" s="182">
        <f ca="1">SUMIFS(rec.uni[2030-08-01],
INDIRECT("rec.uni[natureza]"),"taxa.extra",
INDIRECT("rec.uni[empresa]"),CG$6)</f>
        <v>0</v>
      </c>
      <c r="CH118" s="170"/>
      <c r="CI118" s="170" cm="1">
        <f t="array" ref="CI118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J118" s="170" cm="1">
        <f t="array" ref="CJ118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K118" s="170" cm="1">
        <f t="array" ref="CK118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L118" s="170" cm="1">
        <f t="array" ref="CL118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M118" s="170" cm="1">
        <f t="array" ref="CM118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(desp[data.pagamento]&gt;=$A118)*
    (desp[data.pagamento]&lt;EOMONTH($A118,0)+1)
  )
)</f>
        <v>0</v>
      </c>
      <c r="CN118" s="181">
        <f>COUNTIFS(
    estq[empresa], CN$6,
    estq[Data da venda / reserva], "&gt;=" &amp; $A118,
    estq[Data da venda / reserva], "&lt;"  &amp; EOMONTH($A118,0) + 1
)</f>
        <v>0</v>
      </c>
      <c r="CO118" s="182">
        <f ca="1">SUMIFS(rec.uni[2030-08-01],
INDIRECT("rec.uni[natureza]"),"pro.soluto",
INDIRECT("rec.uni[empresa]"),CO$6)</f>
        <v>0</v>
      </c>
      <c r="CP118" s="182">
        <f ca="1">SUMIFS(rec.uni[2030-08-01],
INDIRECT("rec.uni[natureza]"),"repasse.cef.obra",
INDIRECT("rec.uni[empresa]"),CP$6)</f>
        <v>0</v>
      </c>
      <c r="CQ118" s="185">
        <f ca="1">SUMIFS(rec.uni[2030-08-01],
INDIRECT("rec.uni[natureza]"),"repasse.cef.terreno",
INDIRECT("rec.uni[empresa]"),CQ$6)</f>
        <v>0</v>
      </c>
      <c r="CR118" s="186"/>
      <c r="CS118" s="182">
        <f ca="1">SUMIFS(rec.uni[2030-08-01],
INDIRECT("rec.uni[natureza]"),"taxa.extra",
INDIRECT("rec.uni[empresa]"),CS$6)</f>
        <v>0</v>
      </c>
      <c r="CT118" s="170"/>
      <c r="CU118" s="170" cm="1">
        <f t="array" ref="CU118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  <c r="CV118" s="170" cm="1">
        <f t="array" ref="CV118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  <c r="CW118" s="170" cm="1">
        <f t="array" ref="CW118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  <c r="CX118" s="170" cm="1">
        <f t="array" ref="CX118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  <c r="CY118" s="295" cm="1">
        <f t="array" ref="CY118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(desp[data.pagamento]&gt;=$A118)*
    (desp[data.pagamento]&lt;EOMONTH($A118,0)+1)
  )
)</f>
        <v>0</v>
      </c>
    </row>
    <row r="119" spans="1:103" x14ac:dyDescent="0.25">
      <c r="A119" s="180">
        <v>47727</v>
      </c>
      <c r="B119" s="181">
        <f>COUNTIFS(
    estq[empresa], B$6,
    estq[Data da venda / reserva], "&gt;=" &amp; $A119,
    estq[Data da venda / reserva], "&lt;"  &amp; EOMONTH($A119,0) + 1
)</f>
        <v>0</v>
      </c>
      <c r="C119" s="182">
        <f ca="1">SUMIFS(rec.uni[2030-09-01],
INDIRECT("rec.uni[natureza]"),"pro.soluto",
INDIRECT("rec.uni[empresa]"),C$6)</f>
        <v>0</v>
      </c>
      <c r="D119" s="182">
        <f ca="1">SUMIFS(rec.uni[2030-09-01],
INDIRECT("rec.uni[natureza]"),"repasse.cef.obra",
INDIRECT("rec.uni[empresa]"),D$6)</f>
        <v>0</v>
      </c>
      <c r="E119" s="182">
        <f ca="1">SUMIFS(rec.uni[2030-09-01],
INDIRECT("rec.uni[natureza]"),"repasse.cef.terreno",
INDIRECT("rec.uni[empresa]"),E$6)</f>
        <v>0</v>
      </c>
      <c r="F119" s="186"/>
      <c r="G119" s="182">
        <f ca="1">SUMIFS(rec.uni[2030-09-01],
INDIRECT("rec.uni[natureza]"),"taxa.extra",
INDIRECT("rec.uni[empresa]"),G$6)</f>
        <v>0</v>
      </c>
      <c r="H119" s="170"/>
      <c r="I119" s="170" cm="1">
        <f t="array" ref="I11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J119" s="170" cm="1">
        <f t="array" ref="J11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K119" s="170" cm="1">
        <f t="array" ref="K11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L119" s="170" cm="1">
        <f t="array" ref="L11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M119" s="170" cm="1">
        <f t="array" ref="M11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(desp[data.pagamento]&gt;=$A119)*
    (desp[data.pagamento]&lt;EOMONTH($A119,0)+1)
  )
)</f>
        <v>0</v>
      </c>
      <c r="N119" s="181">
        <f>COUNTIFS(
    estq[empresa], N$6,
    estq[Data da venda / reserva], "&gt;=" &amp; $A119,
    estq[Data da venda / reserva], "&lt;"  &amp; EOMONTH($A119,0) + 1
)</f>
        <v>0</v>
      </c>
      <c r="O119" s="182">
        <f ca="1">SUMIFS(rec.uni[2030-09-01],
INDIRECT("rec.uni[natureza]"),"pro.soluto",
INDIRECT("rec.uni[empresa]"),O$6)</f>
        <v>0</v>
      </c>
      <c r="P119" s="182">
        <f ca="1">SUMIFS(rec.uni[2030-09-01],
INDIRECT("rec.uni[natureza]"),"repasse.cef.obra",
INDIRECT("rec.uni[empresa]"),P$6)</f>
        <v>0</v>
      </c>
      <c r="Q119" s="182">
        <f ca="1">SUMIFS(rec.uni[2030-09-01],
INDIRECT("rec.uni[natureza]"),"repasse.cef.terreno",
INDIRECT("rec.uni[empresa]"),Q$6)</f>
        <v>0</v>
      </c>
      <c r="R119" s="186"/>
      <c r="S119" s="182">
        <f ca="1">SUMIFS(rec.uni[2030-09-01],
INDIRECT("rec.uni[natureza]"),"taxa.extra",
INDIRECT("rec.uni[empresa]"),S$6)</f>
        <v>0</v>
      </c>
      <c r="T119" s="170"/>
      <c r="U119" s="170" cm="1">
        <f t="array" ref="U11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V119" s="170" cm="1">
        <f t="array" ref="V11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W119" s="170" cm="1">
        <f t="array" ref="W11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X119" s="170" cm="1">
        <f t="array" ref="X11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Y119" s="170" cm="1">
        <f t="array" ref="Y11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(desp[data.pagamento]&gt;=$A119)*
    (desp[data.pagamento]&lt;EOMONTH($A119,0)+1)
  )
)</f>
        <v>0</v>
      </c>
      <c r="Z119" s="181">
        <f>COUNTIFS(
    estq[empresa], Z$6,
    estq[Data da venda / reserva], "&gt;=" &amp; $A119,
    estq[Data da venda / reserva], "&lt;"  &amp; EOMONTH($A119,0) + 1
)</f>
        <v>0</v>
      </c>
      <c r="AA119" s="182">
        <f ca="1">SUMIFS(rec.uni[2030-09-01],
INDIRECT("rec.uni[natureza]"),"pro.soluto",
INDIRECT("rec.uni[empresa]"),AA$6)</f>
        <v>0</v>
      </c>
      <c r="AB119" s="186">
        <f ca="1">SUMIFS(rec.uni[2030-09-01],
INDIRECT("rec.uni[natureza]"),"parcela.fin.total.ik",
INDIRECT("rec.uni[empresa]"),AB$6)</f>
        <v>0</v>
      </c>
      <c r="AC119" s="182">
        <f ca="1">SUMIFS(rec.uni[2030-09-01],
INDIRECT("rec.uni[natureza]"),"taxa.extra",
INDIRECT("rec.uni[empresa]"),AC$6)</f>
        <v>0</v>
      </c>
      <c r="AD119" s="170"/>
      <c r="AE119" s="170" cm="1">
        <f t="array" ref="AE119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F119" s="170" cm="1">
        <f t="array" ref="AF119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G119" s="170" cm="1">
        <f t="array" ref="AG11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H119" s="170" cm="1">
        <f t="array" ref="AH11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I119" s="170" cm="1">
        <f t="array" ref="AI11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(desp[data.pagamento]&gt;=$A119)*
    (desp[data.pagamento]&lt;EOMONTH($A119,0)+1)
  )
)</f>
        <v>0</v>
      </c>
      <c r="AJ119" s="181">
        <f>COUNTIFS(
    estq[empresa], AJ$6,
    estq[Data da venda / reserva], "&gt;=" &amp; $A119,
    estq[Data da venda / reserva], "&lt;"  &amp; EOMONTH($A119,0) + 1
)</f>
        <v>0</v>
      </c>
      <c r="AK119" s="182">
        <f ca="1">SUMIFS(rec.uni[2030-09-01],
INDIRECT("rec.uni[natureza]"),"pro.soluto",
INDIRECT("rec.uni[empresa]"),AK$6)</f>
        <v>0</v>
      </c>
      <c r="AL119" s="182">
        <f ca="1">SUMIFS(rec.uni[2030-09-01],
INDIRECT("rec.uni[natureza]"),"repasse.cef.obra",
INDIRECT("rec.uni[empresa]"),AL$6)</f>
        <v>0</v>
      </c>
      <c r="AM119" s="185">
        <f ca="1">SUMIFS(rec.uni[2030-09-01],
INDIRECT("rec.uni[natureza]"),"repasse.cef.terreno",
INDIRECT("rec.uni[empresa]"),AM$6)</f>
        <v>0</v>
      </c>
      <c r="AN119" s="186"/>
      <c r="AO119" s="182">
        <f ca="1">SUMIFS(rec.uni[2030-09-01],
INDIRECT("rec.uni[natureza]"),"taxa.extra",
INDIRECT("rec.uni[empresa]"),AO$6)</f>
        <v>0</v>
      </c>
      <c r="AP119" s="170"/>
      <c r="AQ119" s="170" cm="1">
        <f t="array" ref="AQ119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R119" s="170" cm="1">
        <f t="array" ref="AR119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S119" s="170" cm="1">
        <f t="array" ref="AS11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T119" s="170" cm="1">
        <f t="array" ref="AT11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U119" s="170" cm="1">
        <f t="array" ref="AU11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(desp[data.pagamento]&gt;=$A119)*
    (desp[data.pagamento]&lt;EOMONTH($A119,0)+1)
  )
)</f>
        <v>0</v>
      </c>
      <c r="AV119" s="181">
        <f>COUNTIFS(
    estq[empresa], AV$6,
    estq[Data da venda / reserva], "&gt;=" &amp; $A119,
    estq[Data da venda / reserva], "&lt;"  &amp; EOMONTH($A119,0) + 1
)</f>
        <v>0</v>
      </c>
      <c r="AW119" s="182">
        <f ca="1">SUMIFS(rec.uni[2030-09-01],
INDIRECT("rec.uni[natureza]"),"pro.soluto",
INDIRECT("rec.uni[empresa]"),AW$6)</f>
        <v>0</v>
      </c>
      <c r="AX119" s="182">
        <f ca="1">SUMIFS(rec.uni[2030-09-01],
INDIRECT("rec.uni[natureza]"),"repasse.cef.obra",
INDIRECT("rec.uni[empresa]"),AX$6)</f>
        <v>0</v>
      </c>
      <c r="AY119" s="185">
        <f ca="1">SUMIFS(rec.uni[2030-09-01],
INDIRECT("rec.uni[natureza]"),"repasse.cef.terreno",
INDIRECT("rec.uni[empresa]"),AY$6)</f>
        <v>0</v>
      </c>
      <c r="AZ119" s="186"/>
      <c r="BA119" s="182">
        <f ca="1">SUMIFS(rec.uni[2030-09-01],
INDIRECT("rec.uni[natureza]"),"taxa.extra",
INDIRECT("rec.uni[empresa]"),BA$6)</f>
        <v>0</v>
      </c>
      <c r="BB119" s="170"/>
      <c r="BC119" s="170" cm="1">
        <f t="array" ref="BC11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D119" s="170" cm="1">
        <f t="array" ref="BD11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E119" s="170" cm="1">
        <f t="array" ref="BE11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F119" s="170" cm="1">
        <f t="array" ref="BF11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G119" s="170" cm="1">
        <f t="array" ref="BG11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(desp[data.pagamento]&gt;=$A119)*
    (desp[data.pagamento]&lt;EOMONTH($A119,0)+1)
  )
)</f>
        <v>0</v>
      </c>
      <c r="BH119" s="181">
        <f>COUNTIFS(
    estq[empresa], BH$6,
    estq[Data da venda / reserva], "&gt;=" &amp; $A119,
    estq[Data da venda / reserva], "&lt;"  &amp; EOMONTH($A119,0) + 1
)</f>
        <v>0</v>
      </c>
      <c r="BI119" s="182">
        <f ca="1">SUMIFS(rec.uni[2030-09-01],
INDIRECT("rec.uni[natureza]"),"pro.soluto",
INDIRECT("rec.uni[empresa]"),BI$6)</f>
        <v>0</v>
      </c>
      <c r="BJ119" s="186">
        <f ca="1">SUMIFS(rec.uni[2030-09-01],
INDIRECT("rec.uni[natureza]"),"parcela.fin.total.ik",
INDIRECT("rec.uni[empresa]"),BJ$6)</f>
        <v>0</v>
      </c>
      <c r="BK119" s="182">
        <f ca="1">SUMIFS(rec.uni[2030-09-01],
INDIRECT("rec.uni[natureza]"),"taxa.extra",
INDIRECT("rec.uni[empresa]"),BK$6)</f>
        <v>0</v>
      </c>
      <c r="BL119" s="170"/>
      <c r="BM119" s="170" cm="1">
        <f t="array" ref="BM119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N119" s="170" cm="1">
        <f t="array" ref="BN119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O119" s="170" cm="1">
        <f t="array" ref="BO11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P119" s="170" cm="1">
        <f t="array" ref="BP11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Q119" s="170" cm="1">
        <f t="array" ref="BQ11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(desp[data.pagamento]&gt;=$A119)*
    (desp[data.pagamento]&lt;EOMONTH($A119,0)+1)
  )
)</f>
        <v>0</v>
      </c>
      <c r="BR119" s="181">
        <f>COUNTIFS(
    estq[empresa], BR$6,
    estq[Data da venda / reserva], "&gt;=" &amp; $A119,
    estq[Data da venda / reserva], "&lt;"  &amp; EOMONTH($A119,0) + 1
)</f>
        <v>0</v>
      </c>
      <c r="BS119" s="182">
        <f ca="1">SUMIFS(rec.uni[2030-09-01],
INDIRECT("rec.uni[natureza]"),"pro.soluto",
INDIRECT("rec.uni[empresa]"),BS$6)</f>
        <v>0</v>
      </c>
      <c r="BT119" s="186">
        <f ca="1">SUMIFS(rec.uni[2030-09-01],
INDIRECT("rec.uni[natureza]"),"parcela.fin.total.ik",
INDIRECT("rec.uni[empresa]"),BT$6)</f>
        <v>0</v>
      </c>
      <c r="BU119" s="182">
        <f ca="1">SUMIFS(rec.uni[2030-09-01],
INDIRECT("rec.uni[natureza]"),"taxa.extra",
INDIRECT("rec.uni[empresa]"),BU$6)</f>
        <v>0</v>
      </c>
      <c r="BV119" s="170"/>
      <c r="BW119" s="170" cm="1">
        <f t="array" ref="BW119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BX119" s="170" cm="1">
        <f t="array" ref="BX119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BY119" s="170" cm="1">
        <f t="array" ref="BY119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BZ119" s="170" cm="1">
        <f t="array" ref="BZ119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CA119" s="170" cm="1">
        <f t="array" ref="CA11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(desp[data.pagamento]&gt;=$A119)*
    (desp[data.pagamento]&lt;EOMONTH($A119,0)+1)
  )
)</f>
        <v>0</v>
      </c>
      <c r="CB119" s="181">
        <f>COUNTIFS(
    estq[empresa], CB$6,
    estq[Data da venda / reserva], "&gt;=" &amp; $A119,
    estq[Data da venda / reserva], "&lt;"  &amp; EOMONTH($A119,0) + 1
)</f>
        <v>0</v>
      </c>
      <c r="CC119" s="182">
        <f ca="1">SUMIFS(rec.uni[2030-09-01],
INDIRECT("rec.uni[natureza]"),"pro.soluto",
INDIRECT("rec.uni[empresa]"),CC$6)</f>
        <v>0</v>
      </c>
      <c r="CD119" s="182">
        <f ca="1">SUMIFS(rec.uni[2030-09-01],
INDIRECT("rec.uni[natureza]"),"repasse.cef.obra",
INDIRECT("rec.uni[empresa]"),CD$6)</f>
        <v>0</v>
      </c>
      <c r="CE119" s="185">
        <f ca="1">SUMIFS(rec.uni[2030-09-01],
INDIRECT("rec.uni[natureza]"),"repasse.cef.terreno",
INDIRECT("rec.uni[empresa]"),CE$6)</f>
        <v>0</v>
      </c>
      <c r="CF119" s="186"/>
      <c r="CG119" s="182">
        <f ca="1">SUMIFS(rec.uni[2030-09-01],
INDIRECT("rec.uni[natureza]"),"taxa.extra",
INDIRECT("rec.uni[empresa]"),CG$6)</f>
        <v>0</v>
      </c>
      <c r="CH119" s="170"/>
      <c r="CI119" s="170" cm="1">
        <f t="array" ref="CI119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J119" s="170" cm="1">
        <f t="array" ref="CJ119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K119" s="170" cm="1">
        <f t="array" ref="CK119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L119" s="170" cm="1">
        <f t="array" ref="CL119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M119" s="170" cm="1">
        <f t="array" ref="CM119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(desp[data.pagamento]&gt;=$A119)*
    (desp[data.pagamento]&lt;EOMONTH($A119,0)+1)
  )
)</f>
        <v>0</v>
      </c>
      <c r="CN119" s="181">
        <f>COUNTIFS(
    estq[empresa], CN$6,
    estq[Data da venda / reserva], "&gt;=" &amp; $A119,
    estq[Data da venda / reserva], "&lt;"  &amp; EOMONTH($A119,0) + 1
)</f>
        <v>0</v>
      </c>
      <c r="CO119" s="182">
        <f ca="1">SUMIFS(rec.uni[2030-09-01],
INDIRECT("rec.uni[natureza]"),"pro.soluto",
INDIRECT("rec.uni[empresa]"),CO$6)</f>
        <v>0</v>
      </c>
      <c r="CP119" s="182">
        <f ca="1">SUMIFS(rec.uni[2030-09-01],
INDIRECT("rec.uni[natureza]"),"repasse.cef.obra",
INDIRECT("rec.uni[empresa]"),CP$6)</f>
        <v>0</v>
      </c>
      <c r="CQ119" s="185">
        <f ca="1">SUMIFS(rec.uni[2030-09-01],
INDIRECT("rec.uni[natureza]"),"repasse.cef.terreno",
INDIRECT("rec.uni[empresa]"),CQ$6)</f>
        <v>0</v>
      </c>
      <c r="CR119" s="186"/>
      <c r="CS119" s="182">
        <f ca="1">SUMIFS(rec.uni[2030-09-01],
INDIRECT("rec.uni[natureza]"),"taxa.extra",
INDIRECT("rec.uni[empresa]"),CS$6)</f>
        <v>0</v>
      </c>
      <c r="CT119" s="170"/>
      <c r="CU119" s="170" cm="1">
        <f t="array" ref="CU119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  <c r="CV119" s="170" cm="1">
        <f t="array" ref="CV119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  <c r="CW119" s="170" cm="1">
        <f t="array" ref="CW119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  <c r="CX119" s="170" cm="1">
        <f t="array" ref="CX119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  <c r="CY119" s="295" cm="1">
        <f t="array" ref="CY119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(desp[data.pagamento]&gt;=$A119)*
    (desp[data.pagamento]&lt;EOMONTH($A119,0)+1)
  )
)</f>
        <v>0</v>
      </c>
    </row>
    <row r="120" spans="1:103" x14ac:dyDescent="0.25">
      <c r="A120" s="180">
        <v>47757</v>
      </c>
      <c r="B120" s="181">
        <f>COUNTIFS(
    estq[empresa], B$6,
    estq[Data da venda / reserva], "&gt;=" &amp; $A120,
    estq[Data da venda / reserva], "&lt;"  &amp; EOMONTH($A120,0) + 1
)</f>
        <v>0</v>
      </c>
      <c r="C120" s="182">
        <f ca="1">SUMIFS(rec.uni[2030-10-01],
INDIRECT("rec.uni[natureza]"),"pro.soluto",
INDIRECT("rec.uni[empresa]"),C$6)</f>
        <v>0</v>
      </c>
      <c r="D120" s="182">
        <f ca="1">SUMIFS(rec.uni[2030-10-01],
INDIRECT("rec.uni[natureza]"),"repasse.cef.obra",
INDIRECT("rec.uni[empresa]"),D$6)</f>
        <v>0</v>
      </c>
      <c r="E120" s="182">
        <f ca="1">SUMIFS(rec.uni[2030-10-01],
INDIRECT("rec.uni[natureza]"),"repasse.cef.terreno",
INDIRECT("rec.uni[empresa]"),E$6)</f>
        <v>0</v>
      </c>
      <c r="F120" s="186"/>
      <c r="G120" s="182">
        <f ca="1">SUMIFS(rec.uni[2030-10-01],
INDIRECT("rec.uni[natureza]"),"taxa.extra",
INDIRECT("rec.uni[empresa]"),G$6)</f>
        <v>0</v>
      </c>
      <c r="H120" s="170"/>
      <c r="I120" s="170" cm="1">
        <f t="array" ref="I12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J120" s="170" cm="1">
        <f t="array" ref="J12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K120" s="170" cm="1">
        <f t="array" ref="K12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L120" s="170" cm="1">
        <f t="array" ref="L12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M120" s="170" cm="1">
        <f t="array" ref="M12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(desp[data.pagamento]&gt;=$A120)*
    (desp[data.pagamento]&lt;EOMONTH($A120,0)+1)
  )
)</f>
        <v>0</v>
      </c>
      <c r="N120" s="181">
        <f>COUNTIFS(
    estq[empresa], N$6,
    estq[Data da venda / reserva], "&gt;=" &amp; $A120,
    estq[Data da venda / reserva], "&lt;"  &amp; EOMONTH($A120,0) + 1
)</f>
        <v>0</v>
      </c>
      <c r="O120" s="182">
        <f ca="1">SUMIFS(rec.uni[2030-10-01],
INDIRECT("rec.uni[natureza]"),"pro.soluto",
INDIRECT("rec.uni[empresa]"),O$6)</f>
        <v>0</v>
      </c>
      <c r="P120" s="182">
        <f ca="1">SUMIFS(rec.uni[2030-10-01],
INDIRECT("rec.uni[natureza]"),"repasse.cef.obra",
INDIRECT("rec.uni[empresa]"),P$6)</f>
        <v>0</v>
      </c>
      <c r="Q120" s="182">
        <f ca="1">SUMIFS(rec.uni[2030-10-01],
INDIRECT("rec.uni[natureza]"),"repasse.cef.terreno",
INDIRECT("rec.uni[empresa]"),Q$6)</f>
        <v>0</v>
      </c>
      <c r="R120" s="186"/>
      <c r="S120" s="182">
        <f ca="1">SUMIFS(rec.uni[2030-10-01],
INDIRECT("rec.uni[natureza]"),"taxa.extra",
INDIRECT("rec.uni[empresa]"),S$6)</f>
        <v>0</v>
      </c>
      <c r="T120" s="170"/>
      <c r="U120" s="170" cm="1">
        <f t="array" ref="U12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V120" s="170" cm="1">
        <f t="array" ref="V12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W120" s="170" cm="1">
        <f t="array" ref="W12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X120" s="170" cm="1">
        <f t="array" ref="X12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Y120" s="170" cm="1">
        <f t="array" ref="Y12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(desp[data.pagamento]&gt;=$A120)*
    (desp[data.pagamento]&lt;EOMONTH($A120,0)+1)
  )
)</f>
        <v>0</v>
      </c>
      <c r="Z120" s="181">
        <f>COUNTIFS(
    estq[empresa], Z$6,
    estq[Data da venda / reserva], "&gt;=" &amp; $A120,
    estq[Data da venda / reserva], "&lt;"  &amp; EOMONTH($A120,0) + 1
)</f>
        <v>0</v>
      </c>
      <c r="AA120" s="182">
        <f ca="1">SUMIFS(rec.uni[2030-10-01],
INDIRECT("rec.uni[natureza]"),"pro.soluto",
INDIRECT("rec.uni[empresa]"),AA$6)</f>
        <v>0</v>
      </c>
      <c r="AB120" s="186">
        <f ca="1">SUMIFS(rec.uni[2030-10-01],
INDIRECT("rec.uni[natureza]"),"parcela.fin.total.ik",
INDIRECT("rec.uni[empresa]"),AB$6)</f>
        <v>0</v>
      </c>
      <c r="AC120" s="182">
        <f ca="1">SUMIFS(rec.uni[2030-10-01],
INDIRECT("rec.uni[natureza]"),"taxa.extra",
INDIRECT("rec.uni[empresa]"),AC$6)</f>
        <v>0</v>
      </c>
      <c r="AD120" s="170"/>
      <c r="AE120" s="170" cm="1">
        <f t="array" ref="AE120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F120" s="170" cm="1">
        <f t="array" ref="AF120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G120" s="170" cm="1">
        <f t="array" ref="AG12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H120" s="170" cm="1">
        <f t="array" ref="AH12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I120" s="170" cm="1">
        <f t="array" ref="AI12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(desp[data.pagamento]&gt;=$A120)*
    (desp[data.pagamento]&lt;EOMONTH($A120,0)+1)
  )
)</f>
        <v>0</v>
      </c>
      <c r="AJ120" s="181">
        <f>COUNTIFS(
    estq[empresa], AJ$6,
    estq[Data da venda / reserva], "&gt;=" &amp; $A120,
    estq[Data da venda / reserva], "&lt;"  &amp; EOMONTH($A120,0) + 1
)</f>
        <v>0</v>
      </c>
      <c r="AK120" s="182">
        <f ca="1">SUMIFS(rec.uni[2030-10-01],
INDIRECT("rec.uni[natureza]"),"pro.soluto",
INDIRECT("rec.uni[empresa]"),AK$6)</f>
        <v>0</v>
      </c>
      <c r="AL120" s="182">
        <f ca="1">SUMIFS(rec.uni[2030-10-01],
INDIRECT("rec.uni[natureza]"),"repasse.cef.obra",
INDIRECT("rec.uni[empresa]"),AL$6)</f>
        <v>0</v>
      </c>
      <c r="AM120" s="185">
        <f ca="1">SUMIFS(rec.uni[2030-10-01],
INDIRECT("rec.uni[natureza]"),"repasse.cef.terreno",
INDIRECT("rec.uni[empresa]"),AM$6)</f>
        <v>0</v>
      </c>
      <c r="AN120" s="186"/>
      <c r="AO120" s="182">
        <f ca="1">SUMIFS(rec.uni[2030-10-01],
INDIRECT("rec.uni[natureza]"),"taxa.extra",
INDIRECT("rec.uni[empresa]"),AO$6)</f>
        <v>0</v>
      </c>
      <c r="AP120" s="170"/>
      <c r="AQ120" s="170" cm="1">
        <f t="array" ref="AQ120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R120" s="170" cm="1">
        <f t="array" ref="AR120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S120" s="170" cm="1">
        <f t="array" ref="AS12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T120" s="170" cm="1">
        <f t="array" ref="AT12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U120" s="170" cm="1">
        <f t="array" ref="AU12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(desp[data.pagamento]&gt;=$A120)*
    (desp[data.pagamento]&lt;EOMONTH($A120,0)+1)
  )
)</f>
        <v>0</v>
      </c>
      <c r="AV120" s="181">
        <f>COUNTIFS(
    estq[empresa], AV$6,
    estq[Data da venda / reserva], "&gt;=" &amp; $A120,
    estq[Data da venda / reserva], "&lt;"  &amp; EOMONTH($A120,0) + 1
)</f>
        <v>0</v>
      </c>
      <c r="AW120" s="182">
        <f ca="1">SUMIFS(rec.uni[2030-10-01],
INDIRECT("rec.uni[natureza]"),"pro.soluto",
INDIRECT("rec.uni[empresa]"),AW$6)</f>
        <v>0</v>
      </c>
      <c r="AX120" s="182">
        <f ca="1">SUMIFS(rec.uni[2030-10-01],
INDIRECT("rec.uni[natureza]"),"repasse.cef.obra",
INDIRECT("rec.uni[empresa]"),AX$6)</f>
        <v>0</v>
      </c>
      <c r="AY120" s="185">
        <f ca="1">SUMIFS(rec.uni[2030-10-01],
INDIRECT("rec.uni[natureza]"),"repasse.cef.terreno",
INDIRECT("rec.uni[empresa]"),AY$6)</f>
        <v>0</v>
      </c>
      <c r="AZ120" s="186"/>
      <c r="BA120" s="182">
        <f ca="1">SUMIFS(rec.uni[2030-10-01],
INDIRECT("rec.uni[natureza]"),"taxa.extra",
INDIRECT("rec.uni[empresa]"),BA$6)</f>
        <v>0</v>
      </c>
      <c r="BB120" s="170"/>
      <c r="BC120" s="170" cm="1">
        <f t="array" ref="BC12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D120" s="170" cm="1">
        <f t="array" ref="BD12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E120" s="170" cm="1">
        <f t="array" ref="BE12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F120" s="170" cm="1">
        <f t="array" ref="BF12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G120" s="170" cm="1">
        <f t="array" ref="BG12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(desp[data.pagamento]&gt;=$A120)*
    (desp[data.pagamento]&lt;EOMONTH($A120,0)+1)
  )
)</f>
        <v>0</v>
      </c>
      <c r="BH120" s="181">
        <f>COUNTIFS(
    estq[empresa], BH$6,
    estq[Data da venda / reserva], "&gt;=" &amp; $A120,
    estq[Data da venda / reserva], "&lt;"  &amp; EOMONTH($A120,0) + 1
)</f>
        <v>0</v>
      </c>
      <c r="BI120" s="182">
        <f ca="1">SUMIFS(rec.uni[2030-10-01],
INDIRECT("rec.uni[natureza]"),"pro.soluto",
INDIRECT("rec.uni[empresa]"),BI$6)</f>
        <v>0</v>
      </c>
      <c r="BJ120" s="186">
        <f ca="1">SUMIFS(rec.uni[2030-10-01],
INDIRECT("rec.uni[natureza]"),"parcela.fin.total.ik",
INDIRECT("rec.uni[empresa]"),BJ$6)</f>
        <v>0</v>
      </c>
      <c r="BK120" s="182">
        <f ca="1">SUMIFS(rec.uni[2030-10-01],
INDIRECT("rec.uni[natureza]"),"taxa.extra",
INDIRECT("rec.uni[empresa]"),BK$6)</f>
        <v>0</v>
      </c>
      <c r="BL120" s="170"/>
      <c r="BM120" s="170" cm="1">
        <f t="array" ref="BM120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N120" s="170" cm="1">
        <f t="array" ref="BN120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O120" s="170" cm="1">
        <f t="array" ref="BO12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P120" s="170" cm="1">
        <f t="array" ref="BP12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Q120" s="170" cm="1">
        <f t="array" ref="BQ12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(desp[data.pagamento]&gt;=$A120)*
    (desp[data.pagamento]&lt;EOMONTH($A120,0)+1)
  )
)</f>
        <v>0</v>
      </c>
      <c r="BR120" s="181">
        <f>COUNTIFS(
    estq[empresa], BR$6,
    estq[Data da venda / reserva], "&gt;=" &amp; $A120,
    estq[Data da venda / reserva], "&lt;"  &amp; EOMONTH($A120,0) + 1
)</f>
        <v>0</v>
      </c>
      <c r="BS120" s="182">
        <f ca="1">SUMIFS(rec.uni[2030-10-01],
INDIRECT("rec.uni[natureza]"),"pro.soluto",
INDIRECT("rec.uni[empresa]"),BS$6)</f>
        <v>0</v>
      </c>
      <c r="BT120" s="186">
        <f ca="1">SUMIFS(rec.uni[2030-10-01],
INDIRECT("rec.uni[natureza]"),"parcela.fin.total.ik",
INDIRECT("rec.uni[empresa]"),BT$6)</f>
        <v>0</v>
      </c>
      <c r="BU120" s="182">
        <f ca="1">SUMIFS(rec.uni[2030-10-01],
INDIRECT("rec.uni[natureza]"),"taxa.extra",
INDIRECT("rec.uni[empresa]"),BU$6)</f>
        <v>0</v>
      </c>
      <c r="BV120" s="170"/>
      <c r="BW120" s="170" cm="1">
        <f t="array" ref="BW120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BX120" s="170" cm="1">
        <f t="array" ref="BX120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BY120" s="170" cm="1">
        <f t="array" ref="BY120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BZ120" s="170" cm="1">
        <f t="array" ref="BZ120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CA120" s="170" cm="1">
        <f t="array" ref="CA12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(desp[data.pagamento]&gt;=$A120)*
    (desp[data.pagamento]&lt;EOMONTH($A120,0)+1)
  )
)</f>
        <v>0</v>
      </c>
      <c r="CB120" s="181">
        <f>COUNTIFS(
    estq[empresa], CB$6,
    estq[Data da venda / reserva], "&gt;=" &amp; $A120,
    estq[Data da venda / reserva], "&lt;"  &amp; EOMONTH($A120,0) + 1
)</f>
        <v>0</v>
      </c>
      <c r="CC120" s="182">
        <f ca="1">SUMIFS(rec.uni[2030-10-01],
INDIRECT("rec.uni[natureza]"),"pro.soluto",
INDIRECT("rec.uni[empresa]"),CC$6)</f>
        <v>0</v>
      </c>
      <c r="CD120" s="182">
        <f ca="1">SUMIFS(rec.uni[2030-10-01],
INDIRECT("rec.uni[natureza]"),"repasse.cef.obra",
INDIRECT("rec.uni[empresa]"),CD$6)</f>
        <v>0</v>
      </c>
      <c r="CE120" s="185">
        <f ca="1">SUMIFS(rec.uni[2030-10-01],
INDIRECT("rec.uni[natureza]"),"repasse.cef.terreno",
INDIRECT("rec.uni[empresa]"),CE$6)</f>
        <v>0</v>
      </c>
      <c r="CF120" s="186"/>
      <c r="CG120" s="182">
        <f ca="1">SUMIFS(rec.uni[2030-10-01],
INDIRECT("rec.uni[natureza]"),"taxa.extra",
INDIRECT("rec.uni[empresa]"),CG$6)</f>
        <v>0</v>
      </c>
      <c r="CH120" s="170"/>
      <c r="CI120" s="170" cm="1">
        <f t="array" ref="CI120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J120" s="170" cm="1">
        <f t="array" ref="CJ120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K120" s="170" cm="1">
        <f t="array" ref="CK120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L120" s="170" cm="1">
        <f t="array" ref="CL120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M120" s="170" cm="1">
        <f t="array" ref="CM120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(desp[data.pagamento]&gt;=$A120)*
    (desp[data.pagamento]&lt;EOMONTH($A120,0)+1)
  )
)</f>
        <v>0</v>
      </c>
      <c r="CN120" s="181">
        <f>COUNTIFS(
    estq[empresa], CN$6,
    estq[Data da venda / reserva], "&gt;=" &amp; $A120,
    estq[Data da venda / reserva], "&lt;"  &amp; EOMONTH($A120,0) + 1
)</f>
        <v>0</v>
      </c>
      <c r="CO120" s="182">
        <f ca="1">SUMIFS(rec.uni[2030-10-01],
INDIRECT("rec.uni[natureza]"),"pro.soluto",
INDIRECT("rec.uni[empresa]"),CO$6)</f>
        <v>0</v>
      </c>
      <c r="CP120" s="182">
        <f ca="1">SUMIFS(rec.uni[2030-10-01],
INDIRECT("rec.uni[natureza]"),"repasse.cef.obra",
INDIRECT("rec.uni[empresa]"),CP$6)</f>
        <v>0</v>
      </c>
      <c r="CQ120" s="185">
        <f ca="1">SUMIFS(rec.uni[2030-10-01],
INDIRECT("rec.uni[natureza]"),"repasse.cef.terreno",
INDIRECT("rec.uni[empresa]"),CQ$6)</f>
        <v>0</v>
      </c>
      <c r="CR120" s="186"/>
      <c r="CS120" s="182">
        <f ca="1">SUMIFS(rec.uni[2030-10-01],
INDIRECT("rec.uni[natureza]"),"taxa.extra",
INDIRECT("rec.uni[empresa]"),CS$6)</f>
        <v>0</v>
      </c>
      <c r="CT120" s="170"/>
      <c r="CU120" s="170" cm="1">
        <f t="array" ref="CU120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  <c r="CV120" s="170" cm="1">
        <f t="array" ref="CV120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  <c r="CW120" s="170" cm="1">
        <f t="array" ref="CW120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  <c r="CX120" s="170" cm="1">
        <f t="array" ref="CX120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  <c r="CY120" s="295" cm="1">
        <f t="array" ref="CY120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(desp[data.pagamento]&gt;=$A120)*
    (desp[data.pagamento]&lt;EOMONTH($A120,0)+1)
  )
)</f>
        <v>0</v>
      </c>
    </row>
    <row r="121" spans="1:103" x14ac:dyDescent="0.25">
      <c r="A121" s="180">
        <v>47788</v>
      </c>
      <c r="B121" s="181">
        <f>COUNTIFS(
    estq[empresa], B$6,
    estq[Data da venda / reserva], "&gt;=" &amp; $A121,
    estq[Data da venda / reserva], "&lt;"  &amp; EOMONTH($A121,0) + 1
)</f>
        <v>0</v>
      </c>
      <c r="C121" s="182">
        <f ca="1">SUMIFS(rec.uni[2030-11-01],
INDIRECT("rec.uni[natureza]"),"pro.soluto",
INDIRECT("rec.uni[empresa]"),C$6)</f>
        <v>0</v>
      </c>
      <c r="D121" s="182">
        <f ca="1">SUMIFS(rec.uni[2030-11-01],
INDIRECT("rec.uni[natureza]"),"repasse.cef.obra",
INDIRECT("rec.uni[empresa]"),D$6)</f>
        <v>0</v>
      </c>
      <c r="E121" s="182">
        <f ca="1">SUMIFS(rec.uni[2030-11-01],
INDIRECT("rec.uni[natureza]"),"repasse.cef.terreno",
INDIRECT("rec.uni[empresa]"),E$6)</f>
        <v>0</v>
      </c>
      <c r="F121" s="186"/>
      <c r="G121" s="182">
        <f ca="1">SUMIFS(rec.uni[2030-11-01],
INDIRECT("rec.uni[natureza]"),"taxa.extra",
INDIRECT("rec.uni[empresa]"),G$6)</f>
        <v>0</v>
      </c>
      <c r="H121" s="170"/>
      <c r="I121" s="170" cm="1">
        <f t="array" ref="I12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J121" s="170" cm="1">
        <f t="array" ref="J12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K121" s="170" cm="1">
        <f t="array" ref="K12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L121" s="170" cm="1">
        <f t="array" ref="L12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M121" s="170" cm="1">
        <f t="array" ref="M12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(desp[data.pagamento]&gt;=$A121)*
    (desp[data.pagamento]&lt;EOMONTH($A121,0)+1)
  )
)</f>
        <v>0</v>
      </c>
      <c r="N121" s="181">
        <f>COUNTIFS(
    estq[empresa], N$6,
    estq[Data da venda / reserva], "&gt;=" &amp; $A121,
    estq[Data da venda / reserva], "&lt;"  &amp; EOMONTH($A121,0) + 1
)</f>
        <v>0</v>
      </c>
      <c r="O121" s="182">
        <f ca="1">SUMIFS(rec.uni[2030-11-01],
INDIRECT("rec.uni[natureza]"),"pro.soluto",
INDIRECT("rec.uni[empresa]"),O$6)</f>
        <v>0</v>
      </c>
      <c r="P121" s="182">
        <f ca="1">SUMIFS(rec.uni[2030-11-01],
INDIRECT("rec.uni[natureza]"),"repasse.cef.obra",
INDIRECT("rec.uni[empresa]"),P$6)</f>
        <v>0</v>
      </c>
      <c r="Q121" s="182">
        <f ca="1">SUMIFS(rec.uni[2030-11-01],
INDIRECT("rec.uni[natureza]"),"repasse.cef.terreno",
INDIRECT("rec.uni[empresa]"),Q$6)</f>
        <v>0</v>
      </c>
      <c r="R121" s="186"/>
      <c r="S121" s="182">
        <f ca="1">SUMIFS(rec.uni[2030-11-01],
INDIRECT("rec.uni[natureza]"),"taxa.extra",
INDIRECT("rec.uni[empresa]"),S$6)</f>
        <v>0</v>
      </c>
      <c r="T121" s="170"/>
      <c r="U121" s="170" cm="1">
        <f t="array" ref="U12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V121" s="170" cm="1">
        <f t="array" ref="V12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W121" s="170" cm="1">
        <f t="array" ref="W12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X121" s="170" cm="1">
        <f t="array" ref="X12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Y121" s="170" cm="1">
        <f t="array" ref="Y12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(desp[data.pagamento]&gt;=$A121)*
    (desp[data.pagamento]&lt;EOMONTH($A121,0)+1)
  )
)</f>
        <v>0</v>
      </c>
      <c r="Z121" s="181">
        <f>COUNTIFS(
    estq[empresa], Z$6,
    estq[Data da venda / reserva], "&gt;=" &amp; $A121,
    estq[Data da venda / reserva], "&lt;"  &amp; EOMONTH($A121,0) + 1
)</f>
        <v>0</v>
      </c>
      <c r="AA121" s="182">
        <f ca="1">SUMIFS(rec.uni[2030-11-01],
INDIRECT("rec.uni[natureza]"),"pro.soluto",
INDIRECT("rec.uni[empresa]"),AA$6)</f>
        <v>0</v>
      </c>
      <c r="AB121" s="186">
        <f ca="1">SUMIFS(rec.uni[2030-11-01],
INDIRECT("rec.uni[natureza]"),"parcela.fin.total.ik",
INDIRECT("rec.uni[empresa]"),AB$6)</f>
        <v>0</v>
      </c>
      <c r="AC121" s="182">
        <f ca="1">SUMIFS(rec.uni[2030-11-01],
INDIRECT("rec.uni[natureza]"),"taxa.extra",
INDIRECT("rec.uni[empresa]"),AC$6)</f>
        <v>0</v>
      </c>
      <c r="AD121" s="170"/>
      <c r="AE121" s="170" cm="1">
        <f t="array" ref="AE121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F121" s="170" cm="1">
        <f t="array" ref="AF121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G121" s="170" cm="1">
        <f t="array" ref="AG12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H121" s="170" cm="1">
        <f t="array" ref="AH12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I121" s="170" cm="1">
        <f t="array" ref="AI12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(desp[data.pagamento]&gt;=$A121)*
    (desp[data.pagamento]&lt;EOMONTH($A121,0)+1)
  )
)</f>
        <v>0</v>
      </c>
      <c r="AJ121" s="181">
        <f>COUNTIFS(
    estq[empresa], AJ$6,
    estq[Data da venda / reserva], "&gt;=" &amp; $A121,
    estq[Data da venda / reserva], "&lt;"  &amp; EOMONTH($A121,0) + 1
)</f>
        <v>0</v>
      </c>
      <c r="AK121" s="182">
        <f ca="1">SUMIFS(rec.uni[2030-11-01],
INDIRECT("rec.uni[natureza]"),"pro.soluto",
INDIRECT("rec.uni[empresa]"),AK$6)</f>
        <v>0</v>
      </c>
      <c r="AL121" s="182">
        <f ca="1">SUMIFS(rec.uni[2030-11-01],
INDIRECT("rec.uni[natureza]"),"repasse.cef.obra",
INDIRECT("rec.uni[empresa]"),AL$6)</f>
        <v>0</v>
      </c>
      <c r="AM121" s="185">
        <f ca="1">SUMIFS(rec.uni[2030-11-01],
INDIRECT("rec.uni[natureza]"),"repasse.cef.terreno",
INDIRECT("rec.uni[empresa]"),AM$6)</f>
        <v>0</v>
      </c>
      <c r="AN121" s="186"/>
      <c r="AO121" s="182">
        <f ca="1">SUMIFS(rec.uni[2030-11-01],
INDIRECT("rec.uni[natureza]"),"taxa.extra",
INDIRECT("rec.uni[empresa]"),AO$6)</f>
        <v>0</v>
      </c>
      <c r="AP121" s="170"/>
      <c r="AQ121" s="170" cm="1">
        <f t="array" ref="AQ121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R121" s="170" cm="1">
        <f t="array" ref="AR121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S121" s="170" cm="1">
        <f t="array" ref="AS12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T121" s="170" cm="1">
        <f t="array" ref="AT12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U121" s="170" cm="1">
        <f t="array" ref="AU12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(desp[data.pagamento]&gt;=$A121)*
    (desp[data.pagamento]&lt;EOMONTH($A121,0)+1)
  )
)</f>
        <v>0</v>
      </c>
      <c r="AV121" s="181">
        <f>COUNTIFS(
    estq[empresa], AV$6,
    estq[Data da venda / reserva], "&gt;=" &amp; $A121,
    estq[Data da venda / reserva], "&lt;"  &amp; EOMONTH($A121,0) + 1
)</f>
        <v>0</v>
      </c>
      <c r="AW121" s="182">
        <f ca="1">SUMIFS(rec.uni[2030-11-01],
INDIRECT("rec.uni[natureza]"),"pro.soluto",
INDIRECT("rec.uni[empresa]"),AW$6)</f>
        <v>0</v>
      </c>
      <c r="AX121" s="182">
        <f ca="1">SUMIFS(rec.uni[2030-11-01],
INDIRECT("rec.uni[natureza]"),"repasse.cef.obra",
INDIRECT("rec.uni[empresa]"),AX$6)</f>
        <v>0</v>
      </c>
      <c r="AY121" s="185">
        <f ca="1">SUMIFS(rec.uni[2030-11-01],
INDIRECT("rec.uni[natureza]"),"repasse.cef.terreno",
INDIRECT("rec.uni[empresa]"),AY$6)</f>
        <v>0</v>
      </c>
      <c r="AZ121" s="186"/>
      <c r="BA121" s="182">
        <f ca="1">SUMIFS(rec.uni[2030-11-01],
INDIRECT("rec.uni[natureza]"),"taxa.extra",
INDIRECT("rec.uni[empresa]"),BA$6)</f>
        <v>0</v>
      </c>
      <c r="BB121" s="170"/>
      <c r="BC121" s="170" cm="1">
        <f t="array" ref="BC12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D121" s="170" cm="1">
        <f t="array" ref="BD12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E121" s="170" cm="1">
        <f t="array" ref="BE12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F121" s="170" cm="1">
        <f t="array" ref="BF12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G121" s="170" cm="1">
        <f t="array" ref="BG12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(desp[data.pagamento]&gt;=$A121)*
    (desp[data.pagamento]&lt;EOMONTH($A121,0)+1)
  )
)</f>
        <v>0</v>
      </c>
      <c r="BH121" s="181">
        <f>COUNTIFS(
    estq[empresa], BH$6,
    estq[Data da venda / reserva], "&gt;=" &amp; $A121,
    estq[Data da venda / reserva], "&lt;"  &amp; EOMONTH($A121,0) + 1
)</f>
        <v>0</v>
      </c>
      <c r="BI121" s="182">
        <f ca="1">SUMIFS(rec.uni[2030-11-01],
INDIRECT("rec.uni[natureza]"),"pro.soluto",
INDIRECT("rec.uni[empresa]"),BI$6)</f>
        <v>0</v>
      </c>
      <c r="BJ121" s="186">
        <f ca="1">SUMIFS(rec.uni[2030-11-01],
INDIRECT("rec.uni[natureza]"),"parcela.fin.total.ik",
INDIRECT("rec.uni[empresa]"),BJ$6)</f>
        <v>0</v>
      </c>
      <c r="BK121" s="182">
        <f ca="1">SUMIFS(rec.uni[2030-11-01],
INDIRECT("rec.uni[natureza]"),"taxa.extra",
INDIRECT("rec.uni[empresa]"),BK$6)</f>
        <v>0</v>
      </c>
      <c r="BL121" s="170"/>
      <c r="BM121" s="170" cm="1">
        <f t="array" ref="BM121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N121" s="170" cm="1">
        <f t="array" ref="BN121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O121" s="170" cm="1">
        <f t="array" ref="BO12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P121" s="170" cm="1">
        <f t="array" ref="BP12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Q121" s="170" cm="1">
        <f t="array" ref="BQ12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(desp[data.pagamento]&gt;=$A121)*
    (desp[data.pagamento]&lt;EOMONTH($A121,0)+1)
  )
)</f>
        <v>0</v>
      </c>
      <c r="BR121" s="181">
        <f>COUNTIFS(
    estq[empresa], BR$6,
    estq[Data da venda / reserva], "&gt;=" &amp; $A121,
    estq[Data da venda / reserva], "&lt;"  &amp; EOMONTH($A121,0) + 1
)</f>
        <v>0</v>
      </c>
      <c r="BS121" s="182">
        <f ca="1">SUMIFS(rec.uni[2030-11-01],
INDIRECT("rec.uni[natureza]"),"pro.soluto",
INDIRECT("rec.uni[empresa]"),BS$6)</f>
        <v>0</v>
      </c>
      <c r="BT121" s="186">
        <f ca="1">SUMIFS(rec.uni[2030-11-01],
INDIRECT("rec.uni[natureza]"),"parcela.fin.total.ik",
INDIRECT("rec.uni[empresa]"),BT$6)</f>
        <v>0</v>
      </c>
      <c r="BU121" s="182">
        <f ca="1">SUMIFS(rec.uni[2030-11-01],
INDIRECT("rec.uni[natureza]"),"taxa.extra",
INDIRECT("rec.uni[empresa]"),BU$6)</f>
        <v>0</v>
      </c>
      <c r="BV121" s="170"/>
      <c r="BW121" s="170" cm="1">
        <f t="array" ref="BW121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BX121" s="170" cm="1">
        <f t="array" ref="BX121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BY121" s="170" cm="1">
        <f t="array" ref="BY121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BZ121" s="170" cm="1">
        <f t="array" ref="BZ121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CA121" s="170" cm="1">
        <f t="array" ref="CA12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(desp[data.pagamento]&gt;=$A121)*
    (desp[data.pagamento]&lt;EOMONTH($A121,0)+1)
  )
)</f>
        <v>0</v>
      </c>
      <c r="CB121" s="181">
        <f>COUNTIFS(
    estq[empresa], CB$6,
    estq[Data da venda / reserva], "&gt;=" &amp; $A121,
    estq[Data da venda / reserva], "&lt;"  &amp; EOMONTH($A121,0) + 1
)</f>
        <v>0</v>
      </c>
      <c r="CC121" s="182">
        <f ca="1">SUMIFS(rec.uni[2030-11-01],
INDIRECT("rec.uni[natureza]"),"pro.soluto",
INDIRECT("rec.uni[empresa]"),CC$6)</f>
        <v>0</v>
      </c>
      <c r="CD121" s="182">
        <f ca="1">SUMIFS(rec.uni[2030-11-01],
INDIRECT("rec.uni[natureza]"),"repasse.cef.obra",
INDIRECT("rec.uni[empresa]"),CD$6)</f>
        <v>0</v>
      </c>
      <c r="CE121" s="185">
        <f ca="1">SUMIFS(rec.uni[2030-11-01],
INDIRECT("rec.uni[natureza]"),"repasse.cef.terreno",
INDIRECT("rec.uni[empresa]"),CE$6)</f>
        <v>0</v>
      </c>
      <c r="CF121" s="186"/>
      <c r="CG121" s="182">
        <f ca="1">SUMIFS(rec.uni[2030-11-01],
INDIRECT("rec.uni[natureza]"),"taxa.extra",
INDIRECT("rec.uni[empresa]"),CG$6)</f>
        <v>0</v>
      </c>
      <c r="CH121" s="170"/>
      <c r="CI121" s="170" cm="1">
        <f t="array" ref="CI121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J121" s="170" cm="1">
        <f t="array" ref="CJ121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K121" s="170" cm="1">
        <f t="array" ref="CK121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L121" s="170" cm="1">
        <f t="array" ref="CL121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M121" s="170" cm="1">
        <f t="array" ref="CM121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(desp[data.pagamento]&gt;=$A121)*
    (desp[data.pagamento]&lt;EOMONTH($A121,0)+1)
  )
)</f>
        <v>0</v>
      </c>
      <c r="CN121" s="181">
        <f>COUNTIFS(
    estq[empresa], CN$6,
    estq[Data da venda / reserva], "&gt;=" &amp; $A121,
    estq[Data da venda / reserva], "&lt;"  &amp; EOMONTH($A121,0) + 1
)</f>
        <v>0</v>
      </c>
      <c r="CO121" s="182">
        <f ca="1">SUMIFS(rec.uni[2030-11-01],
INDIRECT("rec.uni[natureza]"),"pro.soluto",
INDIRECT("rec.uni[empresa]"),CO$6)</f>
        <v>0</v>
      </c>
      <c r="CP121" s="182">
        <f ca="1">SUMIFS(rec.uni[2030-11-01],
INDIRECT("rec.uni[natureza]"),"repasse.cef.obra",
INDIRECT("rec.uni[empresa]"),CP$6)</f>
        <v>0</v>
      </c>
      <c r="CQ121" s="185">
        <f ca="1">SUMIFS(rec.uni[2030-11-01],
INDIRECT("rec.uni[natureza]"),"repasse.cef.terreno",
INDIRECT("rec.uni[empresa]"),CQ$6)</f>
        <v>0</v>
      </c>
      <c r="CR121" s="186"/>
      <c r="CS121" s="182">
        <f ca="1">SUMIFS(rec.uni[2030-11-01],
INDIRECT("rec.uni[natureza]"),"taxa.extra",
INDIRECT("rec.uni[empresa]"),CS$6)</f>
        <v>0</v>
      </c>
      <c r="CT121" s="170"/>
      <c r="CU121" s="170" cm="1">
        <f t="array" ref="CU121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  <c r="CV121" s="170" cm="1">
        <f t="array" ref="CV121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  <c r="CW121" s="170" cm="1">
        <f t="array" ref="CW121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  <c r="CX121" s="170" cm="1">
        <f t="array" ref="CX121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  <c r="CY121" s="295" cm="1">
        <f t="array" ref="CY121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(desp[data.pagamento]&gt;=$A121)*
    (desp[data.pagamento]&lt;EOMONTH($A121,0)+1)
  )
)</f>
        <v>0</v>
      </c>
    </row>
    <row r="122" spans="1:103" x14ac:dyDescent="0.25">
      <c r="A122" s="180">
        <v>47818</v>
      </c>
      <c r="B122" s="187">
        <f>COUNTIFS(
    estq[empresa], B$6,
    estq[Data da venda / reserva], "&gt;=" &amp; $A122,
    estq[Data da venda / reserva], "&lt;"  &amp; EOMONTH($A122,0) + 1
)</f>
        <v>0</v>
      </c>
      <c r="C122" s="188">
        <f ca="1">SUMIFS(rec.uni[2030-12-01],
INDIRECT("rec.uni[natureza]"),"pro.soluto",
INDIRECT("rec.uni[empresa]"),C$6)</f>
        <v>0</v>
      </c>
      <c r="D122" s="188">
        <f ca="1">SUMIFS(rec.uni[2030-12-01],
INDIRECT("rec.uni[natureza]"),"repasse.cef.obra",
INDIRECT("rec.uni[empresa]"),D$6)</f>
        <v>0</v>
      </c>
      <c r="E122" s="188">
        <f ca="1">SUMIFS(rec.uni[2030-12-01],
INDIRECT("rec.uni[natureza]"),"repasse.cef.terreno",
INDIRECT("rec.uni[empresa]"),E$6)</f>
        <v>0</v>
      </c>
      <c r="F122" s="189"/>
      <c r="G122" s="188">
        <f ca="1">SUMIFS(rec.uni[2030-12-01],
INDIRECT("rec.uni[natureza]"),"taxa.extra",
INDIRECT("rec.uni[empresa]"),G$6)</f>
        <v>0</v>
      </c>
      <c r="H122" s="190"/>
      <c r="I122" s="190" cm="1">
        <f t="array" ref="I12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J122" s="190" cm="1">
        <f t="array" ref="J12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K122" s="190" cm="1">
        <f t="array" ref="K12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L122" s="190" cm="1">
        <f t="array" ref="L12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M122" s="190" cm="1">
        <f t="array" ref="M12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(desp[data.pagamento]&gt;=$A122)*
    (desp[data.pagamento]&lt;EOMONTH($A122,0)+1)
  )
)</f>
        <v>0</v>
      </c>
      <c r="N122" s="187">
        <f>COUNTIFS(
    estq[empresa], N$6,
    estq[Data da venda / reserva], "&gt;=" &amp; $A122,
    estq[Data da venda / reserva], "&lt;"  &amp; EOMONTH($A122,0) + 1
)</f>
        <v>0</v>
      </c>
      <c r="O122" s="188">
        <f ca="1">SUMIFS(rec.uni[2030-12-01],
INDIRECT("rec.uni[natureza]"),"pro.soluto",
INDIRECT("rec.uni[empresa]"),O$6)</f>
        <v>0</v>
      </c>
      <c r="P122" s="188">
        <f ca="1">SUMIFS(rec.uni[2030-12-01],
INDIRECT("rec.uni[natureza]"),"repasse.cef.obra",
INDIRECT("rec.uni[empresa]"),P$6)</f>
        <v>0</v>
      </c>
      <c r="Q122" s="188">
        <f ca="1">SUMIFS(rec.uni[2030-12-01],
INDIRECT("rec.uni[natureza]"),"repasse.cef.terreno",
INDIRECT("rec.uni[empresa]"),Q$6)</f>
        <v>0</v>
      </c>
      <c r="R122" s="189"/>
      <c r="S122" s="188">
        <f ca="1">SUMIFS(rec.uni[2030-12-01],
INDIRECT("rec.uni[natureza]"),"taxa.extra",
INDIRECT("rec.uni[empresa]"),S$6)</f>
        <v>0</v>
      </c>
      <c r="T122" s="190"/>
      <c r="U122" s="190" cm="1">
        <f t="array" ref="U12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V122" s="190" cm="1">
        <f t="array" ref="V12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W122" s="190" cm="1">
        <f t="array" ref="W12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X122" s="190" cm="1">
        <f t="array" ref="X12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Y122" s="190" cm="1">
        <f t="array" ref="Y12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(desp[data.pagamento]&gt;=$A122)*
    (desp[data.pagamento]&lt;EOMONTH($A122,0)+1)
  )
)</f>
        <v>0</v>
      </c>
      <c r="Z122" s="187">
        <f>COUNTIFS(
    estq[empresa], Z$6,
    estq[Data da venda / reserva], "&gt;=" &amp; $A122,
    estq[Data da venda / reserva], "&lt;"  &amp; EOMONTH($A122,0) + 1
)</f>
        <v>0</v>
      </c>
      <c r="AA122" s="188">
        <f ca="1">SUMIFS(rec.uni[2030-12-01],
INDIRECT("rec.uni[natureza]"),"pro.soluto",
INDIRECT("rec.uni[empresa]"),AA$6)</f>
        <v>0</v>
      </c>
      <c r="AB122" s="189">
        <f ca="1">SUMIFS(rec.uni[2030-12-01],
INDIRECT("rec.uni[natureza]"),"parcela.fin.total.ik",
INDIRECT("rec.uni[empresa]"),AB$6)</f>
        <v>0</v>
      </c>
      <c r="AC122" s="188">
        <f ca="1">SUMIFS(rec.uni[2030-12-01],
INDIRECT("rec.uni[natureza]"),"taxa.extra",
INDIRECT("rec.uni[empresa]"),AC$6)</f>
        <v>0</v>
      </c>
      <c r="AD122" s="190"/>
      <c r="AE122" s="190" cm="1">
        <f t="array" ref="AE122">_xlfn.LET(
  _xlpm.centros, IFERROR(_xlfn._xlws.FILTER(ik_viab[Centros de negócio do Ik], ik_viab[Categoria na viabilidade]=AE$7),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F122" s="190" cm="1">
        <f t="array" ref="AF122">_xlfn.LET(
  _xlpm.centros, IFERROR(_xlfn._xlws.FILTER(ik_viab[Centros de negócio do Ik], ik_viab[Categoria na viabilidade]=AF$7),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G122" s="190" cm="1">
        <f t="array" ref="AG12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H122" s="190" cm="1">
        <f t="array" ref="AH12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I122" s="190" cm="1">
        <f t="array" ref="AI12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CAMPO BELO")*
    (_xlpm.pertence&gt;0)*
    (desp[data.pagamento]&gt;=$A122)*
    (desp[data.pagamento]&lt;EOMONTH($A122,0)+1)
  )
)</f>
        <v>0</v>
      </c>
      <c r="AJ122" s="187">
        <f>COUNTIFS(
    estq[empresa], AJ$6,
    estq[Data da venda / reserva], "&gt;=" &amp; $A122,
    estq[Data da venda / reserva], "&lt;"  &amp; EOMONTH($A122,0) + 1
)</f>
        <v>0</v>
      </c>
      <c r="AK122" s="188">
        <f ca="1">SUMIFS(rec.uni[2030-12-01],
INDIRECT("rec.uni[natureza]"),"pro.soluto",
INDIRECT("rec.uni[empresa]"),AK$6)</f>
        <v>0</v>
      </c>
      <c r="AL122" s="188">
        <f ca="1">SUMIFS(rec.uni[2030-12-01],
INDIRECT("rec.uni[natureza]"),"repasse.cef.obra",
INDIRECT("rec.uni[empresa]"),AL$6)</f>
        <v>0</v>
      </c>
      <c r="AM122" s="191">
        <f ca="1">SUMIFS(rec.uni[2030-12-01],
INDIRECT("rec.uni[natureza]"),"repasse.cef.terreno",
INDIRECT("rec.uni[empresa]"),AM$6)</f>
        <v>0</v>
      </c>
      <c r="AN122" s="189"/>
      <c r="AO122" s="188">
        <f ca="1">SUMIFS(rec.uni[2030-12-01],
INDIRECT("rec.uni[natureza]"),"taxa.extra",
INDIRECT("rec.uni[empresa]"),AO$6)</f>
        <v>0</v>
      </c>
      <c r="AP122" s="190"/>
      <c r="AQ122" s="190" cm="1">
        <f t="array" ref="AQ122">_xlfn.LET(
  _xlpm.centros, IFERROR(_xlfn._xlws.FILTER(ik_viab[Centros de negócio do Ik], ik_viab[Categoria na viabilidade]=AQ$7),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R122" s="190" cm="1">
        <f t="array" ref="AR122">_xlfn.LET(
  _xlpm.centros, IFERROR(_xlfn._xlws.FILTER(ik_viab[Centros de negócio do Ik], ik_viab[Categoria na viabilidade]=AR$7),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S122" s="190" cm="1">
        <f t="array" ref="AS12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T122" s="190" cm="1">
        <f t="array" ref="AT12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U122" s="190" cm="1">
        <f t="array" ref="AU12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(desp[data.pagamento]&gt;=$A122)*
    (desp[data.pagamento]&lt;EOMONTH($A122,0)+1)
  )
)</f>
        <v>0</v>
      </c>
      <c r="AV122" s="187">
        <f>COUNTIFS(
    estq[empresa], AV$6,
    estq[Data da venda / reserva], "&gt;=" &amp; $A122,
    estq[Data da venda / reserva], "&lt;"  &amp; EOMONTH($A122,0) + 1
)</f>
        <v>0</v>
      </c>
      <c r="AW122" s="188">
        <f ca="1">SUMIFS(rec.uni[2030-12-01],
INDIRECT("rec.uni[natureza]"),"pro.soluto",
INDIRECT("rec.uni[empresa]"),AW$6)</f>
        <v>0</v>
      </c>
      <c r="AX122" s="188">
        <f ca="1">SUMIFS(rec.uni[2030-12-01],
INDIRECT("rec.uni[natureza]"),"repasse.cef.obra",
INDIRECT("rec.uni[empresa]"),AX$6)</f>
        <v>0</v>
      </c>
      <c r="AY122" s="191">
        <f ca="1">SUMIFS(rec.uni[2030-12-01],
INDIRECT("rec.uni[natureza]"),"repasse.cef.terreno",
INDIRECT("rec.uni[empresa]"),AY$6)</f>
        <v>0</v>
      </c>
      <c r="AZ122" s="189"/>
      <c r="BA122" s="188">
        <f ca="1">SUMIFS(rec.uni[2030-12-01],
INDIRECT("rec.uni[natureza]"),"taxa.extra",
INDIRECT("rec.uni[empresa]"),BA$6)</f>
        <v>0</v>
      </c>
      <c r="BB122" s="190"/>
      <c r="BC122" s="190" cm="1">
        <f t="array" ref="BC12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D122" s="190" cm="1">
        <f t="array" ref="BD12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E122" s="190" cm="1">
        <f t="array" ref="BE12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F122" s="190" cm="1">
        <f t="array" ref="BF12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G122" s="190" cm="1">
        <f t="array" ref="BG12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(desp[data.pagamento]&gt;=$A122)*
    (desp[data.pagamento]&lt;EOMONTH($A122,0)+1)
  )
)</f>
        <v>0</v>
      </c>
      <c r="BH122" s="187">
        <f>COUNTIFS(
    estq[empresa], BH$6,
    estq[Data da venda / reserva], "&gt;=" &amp; $A122,
    estq[Data da venda / reserva], "&lt;"  &amp; EOMONTH($A122,0) + 1
)</f>
        <v>0</v>
      </c>
      <c r="BI122" s="188">
        <f ca="1">SUMIFS(rec.uni[2030-12-01],
INDIRECT("rec.uni[natureza]"),"pro.soluto",
INDIRECT("rec.uni[empresa]"),BI$6)</f>
        <v>0</v>
      </c>
      <c r="BJ122" s="189">
        <f ca="1">SUMIFS(rec.uni[2030-12-01],
INDIRECT("rec.uni[natureza]"),"parcela.fin.total.ik",
INDIRECT("rec.uni[empresa]"),BJ$6)</f>
        <v>0</v>
      </c>
      <c r="BK122" s="188">
        <f ca="1">SUMIFS(rec.uni[2030-12-01],
INDIRECT("rec.uni[natureza]"),"taxa.extra",
INDIRECT("rec.uni[empresa]"),BK$6)</f>
        <v>0</v>
      </c>
      <c r="BL122" s="190"/>
      <c r="BM122" s="190" cm="1">
        <f t="array" ref="BM122">_xlfn.LET(
  _xlpm.centros, IFERROR(_xlfn._xlws.FILTER(ik_viab[Centros de negócio do Ik], ik_viab[Categoria na viabilidade]=BM$7),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N122" s="190" cm="1">
        <f t="array" ref="BN122">_xlfn.LET(
  _xlpm.centros, IFERROR(_xlfn._xlws.FILTER(ik_viab[Centros de negócio do Ik], ik_viab[Categoria na viabilidade]=BN$7),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O122" s="190" cm="1">
        <f t="array" ref="BO12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P122" s="190" cm="1">
        <f t="array" ref="BP12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Q122" s="190" cm="1">
        <f t="array" ref="BQ12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(desp[data.pagamento]&gt;=$A122)*
    (desp[data.pagamento]&lt;EOMONTH($A122,0)+1)
  )
)</f>
        <v>0</v>
      </c>
      <c r="BR122" s="187">
        <f>COUNTIFS(
    estq[empresa], BR$6,
    estq[Data da venda / reserva], "&gt;=" &amp; $A122,
    estq[Data da venda / reserva], "&lt;"  &amp; EOMONTH($A122,0) + 1
)</f>
        <v>0</v>
      </c>
      <c r="BS122" s="188">
        <f ca="1">SUMIFS(rec.uni[2030-12-01],
INDIRECT("rec.uni[natureza]"),"pro.soluto",
INDIRECT("rec.uni[empresa]"),BS$6)</f>
        <v>0</v>
      </c>
      <c r="BT122" s="189">
        <f ca="1">SUMIFS(rec.uni[2030-12-01],
INDIRECT("rec.uni[natureza]"),"parcela.fin.total.ik",
INDIRECT("rec.uni[empresa]"),BT$6)</f>
        <v>0</v>
      </c>
      <c r="BU122" s="188">
        <f ca="1">SUMIFS(rec.uni[2030-12-01],
INDIRECT("rec.uni[natureza]"),"taxa.extra",
INDIRECT("rec.uni[empresa]"),BU$6)</f>
        <v>0</v>
      </c>
      <c r="BV122" s="190"/>
      <c r="BW122" s="190" cm="1">
        <f t="array" ref="BW122">_xlfn.LET(
  _xlpm.centros, IFERROR(_xlfn._xlws.FILTER(ik_viab[Centros de negócio do Ik], ik_viab[Categoria na viabilidade]=BW$7),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BX122" s="190" cm="1">
        <f t="array" ref="BX122">_xlfn.LET(
  _xlpm.centros, IFERROR(_xlfn._xlws.FILTER(ik_viab[Centros de negócio do Ik], ik_viab[Categoria na viabilidade]=BX$7),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BY122" s="190" cm="1">
        <f t="array" ref="BY122">_xlfn.LET(
  _xlpm.centros, IFERROR(_xlfn._xlws.FILTER(ik_viab[Centros de negócio do Ik], ik_viab[Categoria na viabilidade]=BY$7),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BZ122" s="190" cm="1">
        <f t="array" ref="BZ122">_xlfn.LET(
  _xlpm.centros, IFERROR(_xlfn._xlws.FILTER(ik_viab[Centros de negócio do Ik], ik_viab[Categoria na viabilidade]=BZ$7),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CA122" s="190" cm="1">
        <f t="array" ref="CA12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SAUDE")*
    (_xlpm.pertence&gt;0)*
    (desp[data.pagamento]&gt;=$A122)*
    (desp[data.pagamento]&lt;EOMONTH($A122,0)+1)
  )
)</f>
        <v>0</v>
      </c>
      <c r="CB122" s="187">
        <f>COUNTIFS(
    estq[empresa], CB$6,
    estq[Data da venda / reserva], "&gt;=" &amp; $A122,
    estq[Data da venda / reserva], "&lt;"  &amp; EOMONTH($A122,0) + 1
)</f>
        <v>0</v>
      </c>
      <c r="CC122" s="188">
        <f ca="1">SUMIFS(rec.uni[2030-12-01],
INDIRECT("rec.uni[natureza]"),"pro.soluto",
INDIRECT("rec.uni[empresa]"),CC$6)</f>
        <v>0</v>
      </c>
      <c r="CD122" s="188">
        <f ca="1">SUMIFS(rec.uni[2030-12-01],
INDIRECT("rec.uni[natureza]"),"repasse.cef.obra",
INDIRECT("rec.uni[empresa]"),CD$6)</f>
        <v>0</v>
      </c>
      <c r="CE122" s="191">
        <f ca="1">SUMIFS(rec.uni[2030-12-01],
INDIRECT("rec.uni[natureza]"),"repasse.cef.terreno",
INDIRECT("rec.uni[empresa]"),CE$6)</f>
        <v>0</v>
      </c>
      <c r="CF122" s="189"/>
      <c r="CG122" s="188">
        <f ca="1">SUMIFS(rec.uni[2030-12-01],
INDIRECT("rec.uni[natureza]"),"taxa.extra",
INDIRECT("rec.uni[empresa]"),CG$6)</f>
        <v>0</v>
      </c>
      <c r="CH122" s="190"/>
      <c r="CI122" s="190" cm="1">
        <f t="array" ref="CI122">_xlfn.LET(
  _xlpm.centros, IFERROR(_xlfn._xlws.FILTER(ik_viab[Centros de negócio do Ik], ik_viab[Categoria na viabilidade]=CI$7),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J122" s="190" cm="1">
        <f t="array" ref="CJ122">_xlfn.LET(
  _xlpm.centros, IFERROR(_xlfn._xlws.FILTER(ik_viab[Centros de negócio do Ik], ik_viab[Categoria na viabilidade]=CJ$7),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K122" s="190" cm="1">
        <f t="array" ref="CK122">_xlfn.LET(
  _xlpm.centros, IFERROR(_xlfn._xlws.FILTER(ik_viab[Centros de negócio do Ik], ik_viab[Categoria na viabilidade]=CK$7),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L122" s="190" cm="1">
        <f t="array" ref="CL122">_xlfn.LET(
  _xlpm.centros, IFERROR(_xlfn._xlws.FILTER(ik_viab[Centros de negócio do Ik], ik_viab[Categoria na viabilidade]=CL$7),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M122" s="190" cm="1">
        <f t="array" ref="CM122">_xlfn.LET(
  _xlpm.centros, IFERROR(_xlfn._xlws.FILTER(ik_viab[Centros de negócio do Ik], ik_viab[Categoria na viabilidade]=CM$7),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(desp[data.pagamento]&gt;=$A122)*
    (desp[data.pagamento]&lt;EOMONTH($A122,0)+1)
  )
)</f>
        <v>0</v>
      </c>
      <c r="CN122" s="187">
        <f>COUNTIFS(
    estq[empresa], CN$6,
    estq[Data da venda / reserva], "&gt;=" &amp; $A122,
    estq[Data da venda / reserva], "&lt;"  &amp; EOMONTH($A122,0) + 1
)</f>
        <v>0</v>
      </c>
      <c r="CO122" s="188">
        <f ca="1">SUMIFS(rec.uni[2030-12-01],
INDIRECT("rec.uni[natureza]"),"pro.soluto",
INDIRECT("rec.uni[empresa]"),CO$6)</f>
        <v>0</v>
      </c>
      <c r="CP122" s="188">
        <f ca="1">SUMIFS(rec.uni[2030-12-01],
INDIRECT("rec.uni[natureza]"),"repasse.cef.obra",
INDIRECT("rec.uni[empresa]"),CP$6)</f>
        <v>0</v>
      </c>
      <c r="CQ122" s="191">
        <f ca="1">SUMIFS(rec.uni[2030-12-01],
INDIRECT("rec.uni[natureza]"),"repasse.cef.terreno",
INDIRECT("rec.uni[empresa]"),CQ$6)</f>
        <v>0</v>
      </c>
      <c r="CR122" s="189"/>
      <c r="CS122" s="188">
        <f ca="1">SUMIFS(rec.uni[2030-12-01],
INDIRECT("rec.uni[natureza]"),"taxa.extra",
INDIRECT("rec.uni[empresa]"),CS$6)</f>
        <v>0</v>
      </c>
      <c r="CT122" s="190"/>
      <c r="CU122" s="190" cm="1">
        <f t="array" ref="CU122">_xlfn.LET(
  _xlpm.centros, IFERROR(_xlfn._xlws.FILTER(ik_viab[Centros de negócio do Ik], ik_viab[Categoria na viabilidade]=CU$7),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  <c r="CV122" s="190" cm="1">
        <f t="array" ref="CV122">_xlfn.LET(
  _xlpm.centros, IFERROR(_xlfn._xlws.FILTER(ik_viab[Centros de negócio do Ik], ik_viab[Categoria na viabilidade]=CV$7),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  <c r="CW122" s="190" cm="1">
        <f t="array" ref="CW122">_xlfn.LET(
  _xlpm.centros, IFERROR(_xlfn._xlws.FILTER(ik_viab[Centros de negócio do Ik], ik_viab[Categoria na viabilidade]=CW$7),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  <c r="CX122" s="190" cm="1">
        <f t="array" ref="CX122">_xlfn.LET(
  _xlpm.centros, IFERROR(_xlfn._xlws.FILTER(ik_viab[Centros de negócio do Ik], ik_viab[Categoria na viabilidade]=CX$7),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  <c r="CY122" s="296" cm="1">
        <f t="array" ref="CY122">_xlfn.LET(
  _xlpm.centros, IFERROR(_xlfn._xlws.FILTER(ik_viab[Centros de negócio do Ik], ik_viab[Categoria na viabilidade]=CY$7),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(desp[data.pagamento]&gt;=$A122)*
    (desp[data.pagamento]&lt;EOMONTH($A122,0)+1)
  )
)</f>
        <v>0</v>
      </c>
    </row>
  </sheetData>
  <conditionalFormatting sqref="A11:CY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workbookViewId="0"/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12">
        <v>2301149</v>
      </c>
      <c r="H2" s="9"/>
      <c r="I2" s="7" t="s">
        <v>7</v>
      </c>
      <c r="J2" s="10"/>
      <c r="K2" s="112">
        <v>1567849</v>
      </c>
      <c r="O2" s="9"/>
      <c r="P2" s="7" t="s">
        <v>7</v>
      </c>
      <c r="Q2" s="10"/>
      <c r="R2" s="112">
        <v>5448793</v>
      </c>
      <c r="V2" s="9"/>
      <c r="W2" s="7" t="s">
        <v>7</v>
      </c>
      <c r="X2" s="10"/>
      <c r="Y2" s="112">
        <v>30073218</v>
      </c>
      <c r="Z2" s="9"/>
      <c r="AA2" s="7" t="s">
        <v>7</v>
      </c>
      <c r="AB2" s="10"/>
      <c r="AC2" s="112">
        <v>420000</v>
      </c>
      <c r="AE2" s="9"/>
      <c r="AF2" s="7" t="s">
        <v>7</v>
      </c>
      <c r="AG2" s="10"/>
      <c r="AH2" s="112">
        <v>2222876</v>
      </c>
      <c r="AL2" s="9"/>
      <c r="AM2" s="7" t="s">
        <v>7</v>
      </c>
      <c r="AN2" s="10"/>
      <c r="AO2" s="112">
        <v>35524021</v>
      </c>
      <c r="AP2" s="9"/>
    </row>
    <row r="3" spans="1:42" ht="15.75" x14ac:dyDescent="0.25">
      <c r="B3" s="11" t="s">
        <v>8</v>
      </c>
      <c r="C3" s="12"/>
      <c r="D3" s="113">
        <v>12</v>
      </c>
      <c r="H3" s="9"/>
      <c r="I3" s="11" t="s">
        <v>8</v>
      </c>
      <c r="J3" s="13"/>
      <c r="K3" s="113">
        <v>6</v>
      </c>
      <c r="O3" s="9"/>
      <c r="P3" s="11" t="s">
        <v>8</v>
      </c>
      <c r="Q3" s="13"/>
      <c r="R3" s="113">
        <v>13</v>
      </c>
      <c r="V3" s="9"/>
      <c r="W3" s="11" t="s">
        <v>8</v>
      </c>
      <c r="X3" s="13"/>
      <c r="Y3" s="113">
        <v>93</v>
      </c>
      <c r="Z3" s="9"/>
      <c r="AA3" s="11" t="s">
        <v>8</v>
      </c>
      <c r="AB3" s="13"/>
      <c r="AC3" s="113">
        <v>1</v>
      </c>
      <c r="AE3" s="9"/>
      <c r="AF3" s="11" t="s">
        <v>8</v>
      </c>
      <c r="AG3" s="13"/>
      <c r="AH3" s="113">
        <v>7</v>
      </c>
      <c r="AL3" s="9"/>
      <c r="AM3" s="11" t="s">
        <v>8</v>
      </c>
      <c r="AN3" s="13"/>
      <c r="AO3" s="113">
        <v>107</v>
      </c>
      <c r="AP3" s="9"/>
    </row>
    <row r="4" spans="1:42" ht="15.75" x14ac:dyDescent="0.25">
      <c r="B4" s="7" t="s">
        <v>9</v>
      </c>
      <c r="C4" s="8"/>
      <c r="D4" s="114"/>
      <c r="H4" s="9"/>
      <c r="I4" s="7" t="s">
        <v>9</v>
      </c>
      <c r="J4" s="10"/>
      <c r="K4" s="114"/>
      <c r="O4" s="9"/>
      <c r="P4" s="7" t="s">
        <v>9</v>
      </c>
      <c r="Q4" s="10"/>
      <c r="R4" s="114"/>
      <c r="V4" s="9"/>
      <c r="W4" s="7" t="s">
        <v>9</v>
      </c>
      <c r="X4" s="10"/>
      <c r="Y4" s="114"/>
      <c r="Z4" s="9"/>
      <c r="AA4" s="14"/>
      <c r="AE4" s="9"/>
      <c r="AF4" s="7" t="s">
        <v>9</v>
      </c>
      <c r="AG4" s="10"/>
      <c r="AH4" s="114"/>
      <c r="AL4" s="9"/>
      <c r="AM4" s="7" t="s">
        <v>9</v>
      </c>
      <c r="AN4" s="10"/>
      <c r="AO4" s="114"/>
      <c r="AP4" s="9"/>
    </row>
    <row r="5" spans="1:42" ht="15.75" x14ac:dyDescent="0.25">
      <c r="B5" s="15" t="s">
        <v>10</v>
      </c>
      <c r="C5" s="16"/>
      <c r="D5" s="115"/>
      <c r="H5" s="17"/>
      <c r="I5" s="15" t="s">
        <v>10</v>
      </c>
      <c r="J5" s="18"/>
      <c r="K5" s="115"/>
      <c r="O5" s="17"/>
      <c r="P5" s="15" t="s">
        <v>10</v>
      </c>
      <c r="Q5" s="18"/>
      <c r="R5" s="115"/>
      <c r="V5" s="17"/>
      <c r="W5" s="15" t="s">
        <v>10</v>
      </c>
      <c r="X5" s="18"/>
      <c r="Y5" s="115"/>
      <c r="Z5" s="17"/>
      <c r="AA5" s="19"/>
      <c r="AB5" s="20"/>
      <c r="AE5" s="17"/>
      <c r="AF5" s="15" t="s">
        <v>10</v>
      </c>
      <c r="AG5" s="18"/>
      <c r="AH5" s="115"/>
      <c r="AL5" s="17"/>
      <c r="AM5" s="15" t="s">
        <v>10</v>
      </c>
      <c r="AN5" s="18"/>
      <c r="AO5" s="115"/>
      <c r="AP5" s="17"/>
    </row>
    <row r="6" spans="1:42" ht="15.75" x14ac:dyDescent="0.25">
      <c r="A6" s="21" t="s">
        <v>11</v>
      </c>
      <c r="B6" s="22" t="s">
        <v>12</v>
      </c>
      <c r="C6" s="23" t="s">
        <v>12</v>
      </c>
      <c r="D6" s="23" t="s">
        <v>12</v>
      </c>
      <c r="E6" s="23" t="s">
        <v>12</v>
      </c>
      <c r="F6" s="24" t="s">
        <v>12</v>
      </c>
      <c r="G6" s="23" t="s">
        <v>12</v>
      </c>
      <c r="H6" s="25" t="s">
        <v>12</v>
      </c>
      <c r="I6" s="22" t="s">
        <v>13</v>
      </c>
      <c r="J6" s="23" t="s">
        <v>13</v>
      </c>
      <c r="K6" s="23" t="s">
        <v>13</v>
      </c>
      <c r="L6" s="23" t="s">
        <v>13</v>
      </c>
      <c r="M6" s="23" t="s">
        <v>13</v>
      </c>
      <c r="N6" s="23" t="s">
        <v>13</v>
      </c>
      <c r="O6" s="25" t="s">
        <v>13</v>
      </c>
      <c r="P6" s="22" t="s">
        <v>14</v>
      </c>
      <c r="Q6" s="23" t="s">
        <v>14</v>
      </c>
      <c r="R6" s="23" t="s">
        <v>14</v>
      </c>
      <c r="S6" s="23" t="s">
        <v>14</v>
      </c>
      <c r="T6" s="23" t="s">
        <v>14</v>
      </c>
      <c r="U6" s="23" t="s">
        <v>14</v>
      </c>
      <c r="V6" s="25" t="s">
        <v>14</v>
      </c>
      <c r="W6" s="22" t="s">
        <v>15</v>
      </c>
      <c r="X6" s="23" t="s">
        <v>15</v>
      </c>
      <c r="Y6" s="23" t="s">
        <v>15</v>
      </c>
      <c r="Z6" s="25" t="s">
        <v>15</v>
      </c>
      <c r="AA6" s="22" t="s">
        <v>16</v>
      </c>
      <c r="AB6" s="23" t="s">
        <v>16</v>
      </c>
      <c r="AC6" s="23" t="s">
        <v>16</v>
      </c>
      <c r="AD6" s="23" t="s">
        <v>16</v>
      </c>
      <c r="AE6" s="25" t="s">
        <v>16</v>
      </c>
      <c r="AF6" s="22" t="s">
        <v>17</v>
      </c>
      <c r="AG6" s="23" t="s">
        <v>17</v>
      </c>
      <c r="AH6" s="23" t="s">
        <v>17</v>
      </c>
      <c r="AI6" s="23" t="s">
        <v>17</v>
      </c>
      <c r="AJ6" s="23" t="s">
        <v>17</v>
      </c>
      <c r="AK6" s="23" t="s">
        <v>17</v>
      </c>
      <c r="AL6" s="25" t="s">
        <v>17</v>
      </c>
      <c r="AM6" s="22" t="s">
        <v>18</v>
      </c>
      <c r="AN6" s="23" t="s">
        <v>18</v>
      </c>
      <c r="AO6" s="23" t="s">
        <v>18</v>
      </c>
      <c r="AP6" s="25" t="s">
        <v>18</v>
      </c>
    </row>
    <row r="7" spans="1:42" ht="30" x14ac:dyDescent="0.25">
      <c r="A7" s="21" t="s">
        <v>19</v>
      </c>
      <c r="B7" s="26" t="s">
        <v>20</v>
      </c>
      <c r="C7" s="27" t="s">
        <v>21</v>
      </c>
      <c r="D7" s="27" t="s">
        <v>22</v>
      </c>
      <c r="E7" s="27" t="s">
        <v>23</v>
      </c>
      <c r="F7" s="28" t="s">
        <v>24</v>
      </c>
      <c r="G7" s="27" t="s">
        <v>25</v>
      </c>
      <c r="H7" s="29" t="s">
        <v>26</v>
      </c>
      <c r="I7" s="26" t="s">
        <v>20</v>
      </c>
      <c r="J7" s="27" t="s">
        <v>21</v>
      </c>
      <c r="K7" s="27" t="s">
        <v>22</v>
      </c>
      <c r="L7" s="27" t="s">
        <v>23</v>
      </c>
      <c r="M7" s="28" t="s">
        <v>24</v>
      </c>
      <c r="N7" s="27" t="s">
        <v>25</v>
      </c>
      <c r="O7" s="29" t="s">
        <v>26</v>
      </c>
      <c r="P7" s="26" t="s">
        <v>20</v>
      </c>
      <c r="Q7" s="27" t="s">
        <v>21</v>
      </c>
      <c r="R7" s="27" t="s">
        <v>22</v>
      </c>
      <c r="S7" s="27" t="s">
        <v>23</v>
      </c>
      <c r="T7" s="28" t="s">
        <v>24</v>
      </c>
      <c r="U7" s="27" t="s">
        <v>25</v>
      </c>
      <c r="V7" s="29" t="s">
        <v>26</v>
      </c>
      <c r="W7" s="26" t="s">
        <v>20</v>
      </c>
      <c r="X7" s="27" t="s">
        <v>21</v>
      </c>
      <c r="Y7" s="27" t="s">
        <v>25</v>
      </c>
      <c r="Z7" s="29" t="s">
        <v>26</v>
      </c>
      <c r="AA7" s="26" t="s">
        <v>20</v>
      </c>
      <c r="AB7" s="27" t="s">
        <v>21</v>
      </c>
      <c r="AC7" s="27" t="s">
        <v>27</v>
      </c>
      <c r="AD7" s="27" t="s">
        <v>25</v>
      </c>
      <c r="AE7" s="29" t="s">
        <v>26</v>
      </c>
      <c r="AF7" s="26" t="s">
        <v>20</v>
      </c>
      <c r="AG7" s="27" t="s">
        <v>21</v>
      </c>
      <c r="AH7" s="27" t="s">
        <v>22</v>
      </c>
      <c r="AI7" s="27" t="s">
        <v>23</v>
      </c>
      <c r="AJ7" s="28" t="s">
        <v>24</v>
      </c>
      <c r="AK7" s="27" t="s">
        <v>25</v>
      </c>
      <c r="AL7" s="29" t="s">
        <v>26</v>
      </c>
      <c r="AM7" s="26" t="s">
        <v>20</v>
      </c>
      <c r="AN7" s="27" t="s">
        <v>21</v>
      </c>
      <c r="AO7" s="27" t="s">
        <v>25</v>
      </c>
      <c r="AP7" s="29" t="s">
        <v>26</v>
      </c>
    </row>
    <row r="8" spans="1:42" ht="15.75" x14ac:dyDescent="0.25">
      <c r="A8" s="30" t="s">
        <v>28</v>
      </c>
      <c r="B8" s="31">
        <f t="shared" ref="B8:AP8" si="0">SUMIF($A$11:$A$122,"&lt;="&amp;$A$1,B$11:B$122)</f>
        <v>84</v>
      </c>
      <c r="C8" s="32">
        <f t="shared" si="0"/>
        <v>5441368</v>
      </c>
      <c r="D8" s="32">
        <f t="shared" si="0"/>
        <v>10969791</v>
      </c>
      <c r="E8" s="32">
        <f t="shared" si="0"/>
        <v>2076560</v>
      </c>
      <c r="F8" s="33">
        <f t="shared" si="0"/>
        <v>0</v>
      </c>
      <c r="G8" s="32">
        <f t="shared" si="0"/>
        <v>0</v>
      </c>
      <c r="H8" s="34">
        <f t="shared" si="0"/>
        <v>0</v>
      </c>
      <c r="I8" s="31">
        <f t="shared" si="0"/>
        <v>151</v>
      </c>
      <c r="J8" s="32">
        <f t="shared" si="0"/>
        <v>17547728</v>
      </c>
      <c r="K8" s="32">
        <f t="shared" si="0"/>
        <v>18611890</v>
      </c>
      <c r="L8" s="32">
        <f t="shared" si="0"/>
        <v>3812440</v>
      </c>
      <c r="M8" s="33">
        <f t="shared" si="0"/>
        <v>0</v>
      </c>
      <c r="N8" s="32">
        <f t="shared" si="0"/>
        <v>0</v>
      </c>
      <c r="O8" s="34">
        <f t="shared" si="0"/>
        <v>0</v>
      </c>
      <c r="P8" s="31">
        <f>SUMIF($A$11:$A$122,"&lt;="&amp;$A$1,P$11:P$122)</f>
        <v>128</v>
      </c>
      <c r="Q8" s="32">
        <f t="shared" si="0"/>
        <v>8224551</v>
      </c>
      <c r="R8" s="32">
        <f t="shared" si="0"/>
        <v>4747377</v>
      </c>
      <c r="S8" s="32">
        <f t="shared" si="0"/>
        <v>4683225</v>
      </c>
      <c r="T8" s="33">
        <f t="shared" si="0"/>
        <v>0</v>
      </c>
      <c r="U8" s="32">
        <f t="shared" si="0"/>
        <v>0</v>
      </c>
      <c r="V8" s="34">
        <f t="shared" si="0"/>
        <v>0</v>
      </c>
      <c r="W8" s="31">
        <f t="shared" ref="W8:AM8" si="1">SUMIF($A$11:$A$122,"&lt;="&amp;$A$1,W$11:W$122)</f>
        <v>121</v>
      </c>
      <c r="X8" s="32">
        <f t="shared" si="0"/>
        <v>1155519</v>
      </c>
      <c r="Y8" s="32">
        <f t="shared" si="0"/>
        <v>0</v>
      </c>
      <c r="Z8" s="34">
        <f t="shared" si="0"/>
        <v>0</v>
      </c>
      <c r="AA8" s="31">
        <f t="shared" si="1"/>
        <v>55</v>
      </c>
      <c r="AB8" s="32">
        <f t="shared" si="0"/>
        <v>8478046</v>
      </c>
      <c r="AC8" s="35" t="s">
        <v>44</v>
      </c>
      <c r="AD8" s="32">
        <f t="shared" si="0"/>
        <v>0</v>
      </c>
      <c r="AE8" s="34">
        <f t="shared" si="0"/>
        <v>0</v>
      </c>
      <c r="AF8" s="31">
        <f t="shared" si="1"/>
        <v>190</v>
      </c>
      <c r="AG8" s="32">
        <f t="shared" si="0"/>
        <v>11982013.73</v>
      </c>
      <c r="AH8" s="32">
        <f t="shared" si="0"/>
        <v>6607255</v>
      </c>
      <c r="AI8" s="32">
        <f t="shared" si="0"/>
        <v>6328879</v>
      </c>
      <c r="AJ8" s="33">
        <f t="shared" si="0"/>
        <v>0</v>
      </c>
      <c r="AK8" s="32">
        <f t="shared" si="0"/>
        <v>0</v>
      </c>
      <c r="AL8" s="34">
        <f t="shared" si="0"/>
        <v>0</v>
      </c>
      <c r="AM8" s="31">
        <f t="shared" si="1"/>
        <v>270</v>
      </c>
      <c r="AN8" s="32">
        <f t="shared" si="0"/>
        <v>4070583</v>
      </c>
      <c r="AO8" s="32">
        <f t="shared" si="0"/>
        <v>0</v>
      </c>
      <c r="AP8" s="34">
        <f t="shared" si="0"/>
        <v>0</v>
      </c>
    </row>
    <row r="9" spans="1:42" ht="15.75" x14ac:dyDescent="0.25">
      <c r="A9" s="30" t="s">
        <v>29</v>
      </c>
      <c r="B9" s="31">
        <f>B$10-B$8</f>
        <v>-84</v>
      </c>
      <c r="C9" s="32">
        <f>SUMIF($A$11:$A$122,"&gt;"&amp;$A$1,C$11:C$122)</f>
        <v>2532963</v>
      </c>
      <c r="D9" s="109">
        <f t="shared" ref="D9:H9" si="2">SUMIF($A$11:$A$122,"&gt;"&amp;$A$1,D$11:D$122)</f>
        <v>2411486</v>
      </c>
      <c r="E9" s="109">
        <f t="shared" si="2"/>
        <v>163842</v>
      </c>
      <c r="F9" s="110">
        <f t="shared" si="2"/>
        <v>0</v>
      </c>
      <c r="G9" s="32">
        <f t="shared" si="2"/>
        <v>0</v>
      </c>
      <c r="H9" s="111">
        <f t="shared" si="2"/>
        <v>0</v>
      </c>
      <c r="I9" s="31">
        <f>I$10-I$8</f>
        <v>-151</v>
      </c>
      <c r="J9" s="32">
        <f t="shared" ref="J9:AP9" si="3">SUMIF($A$11:$A$122,"&gt;"&amp;$A$1,J$11:J$122)</f>
        <v>42900</v>
      </c>
      <c r="K9" s="109">
        <f t="shared" si="3"/>
        <v>0</v>
      </c>
      <c r="L9" s="109">
        <f t="shared" si="3"/>
        <v>0</v>
      </c>
      <c r="M9" s="110">
        <f t="shared" si="3"/>
        <v>0</v>
      </c>
      <c r="N9" s="32">
        <f t="shared" si="3"/>
        <v>0</v>
      </c>
      <c r="O9" s="111">
        <f t="shared" si="3"/>
        <v>0</v>
      </c>
      <c r="P9" s="31">
        <f>P$10-P$8</f>
        <v>-128</v>
      </c>
      <c r="Q9" s="32">
        <f t="shared" si="3"/>
        <v>6883519</v>
      </c>
      <c r="R9" s="109">
        <f t="shared" si="3"/>
        <v>17101428</v>
      </c>
      <c r="S9" s="109">
        <f t="shared" si="3"/>
        <v>148936</v>
      </c>
      <c r="T9" s="110">
        <f t="shared" si="3"/>
        <v>0</v>
      </c>
      <c r="U9" s="32">
        <f t="shared" si="3"/>
        <v>0</v>
      </c>
      <c r="V9" s="111">
        <f t="shared" si="3"/>
        <v>0</v>
      </c>
      <c r="W9" s="31">
        <f>W$10-W$8</f>
        <v>-121</v>
      </c>
      <c r="X9" s="32">
        <f t="shared" si="3"/>
        <v>5494622</v>
      </c>
      <c r="Y9" s="32">
        <f t="shared" si="3"/>
        <v>0</v>
      </c>
      <c r="Z9" s="111">
        <f t="shared" si="3"/>
        <v>0</v>
      </c>
      <c r="AA9" s="31">
        <f>AA$10-AA$8</f>
        <v>-55</v>
      </c>
      <c r="AB9" s="32">
        <f t="shared" si="3"/>
        <v>3542427</v>
      </c>
      <c r="AC9" s="109">
        <f>SUMIF($A$11:$A$122,"&gt;"&amp;$A$1,AC$11:AC$122)</f>
        <v>13476430</v>
      </c>
      <c r="AD9" s="32">
        <f t="shared" si="3"/>
        <v>0</v>
      </c>
      <c r="AE9" s="111">
        <f t="shared" si="3"/>
        <v>0</v>
      </c>
      <c r="AF9" s="31">
        <f>AF$10-AF$8</f>
        <v>-190</v>
      </c>
      <c r="AG9" s="32">
        <f t="shared" si="3"/>
        <v>6927535</v>
      </c>
      <c r="AH9" s="109">
        <f t="shared" si="3"/>
        <v>25947554</v>
      </c>
      <c r="AI9" s="109">
        <f t="shared" si="3"/>
        <v>369231</v>
      </c>
      <c r="AJ9" s="110">
        <f t="shared" si="3"/>
        <v>0</v>
      </c>
      <c r="AK9" s="32">
        <f t="shared" si="3"/>
        <v>0</v>
      </c>
      <c r="AL9" s="111">
        <f t="shared" si="3"/>
        <v>0</v>
      </c>
      <c r="AM9" s="31">
        <f>AM$10-AM$8</f>
        <v>-270</v>
      </c>
      <c r="AN9" s="32">
        <f t="shared" si="3"/>
        <v>14956888</v>
      </c>
      <c r="AO9" s="32">
        <f t="shared" si="3"/>
        <v>0</v>
      </c>
      <c r="AP9" s="111">
        <f t="shared" si="3"/>
        <v>0</v>
      </c>
    </row>
    <row r="10" spans="1:42" ht="15.75" x14ac:dyDescent="0.25">
      <c r="A10" s="36" t="s">
        <v>30</v>
      </c>
      <c r="B10" s="101">
        <f>status.unis!H4</f>
        <v>0</v>
      </c>
      <c r="C10" s="37">
        <f t="shared" ref="C10:H10" si="4">SUM(C8:C9)</f>
        <v>7974331</v>
      </c>
      <c r="D10" s="37">
        <f t="shared" si="4"/>
        <v>13381277</v>
      </c>
      <c r="E10" s="37">
        <f t="shared" si="4"/>
        <v>2240402</v>
      </c>
      <c r="F10" s="38">
        <f t="shared" si="4"/>
        <v>0</v>
      </c>
      <c r="G10" s="37">
        <f t="shared" si="4"/>
        <v>0</v>
      </c>
      <c r="H10" s="39">
        <f t="shared" si="4"/>
        <v>0</v>
      </c>
      <c r="I10" s="101">
        <f>status.unis!H8</f>
        <v>0</v>
      </c>
      <c r="J10" s="37">
        <f t="shared" ref="J10:O10" si="5">SUM(J8:J9)</f>
        <v>17590628</v>
      </c>
      <c r="K10" s="37">
        <f t="shared" si="5"/>
        <v>18611890</v>
      </c>
      <c r="L10" s="37">
        <f t="shared" si="5"/>
        <v>3812440</v>
      </c>
      <c r="M10" s="38">
        <f t="shared" si="5"/>
        <v>0</v>
      </c>
      <c r="N10" s="37">
        <f t="shared" si="5"/>
        <v>0</v>
      </c>
      <c r="O10" s="39">
        <f t="shared" si="5"/>
        <v>0</v>
      </c>
      <c r="P10" s="101">
        <f>status.unis!H16</f>
        <v>0</v>
      </c>
      <c r="Q10" s="37">
        <f t="shared" ref="Q10:V10" si="6">SUM(Q8:Q9)</f>
        <v>15108070</v>
      </c>
      <c r="R10" s="37">
        <f t="shared" si="6"/>
        <v>21848805</v>
      </c>
      <c r="S10" s="37">
        <f t="shared" si="6"/>
        <v>4832161</v>
      </c>
      <c r="T10" s="38">
        <f t="shared" si="6"/>
        <v>0</v>
      </c>
      <c r="U10" s="37">
        <f t="shared" si="6"/>
        <v>0</v>
      </c>
      <c r="V10" s="39">
        <f t="shared" si="6"/>
        <v>0</v>
      </c>
      <c r="W10" s="101">
        <f>status.unis!H20</f>
        <v>0</v>
      </c>
      <c r="X10" s="37">
        <f>SUM(X8:X9)</f>
        <v>6650141</v>
      </c>
      <c r="Y10" s="37">
        <f>SUM(Y8:Y9)</f>
        <v>0</v>
      </c>
      <c r="Z10" s="39">
        <f>SUM(Z8:Z9)</f>
        <v>0</v>
      </c>
      <c r="AA10" s="101">
        <f>status.unis!H24</f>
        <v>0</v>
      </c>
      <c r="AB10" s="37">
        <f>SUM(AB8:AB9)</f>
        <v>12020473</v>
      </c>
      <c r="AC10" s="37">
        <f>SUM(AC8:AC9)</f>
        <v>13476430</v>
      </c>
      <c r="AD10" s="37">
        <f>SUM(AD8:AD9)</f>
        <v>0</v>
      </c>
      <c r="AE10" s="39">
        <f>SUM(AE8:AE9)</f>
        <v>0</v>
      </c>
      <c r="AF10" s="101">
        <f>status.unis!H32</f>
        <v>0</v>
      </c>
      <c r="AG10" s="37">
        <f t="shared" ref="AG10:AL10" si="7">SUM(AG8:AG9)</f>
        <v>18909548.73</v>
      </c>
      <c r="AH10" s="37">
        <f t="shared" si="7"/>
        <v>32554809</v>
      </c>
      <c r="AI10" s="37">
        <f t="shared" si="7"/>
        <v>6698110</v>
      </c>
      <c r="AJ10" s="38">
        <f t="shared" si="7"/>
        <v>0</v>
      </c>
      <c r="AK10" s="37">
        <f t="shared" si="7"/>
        <v>0</v>
      </c>
      <c r="AL10" s="39">
        <f t="shared" si="7"/>
        <v>0</v>
      </c>
      <c r="AM10" s="101">
        <f>status.unis!H36</f>
        <v>0</v>
      </c>
      <c r="AN10" s="37">
        <f>SUM(AN8:AN9)</f>
        <v>19027471</v>
      </c>
      <c r="AO10" s="37">
        <f>SUM(AO8:AO9)</f>
        <v>0</v>
      </c>
      <c r="AP10" s="39">
        <f>SUM(AP8:AP9)</f>
        <v>0</v>
      </c>
    </row>
    <row r="11" spans="1:42" x14ac:dyDescent="0.25">
      <c r="A11" s="40">
        <v>44440</v>
      </c>
      <c r="B11" s="101"/>
      <c r="C11" s="102"/>
      <c r="D11" s="102"/>
      <c r="E11" s="102"/>
      <c r="F11" s="102"/>
      <c r="G11" s="102"/>
      <c r="H11" s="103"/>
      <c r="I11" s="101"/>
      <c r="J11" s="102"/>
      <c r="K11" s="102"/>
      <c r="L11" s="102"/>
      <c r="M11" s="102"/>
      <c r="N11" s="102"/>
      <c r="O11" s="103"/>
      <c r="P11" s="101"/>
      <c r="Q11" s="102"/>
      <c r="R11" s="102"/>
      <c r="S11" s="102"/>
      <c r="T11" s="102"/>
      <c r="U11" s="102"/>
      <c r="V11" s="103"/>
      <c r="W11" s="101"/>
      <c r="X11" s="102"/>
      <c r="Y11" s="102"/>
      <c r="Z11" s="103"/>
      <c r="AA11" s="101"/>
      <c r="AB11" s="102"/>
      <c r="AC11" s="102"/>
      <c r="AD11" s="102"/>
      <c r="AE11" s="103"/>
      <c r="AF11" s="101"/>
      <c r="AG11" s="102"/>
      <c r="AH11" s="102"/>
      <c r="AI11" s="102"/>
      <c r="AJ11" s="102"/>
      <c r="AK11" s="102"/>
      <c r="AL11" s="103"/>
      <c r="AM11" s="101"/>
      <c r="AN11" s="102"/>
      <c r="AO11" s="102"/>
      <c r="AP11" s="103"/>
    </row>
    <row r="12" spans="1:42" x14ac:dyDescent="0.25">
      <c r="A12" s="40">
        <v>44470</v>
      </c>
      <c r="B12" s="101"/>
      <c r="C12" s="102"/>
      <c r="D12" s="102"/>
      <c r="E12" s="102"/>
      <c r="F12" s="102"/>
      <c r="G12" s="102"/>
      <c r="H12" s="103"/>
      <c r="I12" s="101"/>
      <c r="J12" s="102"/>
      <c r="K12" s="102"/>
      <c r="L12" s="102"/>
      <c r="M12" s="102"/>
      <c r="N12" s="102"/>
      <c r="O12" s="103"/>
      <c r="P12" s="101"/>
      <c r="Q12" s="102"/>
      <c r="R12" s="102"/>
      <c r="S12" s="102"/>
      <c r="T12" s="102"/>
      <c r="U12" s="102"/>
      <c r="V12" s="103"/>
      <c r="W12" s="101"/>
      <c r="X12" s="102"/>
      <c r="Y12" s="102"/>
      <c r="Z12" s="103"/>
      <c r="AA12" s="101"/>
      <c r="AB12" s="102"/>
      <c r="AC12" s="102"/>
      <c r="AD12" s="102"/>
      <c r="AE12" s="103"/>
      <c r="AF12" s="101"/>
      <c r="AG12" s="102"/>
      <c r="AH12" s="102"/>
      <c r="AI12" s="102"/>
      <c r="AJ12" s="102"/>
      <c r="AK12" s="102"/>
      <c r="AL12" s="103"/>
      <c r="AM12" s="101"/>
      <c r="AN12" s="102"/>
      <c r="AO12" s="102"/>
      <c r="AP12" s="103"/>
    </row>
    <row r="13" spans="1:42" x14ac:dyDescent="0.25">
      <c r="A13" s="40">
        <v>44501</v>
      </c>
      <c r="B13" s="101"/>
      <c r="C13" s="102"/>
      <c r="D13" s="102"/>
      <c r="E13" s="102"/>
      <c r="F13" s="102"/>
      <c r="G13" s="102"/>
      <c r="H13" s="103"/>
      <c r="I13" s="101"/>
      <c r="J13" s="102"/>
      <c r="K13" s="102"/>
      <c r="L13" s="102"/>
      <c r="M13" s="102"/>
      <c r="N13" s="102"/>
      <c r="O13" s="103"/>
      <c r="P13" s="101"/>
      <c r="Q13" s="102"/>
      <c r="R13" s="102"/>
      <c r="S13" s="102"/>
      <c r="T13" s="102"/>
      <c r="U13" s="102"/>
      <c r="V13" s="103"/>
      <c r="W13" s="101"/>
      <c r="X13" s="102"/>
      <c r="Y13" s="102"/>
      <c r="Z13" s="103"/>
      <c r="AA13" s="101"/>
      <c r="AB13" s="102"/>
      <c r="AC13" s="102"/>
      <c r="AD13" s="102"/>
      <c r="AE13" s="103"/>
      <c r="AF13" s="101"/>
      <c r="AG13" s="102"/>
      <c r="AH13" s="102"/>
      <c r="AI13" s="102"/>
      <c r="AJ13" s="102"/>
      <c r="AK13" s="102"/>
      <c r="AL13" s="103"/>
      <c r="AM13" s="101"/>
      <c r="AN13" s="102"/>
      <c r="AO13" s="102"/>
      <c r="AP13" s="103"/>
    </row>
    <row r="14" spans="1:42" x14ac:dyDescent="0.25">
      <c r="A14" s="40">
        <v>44531</v>
      </c>
      <c r="B14" s="101"/>
      <c r="C14" s="102"/>
      <c r="D14" s="102"/>
      <c r="E14" s="102"/>
      <c r="F14" s="102"/>
      <c r="G14" s="102"/>
      <c r="H14" s="103"/>
      <c r="I14" s="101"/>
      <c r="J14" s="102"/>
      <c r="K14" s="102"/>
      <c r="L14" s="102"/>
      <c r="M14" s="102"/>
      <c r="N14" s="102"/>
      <c r="O14" s="103"/>
      <c r="P14" s="101"/>
      <c r="Q14" s="102"/>
      <c r="R14" s="102"/>
      <c r="S14" s="102"/>
      <c r="T14" s="102"/>
      <c r="U14" s="102"/>
      <c r="V14" s="103"/>
      <c r="W14" s="101"/>
      <c r="X14" s="102"/>
      <c r="Y14" s="102"/>
      <c r="Z14" s="103"/>
      <c r="AA14" s="101"/>
      <c r="AB14" s="102"/>
      <c r="AC14" s="102"/>
      <c r="AD14" s="102"/>
      <c r="AE14" s="103"/>
      <c r="AF14" s="101"/>
      <c r="AG14" s="102"/>
      <c r="AH14" s="102"/>
      <c r="AI14" s="102"/>
      <c r="AJ14" s="102"/>
      <c r="AK14" s="102"/>
      <c r="AL14" s="103"/>
      <c r="AM14" s="101"/>
      <c r="AN14" s="102"/>
      <c r="AO14" s="102"/>
      <c r="AP14" s="103"/>
    </row>
    <row r="15" spans="1:42" x14ac:dyDescent="0.25">
      <c r="A15" s="40">
        <v>44562</v>
      </c>
      <c r="B15" s="101"/>
      <c r="C15" s="102"/>
      <c r="D15" s="102"/>
      <c r="E15" s="102"/>
      <c r="F15" s="102"/>
      <c r="G15" s="102"/>
      <c r="H15" s="103"/>
      <c r="I15" s="101">
        <v>17</v>
      </c>
      <c r="J15" s="102">
        <v>1297500</v>
      </c>
      <c r="K15" s="102"/>
      <c r="L15" s="102"/>
      <c r="M15" s="102"/>
      <c r="N15" s="102"/>
      <c r="O15" s="103"/>
      <c r="P15" s="101"/>
      <c r="Q15" s="102"/>
      <c r="R15" s="102"/>
      <c r="S15" s="102"/>
      <c r="T15" s="102"/>
      <c r="U15" s="102"/>
      <c r="V15" s="103"/>
      <c r="W15" s="101"/>
      <c r="X15" s="102"/>
      <c r="Y15" s="102"/>
      <c r="Z15" s="103"/>
      <c r="AA15" s="101"/>
      <c r="AB15" s="102"/>
      <c r="AC15" s="102"/>
      <c r="AD15" s="102"/>
      <c r="AE15" s="103"/>
      <c r="AF15" s="101"/>
      <c r="AG15" s="102"/>
      <c r="AH15" s="102"/>
      <c r="AI15" s="102"/>
      <c r="AJ15" s="102"/>
      <c r="AK15" s="102"/>
      <c r="AL15" s="103"/>
      <c r="AM15" s="101"/>
      <c r="AN15" s="102"/>
      <c r="AO15" s="102"/>
      <c r="AP15" s="103"/>
    </row>
    <row r="16" spans="1:42" x14ac:dyDescent="0.25">
      <c r="A16" s="40">
        <v>44593</v>
      </c>
      <c r="B16" s="101"/>
      <c r="C16" s="102"/>
      <c r="D16" s="102"/>
      <c r="E16" s="102"/>
      <c r="F16" s="102"/>
      <c r="G16" s="102"/>
      <c r="H16" s="103"/>
      <c r="I16" s="101" t="s">
        <v>45</v>
      </c>
      <c r="J16" s="102">
        <v>547500</v>
      </c>
      <c r="K16" s="102"/>
      <c r="L16" s="102"/>
      <c r="M16" s="102"/>
      <c r="N16" s="102"/>
      <c r="O16" s="103"/>
      <c r="P16" s="101"/>
      <c r="Q16" s="102"/>
      <c r="R16" s="102"/>
      <c r="S16" s="102"/>
      <c r="T16" s="102"/>
      <c r="U16" s="102"/>
      <c r="V16" s="103"/>
      <c r="W16" s="101"/>
      <c r="X16" s="102"/>
      <c r="Y16" s="102"/>
      <c r="Z16" s="103"/>
      <c r="AA16" s="101"/>
      <c r="AB16" s="102"/>
      <c r="AC16" s="102"/>
      <c r="AD16" s="102"/>
      <c r="AE16" s="103"/>
      <c r="AF16" s="101"/>
      <c r="AG16" s="102"/>
      <c r="AH16" s="102"/>
      <c r="AI16" s="102"/>
      <c r="AJ16" s="102"/>
      <c r="AK16" s="102"/>
      <c r="AL16" s="103"/>
      <c r="AM16" s="101"/>
      <c r="AN16" s="102"/>
      <c r="AO16" s="102"/>
      <c r="AP16" s="103"/>
    </row>
    <row r="17" spans="1:42" x14ac:dyDescent="0.25">
      <c r="A17" s="40">
        <v>44621</v>
      </c>
      <c r="B17" s="101"/>
      <c r="C17" s="102"/>
      <c r="D17" s="102"/>
      <c r="E17" s="102"/>
      <c r="F17" s="102"/>
      <c r="G17" s="102"/>
      <c r="H17" s="103"/>
      <c r="I17" s="101">
        <v>34</v>
      </c>
      <c r="J17" s="102">
        <v>445979</v>
      </c>
      <c r="K17" s="102"/>
      <c r="L17" s="102"/>
      <c r="M17" s="102"/>
      <c r="N17" s="102"/>
      <c r="O17" s="103"/>
      <c r="P17" s="101"/>
      <c r="Q17" s="102"/>
      <c r="R17" s="102"/>
      <c r="S17" s="102"/>
      <c r="T17" s="102"/>
      <c r="U17" s="102"/>
      <c r="V17" s="103"/>
      <c r="W17" s="101"/>
      <c r="X17" s="102"/>
      <c r="Y17" s="102"/>
      <c r="Z17" s="103"/>
      <c r="AA17" s="101"/>
      <c r="AB17" s="102"/>
      <c r="AC17" s="102"/>
      <c r="AD17" s="102"/>
      <c r="AE17" s="103"/>
      <c r="AF17" s="101"/>
      <c r="AG17" s="102"/>
      <c r="AH17" s="102"/>
      <c r="AI17" s="102"/>
      <c r="AJ17" s="102"/>
      <c r="AK17" s="102"/>
      <c r="AL17" s="103"/>
      <c r="AM17" s="101"/>
      <c r="AN17" s="102"/>
      <c r="AO17" s="102"/>
      <c r="AP17" s="103"/>
    </row>
    <row r="18" spans="1:42" x14ac:dyDescent="0.25">
      <c r="A18" s="40">
        <v>44652</v>
      </c>
      <c r="B18" s="101"/>
      <c r="C18" s="102"/>
      <c r="D18" s="102"/>
      <c r="E18" s="102"/>
      <c r="F18" s="102"/>
      <c r="G18" s="102"/>
      <c r="H18" s="103"/>
      <c r="I18" s="101">
        <v>17</v>
      </c>
      <c r="J18" s="102">
        <v>1071608</v>
      </c>
      <c r="K18" s="102"/>
      <c r="L18" s="102"/>
      <c r="M18" s="102"/>
      <c r="N18" s="102"/>
      <c r="O18" s="103"/>
      <c r="P18" s="101"/>
      <c r="Q18" s="102"/>
      <c r="R18" s="102"/>
      <c r="S18" s="102"/>
      <c r="T18" s="102"/>
      <c r="U18" s="102"/>
      <c r="V18" s="103"/>
      <c r="W18" s="101"/>
      <c r="X18" s="102"/>
      <c r="Y18" s="102"/>
      <c r="Z18" s="103"/>
      <c r="AA18" s="101"/>
      <c r="AB18" s="102"/>
      <c r="AC18" s="102"/>
      <c r="AD18" s="102"/>
      <c r="AE18" s="103"/>
      <c r="AF18" s="101"/>
      <c r="AG18" s="102"/>
      <c r="AH18" s="102"/>
      <c r="AI18" s="102"/>
      <c r="AJ18" s="102"/>
      <c r="AK18" s="102"/>
      <c r="AL18" s="103"/>
      <c r="AM18" s="101"/>
      <c r="AN18" s="102"/>
      <c r="AO18" s="102"/>
      <c r="AP18" s="103"/>
    </row>
    <row r="19" spans="1:42" x14ac:dyDescent="0.25">
      <c r="A19" s="40">
        <v>44682</v>
      </c>
      <c r="B19" s="101"/>
      <c r="C19" s="102"/>
      <c r="D19" s="102"/>
      <c r="E19" s="102"/>
      <c r="F19" s="102"/>
      <c r="G19" s="102"/>
      <c r="H19" s="103"/>
      <c r="I19" s="101">
        <v>23</v>
      </c>
      <c r="J19" s="102">
        <v>162495</v>
      </c>
      <c r="K19" s="102"/>
      <c r="L19" s="102"/>
      <c r="M19" s="102"/>
      <c r="N19" s="102"/>
      <c r="O19" s="103"/>
      <c r="P19" s="101"/>
      <c r="Q19" s="102"/>
      <c r="R19" s="102"/>
      <c r="S19" s="102"/>
      <c r="T19" s="102"/>
      <c r="U19" s="102"/>
      <c r="V19" s="103"/>
      <c r="W19" s="101"/>
      <c r="X19" s="102"/>
      <c r="Y19" s="102"/>
      <c r="Z19" s="103"/>
      <c r="AA19" s="101"/>
      <c r="AB19" s="102"/>
      <c r="AC19" s="102"/>
      <c r="AD19" s="102"/>
      <c r="AE19" s="103"/>
      <c r="AF19" s="101"/>
      <c r="AG19" s="102"/>
      <c r="AH19" s="102"/>
      <c r="AI19" s="102"/>
      <c r="AJ19" s="102"/>
      <c r="AK19" s="102"/>
      <c r="AL19" s="103"/>
      <c r="AM19" s="101"/>
      <c r="AN19" s="102"/>
      <c r="AO19" s="102"/>
      <c r="AP19" s="103"/>
    </row>
    <row r="20" spans="1:42" x14ac:dyDescent="0.25">
      <c r="A20" s="40">
        <v>44713</v>
      </c>
      <c r="B20" s="101"/>
      <c r="C20" s="102"/>
      <c r="D20" s="102"/>
      <c r="E20" s="102"/>
      <c r="F20" s="102"/>
      <c r="G20" s="102"/>
      <c r="H20" s="103"/>
      <c r="I20" s="101">
        <v>10</v>
      </c>
      <c r="J20" s="102">
        <v>48360</v>
      </c>
      <c r="K20" s="102"/>
      <c r="L20" s="102"/>
      <c r="M20" s="102"/>
      <c r="N20" s="102"/>
      <c r="O20" s="103"/>
      <c r="P20" s="101"/>
      <c r="Q20" s="102"/>
      <c r="R20" s="102"/>
      <c r="S20" s="102"/>
      <c r="T20" s="102"/>
      <c r="U20" s="102"/>
      <c r="V20" s="103"/>
      <c r="W20" s="101"/>
      <c r="X20" s="102"/>
      <c r="Y20" s="102"/>
      <c r="Z20" s="103"/>
      <c r="AA20" s="101"/>
      <c r="AB20" s="102"/>
      <c r="AC20" s="102"/>
      <c r="AD20" s="102"/>
      <c r="AE20" s="103"/>
      <c r="AF20" s="101"/>
      <c r="AG20" s="102"/>
      <c r="AH20" s="102"/>
      <c r="AI20" s="102"/>
      <c r="AJ20" s="102"/>
      <c r="AK20" s="102"/>
      <c r="AL20" s="103"/>
      <c r="AM20" s="101"/>
      <c r="AN20" s="102"/>
      <c r="AO20" s="102"/>
      <c r="AP20" s="103"/>
    </row>
    <row r="21" spans="1:42" x14ac:dyDescent="0.25">
      <c r="A21" s="40">
        <v>44743</v>
      </c>
      <c r="B21" s="101"/>
      <c r="C21" s="102"/>
      <c r="D21" s="102"/>
      <c r="E21" s="102"/>
      <c r="F21" s="102"/>
      <c r="G21" s="102"/>
      <c r="H21" s="103"/>
      <c r="I21" s="101">
        <v>10</v>
      </c>
      <c r="J21" s="102">
        <v>285668</v>
      </c>
      <c r="K21" s="102"/>
      <c r="L21" s="102"/>
      <c r="M21" s="102"/>
      <c r="N21" s="102"/>
      <c r="O21" s="103"/>
      <c r="P21" s="101"/>
      <c r="Q21" s="102"/>
      <c r="R21" s="102"/>
      <c r="S21" s="102"/>
      <c r="T21" s="102"/>
      <c r="U21" s="102"/>
      <c r="V21" s="103"/>
      <c r="W21" s="101"/>
      <c r="X21" s="102"/>
      <c r="Y21" s="102"/>
      <c r="Z21" s="103"/>
      <c r="AA21" s="101"/>
      <c r="AB21" s="102"/>
      <c r="AC21" s="102"/>
      <c r="AD21" s="102"/>
      <c r="AE21" s="103"/>
      <c r="AF21" s="101"/>
      <c r="AG21" s="102"/>
      <c r="AH21" s="102"/>
      <c r="AI21" s="102"/>
      <c r="AJ21" s="102"/>
      <c r="AK21" s="102"/>
      <c r="AL21" s="103"/>
      <c r="AM21" s="101"/>
      <c r="AN21" s="102"/>
      <c r="AO21" s="102"/>
      <c r="AP21" s="103"/>
    </row>
    <row r="22" spans="1:42" x14ac:dyDescent="0.25">
      <c r="A22" s="40">
        <v>44774</v>
      </c>
      <c r="B22" s="101"/>
      <c r="C22" s="102"/>
      <c r="D22" s="102"/>
      <c r="E22" s="102"/>
      <c r="F22" s="102"/>
      <c r="G22" s="102"/>
      <c r="H22" s="103"/>
      <c r="I22" s="101">
        <v>10</v>
      </c>
      <c r="J22" s="102">
        <v>762659</v>
      </c>
      <c r="K22" s="102"/>
      <c r="L22" s="102"/>
      <c r="M22" s="102"/>
      <c r="N22" s="102"/>
      <c r="O22" s="103"/>
      <c r="P22" s="101"/>
      <c r="Q22" s="102"/>
      <c r="R22" s="102"/>
      <c r="S22" s="102"/>
      <c r="T22" s="102"/>
      <c r="U22" s="102"/>
      <c r="V22" s="103"/>
      <c r="W22" s="101"/>
      <c r="X22" s="102"/>
      <c r="Y22" s="102"/>
      <c r="Z22" s="103"/>
      <c r="AA22" s="101"/>
      <c r="AB22" s="102"/>
      <c r="AC22" s="102"/>
      <c r="AD22" s="102"/>
      <c r="AE22" s="103"/>
      <c r="AF22" s="101"/>
      <c r="AG22" s="102"/>
      <c r="AH22" s="102"/>
      <c r="AI22" s="102"/>
      <c r="AJ22" s="102"/>
      <c r="AK22" s="102"/>
      <c r="AL22" s="103"/>
      <c r="AM22" s="101"/>
      <c r="AN22" s="102"/>
      <c r="AO22" s="102"/>
      <c r="AP22" s="103"/>
    </row>
    <row r="23" spans="1:42" x14ac:dyDescent="0.25">
      <c r="A23" s="40">
        <v>44805</v>
      </c>
      <c r="B23" s="101"/>
      <c r="C23" s="102"/>
      <c r="D23" s="102"/>
      <c r="E23" s="102"/>
      <c r="F23" s="102"/>
      <c r="G23" s="102"/>
      <c r="H23" s="103"/>
      <c r="I23" s="101">
        <v>6</v>
      </c>
      <c r="J23" s="102">
        <v>82249</v>
      </c>
      <c r="K23" s="102"/>
      <c r="L23" s="102"/>
      <c r="M23" s="102"/>
      <c r="N23" s="102"/>
      <c r="O23" s="103"/>
      <c r="P23" s="101"/>
      <c r="Q23" s="102"/>
      <c r="R23" s="102"/>
      <c r="S23" s="102"/>
      <c r="T23" s="102"/>
      <c r="U23" s="102"/>
      <c r="V23" s="103"/>
      <c r="W23" s="101"/>
      <c r="X23" s="102"/>
      <c r="Y23" s="102"/>
      <c r="Z23" s="103"/>
      <c r="AA23" s="101"/>
      <c r="AB23" s="102"/>
      <c r="AC23" s="102"/>
      <c r="AD23" s="102"/>
      <c r="AE23" s="103"/>
      <c r="AF23" s="101"/>
      <c r="AG23" s="102"/>
      <c r="AH23" s="102"/>
      <c r="AI23" s="102"/>
      <c r="AJ23" s="102"/>
      <c r="AK23" s="102"/>
      <c r="AL23" s="103"/>
      <c r="AM23" s="101"/>
      <c r="AN23" s="102"/>
      <c r="AO23" s="102"/>
      <c r="AP23" s="103"/>
    </row>
    <row r="24" spans="1:42" x14ac:dyDescent="0.25">
      <c r="A24" s="40">
        <v>44835</v>
      </c>
      <c r="B24" s="101"/>
      <c r="C24" s="102"/>
      <c r="D24" s="102"/>
      <c r="E24" s="102"/>
      <c r="F24" s="102"/>
      <c r="G24" s="102"/>
      <c r="H24" s="103"/>
      <c r="I24" s="101">
        <v>3</v>
      </c>
      <c r="J24" s="102">
        <v>99316</v>
      </c>
      <c r="K24" s="102"/>
      <c r="L24" s="102"/>
      <c r="M24" s="102"/>
      <c r="N24" s="102"/>
      <c r="O24" s="103"/>
      <c r="P24" s="101"/>
      <c r="Q24" s="102"/>
      <c r="R24" s="102"/>
      <c r="S24" s="102"/>
      <c r="T24" s="102"/>
      <c r="U24" s="102"/>
      <c r="V24" s="103"/>
      <c r="W24" s="101"/>
      <c r="X24" s="102"/>
      <c r="Y24" s="102"/>
      <c r="Z24" s="103"/>
      <c r="AA24" s="101"/>
      <c r="AB24" s="102"/>
      <c r="AC24" s="102"/>
      <c r="AD24" s="102"/>
      <c r="AE24" s="103"/>
      <c r="AF24" s="101"/>
      <c r="AG24" s="102"/>
      <c r="AH24" s="102"/>
      <c r="AI24" s="102"/>
      <c r="AJ24" s="102"/>
      <c r="AK24" s="102"/>
      <c r="AL24" s="103"/>
      <c r="AM24" s="101"/>
      <c r="AN24" s="102"/>
      <c r="AO24" s="102"/>
      <c r="AP24" s="103"/>
    </row>
    <row r="25" spans="1:42" x14ac:dyDescent="0.25">
      <c r="A25" s="40">
        <v>44866</v>
      </c>
      <c r="B25" s="101"/>
      <c r="C25" s="102"/>
      <c r="D25" s="102"/>
      <c r="E25" s="102"/>
      <c r="F25" s="102"/>
      <c r="G25" s="102"/>
      <c r="H25" s="103"/>
      <c r="I25" s="101">
        <v>5</v>
      </c>
      <c r="J25" s="102">
        <v>158293</v>
      </c>
      <c r="K25" s="102"/>
      <c r="L25" s="102"/>
      <c r="M25" s="102"/>
      <c r="N25" s="102"/>
      <c r="O25" s="103"/>
      <c r="P25" s="101"/>
      <c r="Q25" s="102"/>
      <c r="R25" s="102"/>
      <c r="S25" s="102"/>
      <c r="T25" s="102"/>
      <c r="U25" s="102"/>
      <c r="V25" s="103"/>
      <c r="W25" s="101"/>
      <c r="X25" s="102"/>
      <c r="Y25" s="102"/>
      <c r="Z25" s="103"/>
      <c r="AA25" s="101"/>
      <c r="AB25" s="102"/>
      <c r="AC25" s="102"/>
      <c r="AD25" s="102"/>
      <c r="AE25" s="103"/>
      <c r="AF25" s="101"/>
      <c r="AG25" s="102"/>
      <c r="AH25" s="102"/>
      <c r="AI25" s="102"/>
      <c r="AJ25" s="102"/>
      <c r="AK25" s="102"/>
      <c r="AL25" s="103"/>
      <c r="AM25" s="101"/>
      <c r="AN25" s="102"/>
      <c r="AO25" s="102"/>
      <c r="AP25" s="103"/>
    </row>
    <row r="26" spans="1:42" x14ac:dyDescent="0.25">
      <c r="A26" s="40">
        <v>44896</v>
      </c>
      <c r="B26" s="101"/>
      <c r="C26" s="102"/>
      <c r="D26" s="102"/>
      <c r="E26" s="102"/>
      <c r="F26" s="102"/>
      <c r="G26" s="102"/>
      <c r="H26" s="103"/>
      <c r="I26" s="101">
        <v>2</v>
      </c>
      <c r="J26" s="102">
        <v>343398</v>
      </c>
      <c r="K26" s="102"/>
      <c r="L26" s="102"/>
      <c r="M26" s="102"/>
      <c r="N26" s="102"/>
      <c r="O26" s="103"/>
      <c r="P26" s="101"/>
      <c r="Q26" s="102"/>
      <c r="R26" s="102"/>
      <c r="S26" s="102"/>
      <c r="T26" s="102"/>
      <c r="U26" s="102"/>
      <c r="V26" s="103"/>
      <c r="W26" s="101"/>
      <c r="X26" s="102"/>
      <c r="Y26" s="102"/>
      <c r="Z26" s="103"/>
      <c r="AA26" s="101"/>
      <c r="AB26" s="102"/>
      <c r="AC26" s="102"/>
      <c r="AD26" s="102"/>
      <c r="AE26" s="103"/>
      <c r="AF26" s="101"/>
      <c r="AG26" s="102"/>
      <c r="AH26" s="102"/>
      <c r="AI26" s="102"/>
      <c r="AJ26" s="102"/>
      <c r="AK26" s="102"/>
      <c r="AL26" s="103"/>
      <c r="AM26" s="101"/>
      <c r="AN26" s="102"/>
      <c r="AO26" s="102"/>
      <c r="AP26" s="103"/>
    </row>
    <row r="27" spans="1:42" x14ac:dyDescent="0.25">
      <c r="A27" s="40">
        <v>44927</v>
      </c>
      <c r="B27" s="101"/>
      <c r="C27" s="102"/>
      <c r="D27" s="102"/>
      <c r="E27" s="102"/>
      <c r="F27" s="102"/>
      <c r="G27" s="102"/>
      <c r="H27" s="103"/>
      <c r="I27" s="101" t="s">
        <v>45</v>
      </c>
      <c r="J27" s="102">
        <v>194374</v>
      </c>
      <c r="K27" s="102"/>
      <c r="L27" s="102">
        <v>2375950</v>
      </c>
      <c r="M27" s="102"/>
      <c r="N27" s="102"/>
      <c r="O27" s="103"/>
      <c r="P27" s="101"/>
      <c r="Q27" s="102"/>
      <c r="R27" s="102"/>
      <c r="S27" s="102"/>
      <c r="T27" s="102"/>
      <c r="U27" s="102"/>
      <c r="V27" s="103"/>
      <c r="W27" s="101"/>
      <c r="X27" s="102"/>
      <c r="Y27" s="102"/>
      <c r="Z27" s="103"/>
      <c r="AA27" s="101"/>
      <c r="AB27" s="102"/>
      <c r="AC27" s="102"/>
      <c r="AD27" s="102"/>
      <c r="AE27" s="103"/>
      <c r="AF27" s="101"/>
      <c r="AG27" s="102"/>
      <c r="AH27" s="102"/>
      <c r="AI27" s="102"/>
      <c r="AJ27" s="102"/>
      <c r="AK27" s="102"/>
      <c r="AL27" s="103"/>
      <c r="AM27" s="101"/>
      <c r="AN27" s="102"/>
      <c r="AO27" s="102"/>
      <c r="AP27" s="103"/>
    </row>
    <row r="28" spans="1:42" x14ac:dyDescent="0.25">
      <c r="A28" s="40">
        <v>44958</v>
      </c>
      <c r="B28" s="101"/>
      <c r="C28" s="102"/>
      <c r="D28" s="102"/>
      <c r="E28" s="102"/>
      <c r="F28" s="102"/>
      <c r="G28" s="102"/>
      <c r="H28" s="103"/>
      <c r="I28" s="101">
        <v>1</v>
      </c>
      <c r="J28" s="102">
        <v>175007</v>
      </c>
      <c r="K28" s="102"/>
      <c r="L28" s="102">
        <v>63903</v>
      </c>
      <c r="M28" s="102"/>
      <c r="N28" s="102"/>
      <c r="O28" s="103"/>
      <c r="P28" s="101"/>
      <c r="Q28" s="102"/>
      <c r="R28" s="102"/>
      <c r="S28" s="102"/>
      <c r="T28" s="102"/>
      <c r="U28" s="102"/>
      <c r="V28" s="103"/>
      <c r="W28" s="101"/>
      <c r="X28" s="102"/>
      <c r="Y28" s="102"/>
      <c r="Z28" s="103"/>
      <c r="AA28" s="101"/>
      <c r="AB28" s="102"/>
      <c r="AC28" s="102"/>
      <c r="AD28" s="102"/>
      <c r="AE28" s="103"/>
      <c r="AF28" s="101"/>
      <c r="AG28" s="102"/>
      <c r="AH28" s="102"/>
      <c r="AI28" s="102"/>
      <c r="AJ28" s="102"/>
      <c r="AK28" s="102"/>
      <c r="AL28" s="103"/>
      <c r="AM28" s="101"/>
      <c r="AN28" s="102"/>
      <c r="AO28" s="102"/>
      <c r="AP28" s="103"/>
    </row>
    <row r="29" spans="1:42" x14ac:dyDescent="0.25">
      <c r="A29" s="40">
        <v>44986</v>
      </c>
      <c r="B29" s="101"/>
      <c r="C29" s="102"/>
      <c r="D29" s="102"/>
      <c r="E29" s="102"/>
      <c r="F29" s="102"/>
      <c r="G29" s="102"/>
      <c r="H29" s="103"/>
      <c r="I29" s="101">
        <v>3</v>
      </c>
      <c r="J29" s="102">
        <v>418097</v>
      </c>
      <c r="K29" s="102">
        <v>966522</v>
      </c>
      <c r="L29" s="102">
        <v>420493</v>
      </c>
      <c r="M29" s="102"/>
      <c r="N29" s="102"/>
      <c r="O29" s="103"/>
      <c r="P29" s="101"/>
      <c r="Q29" s="102"/>
      <c r="R29" s="102"/>
      <c r="S29" s="102"/>
      <c r="T29" s="102"/>
      <c r="U29" s="102"/>
      <c r="V29" s="103"/>
      <c r="W29" s="101"/>
      <c r="X29" s="102"/>
      <c r="Y29" s="102"/>
      <c r="Z29" s="103"/>
      <c r="AA29" s="101"/>
      <c r="AB29" s="102"/>
      <c r="AC29" s="102"/>
      <c r="AD29" s="102"/>
      <c r="AE29" s="103"/>
      <c r="AF29" s="101"/>
      <c r="AG29" s="102"/>
      <c r="AH29" s="102"/>
      <c r="AI29" s="102"/>
      <c r="AJ29" s="102"/>
      <c r="AK29" s="102"/>
      <c r="AL29" s="103"/>
      <c r="AM29" s="101"/>
      <c r="AN29" s="102"/>
      <c r="AO29" s="102"/>
      <c r="AP29" s="103"/>
    </row>
    <row r="30" spans="1:42" x14ac:dyDescent="0.25">
      <c r="A30" s="40">
        <v>45017</v>
      </c>
      <c r="B30" s="101">
        <v>5</v>
      </c>
      <c r="C30" s="102"/>
      <c r="D30" s="102"/>
      <c r="E30" s="102"/>
      <c r="F30" s="102"/>
      <c r="G30" s="102"/>
      <c r="H30" s="103"/>
      <c r="I30" s="101">
        <v>1</v>
      </c>
      <c r="J30" s="102">
        <v>143416</v>
      </c>
      <c r="K30" s="102" t="s">
        <v>45</v>
      </c>
      <c r="L30" s="102" t="s">
        <v>45</v>
      </c>
      <c r="M30" s="102"/>
      <c r="N30" s="102"/>
      <c r="O30" s="103"/>
      <c r="P30" s="101"/>
      <c r="Q30" s="102"/>
      <c r="R30" s="102"/>
      <c r="S30" s="102"/>
      <c r="T30" s="102"/>
      <c r="U30" s="102"/>
      <c r="V30" s="103"/>
      <c r="W30" s="101"/>
      <c r="X30" s="102"/>
      <c r="Y30" s="102"/>
      <c r="Z30" s="103"/>
      <c r="AA30" s="101"/>
      <c r="AB30" s="102"/>
      <c r="AC30" s="102"/>
      <c r="AD30" s="102"/>
      <c r="AE30" s="103"/>
      <c r="AF30" s="101"/>
      <c r="AG30" s="102"/>
      <c r="AH30" s="102"/>
      <c r="AI30" s="102"/>
      <c r="AJ30" s="102"/>
      <c r="AK30" s="102"/>
      <c r="AL30" s="103"/>
      <c r="AM30" s="101"/>
      <c r="AN30" s="102"/>
      <c r="AO30" s="102"/>
      <c r="AP30" s="103"/>
    </row>
    <row r="31" spans="1:42" x14ac:dyDescent="0.25">
      <c r="A31" s="40">
        <v>45047</v>
      </c>
      <c r="B31" s="101">
        <v>4</v>
      </c>
      <c r="C31" s="102"/>
      <c r="D31" s="102"/>
      <c r="E31" s="102"/>
      <c r="F31" s="102"/>
      <c r="G31" s="102"/>
      <c r="H31" s="103"/>
      <c r="I31" s="101">
        <v>2</v>
      </c>
      <c r="J31" s="102">
        <v>125617</v>
      </c>
      <c r="K31" s="102">
        <v>363997</v>
      </c>
      <c r="L31" s="102" t="s">
        <v>45</v>
      </c>
      <c r="M31" s="102"/>
      <c r="N31" s="102"/>
      <c r="O31" s="103"/>
      <c r="P31" s="101"/>
      <c r="Q31" s="102"/>
      <c r="R31" s="102"/>
      <c r="S31" s="102"/>
      <c r="T31" s="102"/>
      <c r="U31" s="102"/>
      <c r="V31" s="103"/>
      <c r="W31" s="101"/>
      <c r="X31" s="102"/>
      <c r="Y31" s="102"/>
      <c r="Z31" s="103"/>
      <c r="AA31" s="101">
        <v>10</v>
      </c>
      <c r="AB31" s="102">
        <v>499400</v>
      </c>
      <c r="AC31" s="102"/>
      <c r="AD31" s="102"/>
      <c r="AE31" s="103"/>
      <c r="AF31" s="101"/>
      <c r="AG31" s="102"/>
      <c r="AH31" s="102"/>
      <c r="AI31" s="102"/>
      <c r="AJ31" s="102"/>
      <c r="AK31" s="102"/>
      <c r="AL31" s="103"/>
      <c r="AM31" s="101"/>
      <c r="AN31" s="102"/>
      <c r="AO31" s="102"/>
      <c r="AP31" s="103"/>
    </row>
    <row r="32" spans="1:42" x14ac:dyDescent="0.25">
      <c r="A32" s="40">
        <v>45078</v>
      </c>
      <c r="B32" s="101">
        <v>6</v>
      </c>
      <c r="C32" s="102"/>
      <c r="D32" s="102"/>
      <c r="E32" s="102"/>
      <c r="F32" s="102"/>
      <c r="G32" s="102"/>
      <c r="H32" s="103"/>
      <c r="I32" s="101" t="s">
        <v>45</v>
      </c>
      <c r="J32" s="102">
        <v>198451</v>
      </c>
      <c r="K32" s="102">
        <v>100651</v>
      </c>
      <c r="L32" s="102" t="s">
        <v>45</v>
      </c>
      <c r="M32" s="102"/>
      <c r="N32" s="102"/>
      <c r="O32" s="103"/>
      <c r="P32" s="101"/>
      <c r="Q32" s="102"/>
      <c r="R32" s="102"/>
      <c r="S32" s="102"/>
      <c r="T32" s="102"/>
      <c r="U32" s="102"/>
      <c r="V32" s="103"/>
      <c r="W32" s="101"/>
      <c r="X32" s="102"/>
      <c r="Y32" s="102"/>
      <c r="Z32" s="103"/>
      <c r="AA32" s="101" t="s">
        <v>45</v>
      </c>
      <c r="AB32" s="102" t="s">
        <v>45</v>
      </c>
      <c r="AC32" s="102"/>
      <c r="AD32" s="102"/>
      <c r="AE32" s="103"/>
      <c r="AF32" s="101"/>
      <c r="AG32" s="102"/>
      <c r="AH32" s="102"/>
      <c r="AI32" s="102"/>
      <c r="AJ32" s="102"/>
      <c r="AK32" s="102"/>
      <c r="AL32" s="103"/>
      <c r="AM32" s="101"/>
      <c r="AN32" s="102"/>
      <c r="AO32" s="102"/>
      <c r="AP32" s="103"/>
    </row>
    <row r="33" spans="1:42" x14ac:dyDescent="0.25">
      <c r="A33" s="40">
        <v>45108</v>
      </c>
      <c r="B33" s="101">
        <v>2</v>
      </c>
      <c r="C33" s="102"/>
      <c r="D33" s="102"/>
      <c r="E33" s="102"/>
      <c r="F33" s="102"/>
      <c r="G33" s="102"/>
      <c r="H33" s="103"/>
      <c r="I33" s="101" t="s">
        <v>45</v>
      </c>
      <c r="J33" s="102">
        <v>145549</v>
      </c>
      <c r="K33" s="102">
        <v>298156</v>
      </c>
      <c r="L33" s="102">
        <v>186371</v>
      </c>
      <c r="M33" s="102"/>
      <c r="N33" s="102"/>
      <c r="O33" s="103"/>
      <c r="P33" s="101"/>
      <c r="Q33" s="102"/>
      <c r="R33" s="102"/>
      <c r="S33" s="102"/>
      <c r="T33" s="102"/>
      <c r="U33" s="102"/>
      <c r="V33" s="103"/>
      <c r="W33" s="101"/>
      <c r="X33" s="102"/>
      <c r="Y33" s="102"/>
      <c r="Z33" s="103"/>
      <c r="AA33" s="101" t="s">
        <v>45</v>
      </c>
      <c r="AB33" s="102">
        <v>5000</v>
      </c>
      <c r="AC33" s="102"/>
      <c r="AD33" s="102"/>
      <c r="AE33" s="103"/>
      <c r="AF33" s="101"/>
      <c r="AG33" s="102"/>
      <c r="AH33" s="102"/>
      <c r="AI33" s="102"/>
      <c r="AJ33" s="102"/>
      <c r="AK33" s="102"/>
      <c r="AL33" s="103"/>
      <c r="AM33" s="101"/>
      <c r="AN33" s="102"/>
      <c r="AO33" s="102"/>
      <c r="AP33" s="103"/>
    </row>
    <row r="34" spans="1:42" x14ac:dyDescent="0.25">
      <c r="A34" s="40">
        <v>45139</v>
      </c>
      <c r="B34" s="101">
        <v>31</v>
      </c>
      <c r="C34" s="102"/>
      <c r="D34" s="102"/>
      <c r="E34" s="102"/>
      <c r="F34" s="102"/>
      <c r="G34" s="102"/>
      <c r="H34" s="103"/>
      <c r="I34" s="101">
        <v>1</v>
      </c>
      <c r="J34" s="102">
        <v>243439</v>
      </c>
      <c r="K34" s="102">
        <v>390493</v>
      </c>
      <c r="L34" s="102" t="s">
        <v>45</v>
      </c>
      <c r="M34" s="102"/>
      <c r="N34" s="102"/>
      <c r="O34" s="103"/>
      <c r="P34" s="101"/>
      <c r="Q34" s="102"/>
      <c r="R34" s="102"/>
      <c r="S34" s="102"/>
      <c r="T34" s="102"/>
      <c r="U34" s="102"/>
      <c r="V34" s="103"/>
      <c r="W34" s="101"/>
      <c r="X34" s="102"/>
      <c r="Y34" s="102"/>
      <c r="Z34" s="103"/>
      <c r="AA34" s="101" t="s">
        <v>45</v>
      </c>
      <c r="AB34" s="102">
        <v>374675</v>
      </c>
      <c r="AC34" s="102"/>
      <c r="AD34" s="102"/>
      <c r="AE34" s="103"/>
      <c r="AF34" s="101"/>
      <c r="AG34" s="102">
        <v>150000</v>
      </c>
      <c r="AH34" s="102"/>
      <c r="AI34" s="102"/>
      <c r="AJ34" s="102"/>
      <c r="AK34" s="102"/>
      <c r="AL34" s="103"/>
      <c r="AM34" s="101"/>
      <c r="AN34" s="102"/>
      <c r="AO34" s="102"/>
      <c r="AP34" s="103"/>
    </row>
    <row r="35" spans="1:42" x14ac:dyDescent="0.25">
      <c r="A35" s="40">
        <v>45170</v>
      </c>
      <c r="B35" s="101">
        <v>2</v>
      </c>
      <c r="C35" s="102"/>
      <c r="D35" s="102"/>
      <c r="E35" s="102"/>
      <c r="F35" s="102"/>
      <c r="G35" s="102"/>
      <c r="H35" s="103"/>
      <c r="I35" s="101">
        <v>1</v>
      </c>
      <c r="J35" s="102">
        <v>184722</v>
      </c>
      <c r="K35" s="102">
        <v>589751</v>
      </c>
      <c r="L35" s="102">
        <v>72032</v>
      </c>
      <c r="M35" s="102"/>
      <c r="N35" s="102"/>
      <c r="O35" s="103"/>
      <c r="P35" s="101"/>
      <c r="Q35" s="102"/>
      <c r="R35" s="102"/>
      <c r="S35" s="102"/>
      <c r="T35" s="102"/>
      <c r="U35" s="102"/>
      <c r="V35" s="103"/>
      <c r="W35" s="101"/>
      <c r="X35" s="102"/>
      <c r="Y35" s="102"/>
      <c r="Z35" s="103"/>
      <c r="AA35" s="101" t="s">
        <v>45</v>
      </c>
      <c r="AB35" s="102">
        <v>1456250</v>
      </c>
      <c r="AC35" s="102"/>
      <c r="AD35" s="102"/>
      <c r="AE35" s="103"/>
      <c r="AF35" s="101"/>
      <c r="AG35" s="102" t="s">
        <v>45</v>
      </c>
      <c r="AH35" s="102"/>
      <c r="AI35" s="102"/>
      <c r="AJ35" s="102"/>
      <c r="AK35" s="102"/>
      <c r="AL35" s="103"/>
      <c r="AM35" s="101"/>
      <c r="AN35" s="102"/>
      <c r="AO35" s="102"/>
      <c r="AP35" s="103"/>
    </row>
    <row r="36" spans="1:42" x14ac:dyDescent="0.25">
      <c r="A36" s="40">
        <v>45200</v>
      </c>
      <c r="B36" s="101" t="s">
        <v>45</v>
      </c>
      <c r="C36" s="102"/>
      <c r="D36" s="102"/>
      <c r="E36" s="102">
        <v>967838</v>
      </c>
      <c r="F36" s="102"/>
      <c r="G36" s="102"/>
      <c r="H36" s="103"/>
      <c r="I36" s="101">
        <v>1</v>
      </c>
      <c r="J36" s="102">
        <v>226050</v>
      </c>
      <c r="K36" s="102">
        <v>837176</v>
      </c>
      <c r="L36" s="102" t="s">
        <v>45</v>
      </c>
      <c r="M36" s="102"/>
      <c r="N36" s="102"/>
      <c r="O36" s="103"/>
      <c r="P36" s="101"/>
      <c r="Q36" s="102"/>
      <c r="R36" s="102"/>
      <c r="S36" s="102"/>
      <c r="T36" s="102"/>
      <c r="U36" s="102"/>
      <c r="V36" s="103"/>
      <c r="W36" s="101"/>
      <c r="X36" s="102"/>
      <c r="Y36" s="102"/>
      <c r="Z36" s="103"/>
      <c r="AA36" s="101" t="s">
        <v>45</v>
      </c>
      <c r="AB36" s="102">
        <v>540500</v>
      </c>
      <c r="AC36" s="102"/>
      <c r="AD36" s="102"/>
      <c r="AE36" s="103"/>
      <c r="AF36" s="101"/>
      <c r="AG36" s="102" t="s">
        <v>45</v>
      </c>
      <c r="AH36" s="102"/>
      <c r="AI36" s="102"/>
      <c r="AJ36" s="102"/>
      <c r="AK36" s="102"/>
      <c r="AL36" s="103"/>
      <c r="AM36" s="101"/>
      <c r="AN36" s="102"/>
      <c r="AO36" s="102"/>
      <c r="AP36" s="103"/>
    </row>
    <row r="37" spans="1:42" x14ac:dyDescent="0.25">
      <c r="A37" s="40">
        <v>45231</v>
      </c>
      <c r="B37" s="101">
        <v>1</v>
      </c>
      <c r="C37" s="102"/>
      <c r="D37" s="102"/>
      <c r="E37" s="102" t="s">
        <v>45</v>
      </c>
      <c r="F37" s="102"/>
      <c r="G37" s="102"/>
      <c r="H37" s="103"/>
      <c r="I37" s="101">
        <v>1</v>
      </c>
      <c r="J37" s="102">
        <v>301352</v>
      </c>
      <c r="K37" s="102">
        <v>1061327</v>
      </c>
      <c r="L37" s="102">
        <v>41248</v>
      </c>
      <c r="M37" s="102"/>
      <c r="N37" s="102"/>
      <c r="O37" s="103"/>
      <c r="P37" s="101"/>
      <c r="Q37" s="102"/>
      <c r="R37" s="102"/>
      <c r="S37" s="102"/>
      <c r="T37" s="102"/>
      <c r="U37" s="102"/>
      <c r="V37" s="103"/>
      <c r="W37" s="101"/>
      <c r="X37" s="102"/>
      <c r="Y37" s="102"/>
      <c r="Z37" s="103"/>
      <c r="AA37" s="101" t="s">
        <v>45</v>
      </c>
      <c r="AB37" s="102">
        <v>1500</v>
      </c>
      <c r="AC37" s="102"/>
      <c r="AD37" s="102"/>
      <c r="AE37" s="103"/>
      <c r="AF37" s="101"/>
      <c r="AG37" s="102" t="s">
        <v>45</v>
      </c>
      <c r="AH37" s="102"/>
      <c r="AI37" s="102"/>
      <c r="AJ37" s="102"/>
      <c r="AK37" s="102"/>
      <c r="AL37" s="103"/>
      <c r="AM37" s="101"/>
      <c r="AN37" s="102"/>
      <c r="AO37" s="102"/>
      <c r="AP37" s="103"/>
    </row>
    <row r="38" spans="1:42" x14ac:dyDescent="0.25">
      <c r="A38" s="40">
        <v>45261</v>
      </c>
      <c r="B38" s="101">
        <v>1</v>
      </c>
      <c r="C38" s="102">
        <v>252528</v>
      </c>
      <c r="D38" s="102"/>
      <c r="E38" s="102" t="s">
        <v>45</v>
      </c>
      <c r="F38" s="102"/>
      <c r="G38" s="102"/>
      <c r="H38" s="103"/>
      <c r="I38" s="101" t="s">
        <v>45</v>
      </c>
      <c r="J38" s="102">
        <v>443264</v>
      </c>
      <c r="K38" s="102" t="s">
        <v>45</v>
      </c>
      <c r="L38" s="102" t="s">
        <v>45</v>
      </c>
      <c r="M38" s="102"/>
      <c r="N38" s="102"/>
      <c r="O38" s="103"/>
      <c r="P38" s="101"/>
      <c r="Q38" s="102"/>
      <c r="R38" s="102"/>
      <c r="S38" s="102"/>
      <c r="T38" s="102"/>
      <c r="U38" s="102"/>
      <c r="V38" s="103"/>
      <c r="W38" s="101"/>
      <c r="X38" s="102"/>
      <c r="Y38" s="102"/>
      <c r="Z38" s="103"/>
      <c r="AA38" s="101" t="s">
        <v>45</v>
      </c>
      <c r="AB38" s="102">
        <v>1500</v>
      </c>
      <c r="AC38" s="102"/>
      <c r="AD38" s="102"/>
      <c r="AE38" s="103"/>
      <c r="AF38" s="101">
        <v>64</v>
      </c>
      <c r="AG38" s="102">
        <v>173815.8</v>
      </c>
      <c r="AH38" s="102"/>
      <c r="AI38" s="102"/>
      <c r="AJ38" s="102"/>
      <c r="AK38" s="102"/>
      <c r="AL38" s="103"/>
      <c r="AM38" s="101"/>
      <c r="AN38" s="102"/>
      <c r="AO38" s="102"/>
      <c r="AP38" s="103"/>
    </row>
    <row r="39" spans="1:42" x14ac:dyDescent="0.25">
      <c r="A39" s="40">
        <v>45292</v>
      </c>
      <c r="B39" s="101">
        <v>4</v>
      </c>
      <c r="C39" s="102">
        <v>4343</v>
      </c>
      <c r="D39" s="102"/>
      <c r="E39" s="102">
        <v>209069</v>
      </c>
      <c r="F39" s="102"/>
      <c r="G39" s="102"/>
      <c r="H39" s="103"/>
      <c r="I39" s="101" t="s">
        <v>45</v>
      </c>
      <c r="J39" s="102">
        <v>1790508</v>
      </c>
      <c r="K39" s="102">
        <v>2095060</v>
      </c>
      <c r="L39" s="102">
        <v>179663</v>
      </c>
      <c r="M39" s="102"/>
      <c r="N39" s="102"/>
      <c r="O39" s="103"/>
      <c r="P39" s="101"/>
      <c r="Q39" s="102"/>
      <c r="R39" s="102"/>
      <c r="S39" s="102"/>
      <c r="T39" s="102"/>
      <c r="U39" s="102"/>
      <c r="V39" s="103"/>
      <c r="W39" s="101"/>
      <c r="X39" s="102"/>
      <c r="Y39" s="102"/>
      <c r="Z39" s="103"/>
      <c r="AA39" s="101" t="s">
        <v>45</v>
      </c>
      <c r="AB39" s="102" t="s">
        <v>45</v>
      </c>
      <c r="AC39" s="102"/>
      <c r="AD39" s="102"/>
      <c r="AE39" s="103"/>
      <c r="AF39" s="101">
        <v>29</v>
      </c>
      <c r="AG39" s="102">
        <v>510112.2</v>
      </c>
      <c r="AH39" s="102"/>
      <c r="AI39" s="102"/>
      <c r="AJ39" s="102"/>
      <c r="AK39" s="102"/>
      <c r="AL39" s="103"/>
      <c r="AM39" s="101"/>
      <c r="AN39" s="102"/>
      <c r="AO39" s="102"/>
      <c r="AP39" s="103"/>
    </row>
    <row r="40" spans="1:42" x14ac:dyDescent="0.25">
      <c r="A40" s="40">
        <v>45323</v>
      </c>
      <c r="B40" s="101" t="s">
        <v>45</v>
      </c>
      <c r="C40" s="102">
        <v>249066</v>
      </c>
      <c r="D40" s="102"/>
      <c r="E40" s="102" t="s">
        <v>45</v>
      </c>
      <c r="F40" s="102"/>
      <c r="G40" s="102"/>
      <c r="H40" s="103"/>
      <c r="I40" s="101" t="s">
        <v>45</v>
      </c>
      <c r="J40" s="102">
        <v>963116</v>
      </c>
      <c r="K40" s="102">
        <v>917624</v>
      </c>
      <c r="L40" s="102" t="s">
        <v>45</v>
      </c>
      <c r="M40" s="102"/>
      <c r="N40" s="102"/>
      <c r="O40" s="103"/>
      <c r="P40" s="101"/>
      <c r="Q40" s="102"/>
      <c r="R40" s="102"/>
      <c r="S40" s="102"/>
      <c r="T40" s="102"/>
      <c r="U40" s="102"/>
      <c r="V40" s="103"/>
      <c r="W40" s="101"/>
      <c r="X40" s="102"/>
      <c r="Y40" s="102"/>
      <c r="Z40" s="103"/>
      <c r="AA40" s="101" t="s">
        <v>45</v>
      </c>
      <c r="AB40" s="102" t="s">
        <v>45</v>
      </c>
      <c r="AC40" s="102"/>
      <c r="AD40" s="102"/>
      <c r="AE40" s="103"/>
      <c r="AF40" s="101">
        <v>18</v>
      </c>
      <c r="AG40" s="102">
        <v>427104.25</v>
      </c>
      <c r="AH40" s="102"/>
      <c r="AI40" s="102"/>
      <c r="AJ40" s="102"/>
      <c r="AK40" s="102"/>
      <c r="AL40" s="103"/>
      <c r="AM40" s="101"/>
      <c r="AN40" s="102"/>
      <c r="AO40" s="102"/>
      <c r="AP40" s="103"/>
    </row>
    <row r="41" spans="1:42" x14ac:dyDescent="0.25">
      <c r="A41" s="40">
        <v>45352</v>
      </c>
      <c r="B41" s="101" t="s">
        <v>45</v>
      </c>
      <c r="C41" s="102">
        <v>54720</v>
      </c>
      <c r="D41" s="102">
        <v>292376</v>
      </c>
      <c r="E41" s="102" t="s">
        <v>45</v>
      </c>
      <c r="F41" s="102"/>
      <c r="G41" s="102"/>
      <c r="H41" s="103"/>
      <c r="I41" s="101" t="s">
        <v>45</v>
      </c>
      <c r="J41" s="102">
        <v>700166</v>
      </c>
      <c r="K41" s="102">
        <v>589902</v>
      </c>
      <c r="L41" s="102" t="s">
        <v>45</v>
      </c>
      <c r="M41" s="102"/>
      <c r="N41" s="102"/>
      <c r="O41" s="103"/>
      <c r="P41" s="101"/>
      <c r="Q41" s="102"/>
      <c r="R41" s="102"/>
      <c r="S41" s="102"/>
      <c r="T41" s="102"/>
      <c r="U41" s="102"/>
      <c r="V41" s="103"/>
      <c r="W41" s="101"/>
      <c r="X41" s="102"/>
      <c r="Y41" s="102"/>
      <c r="Z41" s="103"/>
      <c r="AA41" s="101">
        <v>35</v>
      </c>
      <c r="AB41" s="102">
        <v>550139</v>
      </c>
      <c r="AC41" s="102"/>
      <c r="AD41" s="102"/>
      <c r="AE41" s="103"/>
      <c r="AF41" s="101">
        <v>36</v>
      </c>
      <c r="AG41" s="102">
        <v>623169.46</v>
      </c>
      <c r="AH41" s="102"/>
      <c r="AI41" s="102"/>
      <c r="AJ41" s="102"/>
      <c r="AK41" s="102"/>
      <c r="AL41" s="103"/>
      <c r="AM41" s="101"/>
      <c r="AN41" s="102"/>
      <c r="AO41" s="102"/>
      <c r="AP41" s="103"/>
    </row>
    <row r="42" spans="1:42" x14ac:dyDescent="0.25">
      <c r="A42" s="40">
        <v>45383</v>
      </c>
      <c r="B42" s="101">
        <v>2</v>
      </c>
      <c r="C42" s="102">
        <v>42122</v>
      </c>
      <c r="D42" s="102">
        <v>478730</v>
      </c>
      <c r="E42" s="102">
        <v>185855</v>
      </c>
      <c r="F42" s="102"/>
      <c r="G42" s="102"/>
      <c r="H42" s="103"/>
      <c r="I42" s="101" t="s">
        <v>45</v>
      </c>
      <c r="J42" s="102">
        <v>1274523</v>
      </c>
      <c r="K42" s="102">
        <v>1048323</v>
      </c>
      <c r="L42" s="102">
        <v>71590</v>
      </c>
      <c r="M42" s="102"/>
      <c r="N42" s="102"/>
      <c r="O42" s="103"/>
      <c r="P42" s="101"/>
      <c r="Q42" s="102"/>
      <c r="R42" s="102"/>
      <c r="S42" s="102"/>
      <c r="T42" s="102"/>
      <c r="U42" s="102"/>
      <c r="V42" s="103"/>
      <c r="W42" s="101"/>
      <c r="X42" s="102"/>
      <c r="Y42" s="102"/>
      <c r="Z42" s="103"/>
      <c r="AA42" s="101">
        <v>5</v>
      </c>
      <c r="AB42" s="102">
        <v>1269411</v>
      </c>
      <c r="AC42" s="102"/>
      <c r="AD42" s="102"/>
      <c r="AE42" s="103"/>
      <c r="AF42" s="101">
        <v>2</v>
      </c>
      <c r="AG42" s="102">
        <v>559633.68999999994</v>
      </c>
      <c r="AH42" s="102"/>
      <c r="AI42" s="102"/>
      <c r="AJ42" s="102"/>
      <c r="AK42" s="102"/>
      <c r="AL42" s="103"/>
      <c r="AM42" s="101"/>
      <c r="AN42" s="102"/>
      <c r="AO42" s="102"/>
      <c r="AP42" s="103"/>
    </row>
    <row r="43" spans="1:42" x14ac:dyDescent="0.25">
      <c r="A43" s="40">
        <v>45413</v>
      </c>
      <c r="B43" s="101">
        <v>1</v>
      </c>
      <c r="C43" s="102">
        <v>134549</v>
      </c>
      <c r="D43" s="102">
        <v>440382</v>
      </c>
      <c r="E43" s="102">
        <v>145966</v>
      </c>
      <c r="F43" s="102"/>
      <c r="G43" s="102"/>
      <c r="H43" s="103"/>
      <c r="I43" s="101" t="s">
        <v>45</v>
      </c>
      <c r="J43" s="102">
        <v>722207</v>
      </c>
      <c r="K43" s="102">
        <v>951264</v>
      </c>
      <c r="L43" s="102">
        <v>76601</v>
      </c>
      <c r="M43" s="102"/>
      <c r="N43" s="102"/>
      <c r="O43" s="103"/>
      <c r="P43" s="101"/>
      <c r="Q43" s="102"/>
      <c r="R43" s="102"/>
      <c r="S43" s="102"/>
      <c r="T43" s="102"/>
      <c r="U43" s="102"/>
      <c r="V43" s="103"/>
      <c r="W43" s="101"/>
      <c r="X43" s="102"/>
      <c r="Y43" s="102"/>
      <c r="Z43" s="103"/>
      <c r="AA43" s="101">
        <v>3</v>
      </c>
      <c r="AB43" s="102">
        <v>723043</v>
      </c>
      <c r="AC43" s="102"/>
      <c r="AD43" s="102"/>
      <c r="AE43" s="103"/>
      <c r="AF43" s="101">
        <v>2</v>
      </c>
      <c r="AG43" s="102">
        <v>230958.13</v>
      </c>
      <c r="AH43" s="102"/>
      <c r="AI43" s="102"/>
      <c r="AJ43" s="102"/>
      <c r="AK43" s="102"/>
      <c r="AL43" s="103"/>
      <c r="AM43" s="101"/>
      <c r="AN43" s="102"/>
      <c r="AO43" s="102"/>
      <c r="AP43" s="103"/>
    </row>
    <row r="44" spans="1:42" x14ac:dyDescent="0.25">
      <c r="A44" s="40">
        <v>45444</v>
      </c>
      <c r="B44" s="101">
        <v>1</v>
      </c>
      <c r="C44" s="102">
        <v>90998</v>
      </c>
      <c r="D44" s="102" t="s">
        <v>45</v>
      </c>
      <c r="E44" s="102" t="s">
        <v>45</v>
      </c>
      <c r="F44" s="102"/>
      <c r="G44" s="102"/>
      <c r="H44" s="103"/>
      <c r="I44" s="101" t="s">
        <v>45</v>
      </c>
      <c r="J44" s="102">
        <v>971975</v>
      </c>
      <c r="K44" s="102">
        <v>823434</v>
      </c>
      <c r="L44" s="102" t="s">
        <v>45</v>
      </c>
      <c r="M44" s="102"/>
      <c r="N44" s="102"/>
      <c r="O44" s="103"/>
      <c r="P44" s="101"/>
      <c r="Q44" s="102"/>
      <c r="R44" s="102"/>
      <c r="S44" s="102"/>
      <c r="T44" s="102"/>
      <c r="U44" s="102"/>
      <c r="V44" s="103"/>
      <c r="W44" s="101"/>
      <c r="X44" s="102"/>
      <c r="Y44" s="102"/>
      <c r="Z44" s="103"/>
      <c r="AA44" s="101" t="s">
        <v>45</v>
      </c>
      <c r="AB44" s="102">
        <v>170633</v>
      </c>
      <c r="AC44" s="102"/>
      <c r="AD44" s="102"/>
      <c r="AE44" s="103"/>
      <c r="AF44" s="101">
        <v>6</v>
      </c>
      <c r="AG44" s="102">
        <v>180845.32</v>
      </c>
      <c r="AH44" s="102"/>
      <c r="AI44" s="102"/>
      <c r="AJ44" s="102"/>
      <c r="AK44" s="102"/>
      <c r="AL44" s="103"/>
      <c r="AM44" s="101"/>
      <c r="AN44" s="102"/>
      <c r="AO44" s="102"/>
      <c r="AP44" s="103"/>
    </row>
    <row r="45" spans="1:42" x14ac:dyDescent="0.25">
      <c r="A45" s="40">
        <v>45474</v>
      </c>
      <c r="B45" s="101">
        <v>7</v>
      </c>
      <c r="C45" s="102">
        <v>79132</v>
      </c>
      <c r="D45" s="102">
        <v>355484</v>
      </c>
      <c r="E45" s="102">
        <v>34076</v>
      </c>
      <c r="F45" s="102"/>
      <c r="G45" s="102"/>
      <c r="H45" s="103"/>
      <c r="I45" s="101">
        <v>1</v>
      </c>
      <c r="J45" s="102">
        <v>164960</v>
      </c>
      <c r="K45" s="102">
        <v>834056</v>
      </c>
      <c r="L45" s="102">
        <v>99305</v>
      </c>
      <c r="M45" s="102"/>
      <c r="N45" s="102"/>
      <c r="O45" s="103"/>
      <c r="P45" s="101">
        <v>32</v>
      </c>
      <c r="Q45" s="102">
        <v>580237</v>
      </c>
      <c r="R45" s="102"/>
      <c r="S45" s="102"/>
      <c r="T45" s="102"/>
      <c r="U45" s="102"/>
      <c r="V45" s="103"/>
      <c r="W45" s="101"/>
      <c r="X45" s="102"/>
      <c r="Y45" s="102"/>
      <c r="Z45" s="103"/>
      <c r="AA45" s="101" t="s">
        <v>45</v>
      </c>
      <c r="AB45" s="102">
        <v>248148</v>
      </c>
      <c r="AC45" s="102"/>
      <c r="AD45" s="102"/>
      <c r="AE45" s="103"/>
      <c r="AF45" s="101">
        <v>2</v>
      </c>
      <c r="AG45" s="102">
        <v>190831.38</v>
      </c>
      <c r="AH45" s="102"/>
      <c r="AI45" s="102"/>
      <c r="AJ45" s="102"/>
      <c r="AK45" s="102"/>
      <c r="AL45" s="103"/>
      <c r="AM45" s="101"/>
      <c r="AN45" s="102"/>
      <c r="AO45" s="102"/>
      <c r="AP45" s="103"/>
    </row>
    <row r="46" spans="1:42" x14ac:dyDescent="0.25">
      <c r="A46" s="40">
        <v>45505</v>
      </c>
      <c r="B46" s="101">
        <v>1</v>
      </c>
      <c r="C46" s="102">
        <v>250222</v>
      </c>
      <c r="D46" s="102">
        <v>151586</v>
      </c>
      <c r="E46" s="102">
        <v>116958</v>
      </c>
      <c r="F46" s="102"/>
      <c r="G46" s="102"/>
      <c r="H46" s="103"/>
      <c r="I46" s="101">
        <v>1</v>
      </c>
      <c r="J46" s="102">
        <v>548222</v>
      </c>
      <c r="K46" s="102">
        <v>592696</v>
      </c>
      <c r="L46" s="102" t="s">
        <v>45</v>
      </c>
      <c r="M46" s="102"/>
      <c r="N46" s="102"/>
      <c r="O46" s="103"/>
      <c r="P46" s="101">
        <v>30</v>
      </c>
      <c r="Q46" s="102">
        <v>299399</v>
      </c>
      <c r="R46" s="102"/>
      <c r="S46" s="102"/>
      <c r="T46" s="102"/>
      <c r="U46" s="102"/>
      <c r="V46" s="103"/>
      <c r="W46" s="101"/>
      <c r="X46" s="102"/>
      <c r="Y46" s="102"/>
      <c r="Z46" s="103"/>
      <c r="AA46" s="101" t="s">
        <v>45</v>
      </c>
      <c r="AB46" s="102">
        <v>116356</v>
      </c>
      <c r="AC46" s="102"/>
      <c r="AD46" s="102"/>
      <c r="AE46" s="103"/>
      <c r="AF46" s="101">
        <v>2</v>
      </c>
      <c r="AG46" s="102">
        <v>220373.27</v>
      </c>
      <c r="AH46" s="102"/>
      <c r="AI46" s="102"/>
      <c r="AJ46" s="102"/>
      <c r="AK46" s="102"/>
      <c r="AL46" s="103"/>
      <c r="AM46" s="101"/>
      <c r="AN46" s="102"/>
      <c r="AO46" s="102"/>
      <c r="AP46" s="103"/>
    </row>
    <row r="47" spans="1:42" x14ac:dyDescent="0.25">
      <c r="A47" s="40">
        <v>45536</v>
      </c>
      <c r="B47" s="101">
        <v>3</v>
      </c>
      <c r="C47" s="102">
        <v>288783</v>
      </c>
      <c r="D47" s="102">
        <v>600424</v>
      </c>
      <c r="E47" s="102">
        <v>229817</v>
      </c>
      <c r="F47" s="102"/>
      <c r="G47" s="102"/>
      <c r="H47" s="103"/>
      <c r="I47" s="101">
        <v>1</v>
      </c>
      <c r="J47" s="102">
        <v>201279</v>
      </c>
      <c r="K47" s="102">
        <v>494201</v>
      </c>
      <c r="L47" s="102" t="s">
        <v>45</v>
      </c>
      <c r="M47" s="102"/>
      <c r="N47" s="102"/>
      <c r="O47" s="103"/>
      <c r="P47" s="101">
        <v>22</v>
      </c>
      <c r="Q47" s="102">
        <v>42952</v>
      </c>
      <c r="R47" s="102"/>
      <c r="S47" s="102"/>
      <c r="T47" s="102"/>
      <c r="U47" s="102"/>
      <c r="V47" s="103"/>
      <c r="W47" s="101"/>
      <c r="X47" s="102"/>
      <c r="Y47" s="102"/>
      <c r="Z47" s="103"/>
      <c r="AA47" s="101" t="s">
        <v>45</v>
      </c>
      <c r="AB47" s="102">
        <v>95410</v>
      </c>
      <c r="AC47" s="102"/>
      <c r="AD47" s="102"/>
      <c r="AE47" s="103"/>
      <c r="AF47" s="101">
        <v>2</v>
      </c>
      <c r="AG47" s="102">
        <v>402034.39</v>
      </c>
      <c r="AH47" s="102"/>
      <c r="AI47" s="102"/>
      <c r="AJ47" s="102"/>
      <c r="AK47" s="102"/>
      <c r="AL47" s="103"/>
      <c r="AM47" s="101"/>
      <c r="AN47" s="102"/>
      <c r="AO47" s="102"/>
      <c r="AP47" s="103"/>
    </row>
    <row r="48" spans="1:42" x14ac:dyDescent="0.25">
      <c r="A48" s="40">
        <v>45566</v>
      </c>
      <c r="B48" s="101">
        <v>1</v>
      </c>
      <c r="C48" s="102">
        <v>85079</v>
      </c>
      <c r="D48" s="102">
        <v>1033883</v>
      </c>
      <c r="E48" s="102">
        <v>34374</v>
      </c>
      <c r="F48" s="102"/>
      <c r="G48" s="102"/>
      <c r="H48" s="103"/>
      <c r="I48" s="101" t="s">
        <v>45</v>
      </c>
      <c r="J48" s="102">
        <v>403061</v>
      </c>
      <c r="K48" s="102">
        <v>750025</v>
      </c>
      <c r="L48" s="102">
        <v>36237</v>
      </c>
      <c r="M48" s="102"/>
      <c r="N48" s="102"/>
      <c r="O48" s="103"/>
      <c r="P48" s="101">
        <v>14</v>
      </c>
      <c r="Q48" s="102">
        <v>115273</v>
      </c>
      <c r="R48" s="102"/>
      <c r="S48" s="102"/>
      <c r="T48" s="102"/>
      <c r="U48" s="102"/>
      <c r="V48" s="103"/>
      <c r="W48" s="101"/>
      <c r="X48" s="102"/>
      <c r="Y48" s="102"/>
      <c r="Z48" s="103"/>
      <c r="AA48" s="101" t="s">
        <v>45</v>
      </c>
      <c r="AB48" s="102">
        <v>116427</v>
      </c>
      <c r="AC48" s="102"/>
      <c r="AD48" s="102"/>
      <c r="AE48" s="103"/>
      <c r="AF48" s="101">
        <v>2</v>
      </c>
      <c r="AG48" s="102">
        <v>416087.06</v>
      </c>
      <c r="AH48" s="102"/>
      <c r="AI48" s="102"/>
      <c r="AJ48" s="102"/>
      <c r="AK48" s="102"/>
      <c r="AL48" s="103"/>
      <c r="AM48" s="101"/>
      <c r="AN48" s="102"/>
      <c r="AO48" s="102"/>
      <c r="AP48" s="103"/>
    </row>
    <row r="49" spans="1:42" x14ac:dyDescent="0.25">
      <c r="A49" s="40">
        <v>45597</v>
      </c>
      <c r="B49" s="101" t="s">
        <v>45</v>
      </c>
      <c r="C49" s="102">
        <v>356149</v>
      </c>
      <c r="D49" s="102">
        <v>52708</v>
      </c>
      <c r="E49" s="102">
        <v>29331</v>
      </c>
      <c r="F49" s="102"/>
      <c r="G49" s="102"/>
      <c r="H49" s="103"/>
      <c r="I49" s="101" t="s">
        <v>45</v>
      </c>
      <c r="J49" s="102">
        <v>208700</v>
      </c>
      <c r="K49" s="102">
        <v>1004267</v>
      </c>
      <c r="L49" s="102">
        <v>35599</v>
      </c>
      <c r="M49" s="102"/>
      <c r="N49" s="102"/>
      <c r="O49" s="103"/>
      <c r="P49" s="101">
        <v>10</v>
      </c>
      <c r="Q49" s="102">
        <v>45450</v>
      </c>
      <c r="R49" s="102"/>
      <c r="S49" s="102"/>
      <c r="T49" s="102"/>
      <c r="U49" s="102"/>
      <c r="V49" s="103"/>
      <c r="W49" s="101"/>
      <c r="X49" s="102"/>
      <c r="Y49" s="102"/>
      <c r="Z49" s="103"/>
      <c r="AA49" s="101" t="s">
        <v>45</v>
      </c>
      <c r="AB49" s="102">
        <v>96304</v>
      </c>
      <c r="AC49" s="102"/>
      <c r="AD49" s="102"/>
      <c r="AE49" s="103"/>
      <c r="AF49" s="101">
        <v>1</v>
      </c>
      <c r="AG49" s="102">
        <v>3023371.18</v>
      </c>
      <c r="AH49" s="102"/>
      <c r="AI49" s="102">
        <v>2828889</v>
      </c>
      <c r="AJ49" s="102"/>
      <c r="AK49" s="102"/>
      <c r="AL49" s="103"/>
      <c r="AM49" s="101"/>
      <c r="AN49" s="102"/>
      <c r="AO49" s="102"/>
      <c r="AP49" s="103"/>
    </row>
    <row r="50" spans="1:42" x14ac:dyDescent="0.25">
      <c r="A50" s="40">
        <v>45627</v>
      </c>
      <c r="B50" s="101" t="s">
        <v>45</v>
      </c>
      <c r="C50" s="102">
        <v>594301</v>
      </c>
      <c r="D50" s="102">
        <v>643506</v>
      </c>
      <c r="E50" s="102" t="s">
        <v>45</v>
      </c>
      <c r="F50" s="102"/>
      <c r="G50" s="102"/>
      <c r="H50" s="103"/>
      <c r="I50" s="101" t="s">
        <v>45</v>
      </c>
      <c r="J50" s="102">
        <v>357717</v>
      </c>
      <c r="K50" s="102">
        <v>734496</v>
      </c>
      <c r="L50" s="102">
        <v>41248</v>
      </c>
      <c r="M50" s="102"/>
      <c r="N50" s="102"/>
      <c r="O50" s="103"/>
      <c r="P50" s="101">
        <v>5</v>
      </c>
      <c r="Q50" s="102">
        <v>61032</v>
      </c>
      <c r="R50" s="102"/>
      <c r="S50" s="102"/>
      <c r="T50" s="102"/>
      <c r="U50" s="102"/>
      <c r="V50" s="103"/>
      <c r="W50" s="101">
        <v>37</v>
      </c>
      <c r="X50" s="102">
        <v>262541</v>
      </c>
      <c r="Y50" s="102"/>
      <c r="Z50" s="103"/>
      <c r="AA50" s="101" t="s">
        <v>45</v>
      </c>
      <c r="AB50" s="102">
        <v>294651</v>
      </c>
      <c r="AC50" s="102"/>
      <c r="AD50" s="102"/>
      <c r="AE50" s="103"/>
      <c r="AF50" s="101">
        <v>2</v>
      </c>
      <c r="AG50" s="102">
        <v>1362090.6</v>
      </c>
      <c r="AH50" s="102">
        <v>495939</v>
      </c>
      <c r="AI50" s="102">
        <v>103299</v>
      </c>
      <c r="AJ50" s="102"/>
      <c r="AK50" s="102"/>
      <c r="AL50" s="103"/>
      <c r="AM50" s="101"/>
      <c r="AN50" s="102"/>
      <c r="AO50" s="102"/>
      <c r="AP50" s="103"/>
    </row>
    <row r="51" spans="1:42" x14ac:dyDescent="0.25">
      <c r="A51" s="40">
        <v>45658</v>
      </c>
      <c r="B51" s="101" t="s">
        <v>45</v>
      </c>
      <c r="C51" s="102">
        <v>498417</v>
      </c>
      <c r="D51" s="102">
        <v>1163143</v>
      </c>
      <c r="E51" s="102">
        <v>29331</v>
      </c>
      <c r="F51" s="102"/>
      <c r="G51" s="102"/>
      <c r="H51" s="103"/>
      <c r="I51" s="101" t="s">
        <v>45</v>
      </c>
      <c r="J51" s="102">
        <v>162303</v>
      </c>
      <c r="K51" s="102" t="s">
        <v>45</v>
      </c>
      <c r="L51" s="102" t="s">
        <v>45</v>
      </c>
      <c r="M51" s="102"/>
      <c r="N51" s="102"/>
      <c r="O51" s="103"/>
      <c r="P51" s="101">
        <v>5</v>
      </c>
      <c r="Q51" s="102">
        <v>54250</v>
      </c>
      <c r="R51" s="102"/>
      <c r="S51" s="102"/>
      <c r="T51" s="102"/>
      <c r="U51" s="102"/>
      <c r="V51" s="103"/>
      <c r="W51" s="101">
        <v>15</v>
      </c>
      <c r="X51" s="102">
        <v>155415</v>
      </c>
      <c r="Y51" s="102"/>
      <c r="Z51" s="103"/>
      <c r="AA51" s="101" t="s">
        <v>45</v>
      </c>
      <c r="AB51" s="102">
        <v>172391</v>
      </c>
      <c r="AC51" s="102"/>
      <c r="AD51" s="102"/>
      <c r="AE51" s="103"/>
      <c r="AF51" s="101">
        <v>1</v>
      </c>
      <c r="AG51" s="102">
        <v>463163</v>
      </c>
      <c r="AH51" s="102">
        <v>44304</v>
      </c>
      <c r="AI51" s="102">
        <v>61297</v>
      </c>
      <c r="AJ51" s="102"/>
      <c r="AK51" s="102"/>
      <c r="AL51" s="103"/>
      <c r="AM51" s="101">
        <v>2</v>
      </c>
      <c r="AN51" s="102"/>
      <c r="AO51" s="102"/>
      <c r="AP51" s="103"/>
    </row>
    <row r="52" spans="1:42" x14ac:dyDescent="0.25">
      <c r="A52" s="40">
        <v>45689</v>
      </c>
      <c r="B52" s="101" t="s">
        <v>45</v>
      </c>
      <c r="C52" s="102">
        <v>105008</v>
      </c>
      <c r="D52" s="102" t="s">
        <v>45</v>
      </c>
      <c r="E52" s="102" t="s">
        <v>45</v>
      </c>
      <c r="F52" s="102"/>
      <c r="G52" s="102"/>
      <c r="H52" s="103"/>
      <c r="I52" s="101" t="s">
        <v>45</v>
      </c>
      <c r="J52" s="102">
        <v>617475</v>
      </c>
      <c r="K52" s="102">
        <v>93151</v>
      </c>
      <c r="L52" s="102" t="s">
        <v>45</v>
      </c>
      <c r="M52" s="102"/>
      <c r="N52" s="102"/>
      <c r="O52" s="103"/>
      <c r="P52" s="101">
        <v>5</v>
      </c>
      <c r="Q52" s="102">
        <v>46310</v>
      </c>
      <c r="R52" s="102"/>
      <c r="S52" s="102"/>
      <c r="T52" s="102"/>
      <c r="U52" s="102"/>
      <c r="V52" s="103"/>
      <c r="W52" s="101">
        <v>11</v>
      </c>
      <c r="X52" s="102">
        <v>106136</v>
      </c>
      <c r="Y52" s="102"/>
      <c r="Z52" s="103"/>
      <c r="AA52" s="101" t="s">
        <v>45</v>
      </c>
      <c r="AB52" s="102">
        <v>104494</v>
      </c>
      <c r="AC52" s="102"/>
      <c r="AD52" s="102"/>
      <c r="AE52" s="103"/>
      <c r="AF52" s="101">
        <v>1</v>
      </c>
      <c r="AG52" s="102">
        <v>242545</v>
      </c>
      <c r="AH52" s="102">
        <v>58613</v>
      </c>
      <c r="AI52" s="102">
        <v>318826</v>
      </c>
      <c r="AJ52" s="102"/>
      <c r="AK52" s="102"/>
      <c r="AL52" s="103"/>
      <c r="AM52" s="101" t="s">
        <v>45</v>
      </c>
      <c r="AN52" s="102"/>
      <c r="AO52" s="102"/>
      <c r="AP52" s="103"/>
    </row>
    <row r="53" spans="1:42" x14ac:dyDescent="0.25">
      <c r="A53" s="40">
        <v>45717</v>
      </c>
      <c r="B53" s="101" t="s">
        <v>45</v>
      </c>
      <c r="C53" s="102">
        <v>361694</v>
      </c>
      <c r="D53" s="102">
        <v>867482</v>
      </c>
      <c r="E53" s="102" t="s">
        <v>45</v>
      </c>
      <c r="F53" s="102"/>
      <c r="G53" s="102"/>
      <c r="H53" s="103"/>
      <c r="I53" s="101" t="s">
        <v>45</v>
      </c>
      <c r="J53" s="102">
        <v>65451</v>
      </c>
      <c r="K53" s="102">
        <v>352901</v>
      </c>
      <c r="L53" s="102" t="s">
        <v>45</v>
      </c>
      <c r="M53" s="102"/>
      <c r="N53" s="102"/>
      <c r="O53" s="103"/>
      <c r="P53" s="101">
        <v>5</v>
      </c>
      <c r="Q53" s="102">
        <v>56284</v>
      </c>
      <c r="R53" s="102"/>
      <c r="S53" s="102"/>
      <c r="T53" s="102"/>
      <c r="U53" s="102"/>
      <c r="V53" s="103"/>
      <c r="W53" s="101">
        <v>5</v>
      </c>
      <c r="X53" s="102">
        <v>67242</v>
      </c>
      <c r="Y53" s="102"/>
      <c r="Z53" s="103"/>
      <c r="AA53" s="101" t="s">
        <v>45</v>
      </c>
      <c r="AB53" s="102">
        <v>254718</v>
      </c>
      <c r="AC53" s="102"/>
      <c r="AD53" s="102"/>
      <c r="AE53" s="103"/>
      <c r="AF53" s="101">
        <v>1</v>
      </c>
      <c r="AG53" s="102">
        <v>305213</v>
      </c>
      <c r="AH53" s="102">
        <v>527178</v>
      </c>
      <c r="AI53" s="102">
        <v>1687809</v>
      </c>
      <c r="AJ53" s="102"/>
      <c r="AK53" s="102"/>
      <c r="AL53" s="103"/>
      <c r="AM53" s="101" t="s">
        <v>45</v>
      </c>
      <c r="AN53" s="102"/>
      <c r="AO53" s="102"/>
      <c r="AP53" s="103"/>
    </row>
    <row r="54" spans="1:42" x14ac:dyDescent="0.25">
      <c r="A54" s="40">
        <v>45748</v>
      </c>
      <c r="B54" s="101" t="s">
        <v>45</v>
      </c>
      <c r="C54" s="102">
        <v>184143</v>
      </c>
      <c r="D54" s="102">
        <v>504379</v>
      </c>
      <c r="E54" s="102" t="s">
        <v>45</v>
      </c>
      <c r="F54" s="102"/>
      <c r="G54" s="102"/>
      <c r="H54" s="103"/>
      <c r="I54" s="101" t="s">
        <v>45</v>
      </c>
      <c r="J54" s="102">
        <v>40080</v>
      </c>
      <c r="K54" s="102" t="s">
        <v>45</v>
      </c>
      <c r="L54" s="102" t="s">
        <v>45</v>
      </c>
      <c r="M54" s="102"/>
      <c r="N54" s="102"/>
      <c r="O54" s="103"/>
      <c r="P54" s="101">
        <v>-2</v>
      </c>
      <c r="Q54" s="102">
        <v>63633</v>
      </c>
      <c r="R54" s="102"/>
      <c r="S54" s="102"/>
      <c r="T54" s="102"/>
      <c r="U54" s="102"/>
      <c r="V54" s="103"/>
      <c r="W54" s="101">
        <v>6</v>
      </c>
      <c r="X54" s="102">
        <v>53259</v>
      </c>
      <c r="Y54" s="102"/>
      <c r="Z54" s="103"/>
      <c r="AA54" s="101" t="s">
        <v>45</v>
      </c>
      <c r="AB54" s="102">
        <v>138414</v>
      </c>
      <c r="AC54" s="102"/>
      <c r="AD54" s="102"/>
      <c r="AE54" s="103"/>
      <c r="AF54" s="101">
        <v>1</v>
      </c>
      <c r="AG54" s="102">
        <v>379772</v>
      </c>
      <c r="AH54" s="102">
        <v>381667</v>
      </c>
      <c r="AI54" s="102" t="s">
        <v>45</v>
      </c>
      <c r="AJ54" s="102"/>
      <c r="AK54" s="102"/>
      <c r="AL54" s="103"/>
      <c r="AM54" s="101" t="s">
        <v>45</v>
      </c>
      <c r="AN54" s="102"/>
      <c r="AO54" s="102"/>
      <c r="AP54" s="103"/>
    </row>
    <row r="55" spans="1:42" x14ac:dyDescent="0.25">
      <c r="A55" s="40">
        <v>45778</v>
      </c>
      <c r="B55" s="101">
        <v>8</v>
      </c>
      <c r="C55" s="102">
        <v>393264</v>
      </c>
      <c r="D55" s="102">
        <v>303619</v>
      </c>
      <c r="E55" s="102" t="s">
        <v>45</v>
      </c>
      <c r="F55" s="102"/>
      <c r="G55" s="102"/>
      <c r="H55" s="103"/>
      <c r="I55" s="101" t="s">
        <v>45</v>
      </c>
      <c r="J55" s="102">
        <v>32565</v>
      </c>
      <c r="K55" s="102">
        <v>443100</v>
      </c>
      <c r="L55" s="102">
        <v>76405</v>
      </c>
      <c r="M55" s="102"/>
      <c r="N55" s="102"/>
      <c r="O55" s="103"/>
      <c r="P55" s="101" t="s">
        <v>45</v>
      </c>
      <c r="Q55" s="102">
        <v>157227</v>
      </c>
      <c r="R55" s="102"/>
      <c r="S55" s="102"/>
      <c r="T55" s="102"/>
      <c r="U55" s="102"/>
      <c r="V55" s="103"/>
      <c r="W55" s="101">
        <v>8</v>
      </c>
      <c r="X55" s="102">
        <v>54106</v>
      </c>
      <c r="Y55" s="102"/>
      <c r="Z55" s="103"/>
      <c r="AA55" s="101" t="s">
        <v>45</v>
      </c>
      <c r="AB55" s="102">
        <v>116203</v>
      </c>
      <c r="AC55" s="102"/>
      <c r="AD55" s="102"/>
      <c r="AE55" s="103"/>
      <c r="AF55" s="101">
        <v>1</v>
      </c>
      <c r="AG55" s="102">
        <v>287507</v>
      </c>
      <c r="AH55" s="102">
        <v>84505</v>
      </c>
      <c r="AI55" s="102">
        <v>236330</v>
      </c>
      <c r="AJ55" s="102"/>
      <c r="AK55" s="102"/>
      <c r="AL55" s="103"/>
      <c r="AM55" s="101" t="s">
        <v>45</v>
      </c>
      <c r="AN55" s="102"/>
      <c r="AO55" s="102"/>
      <c r="AP55" s="103"/>
    </row>
    <row r="56" spans="1:42" x14ac:dyDescent="0.25">
      <c r="A56" s="40">
        <v>45809</v>
      </c>
      <c r="B56" s="101">
        <v>1</v>
      </c>
      <c r="C56" s="102">
        <v>322109</v>
      </c>
      <c r="D56" s="102">
        <v>651851</v>
      </c>
      <c r="E56" s="102" t="s">
        <v>45</v>
      </c>
      <c r="F56" s="102"/>
      <c r="G56" s="102"/>
      <c r="H56" s="103"/>
      <c r="I56" s="101" t="s">
        <v>45</v>
      </c>
      <c r="J56" s="102">
        <v>28121</v>
      </c>
      <c r="K56" s="102">
        <v>1160037</v>
      </c>
      <c r="L56" s="102" t="s">
        <v>45</v>
      </c>
      <c r="M56" s="102"/>
      <c r="N56" s="102"/>
      <c r="O56" s="103"/>
      <c r="P56" s="101" t="s">
        <v>45</v>
      </c>
      <c r="Q56" s="102">
        <v>1549051</v>
      </c>
      <c r="R56" s="102"/>
      <c r="S56" s="102">
        <v>1443110</v>
      </c>
      <c r="T56" s="102"/>
      <c r="U56" s="102"/>
      <c r="V56" s="103"/>
      <c r="W56" s="101">
        <v>9</v>
      </c>
      <c r="X56" s="102">
        <v>52368</v>
      </c>
      <c r="Y56" s="102"/>
      <c r="Z56" s="103"/>
      <c r="AA56" s="101" t="s">
        <v>45</v>
      </c>
      <c r="AB56" s="102">
        <v>662741</v>
      </c>
      <c r="AC56" s="102"/>
      <c r="AD56" s="102"/>
      <c r="AE56" s="103"/>
      <c r="AF56" s="101">
        <v>1</v>
      </c>
      <c r="AG56" s="102">
        <v>311613</v>
      </c>
      <c r="AH56" s="102">
        <v>81943</v>
      </c>
      <c r="AI56" s="102">
        <v>235728</v>
      </c>
      <c r="AJ56" s="102"/>
      <c r="AK56" s="102"/>
      <c r="AL56" s="103"/>
      <c r="AM56" s="101" t="s">
        <v>45</v>
      </c>
      <c r="AN56" s="102"/>
      <c r="AO56" s="102"/>
      <c r="AP56" s="103"/>
    </row>
    <row r="57" spans="1:42" x14ac:dyDescent="0.25">
      <c r="A57" s="40">
        <v>45839</v>
      </c>
      <c r="B57" s="101">
        <v>1</v>
      </c>
      <c r="C57" s="102">
        <v>198354</v>
      </c>
      <c r="D57" s="102">
        <v>386649</v>
      </c>
      <c r="E57" s="102" t="s">
        <v>45</v>
      </c>
      <c r="F57" s="102"/>
      <c r="G57" s="102"/>
      <c r="H57" s="103"/>
      <c r="I57" s="101">
        <v>-1</v>
      </c>
      <c r="J57" s="102">
        <v>96843</v>
      </c>
      <c r="K57" s="102" t="s">
        <v>45</v>
      </c>
      <c r="L57" s="102" t="s">
        <v>45</v>
      </c>
      <c r="M57" s="102"/>
      <c r="N57" s="102"/>
      <c r="O57" s="103"/>
      <c r="P57" s="101" t="s">
        <v>45</v>
      </c>
      <c r="Q57" s="102">
        <v>2893764</v>
      </c>
      <c r="R57" s="102">
        <v>837585</v>
      </c>
      <c r="S57" s="102">
        <v>1974732</v>
      </c>
      <c r="T57" s="102"/>
      <c r="U57" s="102"/>
      <c r="V57" s="103"/>
      <c r="W57" s="101">
        <v>7</v>
      </c>
      <c r="X57" s="102">
        <v>116668</v>
      </c>
      <c r="Y57" s="102"/>
      <c r="Z57" s="103"/>
      <c r="AA57" s="101" t="s">
        <v>45</v>
      </c>
      <c r="AB57" s="102">
        <v>111735</v>
      </c>
      <c r="AC57" s="102"/>
      <c r="AD57" s="102"/>
      <c r="AE57" s="103"/>
      <c r="AF57" s="101">
        <v>1</v>
      </c>
      <c r="AG57" s="102">
        <v>336890</v>
      </c>
      <c r="AH57" s="102">
        <v>1698788</v>
      </c>
      <c r="AI57" s="102">
        <v>503380</v>
      </c>
      <c r="AJ57" s="102"/>
      <c r="AK57" s="102"/>
      <c r="AL57" s="103"/>
      <c r="AM57" s="101">
        <v>181</v>
      </c>
      <c r="AN57" s="102">
        <v>1915241</v>
      </c>
      <c r="AO57" s="102"/>
      <c r="AP57" s="103"/>
    </row>
    <row r="58" spans="1:42" x14ac:dyDescent="0.25">
      <c r="A58" s="40">
        <v>45870</v>
      </c>
      <c r="B58" s="101">
        <v>1</v>
      </c>
      <c r="C58" s="102">
        <v>425551</v>
      </c>
      <c r="D58" s="102">
        <v>1166855</v>
      </c>
      <c r="E58" s="102">
        <v>58842</v>
      </c>
      <c r="F58" s="102"/>
      <c r="G58" s="102"/>
      <c r="H58" s="103"/>
      <c r="I58" s="101" t="s">
        <v>45</v>
      </c>
      <c r="J58" s="102">
        <v>64422</v>
      </c>
      <c r="K58" s="102">
        <v>185306</v>
      </c>
      <c r="L58" s="102">
        <v>35795</v>
      </c>
      <c r="M58" s="102"/>
      <c r="N58" s="102"/>
      <c r="O58" s="103"/>
      <c r="P58" s="101">
        <v>1</v>
      </c>
      <c r="Q58" s="102">
        <v>1260483</v>
      </c>
      <c r="R58" s="102">
        <v>995004</v>
      </c>
      <c r="S58" s="102" t="s">
        <v>45</v>
      </c>
      <c r="T58" s="102"/>
      <c r="U58" s="102"/>
      <c r="V58" s="103"/>
      <c r="W58" s="101">
        <v>7</v>
      </c>
      <c r="X58" s="102">
        <v>61363</v>
      </c>
      <c r="Y58" s="102"/>
      <c r="Z58" s="103"/>
      <c r="AA58" s="101">
        <v>2</v>
      </c>
      <c r="AB58" s="102">
        <v>121872</v>
      </c>
      <c r="AC58" s="102"/>
      <c r="AD58" s="102"/>
      <c r="AE58" s="103"/>
      <c r="AF58" s="101" t="s">
        <v>45</v>
      </c>
      <c r="AG58" s="102">
        <v>387302</v>
      </c>
      <c r="AH58" s="102">
        <v>658563</v>
      </c>
      <c r="AI58" s="102">
        <v>92717</v>
      </c>
      <c r="AJ58" s="102"/>
      <c r="AK58" s="102"/>
      <c r="AL58" s="103"/>
      <c r="AM58" s="101">
        <v>19</v>
      </c>
      <c r="AN58" s="102">
        <v>888444</v>
      </c>
      <c r="AO58" s="102"/>
      <c r="AP58" s="103"/>
    </row>
    <row r="59" spans="1:42" x14ac:dyDescent="0.25">
      <c r="A59" s="40">
        <v>45901</v>
      </c>
      <c r="B59" s="101">
        <v>1</v>
      </c>
      <c r="C59" s="102">
        <v>154765</v>
      </c>
      <c r="D59" s="102">
        <v>563535</v>
      </c>
      <c r="E59" s="102">
        <v>35103</v>
      </c>
      <c r="F59" s="102"/>
      <c r="G59" s="102"/>
      <c r="H59" s="103"/>
      <c r="I59" s="101">
        <v>1</v>
      </c>
      <c r="J59" s="102">
        <v>21166</v>
      </c>
      <c r="K59" s="102">
        <v>933974</v>
      </c>
      <c r="L59" s="102" t="s">
        <v>45</v>
      </c>
      <c r="M59" s="102"/>
      <c r="N59" s="102"/>
      <c r="O59" s="103"/>
      <c r="P59" s="101">
        <v>1</v>
      </c>
      <c r="Q59" s="102">
        <v>456912</v>
      </c>
      <c r="R59" s="102">
        <v>973533</v>
      </c>
      <c r="S59" s="102">
        <v>1120860</v>
      </c>
      <c r="T59" s="102"/>
      <c r="U59" s="102"/>
      <c r="V59" s="103"/>
      <c r="W59" s="101">
        <v>8</v>
      </c>
      <c r="X59" s="102">
        <v>86815</v>
      </c>
      <c r="Y59" s="102"/>
      <c r="Z59" s="103"/>
      <c r="AA59" s="101" t="s">
        <v>45</v>
      </c>
      <c r="AB59" s="102">
        <v>107535</v>
      </c>
      <c r="AC59" s="102"/>
      <c r="AD59" s="102"/>
      <c r="AE59" s="103"/>
      <c r="AF59" s="101" t="s">
        <v>45</v>
      </c>
      <c r="AG59" s="102">
        <v>313641</v>
      </c>
      <c r="AH59" s="102">
        <v>946843</v>
      </c>
      <c r="AI59" s="102">
        <v>165441</v>
      </c>
      <c r="AJ59" s="102"/>
      <c r="AK59" s="102"/>
      <c r="AL59" s="103"/>
      <c r="AM59" s="101">
        <v>13</v>
      </c>
      <c r="AN59" s="102">
        <v>419611</v>
      </c>
      <c r="AO59" s="102"/>
      <c r="AP59" s="103"/>
    </row>
    <row r="60" spans="1:42" x14ac:dyDescent="0.25">
      <c r="A60" s="40">
        <v>45931</v>
      </c>
      <c r="B60" s="101" t="s">
        <v>45</v>
      </c>
      <c r="C60" s="102">
        <v>154874</v>
      </c>
      <c r="D60" s="102">
        <v>710328</v>
      </c>
      <c r="E60" s="102" t="s">
        <v>45</v>
      </c>
      <c r="F60" s="102"/>
      <c r="G60" s="102"/>
      <c r="H60" s="103"/>
      <c r="I60" s="101" t="s">
        <v>45</v>
      </c>
      <c r="J60" s="102">
        <v>3382</v>
      </c>
      <c r="K60" s="102" t="s">
        <v>45</v>
      </c>
      <c r="L60" s="102" t="s">
        <v>45</v>
      </c>
      <c r="M60" s="102"/>
      <c r="N60" s="102"/>
      <c r="O60" s="103"/>
      <c r="P60" s="101" t="s">
        <v>45</v>
      </c>
      <c r="Q60" s="102">
        <v>428046</v>
      </c>
      <c r="R60" s="102">
        <v>956562</v>
      </c>
      <c r="S60" s="102">
        <v>144523</v>
      </c>
      <c r="T60" s="102"/>
      <c r="U60" s="102"/>
      <c r="V60" s="103"/>
      <c r="W60" s="101">
        <v>8</v>
      </c>
      <c r="X60" s="102">
        <v>76138</v>
      </c>
      <c r="Y60" s="102"/>
      <c r="Z60" s="103"/>
      <c r="AA60" s="101" t="s">
        <v>45</v>
      </c>
      <c r="AB60" s="102">
        <v>81980</v>
      </c>
      <c r="AC60" s="102"/>
      <c r="AD60" s="102"/>
      <c r="AE60" s="103"/>
      <c r="AF60" s="101">
        <v>15</v>
      </c>
      <c r="AG60" s="102">
        <v>333428</v>
      </c>
      <c r="AH60" s="102">
        <v>547764</v>
      </c>
      <c r="AI60" s="102">
        <v>95163</v>
      </c>
      <c r="AJ60" s="102"/>
      <c r="AK60" s="102"/>
      <c r="AL60" s="103"/>
      <c r="AM60" s="101">
        <v>55</v>
      </c>
      <c r="AN60" s="102">
        <v>727302</v>
      </c>
      <c r="AO60" s="102"/>
      <c r="AP60" s="103"/>
    </row>
    <row r="61" spans="1:42" x14ac:dyDescent="0.25">
      <c r="A61" s="40">
        <v>45962</v>
      </c>
      <c r="B61" s="101"/>
      <c r="C61" s="102">
        <v>161197</v>
      </c>
      <c r="D61" s="102">
        <v>602871</v>
      </c>
      <c r="E61" s="104"/>
      <c r="F61" s="104"/>
      <c r="G61" s="102"/>
      <c r="H61" s="103"/>
      <c r="I61" s="101"/>
      <c r="J61" s="102">
        <v>5123</v>
      </c>
      <c r="K61" s="102"/>
      <c r="L61" s="104"/>
      <c r="M61" s="104"/>
      <c r="N61" s="102"/>
      <c r="O61" s="103"/>
      <c r="P61" s="101"/>
      <c r="Q61" s="102">
        <v>114248</v>
      </c>
      <c r="R61" s="102">
        <v>984693</v>
      </c>
      <c r="S61" s="104"/>
      <c r="T61" s="104"/>
      <c r="U61" s="102"/>
      <c r="V61" s="103"/>
      <c r="W61" s="101"/>
      <c r="X61" s="102">
        <v>63468</v>
      </c>
      <c r="Y61" s="102"/>
      <c r="Z61" s="103"/>
      <c r="AA61" s="101"/>
      <c r="AB61" s="102">
        <v>46616</v>
      </c>
      <c r="AC61" s="104"/>
      <c r="AD61" s="102"/>
      <c r="AE61" s="103"/>
      <c r="AF61" s="101"/>
      <c r="AG61" s="102">
        <v>150513</v>
      </c>
      <c r="AH61" s="102">
        <v>1081148</v>
      </c>
      <c r="AI61" s="104"/>
      <c r="AJ61" s="104"/>
      <c r="AK61" s="102"/>
      <c r="AL61" s="103"/>
      <c r="AM61" s="101"/>
      <c r="AN61" s="102">
        <v>119985</v>
      </c>
      <c r="AO61" s="102"/>
      <c r="AP61" s="103"/>
    </row>
    <row r="62" spans="1:42" x14ac:dyDescent="0.25">
      <c r="A62" s="40">
        <v>45992</v>
      </c>
      <c r="B62" s="101"/>
      <c r="C62" s="102">
        <v>141631</v>
      </c>
      <c r="D62" s="102">
        <v>602871</v>
      </c>
      <c r="E62" s="104"/>
      <c r="F62" s="104"/>
      <c r="G62" s="102"/>
      <c r="H62" s="104"/>
      <c r="I62" s="101"/>
      <c r="J62" s="102">
        <v>9894</v>
      </c>
      <c r="K62" s="102"/>
      <c r="L62" s="104"/>
      <c r="M62" s="104"/>
      <c r="N62" s="102"/>
      <c r="O62" s="104"/>
      <c r="P62" s="101"/>
      <c r="Q62" s="102">
        <v>554354</v>
      </c>
      <c r="R62" s="102">
        <v>984693</v>
      </c>
      <c r="S62" s="104"/>
      <c r="T62" s="104"/>
      <c r="U62" s="102"/>
      <c r="V62" s="104"/>
      <c r="W62" s="101"/>
      <c r="X62" s="102">
        <v>630431</v>
      </c>
      <c r="Y62" s="102"/>
      <c r="Z62" s="104"/>
      <c r="AA62" s="101"/>
      <c r="AB62" s="102">
        <v>400120</v>
      </c>
      <c r="AC62" s="104"/>
      <c r="AD62" s="102"/>
      <c r="AE62" s="104"/>
      <c r="AF62" s="101"/>
      <c r="AG62" s="102">
        <v>1425862</v>
      </c>
      <c r="AH62" s="102">
        <v>1081148</v>
      </c>
      <c r="AI62" s="104"/>
      <c r="AJ62" s="104"/>
      <c r="AK62" s="102"/>
      <c r="AL62" s="104"/>
      <c r="AM62" s="101"/>
      <c r="AN62" s="102">
        <v>536488</v>
      </c>
      <c r="AO62" s="102"/>
      <c r="AP62" s="103"/>
    </row>
    <row r="63" spans="1:42" x14ac:dyDescent="0.25">
      <c r="A63" s="40">
        <v>46023</v>
      </c>
      <c r="B63" s="101"/>
      <c r="C63" s="102">
        <v>134552</v>
      </c>
      <c r="D63" s="102">
        <v>452154</v>
      </c>
      <c r="E63" s="104">
        <v>163842</v>
      </c>
      <c r="F63" s="104"/>
      <c r="G63" s="102"/>
      <c r="H63" s="104"/>
      <c r="I63" s="101"/>
      <c r="J63" s="102">
        <v>1796</v>
      </c>
      <c r="K63" s="102"/>
      <c r="L63" s="104"/>
      <c r="M63" s="104"/>
      <c r="N63" s="102"/>
      <c r="O63" s="104"/>
      <c r="P63" s="101"/>
      <c r="Q63" s="102">
        <v>206072</v>
      </c>
      <c r="R63" s="102">
        <v>984693</v>
      </c>
      <c r="S63" s="104"/>
      <c r="T63" s="104"/>
      <c r="U63" s="102"/>
      <c r="V63" s="104"/>
      <c r="W63" s="101"/>
      <c r="X63" s="102">
        <v>87746</v>
      </c>
      <c r="Y63" s="102"/>
      <c r="Z63" s="104"/>
      <c r="AA63" s="101"/>
      <c r="AB63" s="102">
        <v>146553</v>
      </c>
      <c r="AC63" s="104"/>
      <c r="AD63" s="102"/>
      <c r="AE63" s="104"/>
      <c r="AF63" s="101"/>
      <c r="AG63" s="102">
        <v>415011</v>
      </c>
      <c r="AH63" s="102">
        <v>1081148</v>
      </c>
      <c r="AI63" s="104"/>
      <c r="AJ63" s="104"/>
      <c r="AK63" s="102"/>
      <c r="AL63" s="104"/>
      <c r="AM63" s="101"/>
      <c r="AN63" s="102">
        <v>224803</v>
      </c>
      <c r="AO63" s="102"/>
      <c r="AP63" s="103"/>
    </row>
    <row r="64" spans="1:42" x14ac:dyDescent="0.25">
      <c r="A64" s="40">
        <v>46054</v>
      </c>
      <c r="B64" s="101"/>
      <c r="C64" s="102">
        <v>196652</v>
      </c>
      <c r="D64" s="102">
        <v>371313</v>
      </c>
      <c r="E64" s="104"/>
      <c r="F64" s="104"/>
      <c r="G64" s="102"/>
      <c r="H64" s="104"/>
      <c r="I64" s="101"/>
      <c r="J64" s="102">
        <v>2059</v>
      </c>
      <c r="K64" s="102"/>
      <c r="L64" s="104"/>
      <c r="M64" s="104"/>
      <c r="N64" s="102"/>
      <c r="O64" s="104"/>
      <c r="P64" s="101"/>
      <c r="Q64" s="102">
        <v>189120</v>
      </c>
      <c r="R64" s="102">
        <v>984693</v>
      </c>
      <c r="S64" s="104">
        <v>148936</v>
      </c>
      <c r="T64" s="104"/>
      <c r="U64" s="102"/>
      <c r="V64" s="104"/>
      <c r="W64" s="101"/>
      <c r="X64" s="102">
        <v>88705</v>
      </c>
      <c r="Y64" s="102"/>
      <c r="Z64" s="104"/>
      <c r="AA64" s="101"/>
      <c r="AB64" s="102">
        <v>82751</v>
      </c>
      <c r="AC64" s="104"/>
      <c r="AD64" s="102"/>
      <c r="AE64" s="104"/>
      <c r="AF64" s="101"/>
      <c r="AG64" s="102">
        <v>316791</v>
      </c>
      <c r="AH64" s="102">
        <v>1081148</v>
      </c>
      <c r="AI64" s="104"/>
      <c r="AJ64" s="104"/>
      <c r="AK64" s="102"/>
      <c r="AL64" s="104"/>
      <c r="AM64" s="101"/>
      <c r="AN64" s="102">
        <v>231915</v>
      </c>
      <c r="AO64" s="102"/>
      <c r="AP64" s="103"/>
    </row>
    <row r="65" spans="1:42" x14ac:dyDescent="0.25">
      <c r="A65" s="40">
        <v>46082</v>
      </c>
      <c r="B65" s="101"/>
      <c r="C65" s="102">
        <v>190600</v>
      </c>
      <c r="D65" s="102">
        <v>985148</v>
      </c>
      <c r="E65" s="104"/>
      <c r="F65" s="104"/>
      <c r="G65" s="102"/>
      <c r="H65" s="104"/>
      <c r="I65" s="101"/>
      <c r="J65" s="102">
        <v>2153</v>
      </c>
      <c r="K65" s="102"/>
      <c r="L65" s="104"/>
      <c r="M65" s="104"/>
      <c r="N65" s="102"/>
      <c r="O65" s="104"/>
      <c r="P65" s="101"/>
      <c r="Q65" s="102">
        <v>256209</v>
      </c>
      <c r="R65" s="102">
        <v>729402</v>
      </c>
      <c r="S65" s="104" t="s">
        <v>45</v>
      </c>
      <c r="T65" s="104"/>
      <c r="U65" s="102"/>
      <c r="V65" s="104"/>
      <c r="W65" s="101"/>
      <c r="X65" s="102">
        <v>89085</v>
      </c>
      <c r="Y65" s="102"/>
      <c r="Z65" s="104"/>
      <c r="AA65" s="101"/>
      <c r="AB65" s="102">
        <v>262310</v>
      </c>
      <c r="AC65" s="104"/>
      <c r="AD65" s="102"/>
      <c r="AE65" s="104"/>
      <c r="AF65" s="101"/>
      <c r="AG65" s="102">
        <v>419249</v>
      </c>
      <c r="AH65" s="102">
        <v>1621722</v>
      </c>
      <c r="AI65" s="104">
        <v>205128</v>
      </c>
      <c r="AJ65" s="104"/>
      <c r="AK65" s="102"/>
      <c r="AL65" s="104"/>
      <c r="AM65" s="101"/>
      <c r="AN65" s="102">
        <v>215074</v>
      </c>
      <c r="AO65" s="102"/>
      <c r="AP65" s="103"/>
    </row>
    <row r="66" spans="1:42" x14ac:dyDescent="0.25">
      <c r="A66" s="40">
        <v>46113</v>
      </c>
      <c r="B66" s="101"/>
      <c r="C66" s="102">
        <v>149202</v>
      </c>
      <c r="D66" s="102" t="s">
        <v>45</v>
      </c>
      <c r="E66" s="104"/>
      <c r="F66" s="104"/>
      <c r="G66" s="102"/>
      <c r="H66" s="104"/>
      <c r="I66" s="101"/>
      <c r="J66" s="102">
        <v>1796</v>
      </c>
      <c r="K66" s="102"/>
      <c r="L66" s="104"/>
      <c r="M66" s="104"/>
      <c r="N66" s="102"/>
      <c r="O66" s="104"/>
      <c r="P66" s="101"/>
      <c r="Q66" s="102">
        <v>202833</v>
      </c>
      <c r="R66" s="102">
        <v>729402</v>
      </c>
      <c r="S66" s="104" t="s">
        <v>45</v>
      </c>
      <c r="T66" s="104"/>
      <c r="U66" s="102"/>
      <c r="V66" s="104"/>
      <c r="W66" s="101"/>
      <c r="X66" s="102">
        <v>89761</v>
      </c>
      <c r="Y66" s="102"/>
      <c r="Z66" s="104"/>
      <c r="AA66" s="101"/>
      <c r="AB66" s="102">
        <v>185568</v>
      </c>
      <c r="AC66" s="104"/>
      <c r="AD66" s="102"/>
      <c r="AE66" s="104"/>
      <c r="AF66" s="101"/>
      <c r="AG66" s="102">
        <v>336277</v>
      </c>
      <c r="AH66" s="102">
        <v>1621722</v>
      </c>
      <c r="AI66" s="104">
        <v>164103</v>
      </c>
      <c r="AJ66" s="104"/>
      <c r="AK66" s="102"/>
      <c r="AL66" s="104"/>
      <c r="AM66" s="101"/>
      <c r="AN66" s="102">
        <v>226155</v>
      </c>
      <c r="AO66" s="102"/>
      <c r="AP66" s="103"/>
    </row>
    <row r="67" spans="1:42" x14ac:dyDescent="0.25">
      <c r="A67" s="40">
        <v>46143</v>
      </c>
      <c r="B67" s="101"/>
      <c r="C67" s="102">
        <v>158391</v>
      </c>
      <c r="D67" s="102"/>
      <c r="E67" s="104"/>
      <c r="F67" s="104"/>
      <c r="G67" s="102"/>
      <c r="H67" s="104"/>
      <c r="I67" s="101"/>
      <c r="J67" s="102">
        <v>1796</v>
      </c>
      <c r="K67" s="102"/>
      <c r="L67" s="104"/>
      <c r="M67" s="104"/>
      <c r="N67" s="102"/>
      <c r="O67" s="104"/>
      <c r="P67" s="101"/>
      <c r="Q67" s="102">
        <v>218049</v>
      </c>
      <c r="R67" s="102">
        <v>911753</v>
      </c>
      <c r="S67" s="104"/>
      <c r="T67" s="104"/>
      <c r="U67" s="102"/>
      <c r="V67" s="104"/>
      <c r="W67" s="101"/>
      <c r="X67" s="102">
        <v>91254</v>
      </c>
      <c r="Y67" s="102"/>
      <c r="Z67" s="104"/>
      <c r="AA67" s="101"/>
      <c r="AB67" s="102">
        <v>90787</v>
      </c>
      <c r="AC67" s="104"/>
      <c r="AD67" s="102"/>
      <c r="AE67" s="104"/>
      <c r="AF67" s="101"/>
      <c r="AG67" s="102">
        <v>295161</v>
      </c>
      <c r="AH67" s="102">
        <v>1621722</v>
      </c>
      <c r="AI67" s="104"/>
      <c r="AJ67" s="104"/>
      <c r="AK67" s="102"/>
      <c r="AL67" s="104"/>
      <c r="AM67" s="101"/>
      <c r="AN67" s="102">
        <v>432293</v>
      </c>
      <c r="AO67" s="102"/>
      <c r="AP67" s="103"/>
    </row>
    <row r="68" spans="1:42" x14ac:dyDescent="0.25">
      <c r="A68" s="40">
        <v>46174</v>
      </c>
      <c r="B68" s="101"/>
      <c r="C68" s="102">
        <v>163064</v>
      </c>
      <c r="D68" s="102"/>
      <c r="E68" s="104"/>
      <c r="F68" s="104"/>
      <c r="G68" s="102"/>
      <c r="H68" s="104"/>
      <c r="I68" s="101"/>
      <c r="J68" s="102">
        <v>1796</v>
      </c>
      <c r="K68" s="102"/>
      <c r="L68" s="104"/>
      <c r="M68" s="104"/>
      <c r="N68" s="102"/>
      <c r="O68" s="104"/>
      <c r="P68" s="101"/>
      <c r="Q68" s="102">
        <v>221372</v>
      </c>
      <c r="R68" s="102">
        <v>911753</v>
      </c>
      <c r="S68" s="104"/>
      <c r="T68" s="104"/>
      <c r="U68" s="102"/>
      <c r="V68" s="104"/>
      <c r="W68" s="101"/>
      <c r="X68" s="102">
        <v>111142</v>
      </c>
      <c r="Y68" s="102"/>
      <c r="Z68" s="104"/>
      <c r="AA68" s="101"/>
      <c r="AB68" s="102">
        <v>124863</v>
      </c>
      <c r="AC68" s="104"/>
      <c r="AD68" s="102"/>
      <c r="AE68" s="104"/>
      <c r="AF68" s="101"/>
      <c r="AG68" s="102">
        <v>360216</v>
      </c>
      <c r="AH68" s="102">
        <v>1621722</v>
      </c>
      <c r="AI68" s="104"/>
      <c r="AJ68" s="104"/>
      <c r="AK68" s="102"/>
      <c r="AL68" s="104"/>
      <c r="AM68" s="101"/>
      <c r="AN68" s="102">
        <v>369900</v>
      </c>
      <c r="AO68" s="102"/>
      <c r="AP68" s="103"/>
    </row>
    <row r="69" spans="1:42" x14ac:dyDescent="0.25">
      <c r="A69" s="40">
        <v>46204</v>
      </c>
      <c r="B69" s="101"/>
      <c r="C69" s="102">
        <v>128658</v>
      </c>
      <c r="D69" s="102"/>
      <c r="E69" s="104"/>
      <c r="F69" s="104"/>
      <c r="G69" s="102"/>
      <c r="H69" s="104"/>
      <c r="I69" s="101"/>
      <c r="J69" s="102">
        <v>1796</v>
      </c>
      <c r="K69" s="102"/>
      <c r="L69" s="104"/>
      <c r="M69" s="104"/>
      <c r="N69" s="102"/>
      <c r="O69" s="104"/>
      <c r="P69" s="101"/>
      <c r="Q69" s="102">
        <v>553738</v>
      </c>
      <c r="R69" s="102">
        <v>911753</v>
      </c>
      <c r="S69" s="104"/>
      <c r="T69" s="104"/>
      <c r="U69" s="102"/>
      <c r="V69" s="104"/>
      <c r="W69" s="101"/>
      <c r="X69" s="102">
        <v>95634</v>
      </c>
      <c r="Y69" s="102"/>
      <c r="Z69" s="104"/>
      <c r="AA69" s="101"/>
      <c r="AB69" s="102">
        <v>101893</v>
      </c>
      <c r="AC69" s="104"/>
      <c r="AD69" s="102"/>
      <c r="AE69" s="104"/>
      <c r="AF69" s="101"/>
      <c r="AG69" s="102">
        <v>381626</v>
      </c>
      <c r="AH69" s="102">
        <v>1621722</v>
      </c>
      <c r="AI69" s="104"/>
      <c r="AJ69" s="104"/>
      <c r="AK69" s="102"/>
      <c r="AL69" s="104"/>
      <c r="AM69" s="101"/>
      <c r="AN69" s="102">
        <v>742240</v>
      </c>
      <c r="AO69" s="102"/>
      <c r="AP69" s="103"/>
    </row>
    <row r="70" spans="1:42" x14ac:dyDescent="0.25">
      <c r="A70" s="40">
        <v>46235</v>
      </c>
      <c r="B70" s="101"/>
      <c r="C70" s="102">
        <v>432380</v>
      </c>
      <c r="D70" s="102"/>
      <c r="E70" s="104"/>
      <c r="F70" s="104"/>
      <c r="G70" s="102"/>
      <c r="H70" s="104"/>
      <c r="I70" s="101"/>
      <c r="J70" s="102">
        <v>1796</v>
      </c>
      <c r="K70" s="102"/>
      <c r="L70" s="104"/>
      <c r="M70" s="104"/>
      <c r="N70" s="102"/>
      <c r="O70" s="104"/>
      <c r="P70" s="101"/>
      <c r="Q70" s="102">
        <v>317105</v>
      </c>
      <c r="R70" s="102">
        <v>911753</v>
      </c>
      <c r="S70" s="104"/>
      <c r="T70" s="104"/>
      <c r="U70" s="102"/>
      <c r="V70" s="104"/>
      <c r="W70" s="101"/>
      <c r="X70" s="102">
        <v>97346</v>
      </c>
      <c r="Y70" s="102"/>
      <c r="Z70" s="104"/>
      <c r="AA70" s="101"/>
      <c r="AB70" s="102">
        <v>82751</v>
      </c>
      <c r="AC70" s="104">
        <v>2695286</v>
      </c>
      <c r="AD70" s="102"/>
      <c r="AE70" s="104"/>
      <c r="AF70" s="101"/>
      <c r="AG70" s="102">
        <v>302622</v>
      </c>
      <c r="AH70" s="102">
        <v>1621722</v>
      </c>
      <c r="AI70" s="104"/>
      <c r="AJ70" s="104"/>
      <c r="AK70" s="102"/>
      <c r="AL70" s="104"/>
      <c r="AM70" s="101"/>
      <c r="AN70" s="102">
        <v>254784</v>
      </c>
      <c r="AO70" s="102"/>
      <c r="AP70" s="103"/>
    </row>
    <row r="71" spans="1:42" x14ac:dyDescent="0.25">
      <c r="A71" s="40">
        <v>46266</v>
      </c>
      <c r="B71" s="101"/>
      <c r="C71" s="102">
        <v>459696</v>
      </c>
      <c r="D71" s="102"/>
      <c r="E71" s="104"/>
      <c r="F71" s="104"/>
      <c r="G71" s="102"/>
      <c r="H71" s="104"/>
      <c r="I71" s="101"/>
      <c r="J71" s="102">
        <v>1796</v>
      </c>
      <c r="K71" s="102"/>
      <c r="L71" s="104"/>
      <c r="M71" s="104"/>
      <c r="N71" s="102"/>
      <c r="O71" s="104"/>
      <c r="P71" s="101"/>
      <c r="Q71" s="102">
        <v>202828</v>
      </c>
      <c r="R71" s="102">
        <v>911753</v>
      </c>
      <c r="S71" s="104"/>
      <c r="T71" s="104"/>
      <c r="U71" s="102"/>
      <c r="V71" s="104"/>
      <c r="W71" s="101"/>
      <c r="X71" s="102">
        <v>98315</v>
      </c>
      <c r="Y71" s="102"/>
      <c r="Z71" s="104"/>
      <c r="AA71" s="101"/>
      <c r="AB71" s="102">
        <v>82751</v>
      </c>
      <c r="AC71" s="104">
        <v>2695286</v>
      </c>
      <c r="AD71" s="102"/>
      <c r="AE71" s="104"/>
      <c r="AF71" s="101"/>
      <c r="AG71" s="102">
        <v>276582</v>
      </c>
      <c r="AH71" s="102">
        <v>1621722</v>
      </c>
      <c r="AI71" s="104"/>
      <c r="AJ71" s="104"/>
      <c r="AK71" s="102"/>
      <c r="AL71" s="104"/>
      <c r="AM71" s="101"/>
      <c r="AN71" s="102">
        <v>285230</v>
      </c>
      <c r="AO71" s="102"/>
      <c r="AP71" s="103"/>
    </row>
    <row r="72" spans="1:42" x14ac:dyDescent="0.25">
      <c r="A72" s="40">
        <v>46296</v>
      </c>
      <c r="B72" s="101"/>
      <c r="C72" s="102">
        <v>128929</v>
      </c>
      <c r="D72" s="102"/>
      <c r="E72" s="104"/>
      <c r="F72" s="104"/>
      <c r="G72" s="102"/>
      <c r="H72" s="104"/>
      <c r="I72" s="101"/>
      <c r="J72" s="102">
        <v>1796</v>
      </c>
      <c r="K72" s="102"/>
      <c r="L72" s="104"/>
      <c r="M72" s="104"/>
      <c r="N72" s="102"/>
      <c r="O72" s="104"/>
      <c r="P72" s="101"/>
      <c r="Q72" s="102">
        <v>198013</v>
      </c>
      <c r="R72" s="102">
        <v>911753</v>
      </c>
      <c r="S72" s="104"/>
      <c r="T72" s="104"/>
      <c r="U72" s="102"/>
      <c r="V72" s="104"/>
      <c r="W72" s="101"/>
      <c r="X72" s="102">
        <v>98983</v>
      </c>
      <c r="Y72" s="102"/>
      <c r="Z72" s="104"/>
      <c r="AA72" s="101"/>
      <c r="AB72" s="102">
        <v>82751</v>
      </c>
      <c r="AC72" s="104">
        <v>2695286</v>
      </c>
      <c r="AD72" s="102"/>
      <c r="AE72" s="104"/>
      <c r="AF72" s="101"/>
      <c r="AG72" s="102">
        <v>1404421</v>
      </c>
      <c r="AH72" s="102">
        <v>1621722</v>
      </c>
      <c r="AI72" s="104"/>
      <c r="AJ72" s="104"/>
      <c r="AK72" s="102"/>
      <c r="AL72" s="104"/>
      <c r="AM72" s="101"/>
      <c r="AN72" s="102">
        <v>281965</v>
      </c>
      <c r="AO72" s="102"/>
      <c r="AP72" s="103"/>
    </row>
    <row r="73" spans="1:42" x14ac:dyDescent="0.25">
      <c r="A73" s="40">
        <v>46327</v>
      </c>
      <c r="B73" s="101"/>
      <c r="C73" s="102">
        <v>21390</v>
      </c>
      <c r="D73" s="102"/>
      <c r="E73" s="104"/>
      <c r="F73" s="104"/>
      <c r="G73" s="102"/>
      <c r="H73" s="104"/>
      <c r="I73" s="101"/>
      <c r="J73" s="102">
        <v>1796</v>
      </c>
      <c r="K73" s="102"/>
      <c r="L73" s="104"/>
      <c r="M73" s="104"/>
      <c r="N73" s="102"/>
      <c r="O73" s="104"/>
      <c r="P73" s="101"/>
      <c r="Q73" s="102">
        <v>208674</v>
      </c>
      <c r="R73" s="102">
        <v>911753</v>
      </c>
      <c r="S73" s="104"/>
      <c r="T73" s="104"/>
      <c r="U73" s="102"/>
      <c r="V73" s="104"/>
      <c r="W73" s="101"/>
      <c r="X73" s="102">
        <v>100463</v>
      </c>
      <c r="Y73" s="102"/>
      <c r="Z73" s="104"/>
      <c r="AA73" s="101"/>
      <c r="AB73" s="102">
        <v>80901</v>
      </c>
      <c r="AC73" s="104">
        <v>2695286</v>
      </c>
      <c r="AD73" s="102"/>
      <c r="AE73" s="104"/>
      <c r="AF73" s="101"/>
      <c r="AG73" s="102">
        <v>308532</v>
      </c>
      <c r="AH73" s="102">
        <v>1216292</v>
      </c>
      <c r="AI73" s="104"/>
      <c r="AJ73" s="104"/>
      <c r="AK73" s="102"/>
      <c r="AL73" s="104"/>
      <c r="AM73" s="101"/>
      <c r="AN73" s="102">
        <v>253816</v>
      </c>
      <c r="AO73" s="102"/>
      <c r="AP73" s="103"/>
    </row>
    <row r="74" spans="1:42" x14ac:dyDescent="0.25">
      <c r="A74" s="40">
        <v>46357</v>
      </c>
      <c r="B74" s="101"/>
      <c r="C74" s="102">
        <v>29191</v>
      </c>
      <c r="D74" s="102"/>
      <c r="E74" s="104"/>
      <c r="F74" s="104"/>
      <c r="G74" s="102"/>
      <c r="H74" s="104"/>
      <c r="I74" s="101"/>
      <c r="J74" s="102">
        <v>1909</v>
      </c>
      <c r="K74" s="102"/>
      <c r="L74" s="104"/>
      <c r="M74" s="104"/>
      <c r="N74" s="102"/>
      <c r="O74" s="104"/>
      <c r="P74" s="101"/>
      <c r="Q74" s="102">
        <v>677780</v>
      </c>
      <c r="R74" s="102">
        <v>911753</v>
      </c>
      <c r="S74" s="104"/>
      <c r="T74" s="104"/>
      <c r="U74" s="102"/>
      <c r="V74" s="104"/>
      <c r="W74" s="101"/>
      <c r="X74" s="102">
        <v>769598</v>
      </c>
      <c r="Y74" s="102"/>
      <c r="Z74" s="104"/>
      <c r="AA74" s="101"/>
      <c r="AB74" s="102">
        <v>209858</v>
      </c>
      <c r="AC74" s="104">
        <v>2695286</v>
      </c>
      <c r="AD74" s="102"/>
      <c r="AE74" s="104"/>
      <c r="AF74" s="101"/>
      <c r="AG74" s="102">
        <v>452852</v>
      </c>
      <c r="AH74" s="102">
        <v>1216292</v>
      </c>
      <c r="AI74" s="104"/>
      <c r="AJ74" s="104"/>
      <c r="AK74" s="102"/>
      <c r="AL74" s="104"/>
      <c r="AM74" s="101"/>
      <c r="AN74" s="102">
        <v>813260</v>
      </c>
      <c r="AO74" s="102"/>
      <c r="AP74" s="103"/>
    </row>
    <row r="75" spans="1:42" x14ac:dyDescent="0.25">
      <c r="A75" s="40">
        <v>46388</v>
      </c>
      <c r="B75" s="101"/>
      <c r="C75" s="102">
        <v>9509</v>
      </c>
      <c r="D75" s="102"/>
      <c r="E75" s="104"/>
      <c r="F75" s="104"/>
      <c r="G75" s="102"/>
      <c r="H75" s="104"/>
      <c r="I75" s="101"/>
      <c r="J75" s="102">
        <v>1796</v>
      </c>
      <c r="K75" s="102"/>
      <c r="L75" s="104"/>
      <c r="M75" s="104"/>
      <c r="N75" s="102"/>
      <c r="O75" s="104"/>
      <c r="P75" s="101"/>
      <c r="Q75" s="102">
        <v>212201</v>
      </c>
      <c r="R75" s="102">
        <v>729402</v>
      </c>
      <c r="S75" s="104"/>
      <c r="T75" s="104"/>
      <c r="U75" s="102"/>
      <c r="V75" s="104"/>
      <c r="W75" s="101"/>
      <c r="X75" s="102">
        <v>105699</v>
      </c>
      <c r="Y75" s="102"/>
      <c r="Z75" s="104"/>
      <c r="AA75" s="101"/>
      <c r="AB75" s="102">
        <v>185357</v>
      </c>
      <c r="AC75" s="104"/>
      <c r="AD75" s="102"/>
      <c r="AE75" s="104"/>
      <c r="AF75" s="101"/>
      <c r="AG75" s="102">
        <v>51436</v>
      </c>
      <c r="AH75" s="102">
        <v>1216292</v>
      </c>
      <c r="AI75" s="104"/>
      <c r="AJ75" s="104"/>
      <c r="AK75" s="102"/>
      <c r="AL75" s="104"/>
      <c r="AM75" s="101"/>
      <c r="AN75" s="102">
        <v>292055</v>
      </c>
      <c r="AO75" s="102"/>
      <c r="AP75" s="103"/>
    </row>
    <row r="76" spans="1:42" x14ac:dyDescent="0.25">
      <c r="A76" s="40">
        <v>46419</v>
      </c>
      <c r="B76" s="101"/>
      <c r="C76" s="102">
        <v>11193</v>
      </c>
      <c r="D76" s="102"/>
      <c r="E76" s="104"/>
      <c r="F76" s="104"/>
      <c r="G76" s="102"/>
      <c r="H76" s="104"/>
      <c r="I76" s="101"/>
      <c r="J76" s="102">
        <v>1796</v>
      </c>
      <c r="K76" s="102"/>
      <c r="L76" s="104"/>
      <c r="M76" s="104"/>
      <c r="N76" s="102"/>
      <c r="O76" s="104"/>
      <c r="P76" s="101"/>
      <c r="Q76" s="102">
        <v>198026</v>
      </c>
      <c r="R76" s="102">
        <v>729402</v>
      </c>
      <c r="S76" s="104"/>
      <c r="T76" s="104"/>
      <c r="U76" s="102"/>
      <c r="V76" s="104"/>
      <c r="W76" s="101"/>
      <c r="X76" s="102">
        <v>105206</v>
      </c>
      <c r="Y76" s="102"/>
      <c r="Z76" s="104"/>
      <c r="AA76" s="101"/>
      <c r="AB76" s="102">
        <v>1266146</v>
      </c>
      <c r="AC76" s="104"/>
      <c r="AD76" s="102"/>
      <c r="AE76" s="104"/>
      <c r="AF76" s="101"/>
      <c r="AG76" s="102">
        <v>67827</v>
      </c>
      <c r="AH76" s="102">
        <v>1216292</v>
      </c>
      <c r="AI76" s="104"/>
      <c r="AJ76" s="104"/>
      <c r="AK76" s="102"/>
      <c r="AL76" s="104"/>
      <c r="AM76" s="101"/>
      <c r="AN76" s="102">
        <v>273100</v>
      </c>
      <c r="AO76" s="102"/>
      <c r="AP76" s="103"/>
    </row>
    <row r="77" spans="1:42" x14ac:dyDescent="0.25">
      <c r="A77" s="40">
        <v>46447</v>
      </c>
      <c r="B77" s="101"/>
      <c r="C77" s="102">
        <v>18437</v>
      </c>
      <c r="D77" s="102"/>
      <c r="E77" s="104"/>
      <c r="F77" s="104"/>
      <c r="G77" s="102"/>
      <c r="H77" s="104"/>
      <c r="I77" s="101"/>
      <c r="J77" s="102">
        <v>2210</v>
      </c>
      <c r="K77" s="102"/>
      <c r="L77" s="104"/>
      <c r="M77" s="104"/>
      <c r="N77" s="102"/>
      <c r="O77" s="104"/>
      <c r="P77" s="101"/>
      <c r="Q77" s="102">
        <v>216721</v>
      </c>
      <c r="R77" s="102">
        <v>729402</v>
      </c>
      <c r="S77" s="104"/>
      <c r="T77" s="104"/>
      <c r="U77" s="102"/>
      <c r="V77" s="104"/>
      <c r="W77" s="101"/>
      <c r="X77" s="102">
        <v>107013</v>
      </c>
      <c r="Y77" s="102"/>
      <c r="Z77" s="104"/>
      <c r="AA77" s="101"/>
      <c r="AB77" s="102">
        <v>91177</v>
      </c>
      <c r="AC77" s="104"/>
      <c r="AD77" s="102"/>
      <c r="AE77" s="104"/>
      <c r="AF77" s="101"/>
      <c r="AG77" s="102">
        <v>32553</v>
      </c>
      <c r="AH77" s="102">
        <v>2940616</v>
      </c>
      <c r="AI77" s="104"/>
      <c r="AJ77" s="104"/>
      <c r="AK77" s="102"/>
      <c r="AL77" s="104"/>
      <c r="AM77" s="101"/>
      <c r="AN77" s="102">
        <v>288860</v>
      </c>
      <c r="AO77" s="102"/>
      <c r="AP77" s="103"/>
    </row>
    <row r="78" spans="1:42" x14ac:dyDescent="0.25">
      <c r="A78" s="40">
        <v>46478</v>
      </c>
      <c r="B78" s="101"/>
      <c r="C78" s="102">
        <v>8630</v>
      </c>
      <c r="D78" s="102"/>
      <c r="E78" s="104"/>
      <c r="F78" s="104"/>
      <c r="G78" s="102"/>
      <c r="H78" s="104"/>
      <c r="I78" s="101"/>
      <c r="J78" s="102">
        <v>924</v>
      </c>
      <c r="K78" s="102"/>
      <c r="L78" s="104"/>
      <c r="M78" s="104"/>
      <c r="N78" s="102"/>
      <c r="O78" s="104"/>
      <c r="P78" s="101"/>
      <c r="Q78" s="102">
        <v>201235</v>
      </c>
      <c r="R78" s="102">
        <v>547052</v>
      </c>
      <c r="S78" s="104"/>
      <c r="T78" s="104"/>
      <c r="U78" s="102"/>
      <c r="V78" s="104"/>
      <c r="W78" s="101"/>
      <c r="X78" s="102">
        <v>108470</v>
      </c>
      <c r="Y78" s="102"/>
      <c r="Z78" s="104"/>
      <c r="AA78" s="101"/>
      <c r="AB78" s="102">
        <v>16867</v>
      </c>
      <c r="AC78" s="104"/>
      <c r="AD78" s="102"/>
      <c r="AE78" s="104"/>
      <c r="AF78" s="101"/>
      <c r="AG78" s="102">
        <v>29847</v>
      </c>
      <c r="AH78" s="102">
        <v>1924550</v>
      </c>
      <c r="AI78" s="104"/>
      <c r="AJ78" s="104"/>
      <c r="AK78" s="102"/>
      <c r="AL78" s="104"/>
      <c r="AM78" s="101"/>
      <c r="AN78" s="102">
        <v>288143</v>
      </c>
      <c r="AO78" s="102"/>
      <c r="AP78" s="103"/>
    </row>
    <row r="79" spans="1:42" x14ac:dyDescent="0.25">
      <c r="A79" s="40">
        <v>46508</v>
      </c>
      <c r="B79" s="101"/>
      <c r="C79" s="102">
        <v>9032</v>
      </c>
      <c r="D79" s="102"/>
      <c r="E79" s="104"/>
      <c r="F79" s="104"/>
      <c r="G79" s="102"/>
      <c r="H79" s="104"/>
      <c r="I79" s="101"/>
      <c r="J79" s="102">
        <v>924</v>
      </c>
      <c r="K79" s="102"/>
      <c r="L79" s="104"/>
      <c r="M79" s="104"/>
      <c r="N79" s="102"/>
      <c r="O79" s="104"/>
      <c r="P79" s="101"/>
      <c r="Q79" s="102">
        <v>190188</v>
      </c>
      <c r="R79" s="102">
        <v>1424313</v>
      </c>
      <c r="S79" s="104"/>
      <c r="T79" s="104"/>
      <c r="U79" s="102"/>
      <c r="V79" s="104"/>
      <c r="W79" s="101"/>
      <c r="X79" s="102">
        <v>107983</v>
      </c>
      <c r="Y79" s="102"/>
      <c r="Z79" s="104"/>
      <c r="AA79" s="101"/>
      <c r="AB79" s="102">
        <v>39232</v>
      </c>
      <c r="AC79" s="104"/>
      <c r="AD79" s="102"/>
      <c r="AE79" s="104"/>
      <c r="AF79" s="101"/>
      <c r="AG79" s="102">
        <v>21569</v>
      </c>
      <c r="AH79" s="102" t="s">
        <v>45</v>
      </c>
      <c r="AI79" s="104"/>
      <c r="AJ79" s="104"/>
      <c r="AK79" s="102"/>
      <c r="AL79" s="104"/>
      <c r="AM79" s="101"/>
      <c r="AN79" s="102">
        <v>493906</v>
      </c>
      <c r="AO79" s="102"/>
      <c r="AP79" s="103"/>
    </row>
    <row r="80" spans="1:42" x14ac:dyDescent="0.25">
      <c r="A80" s="40">
        <v>46539</v>
      </c>
      <c r="B80" s="101"/>
      <c r="C80" s="102">
        <v>14257</v>
      </c>
      <c r="D80" s="102"/>
      <c r="E80" s="104"/>
      <c r="F80" s="104"/>
      <c r="G80" s="102"/>
      <c r="H80" s="104"/>
      <c r="I80" s="101"/>
      <c r="J80" s="102">
        <v>924</v>
      </c>
      <c r="K80" s="102"/>
      <c r="L80" s="104"/>
      <c r="M80" s="104"/>
      <c r="N80" s="102"/>
      <c r="O80" s="104"/>
      <c r="P80" s="101"/>
      <c r="Q80" s="102">
        <v>367598</v>
      </c>
      <c r="R80" s="102">
        <v>1234950</v>
      </c>
      <c r="S80" s="104"/>
      <c r="T80" s="104"/>
      <c r="U80" s="102"/>
      <c r="V80" s="104"/>
      <c r="W80" s="101"/>
      <c r="X80" s="102">
        <v>162030</v>
      </c>
      <c r="Y80" s="102"/>
      <c r="Z80" s="104"/>
      <c r="AA80" s="101"/>
      <c r="AB80" s="102">
        <v>4843</v>
      </c>
      <c r="AC80" s="104"/>
      <c r="AD80" s="102"/>
      <c r="AE80" s="104"/>
      <c r="AF80" s="101"/>
      <c r="AG80" s="102">
        <v>19047</v>
      </c>
      <c r="AH80" s="102"/>
      <c r="AI80" s="104"/>
      <c r="AJ80" s="104"/>
      <c r="AK80" s="102"/>
      <c r="AL80" s="104"/>
      <c r="AM80" s="101"/>
      <c r="AN80" s="102">
        <v>360051</v>
      </c>
      <c r="AO80" s="102"/>
      <c r="AP80" s="103"/>
    </row>
    <row r="81" spans="1:42" x14ac:dyDescent="0.25">
      <c r="A81" s="40">
        <v>46569</v>
      </c>
      <c r="B81" s="101"/>
      <c r="C81" s="102">
        <v>5458</v>
      </c>
      <c r="D81" s="102"/>
      <c r="E81" s="104"/>
      <c r="F81" s="104"/>
      <c r="G81" s="102"/>
      <c r="H81" s="104"/>
      <c r="I81" s="101"/>
      <c r="J81" s="102">
        <v>924</v>
      </c>
      <c r="K81" s="102"/>
      <c r="L81" s="104"/>
      <c r="M81" s="104"/>
      <c r="N81" s="102"/>
      <c r="O81" s="104"/>
      <c r="P81" s="101"/>
      <c r="Q81" s="102">
        <v>1291991</v>
      </c>
      <c r="R81" s="102"/>
      <c r="S81" s="104"/>
      <c r="T81" s="104"/>
      <c r="U81" s="102"/>
      <c r="V81" s="104"/>
      <c r="W81" s="101"/>
      <c r="X81" s="102">
        <v>109480</v>
      </c>
      <c r="Y81" s="102"/>
      <c r="Z81" s="104"/>
      <c r="AA81" s="101"/>
      <c r="AB81" s="102">
        <v>4843</v>
      </c>
      <c r="AC81" s="104"/>
      <c r="AD81" s="102"/>
      <c r="AE81" s="104"/>
      <c r="AF81" s="101"/>
      <c r="AG81" s="102">
        <v>5015</v>
      </c>
      <c r="AH81" s="102"/>
      <c r="AI81" s="104"/>
      <c r="AJ81" s="104"/>
      <c r="AK81" s="102"/>
      <c r="AL81" s="104"/>
      <c r="AM81" s="101"/>
      <c r="AN81" s="102">
        <v>821462</v>
      </c>
      <c r="AO81" s="102"/>
      <c r="AP81" s="103"/>
    </row>
    <row r="82" spans="1:42" x14ac:dyDescent="0.25">
      <c r="A82" s="40">
        <v>46600</v>
      </c>
      <c r="B82" s="101"/>
      <c r="C82" s="102">
        <v>5345</v>
      </c>
      <c r="D82" s="102"/>
      <c r="E82" s="104"/>
      <c r="F82" s="104"/>
      <c r="G82" s="102"/>
      <c r="H82" s="104"/>
      <c r="I82" s="101"/>
      <c r="J82" s="102">
        <v>1223</v>
      </c>
      <c r="K82" s="102"/>
      <c r="L82" s="104"/>
      <c r="M82" s="104"/>
      <c r="N82" s="102"/>
      <c r="O82" s="104"/>
      <c r="P82" s="101"/>
      <c r="Q82" s="102">
        <v>82744</v>
      </c>
      <c r="R82" s="102"/>
      <c r="S82" s="104"/>
      <c r="T82" s="104"/>
      <c r="U82" s="102"/>
      <c r="V82" s="104"/>
      <c r="W82" s="101"/>
      <c r="X82" s="102">
        <v>110341</v>
      </c>
      <c r="Y82" s="102"/>
      <c r="Z82" s="104"/>
      <c r="AA82" s="101"/>
      <c r="AB82" s="102" t="s">
        <v>45</v>
      </c>
      <c r="AC82" s="104"/>
      <c r="AD82" s="102"/>
      <c r="AE82" s="104"/>
      <c r="AF82" s="101"/>
      <c r="AG82" s="102">
        <v>1638</v>
      </c>
      <c r="AH82" s="102"/>
      <c r="AI82" s="104"/>
      <c r="AJ82" s="104"/>
      <c r="AK82" s="102"/>
      <c r="AL82" s="104"/>
      <c r="AM82" s="101"/>
      <c r="AN82" s="102">
        <v>285920</v>
      </c>
      <c r="AO82" s="102"/>
      <c r="AP82" s="103"/>
    </row>
    <row r="83" spans="1:42" x14ac:dyDescent="0.25">
      <c r="A83" s="40">
        <v>46631</v>
      </c>
      <c r="B83" s="101"/>
      <c r="C83" s="102">
        <v>5232</v>
      </c>
      <c r="D83" s="102"/>
      <c r="E83" s="104"/>
      <c r="F83" s="104"/>
      <c r="G83" s="102"/>
      <c r="H83" s="104"/>
      <c r="I83" s="101"/>
      <c r="J83" s="102"/>
      <c r="K83" s="102"/>
      <c r="L83" s="104"/>
      <c r="M83" s="104"/>
      <c r="N83" s="102"/>
      <c r="O83" s="104"/>
      <c r="P83" s="101"/>
      <c r="Q83" s="102">
        <v>63451</v>
      </c>
      <c r="R83" s="102"/>
      <c r="S83" s="104"/>
      <c r="T83" s="104"/>
      <c r="U83" s="102"/>
      <c r="V83" s="104"/>
      <c r="W83" s="101"/>
      <c r="X83" s="102">
        <v>110877</v>
      </c>
      <c r="Y83" s="102"/>
      <c r="Z83" s="104"/>
      <c r="AA83" s="101"/>
      <c r="AB83" s="102" t="s">
        <v>45</v>
      </c>
      <c r="AC83" s="104"/>
      <c r="AD83" s="102"/>
      <c r="AE83" s="104"/>
      <c r="AF83" s="101"/>
      <c r="AG83" s="102">
        <v>442</v>
      </c>
      <c r="AH83" s="102"/>
      <c r="AI83" s="104"/>
      <c r="AJ83" s="104"/>
      <c r="AK83" s="102"/>
      <c r="AL83" s="104"/>
      <c r="AM83" s="101"/>
      <c r="AN83" s="102">
        <v>311130</v>
      </c>
      <c r="AO83" s="102"/>
      <c r="AP83" s="103"/>
    </row>
    <row r="84" spans="1:42" x14ac:dyDescent="0.25">
      <c r="A84" s="40">
        <v>46661</v>
      </c>
      <c r="B84" s="101"/>
      <c r="C84" s="102">
        <v>4973</v>
      </c>
      <c r="D84" s="102"/>
      <c r="E84" s="104"/>
      <c r="F84" s="104"/>
      <c r="G84" s="102"/>
      <c r="H84" s="104"/>
      <c r="I84" s="101"/>
      <c r="J84" s="102"/>
      <c r="K84" s="102"/>
      <c r="L84" s="104"/>
      <c r="M84" s="104"/>
      <c r="N84" s="102"/>
      <c r="O84" s="104"/>
      <c r="P84" s="101"/>
      <c r="Q84" s="102">
        <v>41197</v>
      </c>
      <c r="R84" s="102"/>
      <c r="S84" s="104"/>
      <c r="T84" s="104"/>
      <c r="U84" s="102"/>
      <c r="V84" s="104"/>
      <c r="W84" s="101"/>
      <c r="X84" s="102">
        <v>110373</v>
      </c>
      <c r="Y84" s="102"/>
      <c r="Z84" s="104"/>
      <c r="AA84" s="101"/>
      <c r="AB84" s="102" t="s">
        <v>45</v>
      </c>
      <c r="AC84" s="104"/>
      <c r="AD84" s="102"/>
      <c r="AE84" s="104"/>
      <c r="AF84" s="101"/>
      <c r="AG84" s="102">
        <v>213</v>
      </c>
      <c r="AH84" s="102"/>
      <c r="AI84" s="104"/>
      <c r="AJ84" s="104"/>
      <c r="AK84" s="102"/>
      <c r="AL84" s="104"/>
      <c r="AM84" s="101"/>
      <c r="AN84" s="102">
        <v>307951</v>
      </c>
      <c r="AO84" s="102"/>
      <c r="AP84" s="103"/>
    </row>
    <row r="85" spans="1:42" x14ac:dyDescent="0.25">
      <c r="A85" s="40">
        <v>46692</v>
      </c>
      <c r="B85" s="101"/>
      <c r="C85" s="102">
        <v>5110</v>
      </c>
      <c r="D85" s="102"/>
      <c r="E85" s="104"/>
      <c r="F85" s="104"/>
      <c r="G85" s="102"/>
      <c r="H85" s="104"/>
      <c r="I85" s="101"/>
      <c r="J85" s="102"/>
      <c r="K85" s="102"/>
      <c r="L85" s="104"/>
      <c r="M85" s="104"/>
      <c r="N85" s="102"/>
      <c r="O85" s="104"/>
      <c r="P85" s="101"/>
      <c r="Q85" s="102">
        <v>3682</v>
      </c>
      <c r="R85" s="102"/>
      <c r="S85" s="104"/>
      <c r="T85" s="104"/>
      <c r="U85" s="102"/>
      <c r="V85" s="104"/>
      <c r="W85" s="101"/>
      <c r="X85" s="102">
        <v>110353</v>
      </c>
      <c r="Y85" s="102"/>
      <c r="Z85" s="104"/>
      <c r="AA85" s="101"/>
      <c r="AB85" s="102" t="s">
        <v>45</v>
      </c>
      <c r="AC85" s="104"/>
      <c r="AD85" s="102"/>
      <c r="AE85" s="104"/>
      <c r="AF85" s="101"/>
      <c r="AG85" s="102">
        <v>106</v>
      </c>
      <c r="AH85" s="102"/>
      <c r="AI85" s="104"/>
      <c r="AJ85" s="104"/>
      <c r="AK85" s="102"/>
      <c r="AL85" s="104"/>
      <c r="AM85" s="101"/>
      <c r="AN85" s="102">
        <v>278471</v>
      </c>
      <c r="AO85" s="102"/>
      <c r="AP85" s="103"/>
    </row>
    <row r="86" spans="1:42" x14ac:dyDescent="0.25">
      <c r="A86" s="40">
        <v>46722</v>
      </c>
      <c r="B86" s="101"/>
      <c r="C86" s="102">
        <v>4447</v>
      </c>
      <c r="D86" s="102"/>
      <c r="E86" s="104"/>
      <c r="F86" s="104"/>
      <c r="G86" s="102"/>
      <c r="H86" s="104"/>
      <c r="I86" s="101"/>
      <c r="J86" s="102"/>
      <c r="K86" s="102"/>
      <c r="L86" s="104"/>
      <c r="M86" s="104"/>
      <c r="N86" s="102"/>
      <c r="O86" s="104"/>
      <c r="P86" s="101"/>
      <c r="Q86" s="102">
        <v>3371</v>
      </c>
      <c r="R86" s="102"/>
      <c r="S86" s="104"/>
      <c r="T86" s="104"/>
      <c r="U86" s="102"/>
      <c r="V86" s="104"/>
      <c r="W86" s="101"/>
      <c r="X86" s="102">
        <v>772771</v>
      </c>
      <c r="Y86" s="102"/>
      <c r="Z86" s="104"/>
      <c r="AA86" s="101"/>
      <c r="AB86" s="102">
        <v>105</v>
      </c>
      <c r="AC86" s="104"/>
      <c r="AD86" s="102"/>
      <c r="AE86" s="104"/>
      <c r="AF86" s="101"/>
      <c r="AG86" s="102">
        <v>1364</v>
      </c>
      <c r="AH86" s="102"/>
      <c r="AI86" s="104"/>
      <c r="AJ86" s="104"/>
      <c r="AK86" s="102"/>
      <c r="AL86" s="104"/>
      <c r="AM86" s="101"/>
      <c r="AN86" s="102">
        <v>899551</v>
      </c>
      <c r="AO86" s="102"/>
      <c r="AP86" s="103"/>
    </row>
    <row r="87" spans="1:42" x14ac:dyDescent="0.25">
      <c r="A87" s="40">
        <v>46753</v>
      </c>
      <c r="B87" s="101"/>
      <c r="C87" s="102">
        <v>5287</v>
      </c>
      <c r="D87" s="102"/>
      <c r="E87" s="104"/>
      <c r="F87" s="104"/>
      <c r="G87" s="102"/>
      <c r="H87" s="104"/>
      <c r="I87" s="101"/>
      <c r="J87" s="102"/>
      <c r="K87" s="102"/>
      <c r="L87" s="104"/>
      <c r="M87" s="104"/>
      <c r="N87" s="102"/>
      <c r="O87" s="104"/>
      <c r="P87" s="101"/>
      <c r="Q87" s="102">
        <v>2590</v>
      </c>
      <c r="R87" s="102"/>
      <c r="S87" s="104"/>
      <c r="T87" s="104"/>
      <c r="U87" s="102"/>
      <c r="V87" s="104"/>
      <c r="W87" s="101"/>
      <c r="X87" s="102">
        <v>99334</v>
      </c>
      <c r="Y87" s="102"/>
      <c r="Z87" s="104"/>
      <c r="AA87" s="101"/>
      <c r="AB87" s="102"/>
      <c r="AC87" s="104"/>
      <c r="AD87" s="102"/>
      <c r="AE87" s="104"/>
      <c r="AF87" s="101"/>
      <c r="AG87" s="102">
        <v>358</v>
      </c>
      <c r="AH87" s="102"/>
      <c r="AI87" s="104"/>
      <c r="AJ87" s="104"/>
      <c r="AK87" s="102"/>
      <c r="AL87" s="104"/>
      <c r="AM87" s="101"/>
      <c r="AN87" s="102">
        <v>282765</v>
      </c>
      <c r="AO87" s="102"/>
      <c r="AP87" s="103"/>
    </row>
    <row r="88" spans="1:42" x14ac:dyDescent="0.25">
      <c r="A88" s="40">
        <v>46784</v>
      </c>
      <c r="B88" s="101"/>
      <c r="C88" s="102">
        <v>4669</v>
      </c>
      <c r="D88" s="102"/>
      <c r="E88" s="104"/>
      <c r="F88" s="104"/>
      <c r="G88" s="102"/>
      <c r="H88" s="104"/>
      <c r="I88" s="101"/>
      <c r="J88" s="102"/>
      <c r="K88" s="102"/>
      <c r="L88" s="104"/>
      <c r="M88" s="104"/>
      <c r="N88" s="102"/>
      <c r="O88" s="104"/>
      <c r="P88" s="101"/>
      <c r="Q88" s="102">
        <v>589</v>
      </c>
      <c r="R88" s="102"/>
      <c r="S88" s="104"/>
      <c r="T88" s="104"/>
      <c r="U88" s="102"/>
      <c r="V88" s="104"/>
      <c r="W88" s="101"/>
      <c r="X88" s="102">
        <v>97950</v>
      </c>
      <c r="Y88" s="102"/>
      <c r="Z88" s="104"/>
      <c r="AA88" s="101"/>
      <c r="AB88" s="102"/>
      <c r="AC88" s="104"/>
      <c r="AD88" s="102"/>
      <c r="AE88" s="104"/>
      <c r="AF88" s="101"/>
      <c r="AG88" s="102" t="s">
        <v>45</v>
      </c>
      <c r="AH88" s="102"/>
      <c r="AI88" s="104"/>
      <c r="AJ88" s="104"/>
      <c r="AK88" s="102"/>
      <c r="AL88" s="104"/>
      <c r="AM88" s="101"/>
      <c r="AN88" s="102">
        <v>278865</v>
      </c>
      <c r="AO88" s="102"/>
      <c r="AP88" s="103"/>
    </row>
    <row r="89" spans="1:42" x14ac:dyDescent="0.25">
      <c r="A89" s="40">
        <v>46813</v>
      </c>
      <c r="B89" s="101"/>
      <c r="C89" s="102">
        <v>10476</v>
      </c>
      <c r="D89" s="102"/>
      <c r="E89" s="104"/>
      <c r="F89" s="104"/>
      <c r="G89" s="102"/>
      <c r="H89" s="104"/>
      <c r="I89" s="101"/>
      <c r="J89" s="102"/>
      <c r="K89" s="102"/>
      <c r="L89" s="104"/>
      <c r="M89" s="104"/>
      <c r="N89" s="102"/>
      <c r="O89" s="104"/>
      <c r="P89" s="101"/>
      <c r="Q89" s="102">
        <v>217</v>
      </c>
      <c r="R89" s="102"/>
      <c r="S89" s="104"/>
      <c r="T89" s="104"/>
      <c r="U89" s="102"/>
      <c r="V89" s="104"/>
      <c r="W89" s="101"/>
      <c r="X89" s="102">
        <v>188615</v>
      </c>
      <c r="Y89" s="102"/>
      <c r="Z89" s="104"/>
      <c r="AA89" s="101"/>
      <c r="AB89" s="102"/>
      <c r="AC89" s="104"/>
      <c r="AD89" s="102"/>
      <c r="AE89" s="104"/>
      <c r="AF89" s="101"/>
      <c r="AG89" s="102">
        <v>713</v>
      </c>
      <c r="AH89" s="102"/>
      <c r="AI89" s="104"/>
      <c r="AJ89" s="104"/>
      <c r="AK89" s="102"/>
      <c r="AL89" s="104"/>
      <c r="AM89" s="101"/>
      <c r="AN89" s="102">
        <v>294959</v>
      </c>
      <c r="AO89" s="102"/>
      <c r="AP89" s="103"/>
    </row>
    <row r="90" spans="1:42" x14ac:dyDescent="0.25">
      <c r="A90" s="40">
        <v>46844</v>
      </c>
      <c r="B90" s="101"/>
      <c r="C90" s="102">
        <v>4243</v>
      </c>
      <c r="D90" s="102"/>
      <c r="E90" s="104"/>
      <c r="F90" s="104"/>
      <c r="G90" s="102"/>
      <c r="H90" s="104"/>
      <c r="I90" s="101"/>
      <c r="J90" s="102"/>
      <c r="K90" s="102"/>
      <c r="L90" s="104"/>
      <c r="M90" s="104"/>
      <c r="N90" s="102"/>
      <c r="O90" s="104"/>
      <c r="P90" s="101"/>
      <c r="Q90" s="102">
        <v>112</v>
      </c>
      <c r="R90" s="102"/>
      <c r="S90" s="104"/>
      <c r="T90" s="104"/>
      <c r="U90" s="102"/>
      <c r="V90" s="104"/>
      <c r="W90" s="101"/>
      <c r="X90" s="102">
        <v>70356</v>
      </c>
      <c r="Y90" s="102"/>
      <c r="Z90" s="104"/>
      <c r="AA90" s="101"/>
      <c r="AB90" s="102"/>
      <c r="AC90" s="104"/>
      <c r="AD90" s="102"/>
      <c r="AE90" s="104"/>
      <c r="AF90" s="101"/>
      <c r="AG90" s="102" t="s">
        <v>45</v>
      </c>
      <c r="AH90" s="102"/>
      <c r="AI90" s="104"/>
      <c r="AJ90" s="104"/>
      <c r="AK90" s="102"/>
      <c r="AL90" s="104"/>
      <c r="AM90" s="101"/>
      <c r="AN90" s="102">
        <v>280072</v>
      </c>
      <c r="AO90" s="102"/>
      <c r="AP90" s="103"/>
    </row>
    <row r="91" spans="1:42" x14ac:dyDescent="0.25">
      <c r="A91" s="40">
        <v>46874</v>
      </c>
      <c r="B91" s="101"/>
      <c r="C91" s="102">
        <v>4756</v>
      </c>
      <c r="D91" s="102"/>
      <c r="E91" s="104"/>
      <c r="F91" s="104"/>
      <c r="G91" s="102"/>
      <c r="H91" s="104"/>
      <c r="I91" s="101"/>
      <c r="J91" s="102"/>
      <c r="K91" s="102"/>
      <c r="L91" s="104"/>
      <c r="M91" s="104"/>
      <c r="N91" s="102"/>
      <c r="O91" s="104"/>
      <c r="P91" s="101"/>
      <c r="Q91" s="102">
        <v>112</v>
      </c>
      <c r="R91" s="102"/>
      <c r="S91" s="104"/>
      <c r="T91" s="104"/>
      <c r="U91" s="102"/>
      <c r="V91" s="104"/>
      <c r="W91" s="101"/>
      <c r="X91" s="102">
        <v>18285</v>
      </c>
      <c r="Y91" s="102"/>
      <c r="Z91" s="104"/>
      <c r="AA91" s="101"/>
      <c r="AB91" s="102"/>
      <c r="AC91" s="104"/>
      <c r="AD91" s="102"/>
      <c r="AE91" s="104"/>
      <c r="AF91" s="101"/>
      <c r="AG91" s="102">
        <v>205</v>
      </c>
      <c r="AH91" s="102"/>
      <c r="AI91" s="104"/>
      <c r="AJ91" s="104"/>
      <c r="AK91" s="102"/>
      <c r="AL91" s="104"/>
      <c r="AM91" s="101"/>
      <c r="AN91" s="102">
        <v>629366</v>
      </c>
      <c r="AO91" s="102"/>
      <c r="AP91" s="103"/>
    </row>
    <row r="92" spans="1:42" x14ac:dyDescent="0.25">
      <c r="A92" s="40">
        <v>46905</v>
      </c>
      <c r="B92" s="101"/>
      <c r="C92" s="102">
        <v>4003</v>
      </c>
      <c r="D92" s="102"/>
      <c r="E92" s="104"/>
      <c r="F92" s="104"/>
      <c r="G92" s="102"/>
      <c r="H92" s="104"/>
      <c r="I92" s="101"/>
      <c r="J92" s="102"/>
      <c r="K92" s="102"/>
      <c r="L92" s="104"/>
      <c r="M92" s="104"/>
      <c r="N92" s="102"/>
      <c r="O92" s="104"/>
      <c r="P92" s="101"/>
      <c r="Q92" s="102">
        <v>363</v>
      </c>
      <c r="R92" s="102"/>
      <c r="S92" s="104"/>
      <c r="T92" s="104"/>
      <c r="U92" s="102"/>
      <c r="V92" s="104"/>
      <c r="W92" s="101"/>
      <c r="X92" s="102">
        <v>68819</v>
      </c>
      <c r="Y92" s="102"/>
      <c r="Z92" s="104"/>
      <c r="AA92" s="101"/>
      <c r="AB92" s="102"/>
      <c r="AC92" s="104"/>
      <c r="AD92" s="102"/>
      <c r="AE92" s="104"/>
      <c r="AF92" s="101"/>
      <c r="AG92" s="102"/>
      <c r="AH92" s="102"/>
      <c r="AI92" s="104"/>
      <c r="AJ92" s="104"/>
      <c r="AK92" s="102"/>
      <c r="AL92" s="104"/>
      <c r="AM92" s="101"/>
      <c r="AN92" s="102">
        <v>390452</v>
      </c>
      <c r="AO92" s="102"/>
      <c r="AP92" s="103"/>
    </row>
    <row r="93" spans="1:42" x14ac:dyDescent="0.25">
      <c r="A93" s="40">
        <v>46935</v>
      </c>
      <c r="B93" s="101"/>
      <c r="C93" s="102">
        <v>4110</v>
      </c>
      <c r="D93" s="102"/>
      <c r="E93" s="104"/>
      <c r="F93" s="104"/>
      <c r="G93" s="102"/>
      <c r="H93" s="104"/>
      <c r="I93" s="101"/>
      <c r="J93" s="102"/>
      <c r="K93" s="102"/>
      <c r="L93" s="104"/>
      <c r="M93" s="104"/>
      <c r="N93" s="102"/>
      <c r="O93" s="104"/>
      <c r="P93" s="101"/>
      <c r="Q93" s="102">
        <v>205</v>
      </c>
      <c r="R93" s="102"/>
      <c r="S93" s="104"/>
      <c r="T93" s="104"/>
      <c r="U93" s="102"/>
      <c r="V93" s="104"/>
      <c r="W93" s="101"/>
      <c r="X93" s="102">
        <v>135574</v>
      </c>
      <c r="Y93" s="102"/>
      <c r="Z93" s="104"/>
      <c r="AA93" s="101"/>
      <c r="AB93" s="102"/>
      <c r="AC93" s="104"/>
      <c r="AD93" s="102"/>
      <c r="AE93" s="104"/>
      <c r="AF93" s="101"/>
      <c r="AG93" s="102"/>
      <c r="AH93" s="102"/>
      <c r="AI93" s="104"/>
      <c r="AJ93" s="104"/>
      <c r="AK93" s="102"/>
      <c r="AL93" s="104"/>
      <c r="AM93" s="101"/>
      <c r="AN93" s="102">
        <v>808570</v>
      </c>
      <c r="AO93" s="102"/>
      <c r="AP93" s="103"/>
    </row>
    <row r="94" spans="1:42" x14ac:dyDescent="0.25">
      <c r="A94" s="40">
        <v>46966</v>
      </c>
      <c r="B94" s="101"/>
      <c r="C94" s="102">
        <v>4003</v>
      </c>
      <c r="D94" s="102"/>
      <c r="E94" s="104"/>
      <c r="F94" s="104"/>
      <c r="G94" s="102"/>
      <c r="H94" s="104"/>
      <c r="I94" s="101"/>
      <c r="J94" s="102"/>
      <c r="K94" s="102"/>
      <c r="L94" s="104"/>
      <c r="M94" s="104"/>
      <c r="N94" s="102"/>
      <c r="O94" s="104"/>
      <c r="P94" s="101"/>
      <c r="Q94" s="102" t="s">
        <v>45</v>
      </c>
      <c r="R94" s="102"/>
      <c r="S94" s="104"/>
      <c r="T94" s="104"/>
      <c r="U94" s="102"/>
      <c r="V94" s="104"/>
      <c r="W94" s="101"/>
      <c r="X94" s="102">
        <v>12400</v>
      </c>
      <c r="Y94" s="102"/>
      <c r="Z94" s="104"/>
      <c r="AA94" s="101"/>
      <c r="AB94" s="102"/>
      <c r="AC94" s="104"/>
      <c r="AD94" s="102"/>
      <c r="AE94" s="104"/>
      <c r="AF94" s="101"/>
      <c r="AG94" s="102"/>
      <c r="AH94" s="102"/>
      <c r="AI94" s="104"/>
      <c r="AJ94" s="104"/>
      <c r="AK94" s="102"/>
      <c r="AL94" s="104"/>
      <c r="AM94" s="101"/>
      <c r="AN94" s="102">
        <v>275315</v>
      </c>
      <c r="AO94" s="102"/>
      <c r="AP94" s="103"/>
    </row>
    <row r="95" spans="1:42" x14ac:dyDescent="0.25">
      <c r="A95" s="40">
        <v>46997</v>
      </c>
      <c r="B95" s="101"/>
      <c r="C95" s="102">
        <v>4003</v>
      </c>
      <c r="D95" s="102"/>
      <c r="E95" s="104"/>
      <c r="F95" s="104"/>
      <c r="G95" s="102"/>
      <c r="H95" s="104"/>
      <c r="I95" s="101"/>
      <c r="J95" s="102"/>
      <c r="K95" s="102"/>
      <c r="L95" s="104"/>
      <c r="M95" s="104"/>
      <c r="N95" s="102"/>
      <c r="O95" s="104"/>
      <c r="P95" s="101"/>
      <c r="Q95" s="102">
        <v>679</v>
      </c>
      <c r="R95" s="102"/>
      <c r="S95" s="104"/>
      <c r="T95" s="104"/>
      <c r="U95" s="102"/>
      <c r="V95" s="104"/>
      <c r="W95" s="101"/>
      <c r="X95" s="102">
        <v>11535</v>
      </c>
      <c r="Y95" s="102"/>
      <c r="Z95" s="104"/>
      <c r="AA95" s="101"/>
      <c r="AB95" s="102"/>
      <c r="AC95" s="104"/>
      <c r="AD95" s="102"/>
      <c r="AE95" s="104"/>
      <c r="AF95" s="101"/>
      <c r="AG95" s="102"/>
      <c r="AH95" s="102"/>
      <c r="AI95" s="104"/>
      <c r="AJ95" s="104"/>
      <c r="AK95" s="102"/>
      <c r="AL95" s="104"/>
      <c r="AM95" s="101"/>
      <c r="AN95" s="102">
        <v>272519</v>
      </c>
      <c r="AO95" s="102"/>
      <c r="AP95" s="103"/>
    </row>
    <row r="96" spans="1:42" x14ac:dyDescent="0.25">
      <c r="A96" s="40">
        <v>47027</v>
      </c>
      <c r="B96" s="101"/>
      <c r="C96" s="102">
        <v>4003</v>
      </c>
      <c r="D96" s="102"/>
      <c r="E96" s="104"/>
      <c r="F96" s="104"/>
      <c r="G96" s="102"/>
      <c r="H96" s="104"/>
      <c r="I96" s="101"/>
      <c r="J96" s="102"/>
      <c r="K96" s="102"/>
      <c r="L96" s="104"/>
      <c r="M96" s="104"/>
      <c r="N96" s="102"/>
      <c r="O96" s="104"/>
      <c r="P96" s="101"/>
      <c r="Q96" s="102" t="s">
        <v>45</v>
      </c>
      <c r="R96" s="102"/>
      <c r="S96" s="104"/>
      <c r="T96" s="104"/>
      <c r="U96" s="102"/>
      <c r="V96" s="104"/>
      <c r="W96" s="101"/>
      <c r="X96" s="102">
        <v>12655</v>
      </c>
      <c r="Y96" s="102"/>
      <c r="Z96" s="104"/>
      <c r="AA96" s="101"/>
      <c r="AB96" s="102"/>
      <c r="AC96" s="104"/>
      <c r="AD96" s="102"/>
      <c r="AE96" s="104"/>
      <c r="AF96" s="101"/>
      <c r="AG96" s="102"/>
      <c r="AH96" s="102"/>
      <c r="AI96" s="104"/>
      <c r="AJ96" s="104"/>
      <c r="AK96" s="102"/>
      <c r="AL96" s="104"/>
      <c r="AM96" s="101"/>
      <c r="AN96" s="102">
        <v>292761</v>
      </c>
      <c r="AO96" s="102"/>
      <c r="AP96" s="103"/>
    </row>
    <row r="97" spans="1:42" x14ac:dyDescent="0.25">
      <c r="A97" s="40">
        <v>47058</v>
      </c>
      <c r="B97" s="101"/>
      <c r="C97" s="102">
        <v>4108</v>
      </c>
      <c r="D97" s="102"/>
      <c r="E97" s="104"/>
      <c r="F97" s="104"/>
      <c r="G97" s="102"/>
      <c r="H97" s="104"/>
      <c r="I97" s="101"/>
      <c r="J97" s="102"/>
      <c r="K97" s="102"/>
      <c r="L97" s="104"/>
      <c r="M97" s="104"/>
      <c r="N97" s="102"/>
      <c r="O97" s="104"/>
      <c r="P97" s="101"/>
      <c r="Q97" s="102">
        <v>100</v>
      </c>
      <c r="R97" s="102"/>
      <c r="S97" s="104"/>
      <c r="T97" s="104"/>
      <c r="U97" s="102"/>
      <c r="V97" s="104"/>
      <c r="W97" s="101"/>
      <c r="X97" s="102">
        <v>11741</v>
      </c>
      <c r="Y97" s="102"/>
      <c r="Z97" s="104"/>
      <c r="AA97" s="101"/>
      <c r="AB97" s="102"/>
      <c r="AC97" s="104"/>
      <c r="AD97" s="102"/>
      <c r="AE97" s="104"/>
      <c r="AF97" s="101"/>
      <c r="AG97" s="102"/>
      <c r="AH97" s="102"/>
      <c r="AI97" s="104"/>
      <c r="AJ97" s="104"/>
      <c r="AK97" s="102"/>
      <c r="AL97" s="104"/>
      <c r="AM97" s="101"/>
      <c r="AN97" s="102">
        <v>266712</v>
      </c>
      <c r="AO97" s="102"/>
      <c r="AP97" s="103"/>
    </row>
    <row r="98" spans="1:42" x14ac:dyDescent="0.25">
      <c r="A98" s="40">
        <v>47088</v>
      </c>
      <c r="B98" s="101"/>
      <c r="C98" s="102">
        <v>4003</v>
      </c>
      <c r="D98" s="102"/>
      <c r="E98" s="104"/>
      <c r="F98" s="104"/>
      <c r="G98" s="102"/>
      <c r="H98" s="104"/>
      <c r="I98" s="101"/>
      <c r="J98" s="102"/>
      <c r="K98" s="102"/>
      <c r="L98" s="104"/>
      <c r="M98" s="104"/>
      <c r="N98" s="102"/>
      <c r="O98" s="104"/>
      <c r="P98" s="101"/>
      <c r="Q98" s="102"/>
      <c r="R98" s="102"/>
      <c r="S98" s="104"/>
      <c r="T98" s="104"/>
      <c r="U98" s="102"/>
      <c r="V98" s="104"/>
      <c r="W98" s="101"/>
      <c r="X98" s="102">
        <v>64035</v>
      </c>
      <c r="Y98" s="102"/>
      <c r="Z98" s="104"/>
      <c r="AA98" s="101"/>
      <c r="AB98" s="102"/>
      <c r="AC98" s="104"/>
      <c r="AD98" s="102"/>
      <c r="AE98" s="104"/>
      <c r="AF98" s="101"/>
      <c r="AG98" s="102"/>
      <c r="AH98" s="102"/>
      <c r="AI98" s="104"/>
      <c r="AJ98" s="104"/>
      <c r="AK98" s="102"/>
      <c r="AL98" s="104"/>
      <c r="AM98" s="101"/>
      <c r="AN98" s="102">
        <v>989655</v>
      </c>
      <c r="AO98" s="102"/>
      <c r="AP98" s="103"/>
    </row>
    <row r="99" spans="1:42" x14ac:dyDescent="0.25">
      <c r="A99" s="40">
        <v>47119</v>
      </c>
      <c r="B99" s="101"/>
      <c r="C99" s="102">
        <v>4346</v>
      </c>
      <c r="D99" s="102"/>
      <c r="E99" s="104"/>
      <c r="F99" s="104"/>
      <c r="G99" s="102"/>
      <c r="H99" s="104"/>
      <c r="I99" s="101"/>
      <c r="J99" s="102"/>
      <c r="K99" s="102"/>
      <c r="L99" s="104"/>
      <c r="M99" s="104"/>
      <c r="N99" s="102"/>
      <c r="O99" s="104"/>
      <c r="P99" s="101"/>
      <c r="Q99" s="102"/>
      <c r="R99" s="102"/>
      <c r="S99" s="104"/>
      <c r="T99" s="104"/>
      <c r="U99" s="102"/>
      <c r="V99" s="104"/>
      <c r="W99" s="101"/>
      <c r="X99" s="102">
        <v>11135</v>
      </c>
      <c r="Y99" s="102"/>
      <c r="Z99" s="104"/>
      <c r="AA99" s="101"/>
      <c r="AB99" s="102"/>
      <c r="AC99" s="104"/>
      <c r="AD99" s="102"/>
      <c r="AE99" s="104"/>
      <c r="AF99" s="101"/>
      <c r="AG99" s="102"/>
      <c r="AH99" s="102"/>
      <c r="AI99" s="104"/>
      <c r="AJ99" s="104"/>
      <c r="AK99" s="102"/>
      <c r="AL99" s="104"/>
      <c r="AM99" s="101"/>
      <c r="AN99" s="102">
        <v>20170</v>
      </c>
      <c r="AO99" s="102"/>
      <c r="AP99" s="103"/>
    </row>
    <row r="100" spans="1:42" x14ac:dyDescent="0.25">
      <c r="A100" s="40">
        <v>47150</v>
      </c>
      <c r="B100" s="101"/>
      <c r="C100" s="102">
        <v>4003</v>
      </c>
      <c r="D100" s="102"/>
      <c r="E100" s="104"/>
      <c r="F100" s="104"/>
      <c r="G100" s="102"/>
      <c r="H100" s="104"/>
      <c r="I100" s="101"/>
      <c r="J100" s="102"/>
      <c r="K100" s="102"/>
      <c r="L100" s="104"/>
      <c r="M100" s="104"/>
      <c r="N100" s="102"/>
      <c r="O100" s="104"/>
      <c r="P100" s="101"/>
      <c r="Q100" s="102"/>
      <c r="R100" s="102"/>
      <c r="S100" s="104"/>
      <c r="T100" s="104"/>
      <c r="U100" s="102"/>
      <c r="V100" s="104"/>
      <c r="W100" s="101"/>
      <c r="X100" s="102">
        <v>11135</v>
      </c>
      <c r="Y100" s="102"/>
      <c r="Z100" s="104"/>
      <c r="AA100" s="101"/>
      <c r="AB100" s="102"/>
      <c r="AC100" s="104"/>
      <c r="AD100" s="102"/>
      <c r="AE100" s="104"/>
      <c r="AF100" s="101"/>
      <c r="AG100" s="102"/>
      <c r="AH100" s="102"/>
      <c r="AI100" s="104"/>
      <c r="AJ100" s="104"/>
      <c r="AK100" s="102"/>
      <c r="AL100" s="104"/>
      <c r="AM100" s="101"/>
      <c r="AN100" s="102">
        <v>7043</v>
      </c>
      <c r="AO100" s="102"/>
      <c r="AP100" s="103"/>
    </row>
    <row r="101" spans="1:42" x14ac:dyDescent="0.25">
      <c r="A101" s="40">
        <v>47178</v>
      </c>
      <c r="B101" s="101"/>
      <c r="C101" s="102">
        <v>4003</v>
      </c>
      <c r="D101" s="102"/>
      <c r="E101" s="104"/>
      <c r="F101" s="104"/>
      <c r="G101" s="102"/>
      <c r="H101" s="104"/>
      <c r="I101" s="101"/>
      <c r="J101" s="102"/>
      <c r="K101" s="102"/>
      <c r="L101" s="104"/>
      <c r="M101" s="104"/>
      <c r="N101" s="102"/>
      <c r="O101" s="104"/>
      <c r="P101" s="101"/>
      <c r="Q101" s="102"/>
      <c r="R101" s="102"/>
      <c r="S101" s="104"/>
      <c r="T101" s="104"/>
      <c r="U101" s="102"/>
      <c r="V101" s="104"/>
      <c r="W101" s="101"/>
      <c r="X101" s="102">
        <v>11135</v>
      </c>
      <c r="Y101" s="102"/>
      <c r="Z101" s="104"/>
      <c r="AA101" s="101"/>
      <c r="AB101" s="102"/>
      <c r="AC101" s="104"/>
      <c r="AD101" s="102"/>
      <c r="AE101" s="104"/>
      <c r="AF101" s="101"/>
      <c r="AG101" s="102"/>
      <c r="AH101" s="102"/>
      <c r="AI101" s="104"/>
      <c r="AJ101" s="104"/>
      <c r="AK101" s="102"/>
      <c r="AL101" s="104"/>
      <c r="AM101" s="101"/>
      <c r="AN101" s="102">
        <v>6389</v>
      </c>
      <c r="AO101" s="102"/>
      <c r="AP101" s="103"/>
    </row>
    <row r="102" spans="1:42" x14ac:dyDescent="0.25">
      <c r="A102" s="40">
        <v>47209</v>
      </c>
      <c r="B102" s="101"/>
      <c r="C102" s="102">
        <v>4003</v>
      </c>
      <c r="D102" s="102"/>
      <c r="E102" s="104"/>
      <c r="F102" s="104"/>
      <c r="G102" s="102"/>
      <c r="H102" s="104"/>
      <c r="I102" s="101"/>
      <c r="J102" s="102"/>
      <c r="K102" s="102"/>
      <c r="L102" s="104"/>
      <c r="M102" s="104"/>
      <c r="N102" s="102"/>
      <c r="O102" s="104"/>
      <c r="P102" s="101"/>
      <c r="Q102" s="102"/>
      <c r="R102" s="102"/>
      <c r="S102" s="104"/>
      <c r="T102" s="104"/>
      <c r="U102" s="102"/>
      <c r="V102" s="104"/>
      <c r="W102" s="101"/>
      <c r="X102" s="102">
        <v>11135</v>
      </c>
      <c r="Y102" s="102"/>
      <c r="Z102" s="104"/>
      <c r="AA102" s="101"/>
      <c r="AB102" s="102"/>
      <c r="AC102" s="104"/>
      <c r="AD102" s="102"/>
      <c r="AE102" s="104"/>
      <c r="AF102" s="101"/>
      <c r="AG102" s="102"/>
      <c r="AH102" s="102"/>
      <c r="AI102" s="104"/>
      <c r="AJ102" s="104"/>
      <c r="AK102" s="102"/>
      <c r="AL102" s="104"/>
      <c r="AM102" s="101"/>
      <c r="AN102" s="102">
        <v>4942</v>
      </c>
      <c r="AO102" s="102"/>
      <c r="AP102" s="103"/>
    </row>
    <row r="103" spans="1:42" x14ac:dyDescent="0.25">
      <c r="A103" s="40">
        <v>47239</v>
      </c>
      <c r="B103" s="101"/>
      <c r="C103" s="102">
        <v>4003</v>
      </c>
      <c r="D103" s="102"/>
      <c r="E103" s="104"/>
      <c r="F103" s="104"/>
      <c r="G103" s="102"/>
      <c r="H103" s="104"/>
      <c r="I103" s="101"/>
      <c r="J103" s="102"/>
      <c r="K103" s="102"/>
      <c r="L103" s="104"/>
      <c r="M103" s="104"/>
      <c r="N103" s="102"/>
      <c r="O103" s="104"/>
      <c r="P103" s="101"/>
      <c r="Q103" s="102"/>
      <c r="R103" s="102"/>
      <c r="S103" s="104"/>
      <c r="T103" s="104"/>
      <c r="U103" s="102"/>
      <c r="V103" s="104"/>
      <c r="W103" s="101"/>
      <c r="X103" s="102">
        <v>11135</v>
      </c>
      <c r="Y103" s="102"/>
      <c r="Z103" s="104"/>
      <c r="AA103" s="101"/>
      <c r="AB103" s="102"/>
      <c r="AC103" s="104"/>
      <c r="AD103" s="102"/>
      <c r="AE103" s="104"/>
      <c r="AF103" s="101"/>
      <c r="AG103" s="102"/>
      <c r="AH103" s="102"/>
      <c r="AI103" s="104"/>
      <c r="AJ103" s="104"/>
      <c r="AK103" s="102"/>
      <c r="AL103" s="104"/>
      <c r="AM103" s="101"/>
      <c r="AN103" s="102">
        <v>4942</v>
      </c>
      <c r="AO103" s="102"/>
      <c r="AP103" s="103"/>
    </row>
    <row r="104" spans="1:42" x14ac:dyDescent="0.25">
      <c r="A104" s="40">
        <v>47270</v>
      </c>
      <c r="B104" s="101"/>
      <c r="C104" s="102">
        <v>4003</v>
      </c>
      <c r="D104" s="102"/>
      <c r="E104" s="104"/>
      <c r="F104" s="104"/>
      <c r="G104" s="102"/>
      <c r="H104" s="104"/>
      <c r="I104" s="101"/>
      <c r="J104" s="102"/>
      <c r="K104" s="102"/>
      <c r="L104" s="104"/>
      <c r="M104" s="104"/>
      <c r="N104" s="102"/>
      <c r="O104" s="104"/>
      <c r="P104" s="101"/>
      <c r="Q104" s="102"/>
      <c r="R104" s="102"/>
      <c r="S104" s="104"/>
      <c r="T104" s="104"/>
      <c r="U104" s="102"/>
      <c r="V104" s="104"/>
      <c r="W104" s="101"/>
      <c r="X104" s="102">
        <v>11353</v>
      </c>
      <c r="Y104" s="102"/>
      <c r="Z104" s="104"/>
      <c r="AA104" s="101"/>
      <c r="AB104" s="102"/>
      <c r="AC104" s="104"/>
      <c r="AD104" s="102"/>
      <c r="AE104" s="104"/>
      <c r="AF104" s="101"/>
      <c r="AG104" s="102"/>
      <c r="AH104" s="102"/>
      <c r="AI104" s="104"/>
      <c r="AJ104" s="104"/>
      <c r="AK104" s="102"/>
      <c r="AL104" s="104"/>
      <c r="AM104" s="101"/>
      <c r="AN104" s="102">
        <v>4942</v>
      </c>
      <c r="AO104" s="102"/>
      <c r="AP104" s="103"/>
    </row>
    <row r="105" spans="1:42" x14ac:dyDescent="0.25">
      <c r="A105" s="40">
        <v>47300</v>
      </c>
      <c r="B105" s="101"/>
      <c r="C105" s="102">
        <v>3861</v>
      </c>
      <c r="D105" s="102"/>
      <c r="E105" s="104"/>
      <c r="F105" s="104"/>
      <c r="G105" s="102"/>
      <c r="H105" s="104"/>
      <c r="I105" s="101"/>
      <c r="J105" s="102"/>
      <c r="K105" s="102"/>
      <c r="L105" s="104"/>
      <c r="M105" s="104"/>
      <c r="N105" s="102"/>
      <c r="O105" s="104"/>
      <c r="P105" s="101"/>
      <c r="Q105" s="102"/>
      <c r="R105" s="102"/>
      <c r="S105" s="104"/>
      <c r="T105" s="104"/>
      <c r="U105" s="102"/>
      <c r="V105" s="104"/>
      <c r="W105" s="101"/>
      <c r="X105" s="102">
        <v>11502</v>
      </c>
      <c r="Y105" s="102"/>
      <c r="Z105" s="104"/>
      <c r="AA105" s="101"/>
      <c r="AB105" s="102"/>
      <c r="AC105" s="104"/>
      <c r="AD105" s="102"/>
      <c r="AE105" s="104"/>
      <c r="AF105" s="101"/>
      <c r="AG105" s="102"/>
      <c r="AH105" s="102"/>
      <c r="AI105" s="104"/>
      <c r="AJ105" s="104"/>
      <c r="AK105" s="102"/>
      <c r="AL105" s="104"/>
      <c r="AM105" s="101"/>
      <c r="AN105" s="102">
        <v>4942</v>
      </c>
      <c r="AO105" s="102"/>
      <c r="AP105" s="103"/>
    </row>
    <row r="106" spans="1:42" x14ac:dyDescent="0.25">
      <c r="A106" s="40">
        <v>47331</v>
      </c>
      <c r="B106" s="101"/>
      <c r="C106" s="102">
        <v>4003</v>
      </c>
      <c r="D106" s="102"/>
      <c r="E106" s="104"/>
      <c r="F106" s="104"/>
      <c r="G106" s="102"/>
      <c r="H106" s="104"/>
      <c r="I106" s="101"/>
      <c r="J106" s="102"/>
      <c r="K106" s="102"/>
      <c r="L106" s="104"/>
      <c r="M106" s="104"/>
      <c r="N106" s="102"/>
      <c r="O106" s="104"/>
      <c r="P106" s="101"/>
      <c r="Q106" s="102"/>
      <c r="R106" s="102"/>
      <c r="S106" s="104"/>
      <c r="T106" s="104"/>
      <c r="U106" s="102"/>
      <c r="V106" s="104"/>
      <c r="W106" s="101"/>
      <c r="X106" s="102">
        <v>11702</v>
      </c>
      <c r="Y106" s="102"/>
      <c r="Z106" s="104"/>
      <c r="AA106" s="101"/>
      <c r="AB106" s="102"/>
      <c r="AC106" s="104"/>
      <c r="AD106" s="102"/>
      <c r="AE106" s="104"/>
      <c r="AF106" s="101"/>
      <c r="AG106" s="102"/>
      <c r="AH106" s="102"/>
      <c r="AI106" s="104"/>
      <c r="AJ106" s="104"/>
      <c r="AK106" s="102"/>
      <c r="AL106" s="104"/>
      <c r="AM106" s="101"/>
      <c r="AN106" s="102">
        <v>4942</v>
      </c>
      <c r="AO106" s="102"/>
      <c r="AP106" s="103"/>
    </row>
    <row r="107" spans="1:42" x14ac:dyDescent="0.25">
      <c r="A107" s="40">
        <v>47362</v>
      </c>
      <c r="B107" s="101"/>
      <c r="C107" s="102">
        <v>4003</v>
      </c>
      <c r="D107" s="102"/>
      <c r="E107" s="104"/>
      <c r="F107" s="104"/>
      <c r="G107" s="102"/>
      <c r="H107" s="104"/>
      <c r="I107" s="101"/>
      <c r="J107" s="102"/>
      <c r="K107" s="102"/>
      <c r="L107" s="104"/>
      <c r="M107" s="104"/>
      <c r="N107" s="102"/>
      <c r="O107" s="104"/>
      <c r="P107" s="101"/>
      <c r="Q107" s="102"/>
      <c r="R107" s="102"/>
      <c r="S107" s="104"/>
      <c r="T107" s="104"/>
      <c r="U107" s="102"/>
      <c r="V107" s="104"/>
      <c r="W107" s="101"/>
      <c r="X107" s="102">
        <v>11702</v>
      </c>
      <c r="Y107" s="102"/>
      <c r="Z107" s="104"/>
      <c r="AA107" s="101"/>
      <c r="AB107" s="102"/>
      <c r="AC107" s="104"/>
      <c r="AD107" s="102"/>
      <c r="AE107" s="104"/>
      <c r="AF107" s="101"/>
      <c r="AG107" s="102"/>
      <c r="AH107" s="102"/>
      <c r="AI107" s="104"/>
      <c r="AJ107" s="104"/>
      <c r="AK107" s="102"/>
      <c r="AL107" s="104"/>
      <c r="AM107" s="101"/>
      <c r="AN107" s="102">
        <v>4942</v>
      </c>
      <c r="AO107" s="102"/>
      <c r="AP107" s="103"/>
    </row>
    <row r="108" spans="1:42" x14ac:dyDescent="0.25">
      <c r="A108" s="40">
        <v>47392</v>
      </c>
      <c r="B108" s="101"/>
      <c r="C108" s="102">
        <v>991</v>
      </c>
      <c r="D108" s="102"/>
      <c r="E108" s="104"/>
      <c r="F108" s="104"/>
      <c r="G108" s="102"/>
      <c r="H108" s="104"/>
      <c r="I108" s="101"/>
      <c r="J108" s="102"/>
      <c r="K108" s="102"/>
      <c r="L108" s="104"/>
      <c r="M108" s="104"/>
      <c r="N108" s="102"/>
      <c r="O108" s="104"/>
      <c r="P108" s="101"/>
      <c r="Q108" s="102"/>
      <c r="R108" s="102"/>
      <c r="S108" s="104"/>
      <c r="T108" s="104"/>
      <c r="U108" s="102"/>
      <c r="V108" s="104"/>
      <c r="W108" s="101"/>
      <c r="X108" s="102">
        <v>11702</v>
      </c>
      <c r="Y108" s="102"/>
      <c r="Z108" s="104"/>
      <c r="AA108" s="101"/>
      <c r="AB108" s="102"/>
      <c r="AC108" s="104"/>
      <c r="AD108" s="102"/>
      <c r="AE108" s="104"/>
      <c r="AF108" s="101"/>
      <c r="AG108" s="102"/>
      <c r="AH108" s="102"/>
      <c r="AI108" s="104"/>
      <c r="AJ108" s="104"/>
      <c r="AK108" s="102"/>
      <c r="AL108" s="104"/>
      <c r="AM108" s="101"/>
      <c r="AN108" s="102">
        <v>4942</v>
      </c>
      <c r="AO108" s="102"/>
      <c r="AP108" s="103"/>
    </row>
    <row r="109" spans="1:42" x14ac:dyDescent="0.25">
      <c r="A109" s="40">
        <v>47423</v>
      </c>
      <c r="B109" s="101"/>
      <c r="C109" s="102">
        <v>991</v>
      </c>
      <c r="D109" s="102"/>
      <c r="E109" s="104"/>
      <c r="F109" s="104"/>
      <c r="G109" s="102"/>
      <c r="H109" s="104"/>
      <c r="I109" s="101"/>
      <c r="J109" s="102"/>
      <c r="K109" s="102"/>
      <c r="L109" s="104"/>
      <c r="M109" s="104"/>
      <c r="N109" s="102"/>
      <c r="O109" s="104"/>
      <c r="P109" s="101"/>
      <c r="Q109" s="102"/>
      <c r="R109" s="102"/>
      <c r="S109" s="104"/>
      <c r="T109" s="104"/>
      <c r="U109" s="102"/>
      <c r="V109" s="104"/>
      <c r="W109" s="101"/>
      <c r="X109" s="102">
        <v>11702</v>
      </c>
      <c r="Y109" s="102"/>
      <c r="Z109" s="104"/>
      <c r="AA109" s="101"/>
      <c r="AB109" s="102"/>
      <c r="AC109" s="104"/>
      <c r="AD109" s="102"/>
      <c r="AE109" s="104"/>
      <c r="AF109" s="101"/>
      <c r="AG109" s="102"/>
      <c r="AH109" s="102"/>
      <c r="AI109" s="104"/>
      <c r="AJ109" s="104"/>
      <c r="AK109" s="102"/>
      <c r="AL109" s="104"/>
      <c r="AM109" s="101"/>
      <c r="AN109" s="102">
        <v>4942</v>
      </c>
      <c r="AO109" s="102"/>
      <c r="AP109" s="103"/>
    </row>
    <row r="110" spans="1:42" x14ac:dyDescent="0.25">
      <c r="A110" s="40">
        <v>47453</v>
      </c>
      <c r="B110" s="101"/>
      <c r="C110" s="102">
        <v>565</v>
      </c>
      <c r="D110" s="102"/>
      <c r="E110" s="104"/>
      <c r="F110" s="104"/>
      <c r="G110" s="102"/>
      <c r="H110" s="104"/>
      <c r="I110" s="101"/>
      <c r="J110" s="102"/>
      <c r="K110" s="102"/>
      <c r="L110" s="104"/>
      <c r="M110" s="104"/>
      <c r="N110" s="102"/>
      <c r="O110" s="104"/>
      <c r="P110" s="101"/>
      <c r="Q110" s="102"/>
      <c r="R110" s="102"/>
      <c r="S110" s="104"/>
      <c r="T110" s="104"/>
      <c r="U110" s="102"/>
      <c r="V110" s="104"/>
      <c r="W110" s="101"/>
      <c r="X110" s="102">
        <v>11702</v>
      </c>
      <c r="Y110" s="102"/>
      <c r="Z110" s="104"/>
      <c r="AA110" s="101"/>
      <c r="AB110" s="102"/>
      <c r="AC110" s="104"/>
      <c r="AD110" s="102"/>
      <c r="AE110" s="104"/>
      <c r="AF110" s="101"/>
      <c r="AG110" s="102"/>
      <c r="AH110" s="102"/>
      <c r="AI110" s="104"/>
      <c r="AJ110" s="104"/>
      <c r="AK110" s="102"/>
      <c r="AL110" s="104"/>
      <c r="AM110" s="101"/>
      <c r="AN110" s="102">
        <v>4942</v>
      </c>
      <c r="AO110" s="102"/>
      <c r="AP110" s="103"/>
    </row>
    <row r="111" spans="1:42" x14ac:dyDescent="0.25">
      <c r="A111" s="40">
        <v>47484</v>
      </c>
      <c r="B111" s="101"/>
      <c r="C111" s="102">
        <v>565</v>
      </c>
      <c r="D111" s="102"/>
      <c r="E111" s="104"/>
      <c r="F111" s="104"/>
      <c r="G111" s="102"/>
      <c r="H111" s="104"/>
      <c r="I111" s="101"/>
      <c r="J111" s="102"/>
      <c r="K111" s="102"/>
      <c r="L111" s="104"/>
      <c r="M111" s="104"/>
      <c r="N111" s="102"/>
      <c r="O111" s="104"/>
      <c r="P111" s="101"/>
      <c r="Q111" s="102"/>
      <c r="R111" s="102"/>
      <c r="S111" s="104"/>
      <c r="T111" s="104"/>
      <c r="U111" s="102"/>
      <c r="V111" s="104"/>
      <c r="W111" s="101"/>
      <c r="X111" s="102">
        <v>11702</v>
      </c>
      <c r="Y111" s="102"/>
      <c r="Z111" s="104"/>
      <c r="AA111" s="101"/>
      <c r="AB111" s="102"/>
      <c r="AC111" s="104"/>
      <c r="AD111" s="102"/>
      <c r="AE111" s="104"/>
      <c r="AF111" s="101"/>
      <c r="AG111" s="102"/>
      <c r="AH111" s="102"/>
      <c r="AI111" s="104"/>
      <c r="AJ111" s="104"/>
      <c r="AK111" s="102"/>
      <c r="AL111" s="104"/>
      <c r="AM111" s="101"/>
      <c r="AN111" s="102">
        <v>4942</v>
      </c>
      <c r="AO111" s="102"/>
      <c r="AP111" s="103"/>
    </row>
    <row r="112" spans="1:42" x14ac:dyDescent="0.25">
      <c r="A112" s="40">
        <v>47515</v>
      </c>
      <c r="B112" s="101"/>
      <c r="C112" s="102" t="s">
        <v>45</v>
      </c>
      <c r="D112" s="102"/>
      <c r="E112" s="104"/>
      <c r="F112" s="104"/>
      <c r="G112" s="102"/>
      <c r="H112" s="104"/>
      <c r="I112" s="101"/>
      <c r="J112" s="102"/>
      <c r="K112" s="102"/>
      <c r="L112" s="104"/>
      <c r="M112" s="104"/>
      <c r="N112" s="102"/>
      <c r="O112" s="104"/>
      <c r="P112" s="101"/>
      <c r="Q112" s="102"/>
      <c r="R112" s="102"/>
      <c r="S112" s="104"/>
      <c r="T112" s="104"/>
      <c r="U112" s="102"/>
      <c r="V112" s="104"/>
      <c r="W112" s="101"/>
      <c r="X112" s="102">
        <v>11702</v>
      </c>
      <c r="Y112" s="102"/>
      <c r="Z112" s="104"/>
      <c r="AA112" s="101"/>
      <c r="AB112" s="102"/>
      <c r="AC112" s="104"/>
      <c r="AD112" s="102"/>
      <c r="AE112" s="104"/>
      <c r="AF112" s="101"/>
      <c r="AG112" s="102"/>
      <c r="AH112" s="102"/>
      <c r="AI112" s="104"/>
      <c r="AJ112" s="104"/>
      <c r="AK112" s="102"/>
      <c r="AL112" s="104"/>
      <c r="AM112" s="101"/>
      <c r="AN112" s="102">
        <v>4942</v>
      </c>
      <c r="AO112" s="102"/>
      <c r="AP112" s="103"/>
    </row>
    <row r="113" spans="1:42" x14ac:dyDescent="0.25">
      <c r="A113" s="40">
        <v>47543</v>
      </c>
      <c r="B113" s="101"/>
      <c r="C113" s="102" t="s">
        <v>45</v>
      </c>
      <c r="D113" s="102"/>
      <c r="E113" s="104"/>
      <c r="F113" s="104"/>
      <c r="G113" s="102"/>
      <c r="H113" s="104"/>
      <c r="I113" s="101"/>
      <c r="J113" s="102"/>
      <c r="K113" s="102"/>
      <c r="L113" s="104"/>
      <c r="M113" s="104"/>
      <c r="N113" s="102"/>
      <c r="O113" s="104"/>
      <c r="P113" s="101"/>
      <c r="Q113" s="102"/>
      <c r="R113" s="102"/>
      <c r="S113" s="104"/>
      <c r="T113" s="104"/>
      <c r="U113" s="102"/>
      <c r="V113" s="104"/>
      <c r="W113" s="101"/>
      <c r="X113" s="102">
        <v>11702</v>
      </c>
      <c r="Y113" s="102"/>
      <c r="Z113" s="104"/>
      <c r="AA113" s="101"/>
      <c r="AB113" s="102"/>
      <c r="AC113" s="104"/>
      <c r="AD113" s="102"/>
      <c r="AE113" s="104"/>
      <c r="AF113" s="101"/>
      <c r="AG113" s="102"/>
      <c r="AH113" s="102"/>
      <c r="AI113" s="104"/>
      <c r="AJ113" s="104"/>
      <c r="AK113" s="102"/>
      <c r="AL113" s="104"/>
      <c r="AM113" s="101"/>
      <c r="AN113" s="102">
        <v>4942</v>
      </c>
      <c r="AO113" s="102"/>
      <c r="AP113" s="103"/>
    </row>
    <row r="114" spans="1:42" x14ac:dyDescent="0.25">
      <c r="A114" s="40">
        <v>47574</v>
      </c>
      <c r="B114" s="101"/>
      <c r="C114" s="102" t="s">
        <v>45</v>
      </c>
      <c r="D114" s="102"/>
      <c r="E114" s="104"/>
      <c r="F114" s="104"/>
      <c r="G114" s="102"/>
      <c r="H114" s="104"/>
      <c r="I114" s="101"/>
      <c r="J114" s="102"/>
      <c r="K114" s="102"/>
      <c r="L114" s="104"/>
      <c r="M114" s="104"/>
      <c r="N114" s="102"/>
      <c r="O114" s="104"/>
      <c r="P114" s="101"/>
      <c r="Q114" s="102"/>
      <c r="R114" s="102"/>
      <c r="S114" s="104"/>
      <c r="T114" s="104"/>
      <c r="U114" s="102"/>
      <c r="V114" s="104"/>
      <c r="W114" s="101"/>
      <c r="X114" s="102">
        <v>11702</v>
      </c>
      <c r="Y114" s="102"/>
      <c r="Z114" s="104"/>
      <c r="AA114" s="101"/>
      <c r="AB114" s="102"/>
      <c r="AC114" s="104"/>
      <c r="AD114" s="102"/>
      <c r="AE114" s="104"/>
      <c r="AF114" s="101"/>
      <c r="AG114" s="102"/>
      <c r="AH114" s="102"/>
      <c r="AI114" s="104"/>
      <c r="AJ114" s="104"/>
      <c r="AK114" s="102"/>
      <c r="AL114" s="104"/>
      <c r="AM114" s="101"/>
      <c r="AN114" s="102">
        <v>4942</v>
      </c>
      <c r="AO114" s="102"/>
      <c r="AP114" s="103"/>
    </row>
    <row r="115" spans="1:42" x14ac:dyDescent="0.25">
      <c r="A115" s="40">
        <v>47604</v>
      </c>
      <c r="B115" s="101"/>
      <c r="C115" s="102" t="s">
        <v>45</v>
      </c>
      <c r="D115" s="102"/>
      <c r="E115" s="104"/>
      <c r="F115" s="104"/>
      <c r="G115" s="102"/>
      <c r="H115" s="104"/>
      <c r="I115" s="101"/>
      <c r="J115" s="102"/>
      <c r="K115" s="102"/>
      <c r="L115" s="104"/>
      <c r="M115" s="104"/>
      <c r="N115" s="102"/>
      <c r="O115" s="104"/>
      <c r="P115" s="101"/>
      <c r="Q115" s="102"/>
      <c r="R115" s="102"/>
      <c r="S115" s="104"/>
      <c r="T115" s="104"/>
      <c r="U115" s="102"/>
      <c r="V115" s="104"/>
      <c r="W115" s="101"/>
      <c r="X115" s="102">
        <v>11702</v>
      </c>
      <c r="Y115" s="102"/>
      <c r="Z115" s="104"/>
      <c r="AA115" s="101"/>
      <c r="AB115" s="102"/>
      <c r="AC115" s="104"/>
      <c r="AD115" s="102"/>
      <c r="AE115" s="104"/>
      <c r="AF115" s="101"/>
      <c r="AG115" s="102"/>
      <c r="AH115" s="102"/>
      <c r="AI115" s="104"/>
      <c r="AJ115" s="104"/>
      <c r="AK115" s="102"/>
      <c r="AL115" s="104"/>
      <c r="AM115" s="101"/>
      <c r="AN115" s="102">
        <v>4942</v>
      </c>
      <c r="AO115" s="102"/>
      <c r="AP115" s="103"/>
    </row>
    <row r="116" spans="1:42" x14ac:dyDescent="0.25">
      <c r="A116" s="40">
        <v>47635</v>
      </c>
      <c r="B116" s="101"/>
      <c r="C116" s="102" t="s">
        <v>45</v>
      </c>
      <c r="D116" s="102"/>
      <c r="E116" s="104"/>
      <c r="F116" s="104"/>
      <c r="G116" s="102"/>
      <c r="H116" s="104"/>
      <c r="I116" s="101"/>
      <c r="J116" s="102"/>
      <c r="K116" s="102"/>
      <c r="L116" s="104"/>
      <c r="M116" s="104"/>
      <c r="N116" s="102"/>
      <c r="O116" s="104"/>
      <c r="P116" s="101"/>
      <c r="Q116" s="102"/>
      <c r="R116" s="102"/>
      <c r="S116" s="104"/>
      <c r="T116" s="104"/>
      <c r="U116" s="102"/>
      <c r="V116" s="104"/>
      <c r="W116" s="101"/>
      <c r="X116" s="102">
        <v>11702</v>
      </c>
      <c r="Y116" s="102"/>
      <c r="Z116" s="104"/>
      <c r="AA116" s="101"/>
      <c r="AB116" s="102"/>
      <c r="AC116" s="104"/>
      <c r="AD116" s="102"/>
      <c r="AE116" s="104"/>
      <c r="AF116" s="101"/>
      <c r="AG116" s="102"/>
      <c r="AH116" s="102"/>
      <c r="AI116" s="104"/>
      <c r="AJ116" s="104"/>
      <c r="AK116" s="102"/>
      <c r="AL116" s="104"/>
      <c r="AM116" s="101"/>
      <c r="AN116" s="102">
        <v>4942</v>
      </c>
      <c r="AO116" s="102"/>
      <c r="AP116" s="103"/>
    </row>
    <row r="117" spans="1:42" x14ac:dyDescent="0.25">
      <c r="A117" s="40">
        <v>47665</v>
      </c>
      <c r="B117" s="101"/>
      <c r="C117" s="102" t="s">
        <v>45</v>
      </c>
      <c r="D117" s="102"/>
      <c r="E117" s="104"/>
      <c r="F117" s="104"/>
      <c r="G117" s="102"/>
      <c r="H117" s="104"/>
      <c r="I117" s="101"/>
      <c r="J117" s="102"/>
      <c r="K117" s="102"/>
      <c r="L117" s="104"/>
      <c r="M117" s="104"/>
      <c r="N117" s="102"/>
      <c r="O117" s="104"/>
      <c r="P117" s="101"/>
      <c r="Q117" s="102"/>
      <c r="R117" s="102"/>
      <c r="S117" s="104"/>
      <c r="T117" s="104"/>
      <c r="U117" s="102"/>
      <c r="V117" s="104"/>
      <c r="W117" s="101"/>
      <c r="X117" s="102">
        <v>11302</v>
      </c>
      <c r="Y117" s="102"/>
      <c r="Z117" s="104"/>
      <c r="AA117" s="101"/>
      <c r="AB117" s="102"/>
      <c r="AC117" s="104"/>
      <c r="AD117" s="102"/>
      <c r="AE117" s="104"/>
      <c r="AF117" s="101"/>
      <c r="AG117" s="102"/>
      <c r="AH117" s="102"/>
      <c r="AI117" s="104"/>
      <c r="AJ117" s="104"/>
      <c r="AK117" s="102"/>
      <c r="AL117" s="104"/>
      <c r="AM117" s="101"/>
      <c r="AN117" s="102">
        <v>4942</v>
      </c>
      <c r="AO117" s="102"/>
      <c r="AP117" s="103"/>
    </row>
    <row r="118" spans="1:42" x14ac:dyDescent="0.25">
      <c r="A118" s="40">
        <v>47696</v>
      </c>
      <c r="B118" s="101"/>
      <c r="C118" s="102" t="s">
        <v>45</v>
      </c>
      <c r="D118" s="102"/>
      <c r="E118" s="104"/>
      <c r="F118" s="104"/>
      <c r="G118" s="102"/>
      <c r="H118" s="104"/>
      <c r="I118" s="101"/>
      <c r="J118" s="102"/>
      <c r="K118" s="102"/>
      <c r="L118" s="104"/>
      <c r="M118" s="104"/>
      <c r="N118" s="102"/>
      <c r="O118" s="104"/>
      <c r="P118" s="101"/>
      <c r="Q118" s="102"/>
      <c r="R118" s="102"/>
      <c r="S118" s="104"/>
      <c r="T118" s="104"/>
      <c r="U118" s="102"/>
      <c r="V118" s="104"/>
      <c r="W118" s="101"/>
      <c r="X118" s="102">
        <v>8899</v>
      </c>
      <c r="Y118" s="102"/>
      <c r="Z118" s="104"/>
      <c r="AA118" s="101"/>
      <c r="AB118" s="102"/>
      <c r="AC118" s="104"/>
      <c r="AD118" s="102"/>
      <c r="AE118" s="104"/>
      <c r="AF118" s="101"/>
      <c r="AG118" s="102"/>
      <c r="AH118" s="102"/>
      <c r="AI118" s="104"/>
      <c r="AJ118" s="104"/>
      <c r="AK118" s="102"/>
      <c r="AL118" s="104"/>
      <c r="AM118" s="101"/>
      <c r="AN118" s="102">
        <v>4942</v>
      </c>
      <c r="AO118" s="102"/>
      <c r="AP118" s="103"/>
    </row>
    <row r="119" spans="1:42" x14ac:dyDescent="0.25">
      <c r="A119" s="40">
        <v>47727</v>
      </c>
      <c r="B119" s="101"/>
      <c r="C119" s="102" t="s">
        <v>45</v>
      </c>
      <c r="D119" s="102"/>
      <c r="E119" s="104"/>
      <c r="F119" s="104"/>
      <c r="G119" s="102"/>
      <c r="H119" s="104"/>
      <c r="I119" s="101"/>
      <c r="J119" s="102"/>
      <c r="K119" s="102"/>
      <c r="L119" s="104"/>
      <c r="M119" s="104"/>
      <c r="N119" s="102"/>
      <c r="O119" s="104"/>
      <c r="P119" s="101"/>
      <c r="Q119" s="102"/>
      <c r="R119" s="102"/>
      <c r="S119" s="104"/>
      <c r="T119" s="104"/>
      <c r="U119" s="102"/>
      <c r="V119" s="104"/>
      <c r="W119" s="101"/>
      <c r="X119" s="102">
        <v>5351</v>
      </c>
      <c r="Y119" s="102"/>
      <c r="Z119" s="104"/>
      <c r="AA119" s="101"/>
      <c r="AB119" s="102"/>
      <c r="AC119" s="104"/>
      <c r="AD119" s="102"/>
      <c r="AE119" s="104"/>
      <c r="AF119" s="101"/>
      <c r="AG119" s="102"/>
      <c r="AH119" s="102"/>
      <c r="AI119" s="104"/>
      <c r="AJ119" s="104"/>
      <c r="AK119" s="102"/>
      <c r="AL119" s="104"/>
      <c r="AM119" s="101"/>
      <c r="AN119" s="102">
        <v>4942</v>
      </c>
      <c r="AO119" s="102"/>
      <c r="AP119" s="103"/>
    </row>
    <row r="120" spans="1:42" x14ac:dyDescent="0.25">
      <c r="A120" s="40">
        <v>47757</v>
      </c>
      <c r="B120" s="101"/>
      <c r="C120" s="102" t="s">
        <v>45</v>
      </c>
      <c r="D120" s="102"/>
      <c r="E120" s="104"/>
      <c r="F120" s="104"/>
      <c r="G120" s="102"/>
      <c r="H120" s="104"/>
      <c r="I120" s="101"/>
      <c r="J120" s="102"/>
      <c r="K120" s="102"/>
      <c r="L120" s="104"/>
      <c r="M120" s="104"/>
      <c r="N120" s="102"/>
      <c r="O120" s="104"/>
      <c r="P120" s="101"/>
      <c r="Q120" s="102"/>
      <c r="R120" s="102"/>
      <c r="S120" s="104"/>
      <c r="T120" s="104"/>
      <c r="U120" s="102"/>
      <c r="V120" s="104"/>
      <c r="W120" s="101"/>
      <c r="X120" s="102">
        <v>760</v>
      </c>
      <c r="Y120" s="102"/>
      <c r="Z120" s="104"/>
      <c r="AA120" s="101"/>
      <c r="AB120" s="102"/>
      <c r="AC120" s="104"/>
      <c r="AD120" s="102"/>
      <c r="AE120" s="104"/>
      <c r="AF120" s="101"/>
      <c r="AG120" s="102"/>
      <c r="AH120" s="102"/>
      <c r="AI120" s="104"/>
      <c r="AJ120" s="104"/>
      <c r="AK120" s="102"/>
      <c r="AL120" s="104"/>
      <c r="AM120" s="101"/>
      <c r="AN120" s="102">
        <v>2522</v>
      </c>
      <c r="AO120" s="102"/>
      <c r="AP120" s="103"/>
    </row>
    <row r="121" spans="1:42" x14ac:dyDescent="0.25">
      <c r="A121" s="40">
        <v>47788</v>
      </c>
      <c r="B121" s="101"/>
      <c r="C121" s="102" t="s">
        <v>45</v>
      </c>
      <c r="D121" s="102"/>
      <c r="E121" s="104"/>
      <c r="F121" s="104"/>
      <c r="G121" s="102"/>
      <c r="H121" s="104"/>
      <c r="I121" s="101"/>
      <c r="J121" s="102"/>
      <c r="K121" s="102"/>
      <c r="L121" s="104"/>
      <c r="M121" s="104"/>
      <c r="N121" s="102"/>
      <c r="O121" s="104"/>
      <c r="P121" s="101"/>
      <c r="Q121" s="102"/>
      <c r="R121" s="102"/>
      <c r="S121" s="104"/>
      <c r="T121" s="104"/>
      <c r="U121" s="102"/>
      <c r="V121" s="104"/>
      <c r="W121" s="101"/>
      <c r="X121" s="102">
        <v>350</v>
      </c>
      <c r="Y121" s="102"/>
      <c r="Z121" s="104"/>
      <c r="AA121" s="101"/>
      <c r="AB121" s="102"/>
      <c r="AC121" s="104"/>
      <c r="AD121" s="102"/>
      <c r="AE121" s="104"/>
      <c r="AF121" s="101"/>
      <c r="AG121" s="102"/>
      <c r="AH121" s="102"/>
      <c r="AI121" s="104"/>
      <c r="AJ121" s="104"/>
      <c r="AK121" s="102"/>
      <c r="AL121" s="104"/>
      <c r="AM121" s="101"/>
      <c r="AN121" s="102">
        <v>637</v>
      </c>
      <c r="AO121" s="102"/>
      <c r="AP121" s="103"/>
    </row>
    <row r="122" spans="1:42" x14ac:dyDescent="0.25">
      <c r="A122" s="40">
        <v>47818</v>
      </c>
      <c r="B122" s="105"/>
      <c r="C122" s="106" t="s">
        <v>45</v>
      </c>
      <c r="D122" s="106"/>
      <c r="E122" s="107"/>
      <c r="F122" s="107"/>
      <c r="G122" s="106"/>
      <c r="H122" s="107"/>
      <c r="I122" s="105"/>
      <c r="J122" s="106"/>
      <c r="K122" s="106"/>
      <c r="L122" s="107"/>
      <c r="M122" s="107"/>
      <c r="N122" s="106"/>
      <c r="O122" s="107"/>
      <c r="P122" s="105"/>
      <c r="Q122" s="106"/>
      <c r="R122" s="106"/>
      <c r="S122" s="107"/>
      <c r="T122" s="107"/>
      <c r="U122" s="106"/>
      <c r="V122" s="107"/>
      <c r="W122" s="105"/>
      <c r="X122" s="106">
        <v>350</v>
      </c>
      <c r="Y122" s="106"/>
      <c r="Z122" s="107"/>
      <c r="AA122" s="105"/>
      <c r="AB122" s="106"/>
      <c r="AC122" s="107"/>
      <c r="AD122" s="106"/>
      <c r="AE122" s="107"/>
      <c r="AF122" s="105"/>
      <c r="AG122" s="106"/>
      <c r="AH122" s="106"/>
      <c r="AI122" s="107"/>
      <c r="AJ122" s="107"/>
      <c r="AK122" s="106"/>
      <c r="AL122" s="107"/>
      <c r="AM122" s="105"/>
      <c r="AN122" s="106">
        <v>637</v>
      </c>
      <c r="AO122" s="106"/>
      <c r="AP122" s="108"/>
    </row>
  </sheetData>
  <conditionalFormatting sqref="A11:AP122">
    <cfRule type="expression" dxfId="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M13"/>
  <sheetViews>
    <sheetView zoomScale="80" zoomScaleNormal="80" workbookViewId="0">
      <selection activeCell="A11" sqref="A11"/>
    </sheetView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50" t="str">
        <f>_xlfn.CONCAT("Resumo dos empreendimentos ativos em ", TEXT(inputs!$A$1, "dd/mmm/aaaa"))</f>
        <v>Resumo dos empreendimentos ativos em 28/fev/2026</v>
      </c>
      <c r="B1" s="41"/>
    </row>
    <row r="2" spans="1:13" ht="34.5" x14ac:dyDescent="0.25">
      <c r="A2" s="275"/>
      <c r="B2" s="275"/>
      <c r="C2" s="276" t="s">
        <v>31</v>
      </c>
      <c r="D2" s="276" t="s">
        <v>32</v>
      </c>
      <c r="E2" s="276" t="s">
        <v>31</v>
      </c>
      <c r="F2" s="276" t="s">
        <v>33</v>
      </c>
      <c r="G2" s="276" t="s">
        <v>34</v>
      </c>
      <c r="H2" s="276" t="s">
        <v>34</v>
      </c>
      <c r="I2" s="276" t="s">
        <v>34</v>
      </c>
      <c r="J2" s="276" t="s">
        <v>35</v>
      </c>
      <c r="K2" s="276" t="s">
        <v>35</v>
      </c>
      <c r="L2" s="277" t="s">
        <v>36</v>
      </c>
      <c r="M2" s="276" t="s">
        <v>37</v>
      </c>
    </row>
    <row r="3" spans="1:13" ht="45" x14ac:dyDescent="0.25">
      <c r="A3" s="278" t="s">
        <v>38</v>
      </c>
      <c r="B3" s="278" t="s">
        <v>39</v>
      </c>
      <c r="C3" s="279" t="s">
        <v>67</v>
      </c>
      <c r="D3" s="280" t="s">
        <v>68</v>
      </c>
      <c r="E3" s="279" t="s">
        <v>69</v>
      </c>
      <c r="F3" s="280" t="s">
        <v>70</v>
      </c>
      <c r="G3" s="280" t="s">
        <v>66</v>
      </c>
      <c r="H3" s="279" t="s">
        <v>40</v>
      </c>
      <c r="I3" s="280" t="s">
        <v>41</v>
      </c>
      <c r="J3" s="280" t="s">
        <v>71</v>
      </c>
      <c r="K3" s="281" t="s">
        <v>72</v>
      </c>
      <c r="L3" s="282" t="s">
        <v>73</v>
      </c>
      <c r="M3" s="282" t="s">
        <v>42</v>
      </c>
    </row>
    <row r="4" spans="1:13" x14ac:dyDescent="0.25">
      <c r="A4" s="283" t="s">
        <v>12</v>
      </c>
      <c r="B4" s="284" t="s">
        <v>43</v>
      </c>
      <c r="C4" s="269">
        <f ca="1">inputs!D8</f>
        <v>0</v>
      </c>
      <c r="D4" s="270">
        <f ca="1">inputs!D9</f>
        <v>0</v>
      </c>
      <c r="E4" s="270">
        <f ca="1">inputs!E8</f>
        <v>0</v>
      </c>
      <c r="F4" s="270">
        <f>inputs!E9</f>
        <v>0</v>
      </c>
      <c r="G4" s="270">
        <f ca="1">inputs!D4</f>
        <v>0</v>
      </c>
      <c r="H4" s="270">
        <f ca="1">inputs!C8</f>
        <v>0</v>
      </c>
      <c r="I4" s="270">
        <f ca="1">inputs!C9</f>
        <v>0</v>
      </c>
      <c r="J4" s="271">
        <f>inputs!D3</f>
        <v>0</v>
      </c>
      <c r="K4" s="270">
        <f>inputs!D2</f>
        <v>0</v>
      </c>
      <c r="L4" s="270">
        <f ca="1">SUM(C4:I4,K4)</f>
        <v>0</v>
      </c>
      <c r="M4" s="285">
        <v>25897161</v>
      </c>
    </row>
    <row r="5" spans="1:13" collapsed="1" x14ac:dyDescent="0.25">
      <c r="A5" s="286" t="s">
        <v>13</v>
      </c>
      <c r="B5" s="287" t="s">
        <v>43</v>
      </c>
      <c r="C5" s="272">
        <f ca="1">inputs!P8</f>
        <v>0</v>
      </c>
      <c r="D5" s="273">
        <f>inputs!P9</f>
        <v>0</v>
      </c>
      <c r="E5" s="273">
        <f ca="1">inputs!Q8</f>
        <v>0</v>
      </c>
      <c r="F5" s="273">
        <f>inputs!Q9</f>
        <v>0</v>
      </c>
      <c r="G5" s="273">
        <f ca="1">inputs!P4</f>
        <v>0</v>
      </c>
      <c r="H5" s="273">
        <f ca="1">inputs!O8</f>
        <v>0</v>
      </c>
      <c r="I5" s="273">
        <f ca="1">inputs!O9</f>
        <v>0</v>
      </c>
      <c r="J5" s="274">
        <f>inputs!P3</f>
        <v>0</v>
      </c>
      <c r="K5" s="273">
        <f>inputs!P2</f>
        <v>0</v>
      </c>
      <c r="L5" s="273">
        <f t="shared" ref="L5:L12" ca="1" si="0">SUM(C5:I5,K5)</f>
        <v>0</v>
      </c>
      <c r="M5" s="288">
        <v>41582807</v>
      </c>
    </row>
    <row r="6" spans="1:13" x14ac:dyDescent="0.25">
      <c r="A6" s="286" t="s">
        <v>821</v>
      </c>
      <c r="B6" s="287" t="s">
        <v>43</v>
      </c>
      <c r="C6" s="289" t="s">
        <v>44</v>
      </c>
      <c r="D6" s="290" t="s">
        <v>44</v>
      </c>
      <c r="E6" s="290" t="s">
        <v>44</v>
      </c>
      <c r="F6" s="290" t="s">
        <v>44</v>
      </c>
      <c r="G6" s="290">
        <f ca="1">inputs!AB10</f>
        <v>0</v>
      </c>
      <c r="H6" s="273">
        <f ca="1">inputs!AA8</f>
        <v>0</v>
      </c>
      <c r="I6" s="273">
        <f ca="1">inputs!AA9</f>
        <v>0</v>
      </c>
      <c r="J6" s="274">
        <f>inputs!AB3</f>
        <v>0</v>
      </c>
      <c r="K6" s="273">
        <f>inputs!AB2</f>
        <v>0</v>
      </c>
      <c r="L6" s="273">
        <f t="shared" ref="L6" ca="1" si="1">SUM(C6:I6,K6)</f>
        <v>0</v>
      </c>
      <c r="M6" s="288"/>
    </row>
    <row r="7" spans="1:13" x14ac:dyDescent="0.25">
      <c r="A7" s="286" t="s">
        <v>14</v>
      </c>
      <c r="B7" s="287" t="s">
        <v>43</v>
      </c>
      <c r="C7" s="272">
        <f ca="1">inputs!AL8</f>
        <v>0</v>
      </c>
      <c r="D7" s="273">
        <f ca="1">inputs!AL9</f>
        <v>0</v>
      </c>
      <c r="E7" s="273">
        <f ca="1">inputs!AM8</f>
        <v>0</v>
      </c>
      <c r="F7" s="273">
        <f>inputs!AM9</f>
        <v>0</v>
      </c>
      <c r="G7" s="273">
        <f ca="1">inputs!AL4</f>
        <v>0</v>
      </c>
      <c r="H7" s="273">
        <f ca="1">inputs!AK8</f>
        <v>0</v>
      </c>
      <c r="I7" s="273">
        <f ca="1">inputs!AK9</f>
        <v>0</v>
      </c>
      <c r="J7" s="274">
        <f>inputs!AL3</f>
        <v>0</v>
      </c>
      <c r="K7" s="273">
        <f>inputs!AL2</f>
        <v>0</v>
      </c>
      <c r="L7" s="273">
        <f t="shared" ca="1" si="0"/>
        <v>0</v>
      </c>
      <c r="M7" s="288">
        <v>47237835</v>
      </c>
    </row>
    <row r="8" spans="1:13" collapsed="1" x14ac:dyDescent="0.25">
      <c r="A8" s="286" t="s">
        <v>15</v>
      </c>
      <c r="B8" s="287" t="s">
        <v>43</v>
      </c>
      <c r="C8" s="272">
        <f ca="1">inputs!AX8</f>
        <v>0</v>
      </c>
      <c r="D8" s="273">
        <f ca="1">inputs!AX9</f>
        <v>0</v>
      </c>
      <c r="E8" s="273">
        <f ca="1">inputs!AY8</f>
        <v>0</v>
      </c>
      <c r="F8" s="273">
        <f>inputs!AY9</f>
        <v>0</v>
      </c>
      <c r="G8" s="273">
        <f ca="1">inputs!AX4</f>
        <v>0</v>
      </c>
      <c r="H8" s="273">
        <f ca="1">inputs!AW8</f>
        <v>0</v>
      </c>
      <c r="I8" s="273">
        <f ca="1">inputs!AW9</f>
        <v>0</v>
      </c>
      <c r="J8" s="274">
        <f>inputs!AX3</f>
        <v>0</v>
      </c>
      <c r="K8" s="273">
        <f>inputs!AX2</f>
        <v>0</v>
      </c>
      <c r="L8" s="273">
        <f t="shared" ca="1" si="0"/>
        <v>0</v>
      </c>
      <c r="M8" s="288">
        <v>64482292</v>
      </c>
    </row>
    <row r="9" spans="1:13" x14ac:dyDescent="0.25">
      <c r="A9" s="286" t="s">
        <v>16</v>
      </c>
      <c r="B9" s="287" t="s">
        <v>43</v>
      </c>
      <c r="C9" s="289" t="s">
        <v>44</v>
      </c>
      <c r="D9" s="290" t="s">
        <v>44</v>
      </c>
      <c r="E9" s="290" t="s">
        <v>44</v>
      </c>
      <c r="F9" s="290" t="s">
        <v>44</v>
      </c>
      <c r="G9" s="290">
        <f ca="1">inputs!BJ10</f>
        <v>0</v>
      </c>
      <c r="H9" s="273">
        <f ca="1">inputs!BI8</f>
        <v>0</v>
      </c>
      <c r="I9" s="273">
        <f ca="1">inputs!BI9</f>
        <v>0</v>
      </c>
      <c r="J9" s="274">
        <f>inputs!BJ3</f>
        <v>0</v>
      </c>
      <c r="K9" s="273">
        <f>inputs!BJ2</f>
        <v>0</v>
      </c>
      <c r="L9" s="273">
        <f t="shared" ca="1" si="0"/>
        <v>0</v>
      </c>
      <c r="M9" s="288">
        <v>25916905</v>
      </c>
    </row>
    <row r="10" spans="1:13" x14ac:dyDescent="0.25">
      <c r="A10" s="286" t="s">
        <v>507</v>
      </c>
      <c r="B10" s="287" t="s">
        <v>43</v>
      </c>
      <c r="C10" s="289" t="s">
        <v>44</v>
      </c>
      <c r="D10" s="290" t="s">
        <v>44</v>
      </c>
      <c r="E10" s="290" t="s">
        <v>44</v>
      </c>
      <c r="F10" s="290" t="s">
        <v>44</v>
      </c>
      <c r="G10" s="290">
        <f ca="1">inputs!BT10</f>
        <v>0</v>
      </c>
      <c r="H10" s="273">
        <f ca="1">inputs!BS8</f>
        <v>0</v>
      </c>
      <c r="I10" s="273">
        <f ca="1">inputs!BS9</f>
        <v>0</v>
      </c>
      <c r="J10" s="274">
        <f>inputs!BT3</f>
        <v>0</v>
      </c>
      <c r="K10" s="273">
        <f>inputs!BT2</f>
        <v>0</v>
      </c>
      <c r="L10" s="273">
        <f t="shared" ref="L10" ca="1" si="2">SUM(C10:I10,K10)</f>
        <v>0</v>
      </c>
      <c r="M10" s="288"/>
    </row>
    <row r="11" spans="1:13" collapsed="1" x14ac:dyDescent="0.25">
      <c r="A11" s="286" t="s">
        <v>17</v>
      </c>
      <c r="B11" s="287" t="s">
        <v>43</v>
      </c>
      <c r="C11" s="272">
        <f ca="1">inputs!CD8</f>
        <v>0</v>
      </c>
      <c r="D11" s="273">
        <f ca="1">inputs!CD9</f>
        <v>0</v>
      </c>
      <c r="E11" s="273">
        <f ca="1">inputs!CE8</f>
        <v>0</v>
      </c>
      <c r="F11" s="273">
        <f>inputs!CE9</f>
        <v>0</v>
      </c>
      <c r="G11" s="273">
        <f ca="1">inputs!CD4</f>
        <v>0</v>
      </c>
      <c r="H11" s="273">
        <f ca="1">inputs!CC8</f>
        <v>0</v>
      </c>
      <c r="I11" s="273">
        <f ca="1">inputs!CC9</f>
        <v>0</v>
      </c>
      <c r="J11" s="274">
        <f>inputs!CD3</f>
        <v>0</v>
      </c>
      <c r="K11" s="273">
        <f>inputs!CD2</f>
        <v>0</v>
      </c>
      <c r="L11" s="273">
        <f t="shared" ca="1" si="0"/>
        <v>0</v>
      </c>
      <c r="M11" s="288">
        <v>60385343</v>
      </c>
    </row>
    <row r="12" spans="1:13" x14ac:dyDescent="0.25">
      <c r="A12" s="297" t="s">
        <v>18</v>
      </c>
      <c r="B12" s="298" t="s">
        <v>43</v>
      </c>
      <c r="C12" s="299">
        <v>0</v>
      </c>
      <c r="D12" s="300" t="s">
        <v>44</v>
      </c>
      <c r="E12" s="300">
        <v>0</v>
      </c>
      <c r="F12" s="300" t="s">
        <v>44</v>
      </c>
      <c r="G12" s="301">
        <f ca="1">inputs!CP4</f>
        <v>0</v>
      </c>
      <c r="H12" s="301">
        <f ca="1">inputs!CO8</f>
        <v>0</v>
      </c>
      <c r="I12" s="301">
        <f ca="1">inputs!CO9</f>
        <v>0</v>
      </c>
      <c r="J12" s="302">
        <f>inputs!CP3</f>
        <v>0</v>
      </c>
      <c r="K12" s="301">
        <f>inputs!CP2</f>
        <v>0</v>
      </c>
      <c r="L12" s="301">
        <f t="shared" ca="1" si="0"/>
        <v>0</v>
      </c>
      <c r="M12" s="303">
        <v>106533245</v>
      </c>
    </row>
    <row r="13" spans="1:13" x14ac:dyDescent="0.25">
      <c r="L13" s="304">
        <f ca="1">SUM(L4:L12)</f>
        <v>0</v>
      </c>
      <c r="M13" s="304">
        <f>SUM(M4:M12)</f>
        <v>372035588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Z40"/>
  <sheetViews>
    <sheetView workbookViewId="0"/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7" width="5.7109375" style="6" customWidth="1"/>
    <col min="18" max="18" width="9.140625" style="6"/>
    <col min="19" max="25" width="12.7109375" style="6" customWidth="1"/>
    <col min="26" max="16384" width="9.140625" style="6"/>
  </cols>
  <sheetData>
    <row r="1" spans="1:26" ht="26.25" x14ac:dyDescent="0.4">
      <c r="A1" s="50" t="s">
        <v>192</v>
      </c>
      <c r="R1" s="50" t="s">
        <v>35</v>
      </c>
    </row>
    <row r="2" spans="1:26" s="87" customFormat="1" ht="15" customHeight="1" thickBot="1" x14ac:dyDescent="0.3">
      <c r="A2" s="86"/>
      <c r="C2" s="88" t="s">
        <v>53</v>
      </c>
      <c r="D2" s="89"/>
      <c r="E2" s="89"/>
      <c r="F2" s="89"/>
      <c r="I2" s="90" t="s">
        <v>54</v>
      </c>
      <c r="J2" s="91"/>
      <c r="K2" s="91"/>
      <c r="L2" s="91"/>
      <c r="M2" s="92"/>
      <c r="N2" s="92"/>
      <c r="O2" s="92"/>
    </row>
    <row r="3" spans="1:26" ht="30.75" thickTop="1" x14ac:dyDescent="0.25">
      <c r="A3" s="65" t="s">
        <v>38</v>
      </c>
      <c r="B3" s="66" t="s">
        <v>39</v>
      </c>
      <c r="C3" s="82" t="s">
        <v>296</v>
      </c>
      <c r="D3" s="83" t="s">
        <v>297</v>
      </c>
      <c r="E3" s="84" t="s">
        <v>50</v>
      </c>
      <c r="F3" s="85" t="s">
        <v>55</v>
      </c>
      <c r="G3" s="68" t="s">
        <v>56</v>
      </c>
      <c r="H3" s="69" t="s">
        <v>57</v>
      </c>
      <c r="I3" s="70" t="s">
        <v>58</v>
      </c>
      <c r="J3" s="67" t="s">
        <v>59</v>
      </c>
      <c r="K3" s="67" t="s">
        <v>60</v>
      </c>
      <c r="L3" s="71" t="s">
        <v>61</v>
      </c>
      <c r="M3" s="71" t="s">
        <v>62</v>
      </c>
      <c r="N3" s="71" t="s">
        <v>63</v>
      </c>
      <c r="O3" s="72" t="s">
        <v>64</v>
      </c>
      <c r="R3" s="44" t="s">
        <v>38</v>
      </c>
      <c r="S3" s="97" t="s">
        <v>46</v>
      </c>
      <c r="T3" s="47" t="s">
        <v>47</v>
      </c>
      <c r="U3" s="47" t="s">
        <v>49</v>
      </c>
      <c r="V3" s="98" t="s">
        <v>48</v>
      </c>
      <c r="W3" s="98" t="s">
        <v>51</v>
      </c>
      <c r="X3" s="98" t="s">
        <v>50</v>
      </c>
      <c r="Y3" s="48" t="s">
        <v>52</v>
      </c>
      <c r="Z3" s="46" t="s">
        <v>30</v>
      </c>
    </row>
    <row r="4" spans="1:26" x14ac:dyDescent="0.25">
      <c r="A4" s="22" t="s">
        <v>12</v>
      </c>
      <c r="B4" s="23" t="s">
        <v>35</v>
      </c>
      <c r="C4" s="23">
        <f>S4</f>
        <v>0</v>
      </c>
      <c r="D4" s="23">
        <f>T4+U4</f>
        <v>0</v>
      </c>
      <c r="E4" s="23">
        <f>V4+X4+W4</f>
        <v>0</v>
      </c>
      <c r="F4" s="54">
        <f>Y4</f>
        <v>0</v>
      </c>
      <c r="G4" s="74">
        <f>SUM(C4:F4)</f>
        <v>0</v>
      </c>
      <c r="H4" s="75">
        <f>G4-C4</f>
        <v>0</v>
      </c>
      <c r="I4" s="73">
        <f>COUNTIFS(
    unis[empresa], $A4,
    unis[especie],I$3
)</f>
        <v>0</v>
      </c>
      <c r="J4" s="23">
        <f>COUNTIFS(
    unis[empresa], $A4,
    unis[especie],J$3
)</f>
        <v>0</v>
      </c>
      <c r="K4" s="23">
        <f>COUNTIFS(
    unis[empresa], $A4,
    unis[especie],K$3
)</f>
        <v>0</v>
      </c>
      <c r="L4" s="43">
        <f>COUNTIFS(
    estq[empresa], $A4,
    estq[especie], "Garagem",
    estq[Planta], "Vagas Autônomas"
)</f>
        <v>0</v>
      </c>
      <c r="M4" s="23"/>
      <c r="N4" s="23"/>
      <c r="O4" s="25"/>
      <c r="Q4" s="6">
        <v>1</v>
      </c>
      <c r="R4" s="44" t="s">
        <v>12</v>
      </c>
      <c r="S4" s="42">
        <f>COUNTIFS(
    estq[empresa], $R4,
    estq[Status],S$3)</f>
        <v>0</v>
      </c>
      <c r="T4" s="42">
        <f>COUNTIFS(
    estq[empresa], $R4,
    estq[Status],T$3)</f>
        <v>0</v>
      </c>
      <c r="U4" s="42">
        <f>COUNTIFS(
    estq[empresa], $R4,
    estq[Status],U$3)</f>
        <v>0</v>
      </c>
      <c r="V4" s="42">
        <f>COUNTIFS(
    estq[empresa], $R4,
    estq[Status],V$3)</f>
        <v>0</v>
      </c>
      <c r="W4" s="42">
        <f>COUNTIFS(
    estq[empresa], $R4,
    estq[Status],W$3)</f>
        <v>0</v>
      </c>
      <c r="X4" s="42">
        <f>COUNTIFS(
    estq[empresa], $R4,
    estq[Status],X$3)</f>
        <v>0</v>
      </c>
      <c r="Y4" s="42">
        <f>COUNTIFS(
    estq[empresa], $R4,
    estq[Status],Y$3)</f>
        <v>0</v>
      </c>
      <c r="Z4" s="45">
        <f t="shared" ref="Z4:Z11" si="0">SUM(S4:Y4)</f>
        <v>0</v>
      </c>
    </row>
    <row r="5" spans="1:26" x14ac:dyDescent="0.25">
      <c r="A5" s="56" t="s">
        <v>12</v>
      </c>
      <c r="B5" s="57" t="s">
        <v>34</v>
      </c>
      <c r="C5" s="57">
        <f>COUNTIFS(
    unis[empresa], $A7,
    unis[situacao], C$3
)</f>
        <v>0</v>
      </c>
      <c r="D5" s="57">
        <f>COUNTIFS(
    unis[empresa], $A7,
    unis[situacao], D$3
)</f>
        <v>0</v>
      </c>
      <c r="E5" s="57">
        <f>COUNTIFS(
    unis[empresa], $A5,
    unis[situacao], E$3
)
+COUNTIFS(
    unis[empresa], $A5,
    unis[situacao], F$3,
    unis[data], "&gt;" &amp;#REF!
)</f>
        <v>0</v>
      </c>
      <c r="F5" s="55">
        <f>COUNTIFS(
    unis[empresa], $A5,
    unis[situacao], F$3,
    unis[data], "&lt;=" &amp;#REF!
)</f>
        <v>0</v>
      </c>
      <c r="G5" s="76">
        <f t="shared" ref="G5:G11" si="1">SUM(C5:F5)</f>
        <v>0</v>
      </c>
      <c r="H5" s="77">
        <f t="shared" ref="H5:H11" si="2">G5-C5</f>
        <v>0</v>
      </c>
      <c r="I5" s="63">
        <f>COUNTIFS(
    unis[empresa], $A5,
    unis[especie],I$3
)</f>
        <v>0</v>
      </c>
      <c r="J5" s="57">
        <f>COUNTIFS(
    estq[empresa], $A5,
    estq[especie],J$3
)</f>
        <v>0</v>
      </c>
      <c r="K5" s="57">
        <f>COUNTIFS(
    estq[empresa], $A5,
    estq[especie],K$3
)
+COUNTIFS(
    unis[empresa], $A5,
    unis[especie],"Moto"
)</f>
        <v>0</v>
      </c>
      <c r="L5" s="99">
        <f>COUNTIFS(
    unis[empresa], $A4,
    unis[especie], "Garagem",
    unis[obs.situacao], "*venda*"
)</f>
        <v>0</v>
      </c>
      <c r="M5" s="57"/>
      <c r="N5" s="99">
        <f>COUNTIFS(
    unis[empresa], $A5,
    unis[especie], "Moto",
    unis[obs.situacao], "*venda*"
)</f>
        <v>0</v>
      </c>
      <c r="O5" s="100">
        <f>COUNTIFS(
    unis[empresa], $A5,
    unis[especie], "Moto"
)-N$5</f>
        <v>0</v>
      </c>
      <c r="Q5" s="6">
        <v>2</v>
      </c>
      <c r="R5" s="44" t="s">
        <v>13</v>
      </c>
      <c r="S5" s="42">
        <f>COUNTIFS(
    estq[empresa], $R5,
    estq[Status],S$3)</f>
        <v>0</v>
      </c>
      <c r="T5" s="42">
        <f>COUNTIFS(
    estq[empresa], $R5,
    estq[Status],T$3)</f>
        <v>0</v>
      </c>
      <c r="U5" s="42">
        <f>COUNTIFS(
    estq[empresa], $R5,
    estq[Status],U$3)</f>
        <v>0</v>
      </c>
      <c r="V5" s="42">
        <f>COUNTIFS(
    estq[empresa], $R5,
    estq[Status],V$3)</f>
        <v>0</v>
      </c>
      <c r="W5" s="42">
        <f>COUNTIFS(
    estq[empresa], $R5,
    estq[Status],W$3)</f>
        <v>0</v>
      </c>
      <c r="X5" s="42">
        <f>COUNTIFS(
    estq[empresa], $R5,
    estq[Status],X$3)</f>
        <v>0</v>
      </c>
      <c r="Y5" s="42">
        <f>COUNTIFS(
    estq[empresa], $R5,
    estq[Status],Y$3)</f>
        <v>0</v>
      </c>
      <c r="Z5" s="45">
        <f t="shared" si="0"/>
        <v>0</v>
      </c>
    </row>
    <row r="6" spans="1:26" x14ac:dyDescent="0.25">
      <c r="A6" s="56" t="s">
        <v>12</v>
      </c>
      <c r="B6" s="57" t="s">
        <v>37</v>
      </c>
      <c r="C6" s="93">
        <v>10</v>
      </c>
      <c r="D6" s="93">
        <v>6</v>
      </c>
      <c r="E6" s="93">
        <v>6</v>
      </c>
      <c r="F6" s="94">
        <v>84</v>
      </c>
      <c r="G6" s="76">
        <f t="shared" si="1"/>
        <v>106</v>
      </c>
      <c r="H6" s="77">
        <f t="shared" si="2"/>
        <v>96</v>
      </c>
      <c r="I6" s="95"/>
      <c r="J6" s="93"/>
      <c r="K6" s="93"/>
      <c r="L6" s="93"/>
      <c r="M6" s="93"/>
      <c r="N6" s="93"/>
      <c r="O6" s="96"/>
      <c r="Q6" s="6">
        <v>3</v>
      </c>
      <c r="R6" s="44" t="s">
        <v>821</v>
      </c>
      <c r="S6" s="42">
        <f>COUNTIFS(
    estq[empresa], $R6,
    estq[Status],S$3)</f>
        <v>0</v>
      </c>
      <c r="T6" s="42">
        <f>COUNTIFS(
    estq[empresa], $R6,
    estq[Status],T$3)</f>
        <v>0</v>
      </c>
      <c r="U6" s="42">
        <f>COUNTIFS(
    estq[empresa], $R6,
    estq[Status],U$3)</f>
        <v>0</v>
      </c>
      <c r="V6" s="42">
        <f>COUNTIFS(
    estq[empresa], $R6,
    estq[Status],V$3)</f>
        <v>0</v>
      </c>
      <c r="W6" s="42">
        <f>COUNTIFS(
    estq[empresa], $R6,
    estq[Status],W$3)</f>
        <v>0</v>
      </c>
      <c r="X6" s="42">
        <f>COUNTIFS(
    estq[empresa], $R6,
    estq[Status],X$3)</f>
        <v>0</v>
      </c>
      <c r="Y6" s="42">
        <f>COUNTIFS(
    estq[empresa], $R6,
    estq[Status],Y$3)</f>
        <v>0</v>
      </c>
      <c r="Z6" s="45">
        <f t="shared" ref="Z6" si="3">SUM(S6:Y6)</f>
        <v>0</v>
      </c>
    </row>
    <row r="7" spans="1:26" x14ac:dyDescent="0.25">
      <c r="A7" s="58" t="s">
        <v>12</v>
      </c>
      <c r="B7" s="59" t="s">
        <v>65</v>
      </c>
      <c r="C7" s="60"/>
      <c r="D7" s="60"/>
      <c r="E7" s="60"/>
      <c r="F7" s="62"/>
      <c r="G7" s="78">
        <f t="shared" si="1"/>
        <v>0</v>
      </c>
      <c r="H7" s="79">
        <f t="shared" si="2"/>
        <v>0</v>
      </c>
      <c r="I7" s="64"/>
      <c r="J7" s="60"/>
      <c r="K7" s="60"/>
      <c r="L7" s="60"/>
      <c r="M7" s="60"/>
      <c r="N7" s="60"/>
      <c r="O7" s="61"/>
      <c r="Q7" s="6">
        <v>4</v>
      </c>
      <c r="R7" s="44" t="s">
        <v>14</v>
      </c>
      <c r="S7" s="42">
        <f>COUNTIFS(
    estq[empresa], $R7,
    estq[Status],S$3)</f>
        <v>0</v>
      </c>
      <c r="T7" s="42">
        <f>COUNTIFS(
    estq[empresa], $R7,
    estq[Status],T$3)</f>
        <v>0</v>
      </c>
      <c r="U7" s="42">
        <f>COUNTIFS(
    estq[empresa], $R7,
    estq[Status],U$3)</f>
        <v>0</v>
      </c>
      <c r="V7" s="42">
        <f>COUNTIFS(
    estq[empresa], $R7,
    estq[Status],V$3)</f>
        <v>0</v>
      </c>
      <c r="W7" s="42">
        <f>COUNTIFS(
    estq[empresa], $R7,
    estq[Status],W$3)</f>
        <v>0</v>
      </c>
      <c r="X7" s="42">
        <f>COUNTIFS(
    estq[empresa], $R7,
    estq[Status],X$3)</f>
        <v>0</v>
      </c>
      <c r="Y7" s="42">
        <f>COUNTIFS(
    estq[empresa], $R7,
    estq[Status],Y$3)</f>
        <v>0</v>
      </c>
      <c r="Z7" s="45">
        <f>SUM(S7:Y7)</f>
        <v>0</v>
      </c>
    </row>
    <row r="8" spans="1:26" x14ac:dyDescent="0.25">
      <c r="A8" s="22" t="s">
        <v>13</v>
      </c>
      <c r="B8" s="23" t="s">
        <v>35</v>
      </c>
      <c r="C8" s="23">
        <f>S5</f>
        <v>0</v>
      </c>
      <c r="D8" s="23">
        <f>T5+U5</f>
        <v>0</v>
      </c>
      <c r="E8" s="23">
        <f>V5+X5+W5</f>
        <v>0</v>
      </c>
      <c r="F8" s="54">
        <f>Y5</f>
        <v>0</v>
      </c>
      <c r="G8" s="74">
        <f t="shared" si="1"/>
        <v>0</v>
      </c>
      <c r="H8" s="75">
        <f t="shared" si="2"/>
        <v>0</v>
      </c>
      <c r="I8" s="73">
        <f>COUNTIFS(
    unis[empresa], $A8,
    unis[especie],I$3
)</f>
        <v>0</v>
      </c>
      <c r="J8" s="23">
        <f>COUNTIFS(
    unis[empresa], $A8,
    unis[especie],J$3
)</f>
        <v>0</v>
      </c>
      <c r="K8" s="23">
        <f>COUNTIFS(
    unis[empresa], $A8,
    unis[especie],K$3
)</f>
        <v>0</v>
      </c>
      <c r="L8" s="23"/>
      <c r="M8" s="23"/>
      <c r="N8" s="23"/>
      <c r="O8" s="25"/>
      <c r="Q8" s="6">
        <v>5</v>
      </c>
      <c r="R8" s="44" t="s">
        <v>15</v>
      </c>
      <c r="S8" s="42">
        <f>COUNTIFS(
    estq[empresa], $R8,
    estq[Status],S$3)</f>
        <v>0</v>
      </c>
      <c r="T8" s="42">
        <f>COUNTIFS(
    estq[empresa], $R8,
    estq[Status],T$3)</f>
        <v>0</v>
      </c>
      <c r="U8" s="42">
        <f>COUNTIFS(
    estq[empresa], $R8,
    estq[Status],U$3)</f>
        <v>0</v>
      </c>
      <c r="V8" s="42">
        <f>COUNTIFS(
    estq[empresa], $R8,
    estq[Status],V$3)</f>
        <v>0</v>
      </c>
      <c r="W8" s="42">
        <f>COUNTIFS(
    estq[empresa], $R8,
    estq[Status],W$3)</f>
        <v>0</v>
      </c>
      <c r="X8" s="42">
        <f>COUNTIFS(
    estq[empresa], $R8,
    estq[Status],X$3)</f>
        <v>0</v>
      </c>
      <c r="Y8" s="42">
        <f>COUNTIFS(
    estq[empresa], $R8,
    estq[Status],Y$3)</f>
        <v>0</v>
      </c>
      <c r="Z8" s="45">
        <f>SUM(S8:Y8)</f>
        <v>0</v>
      </c>
    </row>
    <row r="9" spans="1:26" x14ac:dyDescent="0.25">
      <c r="A9" s="56" t="s">
        <v>13</v>
      </c>
      <c r="B9" s="57" t="s">
        <v>34</v>
      </c>
      <c r="C9" s="57">
        <f>COUNTIFS(
    unis[empresa], $A11,
    unis[situacao], C$3
)</f>
        <v>0</v>
      </c>
      <c r="D9" s="57">
        <f>COUNTIFS(
    unis[empresa], $A11,
    unis[situacao], D$3
)</f>
        <v>0</v>
      </c>
      <c r="E9" s="57">
        <f>COUNTIFS(
    unis[empresa], $A9,
    unis[situacao], E$3
)
+COUNTIFS(
    unis[empresa], $A9,
    unis[situacao], F$3,
    unis[data], "&gt;" &amp;#REF!
)</f>
        <v>0</v>
      </c>
      <c r="F9" s="55">
        <f>COUNTIFS(
    unis[empresa], $A9,
    unis[situacao], F$3,
    unis[data], "&lt;=" &amp;#REF!
)</f>
        <v>0</v>
      </c>
      <c r="G9" s="76">
        <f t="shared" si="1"/>
        <v>0</v>
      </c>
      <c r="H9" s="77">
        <f t="shared" si="2"/>
        <v>0</v>
      </c>
      <c r="I9" s="63">
        <f>COUNTIFS(
    unis[empresa], $A9,
    unis[especie],I$3
)</f>
        <v>0</v>
      </c>
      <c r="J9" s="57">
        <f>COUNTIFS(
    estq[empresa], $A9,
    estq[especie],J$3
)</f>
        <v>0</v>
      </c>
      <c r="K9" s="57">
        <f>COUNTIFS(
    estq[empresa], $A9,
    estq[especie],K$3
)
+COUNTIFS(
    unis[empresa], $A9,
    unis[especie],"Moto"
)</f>
        <v>0</v>
      </c>
      <c r="L9" s="57"/>
      <c r="M9" s="57"/>
      <c r="N9" s="57"/>
      <c r="O9" s="53"/>
      <c r="Q9" s="6">
        <v>6</v>
      </c>
      <c r="R9" s="44" t="s">
        <v>16</v>
      </c>
      <c r="S9" s="42">
        <f>COUNTIFS(
    estq[empresa], $R9,
    estq[Status],S$3)</f>
        <v>0</v>
      </c>
      <c r="T9" s="42">
        <f>COUNTIFS(
    estq[empresa], $R9,
    estq[Status],T$3)</f>
        <v>0</v>
      </c>
      <c r="U9" s="42">
        <f>COUNTIFS(
    estq[empresa], $R9,
    estq[Status],U$3)</f>
        <v>0</v>
      </c>
      <c r="V9" s="42">
        <f>COUNTIFS(
    estq[empresa], $R9,
    estq[Status],V$3)</f>
        <v>0</v>
      </c>
      <c r="W9" s="42">
        <f>COUNTIFS(
    estq[empresa], $R9,
    estq[Status],W$3)</f>
        <v>0</v>
      </c>
      <c r="X9" s="42">
        <f>COUNTIFS(
    estq[empresa], $R9,
    estq[Status],X$3)</f>
        <v>0</v>
      </c>
      <c r="Y9" s="42">
        <f>COUNTIFS(
    estq[empresa], $R9,
    estq[Status],Y$3)</f>
        <v>0</v>
      </c>
      <c r="Z9" s="45">
        <f>SUM(S9:Y9)</f>
        <v>0</v>
      </c>
    </row>
    <row r="10" spans="1:26" x14ac:dyDescent="0.25">
      <c r="A10" s="56" t="s">
        <v>13</v>
      </c>
      <c r="B10" s="57" t="s">
        <v>37</v>
      </c>
      <c r="C10" s="93">
        <v>23</v>
      </c>
      <c r="D10" s="93">
        <v>5</v>
      </c>
      <c r="E10" s="93">
        <v>1</v>
      </c>
      <c r="F10" s="94">
        <v>151</v>
      </c>
      <c r="G10" s="76">
        <f t="shared" si="1"/>
        <v>180</v>
      </c>
      <c r="H10" s="77">
        <f t="shared" si="2"/>
        <v>157</v>
      </c>
      <c r="I10" s="95"/>
      <c r="J10" s="93"/>
      <c r="K10" s="93"/>
      <c r="L10" s="93"/>
      <c r="M10" s="93"/>
      <c r="N10" s="93"/>
      <c r="O10" s="96"/>
      <c r="Q10" s="6">
        <v>7</v>
      </c>
      <c r="R10" s="44" t="s">
        <v>507</v>
      </c>
      <c r="S10" s="42">
        <f>COUNTIFS(
    estq[empresa], $R10,
    estq[Status],S$3)</f>
        <v>0</v>
      </c>
      <c r="T10" s="42">
        <f>COUNTIFS(
    estq[empresa], $R10,
    estq[Status],T$3)</f>
        <v>0</v>
      </c>
      <c r="U10" s="42">
        <f>COUNTIFS(
    estq[empresa], $R10,
    estq[Status],U$3)</f>
        <v>0</v>
      </c>
      <c r="V10" s="42">
        <f>COUNTIFS(
    estq[empresa], $R10,
    estq[Status],V$3)</f>
        <v>0</v>
      </c>
      <c r="W10" s="42">
        <f>COUNTIFS(
    estq[empresa], $R10,
    estq[Status],W$3)</f>
        <v>0</v>
      </c>
      <c r="X10" s="42">
        <f>COUNTIFS(
    estq[empresa], $R10,
    estq[Status],X$3)</f>
        <v>0</v>
      </c>
      <c r="Y10" s="42">
        <f>COUNTIFS(
    estq[empresa], $R10,
    estq[Status],Y$3)</f>
        <v>0</v>
      </c>
      <c r="Z10" s="45">
        <f t="shared" ref="Z10" si="4">SUM(S10:Y10)</f>
        <v>0</v>
      </c>
    </row>
    <row r="11" spans="1:26" x14ac:dyDescent="0.25">
      <c r="A11" s="58" t="s">
        <v>13</v>
      </c>
      <c r="B11" s="59" t="s">
        <v>65</v>
      </c>
      <c r="C11" s="60"/>
      <c r="D11" s="60"/>
      <c r="E11" s="60"/>
      <c r="F11" s="62"/>
      <c r="G11" s="78">
        <f t="shared" si="1"/>
        <v>0</v>
      </c>
      <c r="H11" s="79">
        <f t="shared" si="2"/>
        <v>0</v>
      </c>
      <c r="I11" s="64"/>
      <c r="J11" s="60"/>
      <c r="K11" s="60"/>
      <c r="L11" s="60"/>
      <c r="M11" s="60"/>
      <c r="N11" s="60"/>
      <c r="O11" s="61"/>
      <c r="Q11" s="6">
        <v>8</v>
      </c>
      <c r="R11" s="44" t="s">
        <v>17</v>
      </c>
      <c r="S11" s="42">
        <f>COUNTIFS(
    estq[empresa], $R11,
    estq[Status],S$3)</f>
        <v>0</v>
      </c>
      <c r="T11" s="42">
        <f>COUNTIFS(
    estq[empresa], $R11,
    estq[Status],T$3)</f>
        <v>0</v>
      </c>
      <c r="U11" s="42">
        <f>COUNTIFS(
    estq[empresa], $R11,
    estq[Status],U$3)</f>
        <v>0</v>
      </c>
      <c r="V11" s="42">
        <f>COUNTIFS(
    estq[empresa], $R11,
    estq[Status],V$3)</f>
        <v>0</v>
      </c>
      <c r="W11" s="42">
        <f>COUNTIFS(
    estq[empresa], $R11,
    estq[Status],W$3)</f>
        <v>0</v>
      </c>
      <c r="X11" s="42">
        <f>COUNTIFS(
    estq[empresa], $R11,
    estq[Status],X$3)</f>
        <v>0</v>
      </c>
      <c r="Y11" s="42">
        <f>COUNTIFS(
    estq[empresa], $R11,
    estq[Status],Y$3)</f>
        <v>0</v>
      </c>
      <c r="Z11" s="45">
        <f>SUM(S11:Y11)</f>
        <v>0</v>
      </c>
    </row>
    <row r="12" spans="1:26" x14ac:dyDescent="0.25">
      <c r="A12" s="22" t="s">
        <v>821</v>
      </c>
      <c r="B12" s="23" t="s">
        <v>35</v>
      </c>
      <c r="C12" s="23">
        <f>S6</f>
        <v>0</v>
      </c>
      <c r="D12" s="23">
        <f>T6+U6</f>
        <v>0</v>
      </c>
      <c r="E12" s="23">
        <f>V6+X6+W6</f>
        <v>0</v>
      </c>
      <c r="F12" s="54">
        <f>Y6</f>
        <v>0</v>
      </c>
      <c r="G12" s="74">
        <f>SUM(C12:F12)</f>
        <v>0</v>
      </c>
      <c r="H12" s="75">
        <f>G12-C12</f>
        <v>0</v>
      </c>
      <c r="I12" s="73">
        <f>COUNTIFS(
    unis[empresa], $A12,
    unis[especie],I$3
)</f>
        <v>0</v>
      </c>
      <c r="J12" s="23">
        <f>COUNTIFS(
    unis[empresa], $A12,
    unis[especie],J$3
)</f>
        <v>0</v>
      </c>
      <c r="K12" s="23">
        <f>COUNTIFS(
    unis[empresa], $A12,
    unis[especie],K$3
)</f>
        <v>0</v>
      </c>
      <c r="L12" s="23"/>
      <c r="M12" s="23"/>
      <c r="N12" s="23"/>
      <c r="O12" s="25"/>
      <c r="Q12" s="6">
        <v>9</v>
      </c>
      <c r="R12" s="44" t="s">
        <v>18</v>
      </c>
      <c r="S12" s="42">
        <f>COUNTIFS(
    estq[empresa], $R12,
    estq[Status],S$3)</f>
        <v>0</v>
      </c>
      <c r="T12" s="42">
        <f>COUNTIFS(
    estq[empresa], $R12,
    estq[Status],T$3)</f>
        <v>0</v>
      </c>
      <c r="U12" s="42">
        <f>COUNTIFS(
    estq[empresa], $R12,
    estq[Status],U$3)</f>
        <v>0</v>
      </c>
      <c r="V12" s="42">
        <f>COUNTIFS(
    estq[empresa], $R12,
    estq[Status],V$3)</f>
        <v>0</v>
      </c>
      <c r="W12" s="42">
        <f>COUNTIFS(
    estq[empresa], $R12,
    estq[Status],W$3)</f>
        <v>0</v>
      </c>
      <c r="X12" s="42">
        <f>COUNTIFS(
    estq[empresa], $R12,
    estq[Status],X$3)</f>
        <v>0</v>
      </c>
      <c r="Y12" s="42">
        <f>COUNTIFS(
    estq[empresa], $R12,
    estq[Status],Y$3)</f>
        <v>0</v>
      </c>
      <c r="Z12" s="45">
        <f>SUM(S12:Y12)</f>
        <v>0</v>
      </c>
    </row>
    <row r="13" spans="1:26" x14ac:dyDescent="0.25">
      <c r="A13" s="56" t="s">
        <v>821</v>
      </c>
      <c r="B13" s="57" t="s">
        <v>34</v>
      </c>
      <c r="C13" s="57">
        <f>COUNTIFS(
    unis[empresa], $A15,
    unis[situacao], C$3
)</f>
        <v>0</v>
      </c>
      <c r="D13" s="57">
        <f>COUNTIFS(
    unis[empresa], $A15,
    unis[situacao], D$3
)</f>
        <v>0</v>
      </c>
      <c r="E13" s="57">
        <f>COUNTIFS(
    unis[empresa], $A13,
    unis[situacao], E$3
)
+COUNTIFS(
    unis[empresa], $A13,
    unis[situacao], F$3,
    unis[data], "&gt;" &amp;#REF!
)</f>
        <v>0</v>
      </c>
      <c r="F13" s="55">
        <f>COUNTIFS(
    unis[empresa], $A13,
    unis[situacao], F$3,
    unis[data], "&lt;=" &amp;#REF!
)</f>
        <v>0</v>
      </c>
      <c r="G13" s="76">
        <f>SUM(C13:F13)</f>
        <v>0</v>
      </c>
      <c r="H13" s="77">
        <f>G13-C13</f>
        <v>0</v>
      </c>
      <c r="I13" s="63">
        <f>COUNTIFS(
    unis[empresa], $A13,
    unis[especie],I$3
)</f>
        <v>0</v>
      </c>
      <c r="J13" s="57">
        <f>COUNTIFS(
    estq[empresa], $A13,
    estq[especie],J$3
)</f>
        <v>0</v>
      </c>
      <c r="K13" s="57">
        <f>COUNTIFS(
    estq[empresa], $A13,
    estq[especie],K$3
)
+COUNTIFS(
    unis[empresa], $A13,
    unis[especie],"Moto"
)</f>
        <v>0</v>
      </c>
      <c r="L13" s="57"/>
      <c r="M13" s="57"/>
      <c r="N13" s="57"/>
      <c r="O13" s="53"/>
      <c r="R13" s="46" t="s">
        <v>30</v>
      </c>
      <c r="S13" s="45">
        <f>SUM(S4:S12)</f>
        <v>0</v>
      </c>
      <c r="T13" s="45">
        <f>SUM(T4:T12)</f>
        <v>0</v>
      </c>
      <c r="U13" s="45">
        <f>SUM(U4:U12)</f>
        <v>0</v>
      </c>
      <c r="V13" s="45">
        <f>SUM(V4:V12)</f>
        <v>0</v>
      </c>
      <c r="W13" s="45">
        <f>SUM(W4:W12)</f>
        <v>0</v>
      </c>
      <c r="X13" s="45">
        <f>SUM(X4:X12)</f>
        <v>0</v>
      </c>
      <c r="Y13" s="45">
        <f>SUM(Y4:Y12)</f>
        <v>0</v>
      </c>
      <c r="Z13" s="45">
        <f>SUM(S13:Y13)</f>
        <v>0</v>
      </c>
    </row>
    <row r="14" spans="1:26" x14ac:dyDescent="0.25">
      <c r="A14" s="56" t="s">
        <v>821</v>
      </c>
      <c r="B14" s="57" t="s">
        <v>37</v>
      </c>
      <c r="C14" s="93"/>
      <c r="D14" s="93"/>
      <c r="E14" s="93"/>
      <c r="F14" s="94"/>
      <c r="G14" s="76"/>
      <c r="H14" s="77"/>
      <c r="I14" s="95"/>
      <c r="J14" s="93"/>
      <c r="K14" s="93"/>
      <c r="L14" s="93"/>
      <c r="M14" s="93"/>
      <c r="N14" s="93"/>
      <c r="O14" s="96"/>
    </row>
    <row r="15" spans="1:26" x14ac:dyDescent="0.25">
      <c r="A15" s="58" t="s">
        <v>821</v>
      </c>
      <c r="B15" s="59" t="s">
        <v>65</v>
      </c>
      <c r="C15" s="60"/>
      <c r="D15" s="60"/>
      <c r="E15" s="60"/>
      <c r="F15" s="62"/>
      <c r="G15" s="78">
        <f>SUM(C15:F15)</f>
        <v>0</v>
      </c>
      <c r="H15" s="79">
        <f>G15-C15</f>
        <v>0</v>
      </c>
      <c r="I15" s="64"/>
      <c r="J15" s="60"/>
      <c r="K15" s="60"/>
      <c r="L15" s="60"/>
      <c r="M15" s="60"/>
      <c r="N15" s="60"/>
      <c r="O15" s="61"/>
    </row>
    <row r="16" spans="1:26" x14ac:dyDescent="0.25">
      <c r="A16" s="22" t="s">
        <v>14</v>
      </c>
      <c r="B16" s="23" t="s">
        <v>35</v>
      </c>
      <c r="C16" s="23">
        <f>S7</f>
        <v>0</v>
      </c>
      <c r="D16" s="23">
        <f>T7+U7</f>
        <v>0</v>
      </c>
      <c r="E16" s="23">
        <f>V7+X7+W7</f>
        <v>0</v>
      </c>
      <c r="F16" s="54">
        <f>Y7</f>
        <v>0</v>
      </c>
      <c r="G16" s="74">
        <f>SUM(C16:F16)</f>
        <v>0</v>
      </c>
      <c r="H16" s="75">
        <f>G16-C16</f>
        <v>0</v>
      </c>
      <c r="I16" s="73">
        <f>COUNTIFS(
    unis[empresa], $A16,
    unis[especie],I$3
)</f>
        <v>0</v>
      </c>
      <c r="J16" s="23">
        <f>COUNTIFS(
    unis[empresa], $A16,
    unis[especie],J$3
)</f>
        <v>0</v>
      </c>
      <c r="K16" s="23">
        <f>COUNTIFS(
    unis[empresa], $A16,
    unis[especie],K$3
)</f>
        <v>0</v>
      </c>
      <c r="L16" s="23"/>
      <c r="M16" s="23"/>
      <c r="N16" s="23"/>
      <c r="O16" s="25"/>
    </row>
    <row r="17" spans="1:15" x14ac:dyDescent="0.25">
      <c r="A17" s="56" t="s">
        <v>14</v>
      </c>
      <c r="B17" s="57" t="s">
        <v>34</v>
      </c>
      <c r="C17" s="57">
        <f>COUNTIFS(
    unis[empresa], $A19,
    unis[situacao], C$3
)</f>
        <v>0</v>
      </c>
      <c r="D17" s="57">
        <f>COUNTIFS(
    unis[empresa], $A19,
    unis[situacao], D$3
)</f>
        <v>0</v>
      </c>
      <c r="E17" s="57">
        <f>COUNTIFS(
    unis[empresa], $A17,
    unis[situacao], E$3
)
+COUNTIFS(
    unis[empresa], $A17,
    unis[situacao], F$3,
    unis[data], "&gt;" &amp;#REF!
)</f>
        <v>0</v>
      </c>
      <c r="F17" s="55">
        <f>COUNTIFS(
    unis[empresa], $A17,
    unis[situacao], F$3,
    unis[data], "&lt;=" &amp;#REF!
)</f>
        <v>0</v>
      </c>
      <c r="G17" s="76">
        <f>SUM(C17:F17)</f>
        <v>0</v>
      </c>
      <c r="H17" s="77">
        <f>G17-C17</f>
        <v>0</v>
      </c>
      <c r="I17" s="63">
        <f>COUNTIFS(
    unis[empresa], $A17,
    unis[especie],I$3
)</f>
        <v>0</v>
      </c>
      <c r="J17" s="57">
        <f>COUNTIFS(
    estq[empresa], $A17,
    estq[especie],J$3
)</f>
        <v>0</v>
      </c>
      <c r="K17" s="57">
        <f>COUNTIFS(
    estq[empresa], $A17,
    estq[especie],K$3
)
+COUNTIFS(
    unis[empresa], $A17,
    unis[especie],"Moto"
)</f>
        <v>0</v>
      </c>
      <c r="L17" s="57"/>
      <c r="M17" s="57"/>
      <c r="N17" s="57"/>
      <c r="O17" s="53"/>
    </row>
    <row r="18" spans="1:15" x14ac:dyDescent="0.25">
      <c r="A18" s="56" t="s">
        <v>14</v>
      </c>
      <c r="B18" s="57" t="s">
        <v>37</v>
      </c>
      <c r="C18" s="93">
        <v>0</v>
      </c>
      <c r="D18" s="93">
        <v>2</v>
      </c>
      <c r="E18" s="93">
        <v>11</v>
      </c>
      <c r="F18" s="94">
        <v>128</v>
      </c>
      <c r="G18" s="76">
        <f>SUM(C18:F18)</f>
        <v>141</v>
      </c>
      <c r="H18" s="77">
        <f>G18-C18</f>
        <v>141</v>
      </c>
      <c r="I18" s="95"/>
      <c r="J18" s="93"/>
      <c r="K18" s="93"/>
      <c r="L18" s="93"/>
      <c r="M18" s="93"/>
      <c r="N18" s="93"/>
      <c r="O18" s="96"/>
    </row>
    <row r="19" spans="1:15" x14ac:dyDescent="0.25">
      <c r="A19" s="58" t="s">
        <v>14</v>
      </c>
      <c r="B19" s="59" t="s">
        <v>65</v>
      </c>
      <c r="C19" s="60"/>
      <c r="D19" s="60"/>
      <c r="E19" s="60"/>
      <c r="F19" s="62"/>
      <c r="G19" s="78">
        <f>SUM(C19:F19)</f>
        <v>0</v>
      </c>
      <c r="H19" s="79">
        <f>G19-C19</f>
        <v>0</v>
      </c>
      <c r="I19" s="64"/>
      <c r="J19" s="60"/>
      <c r="K19" s="60"/>
      <c r="L19" s="60"/>
      <c r="M19" s="60"/>
      <c r="N19" s="60"/>
      <c r="O19" s="61"/>
    </row>
    <row r="20" spans="1:15" x14ac:dyDescent="0.25">
      <c r="A20" s="22" t="s">
        <v>15</v>
      </c>
      <c r="B20" s="23" t="s">
        <v>35</v>
      </c>
      <c r="C20" s="23">
        <f>S8</f>
        <v>0</v>
      </c>
      <c r="D20" s="23">
        <f>T8+U8</f>
        <v>0</v>
      </c>
      <c r="E20" s="23">
        <f>V8+X8+W8</f>
        <v>0</v>
      </c>
      <c r="F20" s="54">
        <f>Y8</f>
        <v>0</v>
      </c>
      <c r="G20" s="74">
        <f>SUM(C20:F20)</f>
        <v>0</v>
      </c>
      <c r="H20" s="75">
        <f>G20-C20</f>
        <v>0</v>
      </c>
      <c r="I20" s="73">
        <f>COUNTIFS(
    unis[empresa], $A20,
    unis[especie],I$3
)</f>
        <v>0</v>
      </c>
      <c r="J20" s="23">
        <f>COUNTIFS(
    unis[empresa], $A20,
    unis[especie],J$3
)</f>
        <v>0</v>
      </c>
      <c r="K20" s="23">
        <f>COUNTIFS(
    unis[empresa], $A20,
    unis[especie],K$3
)</f>
        <v>0</v>
      </c>
      <c r="L20" s="23"/>
      <c r="M20" s="23"/>
      <c r="N20" s="23"/>
      <c r="O20" s="25"/>
    </row>
    <row r="21" spans="1:15" x14ac:dyDescent="0.25">
      <c r="A21" s="56" t="s">
        <v>15</v>
      </c>
      <c r="B21" s="57" t="s">
        <v>34</v>
      </c>
      <c r="C21" s="57">
        <f>COUNTIFS(
    unis[empresa], $A23,
    unis[situacao], C$3
)</f>
        <v>0</v>
      </c>
      <c r="D21" s="57">
        <f>COUNTIFS(
    unis[empresa], $A23,
    unis[situacao], D$3
)</f>
        <v>0</v>
      </c>
      <c r="E21" s="57">
        <f>COUNTIFS(
    unis[empresa], $A21,
    unis[situacao], E$3
)
+COUNTIFS(
    unis[empresa], $A21,
    unis[situacao], F$3,
    unis[data], "&gt;" &amp;#REF!
)</f>
        <v>0</v>
      </c>
      <c r="F21" s="55">
        <f>COUNTIFS(
    unis[empresa], $A21,
    unis[situacao], F$3,
    unis[data], "&lt;=" &amp;#REF!
)</f>
        <v>0</v>
      </c>
      <c r="G21" s="76">
        <f>SUM(C21:F21)</f>
        <v>0</v>
      </c>
      <c r="H21" s="77">
        <f>G21-C21</f>
        <v>0</v>
      </c>
      <c r="I21" s="63">
        <f>COUNTIFS(
    unis[empresa], $A21,
    unis[especie],I$3
)</f>
        <v>0</v>
      </c>
      <c r="J21" s="57">
        <f>COUNTIFS(
    estq[empresa], $A21,
    estq[especie],J$3
)</f>
        <v>0</v>
      </c>
      <c r="K21" s="57">
        <f>COUNTIFS(
    estq[empresa], $A21,
    estq[especie],K$3
)
+COUNTIFS(
    unis[empresa], $A21,
    unis[especie],"Moto"
)</f>
        <v>0</v>
      </c>
      <c r="L21" s="57"/>
      <c r="M21" s="57"/>
      <c r="N21" s="57"/>
      <c r="O21" s="53"/>
    </row>
    <row r="22" spans="1:15" x14ac:dyDescent="0.25">
      <c r="A22" s="56" t="s">
        <v>15</v>
      </c>
      <c r="B22" s="57" t="s">
        <v>37</v>
      </c>
      <c r="C22" s="93">
        <v>12</v>
      </c>
      <c r="D22" s="93">
        <v>0</v>
      </c>
      <c r="E22" s="93">
        <v>93</v>
      </c>
      <c r="F22" s="94">
        <v>121</v>
      </c>
      <c r="G22" s="76">
        <f>SUM(C22:F22)</f>
        <v>226</v>
      </c>
      <c r="H22" s="77">
        <f>G22-C22</f>
        <v>214</v>
      </c>
      <c r="I22" s="95"/>
      <c r="J22" s="93"/>
      <c r="K22" s="93"/>
      <c r="L22" s="93"/>
      <c r="M22" s="93"/>
      <c r="N22" s="93"/>
      <c r="O22" s="96"/>
    </row>
    <row r="23" spans="1:15" x14ac:dyDescent="0.25">
      <c r="A23" s="58" t="s">
        <v>15</v>
      </c>
      <c r="B23" s="59" t="s">
        <v>65</v>
      </c>
      <c r="C23" s="60"/>
      <c r="D23" s="60"/>
      <c r="E23" s="60"/>
      <c r="F23" s="62"/>
      <c r="G23" s="78">
        <f>SUM(C23:F23)</f>
        <v>0</v>
      </c>
      <c r="H23" s="79">
        <f>G23-C23</f>
        <v>0</v>
      </c>
      <c r="I23" s="64"/>
      <c r="J23" s="60"/>
      <c r="K23" s="60"/>
      <c r="L23" s="60"/>
      <c r="M23" s="60"/>
      <c r="N23" s="60"/>
      <c r="O23" s="61"/>
    </row>
    <row r="24" spans="1:15" x14ac:dyDescent="0.25">
      <c r="A24" s="22" t="s">
        <v>16</v>
      </c>
      <c r="B24" s="23" t="s">
        <v>35</v>
      </c>
      <c r="C24" s="23">
        <f>S9</f>
        <v>0</v>
      </c>
      <c r="D24" s="23">
        <f>T9+U9</f>
        <v>0</v>
      </c>
      <c r="E24" s="23">
        <f>V9+X9+W9</f>
        <v>0</v>
      </c>
      <c r="F24" s="54">
        <f>Y9</f>
        <v>0</v>
      </c>
      <c r="G24" s="74">
        <f>SUM(C24:F24)</f>
        <v>0</v>
      </c>
      <c r="H24" s="75">
        <f>G24-C24</f>
        <v>0</v>
      </c>
      <c r="I24" s="73">
        <f>COUNTIFS(
    unis[empresa], $A24,
    unis[especie],I$3
)</f>
        <v>0</v>
      </c>
      <c r="J24" s="23">
        <f>COUNTIFS(
    unis[empresa], $A24,
    unis[especie],J$3
)</f>
        <v>0</v>
      </c>
      <c r="K24" s="23">
        <f>COUNTIFS(
    unis[empresa], $A24,
    unis[especie],K$3
)</f>
        <v>0</v>
      </c>
      <c r="L24" s="23"/>
      <c r="M24" s="23"/>
      <c r="N24" s="23"/>
      <c r="O24" s="25"/>
    </row>
    <row r="25" spans="1:15" x14ac:dyDescent="0.25">
      <c r="A25" s="56" t="s">
        <v>16</v>
      </c>
      <c r="B25" s="57" t="s">
        <v>34</v>
      </c>
      <c r="C25" s="57">
        <f>COUNTIFS(
    unis[empresa], $A27,
    unis[situacao], C$3
)</f>
        <v>0</v>
      </c>
      <c r="D25" s="57">
        <f>COUNTIFS(
    unis[empresa], $A27,
    unis[situacao], D$3
)</f>
        <v>0</v>
      </c>
      <c r="E25" s="57">
        <f>COUNTIFS(
    unis[empresa], $A25,
    unis[situacao], E$3
)
+COUNTIFS(
    unis[empresa], $A25,
    unis[situacao], F$3,
    unis[data], "&gt;" &amp;#REF!
)</f>
        <v>0</v>
      </c>
      <c r="F25" s="55">
        <f>COUNTIFS(
    unis[empresa], $A25,
    unis[situacao], F$3,
    unis[data], "&lt;=" &amp;#REF!
)</f>
        <v>0</v>
      </c>
      <c r="G25" s="76">
        <f>SUM(C25:F25)</f>
        <v>0</v>
      </c>
      <c r="H25" s="77">
        <f>G25-C25</f>
        <v>0</v>
      </c>
      <c r="I25" s="63">
        <f>COUNTIFS(
    unis[empresa], $A25,
    unis[especie],I$3
)</f>
        <v>0</v>
      </c>
      <c r="J25" s="57">
        <f>COUNTIFS(
    estq[empresa], $A25,
    estq[especie],J$3
)</f>
        <v>0</v>
      </c>
      <c r="K25" s="57">
        <f>COUNTIFS(
    estq[empresa], $A25,
    estq[especie],K$3
)
+COUNTIFS(
    unis[empresa], $A25,
    unis[especie],"Moto"
)</f>
        <v>0</v>
      </c>
      <c r="L25" s="57"/>
      <c r="M25" s="57"/>
      <c r="N25" s="57"/>
      <c r="O25" s="53"/>
    </row>
    <row r="26" spans="1:15" x14ac:dyDescent="0.25">
      <c r="A26" s="56" t="s">
        <v>16</v>
      </c>
      <c r="B26" s="57" t="s">
        <v>37</v>
      </c>
      <c r="C26" s="93">
        <v>16</v>
      </c>
      <c r="D26" s="93">
        <v>1</v>
      </c>
      <c r="E26" s="93">
        <v>0</v>
      </c>
      <c r="F26" s="94">
        <v>55</v>
      </c>
      <c r="G26" s="76">
        <f>SUM(C26:F26)</f>
        <v>72</v>
      </c>
      <c r="H26" s="77">
        <f>G26-C26</f>
        <v>56</v>
      </c>
      <c r="I26" s="95"/>
      <c r="J26" s="93"/>
      <c r="K26" s="93"/>
      <c r="L26" s="93"/>
      <c r="M26" s="93"/>
      <c r="N26" s="93"/>
      <c r="O26" s="96"/>
    </row>
    <row r="27" spans="1:15" x14ac:dyDescent="0.25">
      <c r="A27" s="58" t="s">
        <v>16</v>
      </c>
      <c r="B27" s="59" t="s">
        <v>65</v>
      </c>
      <c r="C27" s="60"/>
      <c r="D27" s="60"/>
      <c r="E27" s="60"/>
      <c r="F27" s="62"/>
      <c r="G27" s="78">
        <f>SUM(C27:F27)</f>
        <v>0</v>
      </c>
      <c r="H27" s="79">
        <f>G27-C27</f>
        <v>0</v>
      </c>
      <c r="I27" s="64"/>
      <c r="J27" s="60"/>
      <c r="K27" s="60"/>
      <c r="L27" s="60"/>
      <c r="M27" s="60"/>
      <c r="N27" s="60"/>
      <c r="O27" s="61"/>
    </row>
    <row r="28" spans="1:15" x14ac:dyDescent="0.25">
      <c r="A28" s="22" t="s">
        <v>507</v>
      </c>
      <c r="B28" s="23" t="s">
        <v>35</v>
      </c>
      <c r="C28" s="23">
        <f>S10</f>
        <v>0</v>
      </c>
      <c r="D28" s="23">
        <f>T10+U10</f>
        <v>0</v>
      </c>
      <c r="E28" s="23">
        <f>V10+X10+W10</f>
        <v>0</v>
      </c>
      <c r="F28" s="54">
        <f>Y10</f>
        <v>0</v>
      </c>
      <c r="G28" s="74">
        <f t="shared" ref="G28:G31" si="5">SUM(C28:F28)</f>
        <v>0</v>
      </c>
      <c r="H28" s="75">
        <f t="shared" ref="H28:H31" si="6">G28-C28</f>
        <v>0</v>
      </c>
      <c r="I28" s="73">
        <f>COUNTIFS(
    unis[empresa], $A28,
    unis[especie],I$3
)</f>
        <v>0</v>
      </c>
      <c r="J28" s="23">
        <f>COUNTIFS(
    unis[empresa], $A28,
    unis[especie],J$3
)</f>
        <v>0</v>
      </c>
      <c r="K28" s="23">
        <f>COUNTIFS(
    unis[empresa], $A28,
    unis[especie],K$3
)</f>
        <v>0</v>
      </c>
      <c r="L28" s="23"/>
      <c r="M28" s="23"/>
      <c r="N28" s="23"/>
      <c r="O28" s="25"/>
    </row>
    <row r="29" spans="1:15" x14ac:dyDescent="0.25">
      <c r="A29" s="56" t="s">
        <v>507</v>
      </c>
      <c r="B29" s="57" t="s">
        <v>34</v>
      </c>
      <c r="C29" s="57">
        <f>COUNTIFS(
    unis[empresa], $A31,
    unis[situacao], C$3
)</f>
        <v>0</v>
      </c>
      <c r="D29" s="57">
        <f>COUNTIFS(
    unis[empresa], $A31,
    unis[situacao], D$3
)</f>
        <v>0</v>
      </c>
      <c r="E29" s="57">
        <f>COUNTIFS(
    unis[empresa], $A29,
    unis[situacao], E$3
)
+COUNTIFS(
    unis[empresa], $A29,
    unis[situacao], F$3,
    unis[data], "&gt;" &amp;#REF!
)</f>
        <v>0</v>
      </c>
      <c r="F29" s="55">
        <f>COUNTIFS(
    unis[empresa], $A29,
    unis[situacao], F$3,
    unis[data], "&lt;=" &amp;#REF!
)</f>
        <v>0</v>
      </c>
      <c r="G29" s="76">
        <f t="shared" si="5"/>
        <v>0</v>
      </c>
      <c r="H29" s="77">
        <f t="shared" si="6"/>
        <v>0</v>
      </c>
      <c r="I29" s="63">
        <f>COUNTIFS(
    unis[empresa], $A29,
    unis[especie],I$3
)</f>
        <v>0</v>
      </c>
      <c r="J29" s="57">
        <f>COUNTIFS(
    estq[empresa], $A29,
    estq[especie],J$3
)</f>
        <v>0</v>
      </c>
      <c r="K29" s="57">
        <f>COUNTIFS(
    estq[empresa], $A29,
    estq[especie],K$3
)
+COUNTIFS(
    unis[empresa], $A29,
    unis[especie],"Moto"
)</f>
        <v>0</v>
      </c>
      <c r="L29" s="57"/>
      <c r="M29" s="57"/>
      <c r="N29" s="57"/>
      <c r="O29" s="53"/>
    </row>
    <row r="30" spans="1:15" x14ac:dyDescent="0.25">
      <c r="A30" s="56" t="s">
        <v>507</v>
      </c>
      <c r="B30" s="57" t="s">
        <v>37</v>
      </c>
      <c r="C30" s="93"/>
      <c r="D30" s="93"/>
      <c r="E30" s="93"/>
      <c r="F30" s="94"/>
      <c r="G30" s="76"/>
      <c r="H30" s="77"/>
      <c r="I30" s="95"/>
      <c r="J30" s="93"/>
      <c r="K30" s="93"/>
      <c r="L30" s="93"/>
      <c r="M30" s="93"/>
      <c r="N30" s="93"/>
      <c r="O30" s="96"/>
    </row>
    <row r="31" spans="1:15" x14ac:dyDescent="0.25">
      <c r="A31" s="58" t="s">
        <v>507</v>
      </c>
      <c r="B31" s="59" t="s">
        <v>65</v>
      </c>
      <c r="C31" s="60"/>
      <c r="D31" s="60"/>
      <c r="E31" s="60"/>
      <c r="F31" s="62"/>
      <c r="G31" s="78">
        <f t="shared" si="5"/>
        <v>0</v>
      </c>
      <c r="H31" s="79">
        <f t="shared" si="6"/>
        <v>0</v>
      </c>
      <c r="I31" s="64"/>
      <c r="J31" s="60"/>
      <c r="K31" s="60"/>
      <c r="L31" s="60"/>
      <c r="M31" s="60"/>
      <c r="N31" s="60"/>
      <c r="O31" s="61"/>
    </row>
    <row r="32" spans="1:15" x14ac:dyDescent="0.25">
      <c r="A32" s="22" t="s">
        <v>17</v>
      </c>
      <c r="B32" s="23" t="s">
        <v>35</v>
      </c>
      <c r="C32" s="23">
        <f>S11</f>
        <v>0</v>
      </c>
      <c r="D32" s="23">
        <f>T11+U11</f>
        <v>0</v>
      </c>
      <c r="E32" s="23">
        <f>V11+X11+W11</f>
        <v>0</v>
      </c>
      <c r="F32" s="54">
        <f>Y11</f>
        <v>0</v>
      </c>
      <c r="G32" s="74">
        <f>SUM(C32:F32)</f>
        <v>0</v>
      </c>
      <c r="H32" s="75">
        <f>G32-C32</f>
        <v>0</v>
      </c>
      <c r="I32" s="73">
        <f>COUNTIFS(
    unis[empresa], $A32,
    unis[especie],I$3
)</f>
        <v>0</v>
      </c>
      <c r="J32" s="23">
        <f>COUNTIFS(
    unis[empresa], $A32,
    unis[especie],J$3
)</f>
        <v>0</v>
      </c>
      <c r="K32" s="23">
        <f>COUNTIFS(
    unis[empresa], $A32,
    unis[especie],K$3
)</f>
        <v>0</v>
      </c>
      <c r="L32" s="23"/>
      <c r="M32" s="23"/>
      <c r="N32" s="23"/>
      <c r="O32" s="25"/>
    </row>
    <row r="33" spans="1:15" x14ac:dyDescent="0.25">
      <c r="A33" s="56" t="s">
        <v>17</v>
      </c>
      <c r="B33" s="57" t="s">
        <v>34</v>
      </c>
      <c r="C33" s="57">
        <f>COUNTIFS(
    unis[empresa], $A35,
    unis[situacao], C$3
)</f>
        <v>0</v>
      </c>
      <c r="D33" s="57">
        <f>COUNTIFS(
    unis[empresa], $A35,
    unis[situacao], D$3
)</f>
        <v>0</v>
      </c>
      <c r="E33" s="57">
        <f>COUNTIFS(
    unis[empresa], $A33,
    unis[situacao], E$3
)
+COUNTIFS(
    unis[empresa], $A33,
    unis[situacao], F$3,
    unis[data], "&gt;" &amp;#REF!
)</f>
        <v>0</v>
      </c>
      <c r="F33" s="55">
        <f>COUNTIFS(
    unis[empresa], $A33,
    unis[situacao], F$3,
    unis[data], "&lt;=" &amp;#REF!
)</f>
        <v>0</v>
      </c>
      <c r="G33" s="76">
        <f>SUM(C33:F33)</f>
        <v>0</v>
      </c>
      <c r="H33" s="77">
        <f>G33-C33</f>
        <v>0</v>
      </c>
      <c r="I33" s="63">
        <f>COUNTIFS(
    unis[empresa], $A33,
    unis[especie],I$3
)</f>
        <v>0</v>
      </c>
      <c r="J33" s="57">
        <f>COUNTIFS(
    estq[empresa], $A33,
    estq[especie],J$3
)</f>
        <v>0</v>
      </c>
      <c r="K33" s="57">
        <f>COUNTIFS(
    estq[empresa], $A33,
    estq[especie],K$3
)
+COUNTIFS(
    unis[empresa], $A33,
    unis[especie],"Moto"
)</f>
        <v>0</v>
      </c>
      <c r="L33" s="57"/>
      <c r="M33" s="57"/>
      <c r="N33" s="57"/>
      <c r="O33" s="53"/>
    </row>
    <row r="34" spans="1:15" x14ac:dyDescent="0.25">
      <c r="A34" s="56" t="s">
        <v>17</v>
      </c>
      <c r="B34" s="57" t="s">
        <v>37</v>
      </c>
      <c r="C34" s="93">
        <v>37</v>
      </c>
      <c r="D34" s="93">
        <v>2</v>
      </c>
      <c r="E34" s="93">
        <v>5</v>
      </c>
      <c r="F34" s="94">
        <v>190</v>
      </c>
      <c r="G34" s="76">
        <f>SUM(C34:F34)</f>
        <v>234</v>
      </c>
      <c r="H34" s="77">
        <f>G34-C34</f>
        <v>197</v>
      </c>
      <c r="I34" s="95"/>
      <c r="J34" s="93"/>
      <c r="K34" s="93"/>
      <c r="L34" s="93"/>
      <c r="M34" s="93"/>
      <c r="N34" s="93"/>
      <c r="O34" s="96"/>
    </row>
    <row r="35" spans="1:15" x14ac:dyDescent="0.25">
      <c r="A35" s="58" t="s">
        <v>17</v>
      </c>
      <c r="B35" s="59" t="s">
        <v>65</v>
      </c>
      <c r="C35" s="60"/>
      <c r="D35" s="60"/>
      <c r="E35" s="60"/>
      <c r="F35" s="62"/>
      <c r="G35" s="78">
        <f>SUM(C35:F35)</f>
        <v>0</v>
      </c>
      <c r="H35" s="79">
        <f>G35-C35</f>
        <v>0</v>
      </c>
      <c r="I35" s="64"/>
      <c r="J35" s="60"/>
      <c r="K35" s="60"/>
      <c r="L35" s="60"/>
      <c r="M35" s="60"/>
      <c r="N35" s="60"/>
      <c r="O35" s="61"/>
    </row>
    <row r="36" spans="1:15" x14ac:dyDescent="0.25">
      <c r="A36" s="22" t="s">
        <v>18</v>
      </c>
      <c r="B36" s="23" t="s">
        <v>35</v>
      </c>
      <c r="C36" s="23">
        <f>S12</f>
        <v>0</v>
      </c>
      <c r="D36" s="23">
        <f>T12+U12</f>
        <v>0</v>
      </c>
      <c r="E36" s="23">
        <f>V12+X12+W12</f>
        <v>0</v>
      </c>
      <c r="F36" s="54">
        <f>Y12</f>
        <v>0</v>
      </c>
      <c r="G36" s="74">
        <f>SUM(C36:F36)</f>
        <v>0</v>
      </c>
      <c r="H36" s="75">
        <f>G36-C36</f>
        <v>0</v>
      </c>
      <c r="I36" s="73">
        <f>COUNTIFS(
    unis[empresa], $A36,
    unis[especie],I$3
)</f>
        <v>0</v>
      </c>
      <c r="J36" s="23">
        <f>COUNTIFS(
    unis[empresa], $A36,
    unis[especie],J$3
)</f>
        <v>0</v>
      </c>
      <c r="K36" s="23">
        <f>COUNTIFS(
    unis[empresa], $A36,
    unis[especie],K$3
)</f>
        <v>0</v>
      </c>
      <c r="L36" s="23"/>
      <c r="M36" s="23"/>
      <c r="N36" s="23"/>
      <c r="O36" s="25"/>
    </row>
    <row r="37" spans="1:15" x14ac:dyDescent="0.25">
      <c r="A37" s="56" t="s">
        <v>18</v>
      </c>
      <c r="B37" s="57" t="s">
        <v>34</v>
      </c>
      <c r="C37" s="57">
        <f>COUNTIFS(
    unis[empresa], $A39,
    unis[situacao], C$3
)</f>
        <v>0</v>
      </c>
      <c r="D37" s="57">
        <f>COUNTIFS(
    unis[empresa], $A39,
    unis[situacao], D$3
)</f>
        <v>0</v>
      </c>
      <c r="E37" s="57">
        <f>COUNTIFS(
    unis[empresa], $A37,
    unis[situacao], E$3
)
+COUNTIFS(
    unis[empresa], $A37,
    unis[situacao], F$3,
    unis[data], "&gt;" &amp;#REF!
)</f>
        <v>0</v>
      </c>
      <c r="F37" s="55">
        <f>COUNTIFS(
    unis[empresa], $A37,
    unis[situacao], F$3,
    unis[data], "&lt;=" &amp;#REF!
)</f>
        <v>0</v>
      </c>
      <c r="G37" s="76">
        <f>SUM(C37:F37)</f>
        <v>0</v>
      </c>
      <c r="H37" s="77">
        <f>G37-C37</f>
        <v>0</v>
      </c>
      <c r="I37" s="63">
        <f>COUNTIFS(
    unis[empresa], $A37,
    unis[especie],I$3
)</f>
        <v>0</v>
      </c>
      <c r="J37" s="57">
        <f>COUNTIFS(
    estq[empresa], $A37,
    estq[especie],J$3
)</f>
        <v>0</v>
      </c>
      <c r="K37" s="57">
        <f>COUNTIFS(
    estq[empresa], $A37,
    estq[especie],K$3
)
+COUNTIFS(
    unis[empresa], $A37,
    unis[especie],"Moto"
)</f>
        <v>0</v>
      </c>
      <c r="L37" s="57"/>
      <c r="M37" s="57"/>
      <c r="N37" s="57"/>
      <c r="O37" s="53"/>
    </row>
    <row r="38" spans="1:15" x14ac:dyDescent="0.25">
      <c r="A38" s="56" t="s">
        <v>18</v>
      </c>
      <c r="B38" s="57" t="s">
        <v>37</v>
      </c>
      <c r="C38" s="93"/>
      <c r="D38" s="93"/>
      <c r="E38" s="93"/>
      <c r="F38" s="94"/>
      <c r="G38" s="76">
        <f>SUM(C38:F38)</f>
        <v>0</v>
      </c>
      <c r="H38" s="77">
        <f>G38-C38</f>
        <v>0</v>
      </c>
      <c r="I38" s="95"/>
      <c r="J38" s="93"/>
      <c r="K38" s="93"/>
      <c r="L38" s="93"/>
      <c r="M38" s="93"/>
      <c r="N38" s="93"/>
      <c r="O38" s="96"/>
    </row>
    <row r="39" spans="1:15" ht="15.75" thickBot="1" x14ac:dyDescent="0.3">
      <c r="A39" s="58" t="s">
        <v>18</v>
      </c>
      <c r="B39" s="59" t="s">
        <v>65</v>
      </c>
      <c r="C39" s="60"/>
      <c r="D39" s="60"/>
      <c r="E39" s="60"/>
      <c r="F39" s="62"/>
      <c r="G39" s="80">
        <f>SUM(C39:F39)</f>
        <v>0</v>
      </c>
      <c r="H39" s="81">
        <f>G39-C39</f>
        <v>0</v>
      </c>
      <c r="I39" s="64"/>
      <c r="J39" s="60"/>
      <c r="K39" s="60"/>
      <c r="L39" s="60"/>
      <c r="M39" s="60"/>
      <c r="N39" s="60"/>
      <c r="O39" s="61"/>
    </row>
    <row r="40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workbookViewId="0"/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51" t="s">
        <v>188</v>
      </c>
      <c r="P1" s="52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E102"/>
  <sheetViews>
    <sheetView workbookViewId="0"/>
  </sheetViews>
  <sheetFormatPr defaultRowHeight="15" x14ac:dyDescent="0.25"/>
  <cols>
    <col min="1" max="3" width="45.7109375" customWidth="1"/>
  </cols>
  <sheetData>
    <row r="1" spans="1:5" ht="18.75" x14ac:dyDescent="0.3">
      <c r="A1" s="120" t="s">
        <v>371</v>
      </c>
      <c r="B1" s="120" t="s">
        <v>372</v>
      </c>
      <c r="C1" s="120" t="s">
        <v>373</v>
      </c>
      <c r="E1" t="str" cm="1">
        <f t="array" ref="E1:E8">_xlfn._xlws.FILTER(ik_viab[Centros de negócio do Ik],ik_viab[Categoria na viabilidade]="Construção")</f>
        <v>Custo Obra</v>
      </c>
    </row>
    <row r="2" spans="1:5" ht="15.75" x14ac:dyDescent="0.25">
      <c r="A2" s="121" t="s">
        <v>374</v>
      </c>
      <c r="B2" s="122" t="s">
        <v>375</v>
      </c>
      <c r="C2" s="123" t="s">
        <v>376</v>
      </c>
      <c r="E2" t="str">
        <v>Dep. Pessoal - Up Estação Vila Sonia</v>
      </c>
    </row>
    <row r="3" spans="1:5" x14ac:dyDescent="0.25">
      <c r="A3" s="124" t="s">
        <v>377</v>
      </c>
      <c r="B3" s="125" t="s">
        <v>375</v>
      </c>
      <c r="C3" s="126" t="s">
        <v>375</v>
      </c>
      <c r="E3" t="str">
        <v>Dep. Pessoal - Up Jardim Prudencia</v>
      </c>
    </row>
    <row r="4" spans="1:5" x14ac:dyDescent="0.25">
      <c r="A4" s="124" t="s">
        <v>378</v>
      </c>
      <c r="B4" s="125" t="s">
        <v>375</v>
      </c>
      <c r="C4" s="126" t="s">
        <v>375</v>
      </c>
      <c r="E4" t="str">
        <v>Dep. Pessoal - Up Pompeia</v>
      </c>
    </row>
    <row r="5" spans="1:5" x14ac:dyDescent="0.25">
      <c r="A5" s="124" t="s">
        <v>379</v>
      </c>
      <c r="B5" s="125" t="s">
        <v>375</v>
      </c>
      <c r="C5" s="126" t="s">
        <v>375</v>
      </c>
      <c r="E5" t="str">
        <v>Dep. Pessoal - Up Select Vila Sonia</v>
      </c>
    </row>
    <row r="6" spans="1:5" x14ac:dyDescent="0.25">
      <c r="A6" s="124" t="s">
        <v>380</v>
      </c>
      <c r="B6" s="125" t="s">
        <v>375</v>
      </c>
      <c r="C6" s="126" t="s">
        <v>375</v>
      </c>
      <c r="E6" t="str">
        <v>Dep. Pessoal - Up Vila Sonia</v>
      </c>
    </row>
    <row r="7" spans="1:5" ht="15.75" x14ac:dyDescent="0.25">
      <c r="A7" s="124" t="s">
        <v>381</v>
      </c>
      <c r="B7" s="125" t="s">
        <v>375</v>
      </c>
      <c r="C7" s="127"/>
      <c r="E7" t="str">
        <v>Pós Obra/reparos</v>
      </c>
    </row>
    <row r="8" spans="1:5" ht="15.75" x14ac:dyDescent="0.25">
      <c r="A8" s="124" t="s">
        <v>382</v>
      </c>
      <c r="B8" s="128" t="s">
        <v>375</v>
      </c>
      <c r="C8" s="127" t="s">
        <v>375</v>
      </c>
      <c r="E8" t="str">
        <v>Reparos</v>
      </c>
    </row>
    <row r="9" spans="1:5" ht="15.75" x14ac:dyDescent="0.25">
      <c r="A9" s="124" t="s">
        <v>383</v>
      </c>
      <c r="B9" s="125" t="s">
        <v>375</v>
      </c>
      <c r="C9" s="127" t="s">
        <v>384</v>
      </c>
    </row>
    <row r="10" spans="1:5" ht="15.75" x14ac:dyDescent="0.25">
      <c r="A10" s="124" t="s">
        <v>385</v>
      </c>
      <c r="B10" s="125" t="s">
        <v>375</v>
      </c>
      <c r="C10" s="127" t="s">
        <v>384</v>
      </c>
    </row>
    <row r="11" spans="1:5" x14ac:dyDescent="0.25">
      <c r="A11" s="124" t="s">
        <v>386</v>
      </c>
      <c r="B11" s="125" t="s">
        <v>375</v>
      </c>
      <c r="C11" s="126" t="s">
        <v>375</v>
      </c>
    </row>
    <row r="12" spans="1:5" ht="15.75" x14ac:dyDescent="0.25">
      <c r="A12" s="124" t="s">
        <v>387</v>
      </c>
      <c r="B12" s="125" t="s">
        <v>375</v>
      </c>
      <c r="C12" s="127" t="s">
        <v>376</v>
      </c>
    </row>
    <row r="13" spans="1:5" ht="15.75" x14ac:dyDescent="0.25">
      <c r="A13" s="124" t="s">
        <v>388</v>
      </c>
      <c r="B13" s="125" t="s">
        <v>389</v>
      </c>
      <c r="C13" s="127"/>
    </row>
    <row r="14" spans="1:5" ht="15.75" x14ac:dyDescent="0.25">
      <c r="A14" s="124" t="s">
        <v>390</v>
      </c>
      <c r="B14" s="125" t="s">
        <v>20</v>
      </c>
      <c r="C14" s="127" t="s">
        <v>391</v>
      </c>
    </row>
    <row r="15" spans="1:5" ht="15.75" x14ac:dyDescent="0.25">
      <c r="A15" s="124" t="s">
        <v>392</v>
      </c>
      <c r="B15" s="125" t="s">
        <v>393</v>
      </c>
      <c r="C15" s="127" t="s">
        <v>376</v>
      </c>
    </row>
    <row r="16" spans="1:5" ht="15.75" x14ac:dyDescent="0.25">
      <c r="A16" s="124" t="s">
        <v>394</v>
      </c>
      <c r="B16" s="125" t="s">
        <v>375</v>
      </c>
      <c r="C16" s="127" t="s">
        <v>376</v>
      </c>
    </row>
    <row r="17" spans="1:3" ht="15.75" x14ac:dyDescent="0.25">
      <c r="A17" s="124" t="s">
        <v>395</v>
      </c>
      <c r="B17" s="125" t="s">
        <v>375</v>
      </c>
      <c r="C17" s="127" t="s">
        <v>376</v>
      </c>
    </row>
    <row r="18" spans="1:3" ht="15.75" x14ac:dyDescent="0.25">
      <c r="A18" s="124" t="s">
        <v>396</v>
      </c>
      <c r="B18" s="125" t="s">
        <v>375</v>
      </c>
      <c r="C18" s="127" t="s">
        <v>376</v>
      </c>
    </row>
    <row r="19" spans="1:3" ht="15.75" x14ac:dyDescent="0.25">
      <c r="A19" s="124" t="s">
        <v>397</v>
      </c>
      <c r="B19" s="125" t="s">
        <v>375</v>
      </c>
      <c r="C19" s="127"/>
    </row>
    <row r="20" spans="1:3" ht="15.75" x14ac:dyDescent="0.25">
      <c r="A20" s="124" t="s">
        <v>398</v>
      </c>
      <c r="B20" s="125" t="s">
        <v>389</v>
      </c>
      <c r="C20" s="127"/>
    </row>
    <row r="21" spans="1:3" ht="15.75" x14ac:dyDescent="0.25">
      <c r="A21" s="124" t="s">
        <v>399</v>
      </c>
      <c r="B21" s="125" t="s">
        <v>375</v>
      </c>
      <c r="C21" s="127" t="s">
        <v>384</v>
      </c>
    </row>
    <row r="22" spans="1:3" ht="15.75" x14ac:dyDescent="0.25">
      <c r="A22" s="124" t="s">
        <v>400</v>
      </c>
      <c r="B22" s="125" t="s">
        <v>401</v>
      </c>
      <c r="C22" s="127" t="s">
        <v>402</v>
      </c>
    </row>
    <row r="23" spans="1:3" ht="15.75" x14ac:dyDescent="0.25">
      <c r="A23" s="124" t="s">
        <v>403</v>
      </c>
      <c r="B23" s="125" t="s">
        <v>375</v>
      </c>
      <c r="C23" s="127" t="s">
        <v>375</v>
      </c>
    </row>
    <row r="24" spans="1:3" ht="15.75" x14ac:dyDescent="0.25">
      <c r="A24" s="124" t="s">
        <v>404</v>
      </c>
      <c r="B24" s="125" t="s">
        <v>375</v>
      </c>
      <c r="C24" s="127" t="s">
        <v>375</v>
      </c>
    </row>
    <row r="25" spans="1:3" ht="15.75" x14ac:dyDescent="0.25">
      <c r="A25" s="124" t="s">
        <v>405</v>
      </c>
      <c r="B25" s="125" t="s">
        <v>375</v>
      </c>
      <c r="C25" s="127" t="s">
        <v>375</v>
      </c>
    </row>
    <row r="26" spans="1:3" ht="15.75" x14ac:dyDescent="0.25">
      <c r="A26" s="124" t="s">
        <v>406</v>
      </c>
      <c r="B26" s="125" t="s">
        <v>375</v>
      </c>
      <c r="C26" s="127" t="s">
        <v>375</v>
      </c>
    </row>
    <row r="27" spans="1:3" ht="15.75" x14ac:dyDescent="0.25">
      <c r="A27" s="124" t="s">
        <v>407</v>
      </c>
      <c r="B27" s="125" t="s">
        <v>375</v>
      </c>
      <c r="C27" s="127" t="s">
        <v>375</v>
      </c>
    </row>
    <row r="28" spans="1:3" ht="15.75" x14ac:dyDescent="0.25">
      <c r="A28" s="124" t="s">
        <v>408</v>
      </c>
      <c r="B28" s="125" t="s">
        <v>393</v>
      </c>
      <c r="C28" s="127" t="s">
        <v>376</v>
      </c>
    </row>
    <row r="29" spans="1:3" ht="15.75" x14ac:dyDescent="0.25">
      <c r="A29" s="124" t="s">
        <v>409</v>
      </c>
      <c r="B29" s="125" t="s">
        <v>393</v>
      </c>
      <c r="C29" s="127" t="s">
        <v>376</v>
      </c>
    </row>
    <row r="30" spans="1:3" ht="15.75" x14ac:dyDescent="0.25">
      <c r="A30" s="124" t="s">
        <v>410</v>
      </c>
      <c r="B30" s="125" t="s">
        <v>393</v>
      </c>
      <c r="C30" s="127" t="s">
        <v>376</v>
      </c>
    </row>
    <row r="31" spans="1:3" ht="15.75" x14ac:dyDescent="0.25">
      <c r="A31" s="124" t="s">
        <v>411</v>
      </c>
      <c r="B31" s="125" t="s">
        <v>393</v>
      </c>
      <c r="C31" s="127" t="s">
        <v>376</v>
      </c>
    </row>
    <row r="32" spans="1:3" ht="15.75" x14ac:dyDescent="0.25">
      <c r="A32" s="124" t="s">
        <v>412</v>
      </c>
      <c r="B32" s="125" t="s">
        <v>393</v>
      </c>
      <c r="C32" s="127" t="s">
        <v>376</v>
      </c>
    </row>
    <row r="33" spans="1:3" ht="15.75" x14ac:dyDescent="0.25">
      <c r="A33" s="124" t="s">
        <v>413</v>
      </c>
      <c r="B33" s="126" t="s">
        <v>375</v>
      </c>
      <c r="C33" s="127" t="s">
        <v>375</v>
      </c>
    </row>
    <row r="34" spans="1:3" ht="15.75" x14ac:dyDescent="0.25">
      <c r="A34" s="124" t="s">
        <v>414</v>
      </c>
      <c r="B34" s="126" t="s">
        <v>375</v>
      </c>
      <c r="C34" s="127" t="s">
        <v>375</v>
      </c>
    </row>
    <row r="35" spans="1:3" ht="15.75" x14ac:dyDescent="0.25">
      <c r="A35" s="124" t="s">
        <v>415</v>
      </c>
      <c r="B35" s="125" t="s">
        <v>401</v>
      </c>
      <c r="C35" s="127"/>
    </row>
    <row r="36" spans="1:3" ht="15.75" x14ac:dyDescent="0.25">
      <c r="A36" s="124" t="s">
        <v>416</v>
      </c>
      <c r="B36" s="125" t="s">
        <v>375</v>
      </c>
      <c r="C36" s="127" t="s">
        <v>384</v>
      </c>
    </row>
    <row r="37" spans="1:3" ht="15.75" x14ac:dyDescent="0.25">
      <c r="A37" s="124" t="s">
        <v>417</v>
      </c>
      <c r="B37" s="125" t="s">
        <v>375</v>
      </c>
      <c r="C37" s="127" t="s">
        <v>384</v>
      </c>
    </row>
    <row r="38" spans="1:3" ht="15.75" x14ac:dyDescent="0.25">
      <c r="A38" s="124" t="s">
        <v>418</v>
      </c>
      <c r="B38" s="125" t="s">
        <v>375</v>
      </c>
      <c r="C38" s="127" t="s">
        <v>384</v>
      </c>
    </row>
    <row r="39" spans="1:3" ht="15.75" x14ac:dyDescent="0.25">
      <c r="A39" s="124" t="s">
        <v>419</v>
      </c>
      <c r="B39" s="125" t="s">
        <v>375</v>
      </c>
      <c r="C39" s="127" t="s">
        <v>420</v>
      </c>
    </row>
    <row r="40" spans="1:3" ht="15.75" x14ac:dyDescent="0.25">
      <c r="A40" s="124" t="s">
        <v>421</v>
      </c>
      <c r="B40" s="125" t="s">
        <v>375</v>
      </c>
      <c r="C40" s="127"/>
    </row>
    <row r="41" spans="1:3" ht="15.75" x14ac:dyDescent="0.25">
      <c r="A41" s="124" t="s">
        <v>422</v>
      </c>
      <c r="B41" s="125" t="s">
        <v>375</v>
      </c>
      <c r="C41" s="127"/>
    </row>
    <row r="42" spans="1:3" ht="15.75" x14ac:dyDescent="0.25">
      <c r="A42" s="124" t="s">
        <v>423</v>
      </c>
      <c r="B42" s="125" t="s">
        <v>375</v>
      </c>
      <c r="C42" s="127" t="s">
        <v>384</v>
      </c>
    </row>
    <row r="43" spans="1:3" ht="15.75" x14ac:dyDescent="0.25">
      <c r="A43" s="124" t="s">
        <v>424</v>
      </c>
      <c r="B43" s="125" t="s">
        <v>401</v>
      </c>
      <c r="C43" s="127" t="s">
        <v>425</v>
      </c>
    </row>
    <row r="44" spans="1:3" ht="15.75" x14ac:dyDescent="0.25">
      <c r="A44" s="124" t="s">
        <v>426</v>
      </c>
      <c r="B44" s="125" t="s">
        <v>375</v>
      </c>
      <c r="C44" s="127" t="s">
        <v>375</v>
      </c>
    </row>
    <row r="45" spans="1:3" ht="15.75" x14ac:dyDescent="0.25">
      <c r="A45" s="124" t="s">
        <v>427</v>
      </c>
      <c r="B45" s="125" t="s">
        <v>20</v>
      </c>
      <c r="C45" s="127" t="s">
        <v>427</v>
      </c>
    </row>
    <row r="46" spans="1:3" ht="15.75" x14ac:dyDescent="0.25">
      <c r="A46" s="124" t="s">
        <v>428</v>
      </c>
      <c r="B46" s="125" t="s">
        <v>20</v>
      </c>
      <c r="C46" s="127" t="s">
        <v>427</v>
      </c>
    </row>
    <row r="47" spans="1:3" ht="15.75" x14ac:dyDescent="0.25">
      <c r="A47" s="124" t="s">
        <v>429</v>
      </c>
      <c r="B47" s="125"/>
      <c r="C47" s="127"/>
    </row>
    <row r="48" spans="1:3" ht="15.75" x14ac:dyDescent="0.25">
      <c r="A48" s="124" t="s">
        <v>430</v>
      </c>
      <c r="B48" s="125" t="s">
        <v>431</v>
      </c>
      <c r="C48" s="127" t="s">
        <v>431</v>
      </c>
    </row>
    <row r="49" spans="1:3" ht="15.75" x14ac:dyDescent="0.25">
      <c r="A49" s="124" t="s">
        <v>432</v>
      </c>
      <c r="B49" s="125" t="s">
        <v>20</v>
      </c>
      <c r="C49" s="127" t="s">
        <v>433</v>
      </c>
    </row>
    <row r="50" spans="1:3" ht="15.75" x14ac:dyDescent="0.25">
      <c r="A50" s="124" t="s">
        <v>434</v>
      </c>
      <c r="B50" s="125" t="s">
        <v>20</v>
      </c>
      <c r="C50" s="127" t="s">
        <v>427</v>
      </c>
    </row>
    <row r="51" spans="1:3" ht="15.75" x14ac:dyDescent="0.25">
      <c r="A51" s="124" t="s">
        <v>435</v>
      </c>
      <c r="B51" s="125" t="s">
        <v>393</v>
      </c>
      <c r="C51" s="127" t="s">
        <v>436</v>
      </c>
    </row>
    <row r="52" spans="1:3" ht="15.75" x14ac:dyDescent="0.25">
      <c r="A52" s="124" t="s">
        <v>437</v>
      </c>
      <c r="B52" s="125" t="s">
        <v>401</v>
      </c>
      <c r="C52" s="127" t="s">
        <v>437</v>
      </c>
    </row>
    <row r="53" spans="1:3" ht="15.75" x14ac:dyDescent="0.25">
      <c r="A53" s="124" t="s">
        <v>438</v>
      </c>
      <c r="B53" s="125" t="s">
        <v>393</v>
      </c>
      <c r="C53" s="127" t="s">
        <v>436</v>
      </c>
    </row>
    <row r="54" spans="1:3" ht="15.75" x14ac:dyDescent="0.25">
      <c r="A54" s="124" t="s">
        <v>439</v>
      </c>
      <c r="B54" s="125" t="s">
        <v>375</v>
      </c>
      <c r="C54" s="127"/>
    </row>
    <row r="55" spans="1:3" ht="15.75" x14ac:dyDescent="0.25">
      <c r="A55" s="124" t="s">
        <v>440</v>
      </c>
      <c r="B55" s="125" t="s">
        <v>375</v>
      </c>
      <c r="C55" s="127"/>
    </row>
    <row r="56" spans="1:3" ht="15.75" x14ac:dyDescent="0.25">
      <c r="A56" s="124" t="s">
        <v>441</v>
      </c>
      <c r="B56" s="125" t="s">
        <v>389</v>
      </c>
      <c r="C56" s="127" t="s">
        <v>442</v>
      </c>
    </row>
    <row r="57" spans="1:3" ht="15.75" x14ac:dyDescent="0.25">
      <c r="A57" s="124" t="s">
        <v>443</v>
      </c>
      <c r="B57" s="125" t="s">
        <v>389</v>
      </c>
      <c r="C57" s="127" t="s">
        <v>444</v>
      </c>
    </row>
    <row r="58" spans="1:3" ht="15.75" x14ac:dyDescent="0.25">
      <c r="A58" s="124" t="s">
        <v>445</v>
      </c>
      <c r="B58" s="125" t="s">
        <v>389</v>
      </c>
      <c r="C58" s="127" t="s">
        <v>446</v>
      </c>
    </row>
    <row r="59" spans="1:3" ht="15.75" x14ac:dyDescent="0.25">
      <c r="A59" s="124" t="s">
        <v>447</v>
      </c>
      <c r="B59" s="125" t="s">
        <v>375</v>
      </c>
      <c r="C59" s="127"/>
    </row>
    <row r="60" spans="1:3" ht="15.75" x14ac:dyDescent="0.25">
      <c r="A60" s="124" t="s">
        <v>3</v>
      </c>
      <c r="B60" s="125" t="s">
        <v>375</v>
      </c>
      <c r="C60" s="127"/>
    </row>
    <row r="61" spans="1:3" ht="15.75" x14ac:dyDescent="0.25">
      <c r="A61" s="124" t="s">
        <v>448</v>
      </c>
      <c r="B61" s="125" t="s">
        <v>375</v>
      </c>
      <c r="C61" s="127"/>
    </row>
    <row r="62" spans="1:3" ht="15.75" x14ac:dyDescent="0.25">
      <c r="A62" s="124" t="s">
        <v>449</v>
      </c>
      <c r="B62" s="125" t="s">
        <v>375</v>
      </c>
      <c r="C62" s="127"/>
    </row>
    <row r="63" spans="1:3" ht="15.75" x14ac:dyDescent="0.25">
      <c r="A63" s="124" t="s">
        <v>450</v>
      </c>
      <c r="B63" s="125" t="s">
        <v>375</v>
      </c>
      <c r="C63" s="127"/>
    </row>
    <row r="64" spans="1:3" ht="15.75" x14ac:dyDescent="0.25">
      <c r="A64" s="124" t="s">
        <v>451</v>
      </c>
      <c r="B64" s="125" t="s">
        <v>375</v>
      </c>
      <c r="C64" s="127"/>
    </row>
    <row r="65" spans="1:3" ht="15.75" x14ac:dyDescent="0.25">
      <c r="A65" s="124" t="s">
        <v>452</v>
      </c>
      <c r="B65" s="125" t="s">
        <v>375</v>
      </c>
      <c r="C65" s="127"/>
    </row>
    <row r="66" spans="1:3" ht="15.75" x14ac:dyDescent="0.25">
      <c r="A66" s="124" t="s">
        <v>453</v>
      </c>
      <c r="B66" s="125" t="s">
        <v>375</v>
      </c>
      <c r="C66" s="127"/>
    </row>
    <row r="67" spans="1:3" ht="15.75" x14ac:dyDescent="0.25">
      <c r="A67" s="124" t="s">
        <v>454</v>
      </c>
      <c r="B67" s="125" t="s">
        <v>375</v>
      </c>
      <c r="C67" s="127"/>
    </row>
    <row r="68" spans="1:3" ht="15.75" x14ac:dyDescent="0.25">
      <c r="A68" s="124" t="s">
        <v>4</v>
      </c>
      <c r="B68" s="125" t="s">
        <v>375</v>
      </c>
      <c r="C68" s="127"/>
    </row>
    <row r="69" spans="1:3" ht="15.75" x14ac:dyDescent="0.25">
      <c r="A69" s="124" t="s">
        <v>455</v>
      </c>
      <c r="B69" s="125" t="s">
        <v>375</v>
      </c>
      <c r="C69" s="127"/>
    </row>
    <row r="70" spans="1:3" ht="15.75" x14ac:dyDescent="0.25">
      <c r="A70" s="124" t="s">
        <v>456</v>
      </c>
      <c r="B70" s="125" t="s">
        <v>375</v>
      </c>
      <c r="C70" s="127"/>
    </row>
    <row r="71" spans="1:3" ht="15.75" x14ac:dyDescent="0.25">
      <c r="A71" s="124" t="s">
        <v>457</v>
      </c>
      <c r="B71" s="125" t="s">
        <v>375</v>
      </c>
      <c r="C71" s="127"/>
    </row>
    <row r="72" spans="1:3" ht="15.75" x14ac:dyDescent="0.25">
      <c r="A72" s="124" t="s">
        <v>458</v>
      </c>
      <c r="B72" s="125" t="s">
        <v>375</v>
      </c>
      <c r="C72" s="127"/>
    </row>
    <row r="73" spans="1:3" ht="15.75" x14ac:dyDescent="0.25">
      <c r="A73" s="124" t="s">
        <v>459</v>
      </c>
      <c r="B73" s="125" t="s">
        <v>375</v>
      </c>
      <c r="C73" s="127"/>
    </row>
    <row r="74" spans="1:3" ht="15.75" x14ac:dyDescent="0.25">
      <c r="A74" s="124" t="s">
        <v>460</v>
      </c>
      <c r="B74" s="125" t="s">
        <v>375</v>
      </c>
      <c r="C74" s="127"/>
    </row>
    <row r="75" spans="1:3" ht="15.75" x14ac:dyDescent="0.25">
      <c r="A75" s="124" t="s">
        <v>461</v>
      </c>
      <c r="B75" s="125" t="s">
        <v>375</v>
      </c>
      <c r="C75" s="127"/>
    </row>
    <row r="76" spans="1:3" x14ac:dyDescent="0.25">
      <c r="A76" s="129" t="s">
        <v>462</v>
      </c>
      <c r="B76" s="130" t="s">
        <v>375</v>
      </c>
      <c r="C76" s="131"/>
    </row>
    <row r="78" spans="1:3" ht="18.75" x14ac:dyDescent="0.3">
      <c r="A78" s="120" t="s">
        <v>372</v>
      </c>
      <c r="B78" s="120" t="s">
        <v>373</v>
      </c>
    </row>
    <row r="79" spans="1:3" x14ac:dyDescent="0.25">
      <c r="A79" t="s">
        <v>375</v>
      </c>
      <c r="B79" t="s">
        <v>375</v>
      </c>
    </row>
    <row r="80" spans="1:3" x14ac:dyDescent="0.25">
      <c r="A80" t="s">
        <v>389</v>
      </c>
      <c r="B80" t="s">
        <v>463</v>
      </c>
    </row>
    <row r="81" spans="1:2" x14ac:dyDescent="0.25">
      <c r="A81" t="s">
        <v>389</v>
      </c>
      <c r="B81" t="s">
        <v>464</v>
      </c>
    </row>
    <row r="82" spans="1:2" x14ac:dyDescent="0.25">
      <c r="A82" t="s">
        <v>389</v>
      </c>
      <c r="B82" t="s">
        <v>391</v>
      </c>
    </row>
    <row r="83" spans="1:2" x14ac:dyDescent="0.25">
      <c r="A83" t="s">
        <v>389</v>
      </c>
      <c r="B83" t="s">
        <v>442</v>
      </c>
    </row>
    <row r="84" spans="1:2" x14ac:dyDescent="0.25">
      <c r="A84" t="s">
        <v>389</v>
      </c>
      <c r="B84" t="s">
        <v>444</v>
      </c>
    </row>
    <row r="85" spans="1:2" x14ac:dyDescent="0.25">
      <c r="A85" t="s">
        <v>389</v>
      </c>
      <c r="B85" t="s">
        <v>446</v>
      </c>
    </row>
    <row r="86" spans="1:2" x14ac:dyDescent="0.25">
      <c r="A86" t="s">
        <v>389</v>
      </c>
      <c r="B86" t="s">
        <v>465</v>
      </c>
    </row>
    <row r="87" spans="1:2" x14ac:dyDescent="0.25">
      <c r="A87" t="s">
        <v>389</v>
      </c>
      <c r="B87" t="s">
        <v>466</v>
      </c>
    </row>
    <row r="88" spans="1:2" x14ac:dyDescent="0.25">
      <c r="A88" t="s">
        <v>401</v>
      </c>
      <c r="B88" t="s">
        <v>437</v>
      </c>
    </row>
    <row r="89" spans="1:2" x14ac:dyDescent="0.25">
      <c r="A89" t="s">
        <v>401</v>
      </c>
      <c r="B89" t="s">
        <v>402</v>
      </c>
    </row>
    <row r="90" spans="1:2" x14ac:dyDescent="0.25">
      <c r="A90" t="s">
        <v>401</v>
      </c>
      <c r="B90" t="s">
        <v>467</v>
      </c>
    </row>
    <row r="91" spans="1:2" x14ac:dyDescent="0.25">
      <c r="A91" t="s">
        <v>401</v>
      </c>
      <c r="B91" t="s">
        <v>425</v>
      </c>
    </row>
    <row r="92" spans="1:2" x14ac:dyDescent="0.25">
      <c r="A92" t="s">
        <v>401</v>
      </c>
      <c r="B92" t="s">
        <v>468</v>
      </c>
    </row>
    <row r="93" spans="1:2" x14ac:dyDescent="0.25">
      <c r="A93" t="s">
        <v>401</v>
      </c>
      <c r="B93" t="s">
        <v>384</v>
      </c>
    </row>
    <row r="94" spans="1:2" x14ac:dyDescent="0.25">
      <c r="A94" t="s">
        <v>401</v>
      </c>
      <c r="B94" t="s">
        <v>420</v>
      </c>
    </row>
    <row r="95" spans="1:2" x14ac:dyDescent="0.25">
      <c r="A95" t="s">
        <v>393</v>
      </c>
      <c r="B95" t="s">
        <v>376</v>
      </c>
    </row>
    <row r="96" spans="1:2" x14ac:dyDescent="0.25">
      <c r="A96" t="s">
        <v>393</v>
      </c>
      <c r="B96" t="s">
        <v>436</v>
      </c>
    </row>
    <row r="97" spans="1:2" x14ac:dyDescent="0.25">
      <c r="A97" t="s">
        <v>393</v>
      </c>
      <c r="B97" t="s">
        <v>469</v>
      </c>
    </row>
    <row r="98" spans="1:2" x14ac:dyDescent="0.25">
      <c r="A98" t="s">
        <v>20</v>
      </c>
      <c r="B98" t="s">
        <v>391</v>
      </c>
    </row>
    <row r="99" spans="1:2" x14ac:dyDescent="0.25">
      <c r="A99" t="s">
        <v>20</v>
      </c>
      <c r="B99" t="s">
        <v>470</v>
      </c>
    </row>
    <row r="100" spans="1:2" x14ac:dyDescent="0.25">
      <c r="A100" t="s">
        <v>20</v>
      </c>
      <c r="B100" t="s">
        <v>433</v>
      </c>
    </row>
    <row r="101" spans="1:2" x14ac:dyDescent="0.25">
      <c r="A101" t="s">
        <v>20</v>
      </c>
      <c r="B101" t="s">
        <v>427</v>
      </c>
    </row>
    <row r="102" spans="1:2" x14ac:dyDescent="0.25">
      <c r="A102" t="s">
        <v>431</v>
      </c>
      <c r="B102" t="s">
        <v>431</v>
      </c>
    </row>
  </sheetData>
  <dataValidations count="2">
    <dataValidation type="list" allowBlank="1" showInputMessage="1" showErrorMessage="1" sqref="B2:B7 B9:B10 B12:B32 B35:B76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2:C76 B33:B34 B11 B8" xr:uid="{FEC68D70-2136-4286-A631-C56DBBBC9F06}">
      <formula1>$B$79:$B$102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C574-590B-429A-8AFA-B34A188CD529}">
  <sheetPr>
    <tabColor theme="3" tint="0.749992370372631"/>
  </sheetPr>
  <dimension ref="A1:Q1"/>
  <sheetViews>
    <sheetView workbookViewId="0"/>
  </sheetViews>
  <sheetFormatPr defaultRowHeight="15" x14ac:dyDescent="0.25"/>
  <sheetData>
    <row r="1" spans="1:17" x14ac:dyDescent="0.25">
      <c r="A1" t="s">
        <v>233</v>
      </c>
      <c r="B1" s="116" t="s">
        <v>188</v>
      </c>
      <c r="C1" s="116" t="s">
        <v>234</v>
      </c>
      <c r="D1" s="117" t="s">
        <v>235</v>
      </c>
      <c r="E1" s="116" t="s">
        <v>236</v>
      </c>
      <c r="F1" s="116" t="s">
        <v>237</v>
      </c>
      <c r="G1" s="116" t="s">
        <v>238</v>
      </c>
      <c r="H1" s="116" t="s">
        <v>239</v>
      </c>
      <c r="I1" s="116" t="s">
        <v>240</v>
      </c>
      <c r="J1" s="118" t="s">
        <v>329</v>
      </c>
      <c r="K1" s="119" t="s">
        <v>330</v>
      </c>
      <c r="L1" s="116" t="s">
        <v>241</v>
      </c>
      <c r="M1" s="118" t="s">
        <v>331</v>
      </c>
      <c r="N1" s="119" t="s">
        <v>332</v>
      </c>
      <c r="O1" s="118" t="s">
        <v>333</v>
      </c>
      <c r="P1" s="118" t="s">
        <v>334</v>
      </c>
      <c r="Q1" s="118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0E31-D6FE-44FB-917A-E88A615FA370}">
  <sheetPr>
    <tabColor theme="3" tint="0.749992370372631"/>
  </sheetPr>
  <dimension ref="A1:AZ1"/>
  <sheetViews>
    <sheetView workbookViewId="0"/>
  </sheetViews>
  <sheetFormatPr defaultRowHeight="15" x14ac:dyDescent="0.25"/>
  <sheetData>
    <row r="1" spans="1:52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271</v>
      </c>
      <c r="J1" t="s">
        <v>202</v>
      </c>
      <c r="K1" t="s">
        <v>258</v>
      </c>
      <c r="L1" t="s">
        <v>188</v>
      </c>
      <c r="M1" t="s">
        <v>206</v>
      </c>
      <c r="N1" t="s">
        <v>76</v>
      </c>
      <c r="O1" t="s">
        <v>78</v>
      </c>
      <c r="P1" t="s">
        <v>91</v>
      </c>
      <c r="Q1" t="s">
        <v>92</v>
      </c>
      <c r="R1" t="s">
        <v>93</v>
      </c>
      <c r="S1" t="s">
        <v>94</v>
      </c>
      <c r="T1" t="s">
        <v>95</v>
      </c>
      <c r="U1" t="s">
        <v>96</v>
      </c>
      <c r="V1" t="s">
        <v>97</v>
      </c>
      <c r="W1" t="s">
        <v>98</v>
      </c>
      <c r="X1" t="s">
        <v>99</v>
      </c>
      <c r="Y1" t="s">
        <v>100</v>
      </c>
      <c r="Z1" t="s">
        <v>101</v>
      </c>
      <c r="AA1" t="s">
        <v>102</v>
      </c>
      <c r="AB1" t="s">
        <v>103</v>
      </c>
      <c r="AC1" t="s">
        <v>104</v>
      </c>
      <c r="AD1" t="s">
        <v>105</v>
      </c>
      <c r="AE1" t="s">
        <v>106</v>
      </c>
      <c r="AF1" t="s">
        <v>107</v>
      </c>
      <c r="AG1" t="s">
        <v>108</v>
      </c>
      <c r="AH1" t="s">
        <v>109</v>
      </c>
      <c r="AI1" t="s">
        <v>110</v>
      </c>
      <c r="AJ1" t="s">
        <v>111</v>
      </c>
      <c r="AK1" t="s">
        <v>112</v>
      </c>
      <c r="AL1" t="s">
        <v>113</v>
      </c>
      <c r="AM1" t="s">
        <v>114</v>
      </c>
      <c r="AN1" t="s">
        <v>115</v>
      </c>
      <c r="AO1" t="s">
        <v>116</v>
      </c>
      <c r="AP1" t="s">
        <v>117</v>
      </c>
      <c r="AQ1" t="s">
        <v>118</v>
      </c>
      <c r="AR1" t="s">
        <v>119</v>
      </c>
      <c r="AS1" t="s">
        <v>120</v>
      </c>
      <c r="AT1" t="s">
        <v>121</v>
      </c>
      <c r="AU1" t="s">
        <v>122</v>
      </c>
      <c r="AV1" t="s">
        <v>123</v>
      </c>
      <c r="AW1" t="s">
        <v>124</v>
      </c>
      <c r="AX1" t="s">
        <v>125</v>
      </c>
      <c r="AY1" t="s">
        <v>126</v>
      </c>
      <c r="AZ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72DB7-C907-4CDA-B84D-97D4C4BAE473}">
  <sheetPr>
    <tabColor theme="3" tint="0.749992370372631"/>
  </sheetPr>
  <dimension ref="A1:AO1"/>
  <sheetViews>
    <sheetView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AF4F2-1EBA-4F4F-AEFA-EFC02C62BA8E}">
  <sheetPr>
    <tabColor theme="3" tint="0.749992370372631"/>
  </sheetPr>
  <dimension ref="A1:AO1"/>
  <sheetViews>
    <sheetView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B9CB7-D4DE-486A-A801-0CCD64FD3D23}">
  <sheetPr>
    <tabColor theme="3" tint="0.749992370372631"/>
  </sheetPr>
  <dimension ref="A1:Z1"/>
  <sheetViews>
    <sheetView workbookViewId="0"/>
  </sheetViews>
  <sheetFormatPr defaultRowHeight="15" x14ac:dyDescent="0.25"/>
  <sheetData>
    <row r="1" spans="1:26" x14ac:dyDescent="0.25">
      <c r="A1" t="s">
        <v>336</v>
      </c>
      <c r="B1" t="s">
        <v>337</v>
      </c>
      <c r="C1" t="s">
        <v>303</v>
      </c>
      <c r="D1" t="s">
        <v>74</v>
      </c>
      <c r="E1" t="s">
        <v>338</v>
      </c>
      <c r="F1" t="s">
        <v>339</v>
      </c>
      <c r="G1" t="s">
        <v>340</v>
      </c>
      <c r="H1" t="s">
        <v>312</v>
      </c>
      <c r="I1" t="s">
        <v>341</v>
      </c>
      <c r="J1" t="s">
        <v>342</v>
      </c>
      <c r="K1" t="s">
        <v>343</v>
      </c>
      <c r="L1" t="s">
        <v>344</v>
      </c>
      <c r="M1" t="s">
        <v>345</v>
      </c>
      <c r="N1" t="s">
        <v>346</v>
      </c>
      <c r="O1" t="s">
        <v>347</v>
      </c>
      <c r="P1" t="s">
        <v>348</v>
      </c>
      <c r="Q1" t="s">
        <v>349</v>
      </c>
      <c r="R1" t="s">
        <v>76</v>
      </c>
      <c r="S1" t="s">
        <v>197</v>
      </c>
      <c r="T1" t="s">
        <v>350</v>
      </c>
      <c r="U1" t="s">
        <v>300</v>
      </c>
      <c r="V1" t="s">
        <v>301</v>
      </c>
      <c r="W1" t="s">
        <v>302</v>
      </c>
      <c r="X1" t="s">
        <v>271</v>
      </c>
      <c r="Y1" t="s">
        <v>304</v>
      </c>
      <c r="Z1" t="s">
        <v>351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C17CE-2B4A-4599-A7EC-BCA5C360D9BA}">
  <sheetPr>
    <tabColor theme="3" tint="0.749992370372631"/>
  </sheetPr>
  <dimension ref="A1:AO1"/>
  <sheetViews>
    <sheetView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workbookViewId="0"/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workbookViewId="0"/>
  </sheetViews>
  <sheetFormatPr defaultRowHeight="15" x14ac:dyDescent="0.25"/>
  <sheetData>
    <row r="1" spans="1:78" x14ac:dyDescent="0.25">
      <c r="A1" t="s">
        <v>207</v>
      </c>
      <c r="B1" t="s">
        <v>269</v>
      </c>
      <c r="C1" t="s">
        <v>224</v>
      </c>
      <c r="D1" t="s">
        <v>352</v>
      </c>
      <c r="E1" t="s">
        <v>270</v>
      </c>
      <c r="F1" t="s">
        <v>353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205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354</v>
      </c>
      <c r="AK1" t="s">
        <v>355</v>
      </c>
      <c r="AL1" t="s">
        <v>229</v>
      </c>
      <c r="AM1" t="s">
        <v>356</v>
      </c>
      <c r="AN1" t="s">
        <v>357</v>
      </c>
      <c r="AO1" t="s">
        <v>193</v>
      </c>
      <c r="AP1" t="s">
        <v>358</v>
      </c>
      <c r="AQ1" t="s">
        <v>359</v>
      </c>
      <c r="AR1" t="s">
        <v>360</v>
      </c>
      <c r="AS1" t="s">
        <v>361</v>
      </c>
      <c r="AT1" t="s">
        <v>362</v>
      </c>
      <c r="AU1" t="s">
        <v>243</v>
      </c>
      <c r="AV1" t="s">
        <v>244</v>
      </c>
      <c r="AW1" t="s">
        <v>53</v>
      </c>
      <c r="AX1" t="s">
        <v>245</v>
      </c>
      <c r="AY1" t="s">
        <v>246</v>
      </c>
      <c r="AZ1" t="s">
        <v>363</v>
      </c>
      <c r="BA1" t="s">
        <v>248</v>
      </c>
      <c r="BB1" t="s">
        <v>249</v>
      </c>
      <c r="BC1" t="s">
        <v>250</v>
      </c>
      <c r="BD1" t="s">
        <v>251</v>
      </c>
      <c r="BE1" t="s">
        <v>252</v>
      </c>
      <c r="BF1" t="s">
        <v>253</v>
      </c>
      <c r="BG1" t="s">
        <v>254</v>
      </c>
      <c r="BH1" t="s">
        <v>255</v>
      </c>
      <c r="BI1" t="s">
        <v>256</v>
      </c>
      <c r="BJ1" t="s">
        <v>75</v>
      </c>
      <c r="BK1" t="s">
        <v>257</v>
      </c>
      <c r="BL1" t="s">
        <v>204</v>
      </c>
      <c r="BM1" t="s">
        <v>259</v>
      </c>
      <c r="BN1" t="s">
        <v>260</v>
      </c>
      <c r="BO1" t="s">
        <v>187</v>
      </c>
      <c r="BP1" t="s">
        <v>261</v>
      </c>
      <c r="BQ1" t="s">
        <v>262</v>
      </c>
      <c r="BR1" t="s">
        <v>263</v>
      </c>
      <c r="BS1" t="s">
        <v>264</v>
      </c>
      <c r="BT1" t="s">
        <v>265</v>
      </c>
      <c r="BU1" t="s">
        <v>266</v>
      </c>
      <c r="BV1" t="s">
        <v>267</v>
      </c>
      <c r="BW1" t="s">
        <v>268</v>
      </c>
      <c r="BX1" t="s">
        <v>364</v>
      </c>
      <c r="BY1" t="s">
        <v>365</v>
      </c>
      <c r="BZ1" t="s">
        <v>366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DE44-FDDF-43EB-ABFC-286A43D25025}">
  <sheetPr>
    <tabColor theme="3" tint="0.749992370372631"/>
  </sheetPr>
  <dimension ref="A1:AO1"/>
  <sheetViews>
    <sheetView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F6529-FD8C-4C23-89B1-3C59B2336264}">
  <dimension ref="A1:AI2"/>
  <sheetViews>
    <sheetView workbookViewId="0"/>
  </sheetViews>
  <sheetFormatPr defaultRowHeight="15" x14ac:dyDescent="0.25"/>
  <sheetData>
    <row r="1" spans="1:35" x14ac:dyDescent="0.25">
      <c r="A1" s="49" t="s">
        <v>207</v>
      </c>
      <c r="B1" s="49" t="s">
        <v>74</v>
      </c>
      <c r="C1" s="49" t="s">
        <v>77</v>
      </c>
      <c r="D1" s="49" t="s">
        <v>190</v>
      </c>
      <c r="E1" s="49" t="s">
        <v>189</v>
      </c>
      <c r="F1" s="49" t="s">
        <v>196</v>
      </c>
      <c r="G1" s="49" t="s">
        <v>197</v>
      </c>
      <c r="H1" s="49" t="s">
        <v>198</v>
      </c>
      <c r="I1" s="49" t="s">
        <v>208</v>
      </c>
      <c r="J1" s="49" t="s">
        <v>191</v>
      </c>
      <c r="K1" s="49" t="s">
        <v>209</v>
      </c>
      <c r="L1" s="49" t="s">
        <v>210</v>
      </c>
      <c r="M1" s="49" t="s">
        <v>211</v>
      </c>
      <c r="N1" s="49" t="s">
        <v>212</v>
      </c>
      <c r="O1" s="49" t="s">
        <v>213</v>
      </c>
      <c r="P1" s="49" t="s">
        <v>214</v>
      </c>
      <c r="Q1" s="49" t="s">
        <v>215</v>
      </c>
      <c r="R1" s="49" t="s">
        <v>216</v>
      </c>
      <c r="S1" s="49" t="s">
        <v>217</v>
      </c>
      <c r="T1" s="49" t="s">
        <v>218</v>
      </c>
      <c r="U1" s="49" t="s">
        <v>219</v>
      </c>
      <c r="V1" s="49" t="s">
        <v>220</v>
      </c>
      <c r="W1" s="49" t="s">
        <v>221</v>
      </c>
      <c r="X1" s="49" t="s">
        <v>222</v>
      </c>
      <c r="Y1" s="49" t="s">
        <v>223</v>
      </c>
      <c r="Z1" s="49" t="s">
        <v>224</v>
      </c>
      <c r="AA1" s="49" t="s">
        <v>194</v>
      </c>
      <c r="AB1" s="49" t="s">
        <v>195</v>
      </c>
      <c r="AC1" s="49" t="s">
        <v>225</v>
      </c>
      <c r="AD1" s="49" t="s">
        <v>226</v>
      </c>
      <c r="AE1" s="49" t="s">
        <v>199</v>
      </c>
      <c r="AF1" s="49" t="s">
        <v>227</v>
      </c>
      <c r="AG1" s="49" t="s">
        <v>228</v>
      </c>
      <c r="AH1" s="49" t="s">
        <v>229</v>
      </c>
      <c r="AI1" s="49" t="s">
        <v>230</v>
      </c>
    </row>
    <row r="2" spans="1:3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8D895-4AD3-4AD0-BDAF-D1A6D8E20245}">
  <dimension ref="A1:P2"/>
  <sheetViews>
    <sheetView workbookViewId="0"/>
  </sheetViews>
  <sheetFormatPr defaultRowHeight="15" x14ac:dyDescent="0.25"/>
  <sheetData>
    <row r="1" spans="1:16" x14ac:dyDescent="0.25">
      <c r="A1" s="49" t="s">
        <v>74</v>
      </c>
      <c r="B1" s="49" t="s">
        <v>197</v>
      </c>
      <c r="C1" s="49" t="s">
        <v>298</v>
      </c>
      <c r="D1" s="49" t="s">
        <v>299</v>
      </c>
      <c r="E1" s="49" t="s">
        <v>300</v>
      </c>
      <c r="F1" s="49" t="s">
        <v>301</v>
      </c>
      <c r="G1" s="49" t="s">
        <v>302</v>
      </c>
      <c r="H1" s="49" t="s">
        <v>303</v>
      </c>
      <c r="I1" s="49" t="s">
        <v>271</v>
      </c>
      <c r="J1" s="49" t="s">
        <v>304</v>
      </c>
      <c r="K1" s="49" t="s">
        <v>305</v>
      </c>
      <c r="L1" s="49" t="s">
        <v>76</v>
      </c>
      <c r="M1" s="49" t="s">
        <v>227</v>
      </c>
      <c r="N1" s="49" t="s">
        <v>228</v>
      </c>
      <c r="O1" s="49" t="s">
        <v>229</v>
      </c>
      <c r="P1" s="49" t="s">
        <v>230</v>
      </c>
    </row>
    <row r="2" spans="1:16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workbookViewId="0"/>
  </sheetViews>
  <sheetFormatPr defaultRowHeight="15" x14ac:dyDescent="0.25"/>
  <sheetData>
    <row r="1" spans="1:5" x14ac:dyDescent="0.25">
      <c r="A1" t="s">
        <v>306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49"/>
      <c r="B2" s="49"/>
      <c r="C2" s="49"/>
      <c r="D2" s="49"/>
      <c r="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74214-3A91-4A21-9E7D-1128FF43B23D}">
  <dimension ref="A1:AI2"/>
  <sheetViews>
    <sheetView workbookViewId="0"/>
  </sheetViews>
  <sheetFormatPr defaultRowHeight="15" x14ac:dyDescent="0.25"/>
  <sheetData>
    <row r="1" spans="1:35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s="49" t="s">
        <v>196</v>
      </c>
      <c r="G1" s="49" t="s">
        <v>197</v>
      </c>
      <c r="H1" s="49" t="s">
        <v>198</v>
      </c>
      <c r="I1" s="49" t="s">
        <v>208</v>
      </c>
      <c r="J1" s="49" t="s">
        <v>191</v>
      </c>
      <c r="K1" s="49" t="s">
        <v>209</v>
      </c>
      <c r="L1" s="49" t="s">
        <v>210</v>
      </c>
      <c r="M1" s="49" t="s">
        <v>211</v>
      </c>
      <c r="N1" s="49" t="s">
        <v>212</v>
      </c>
      <c r="O1" s="49" t="s">
        <v>213</v>
      </c>
      <c r="P1" s="49" t="s">
        <v>214</v>
      </c>
      <c r="Q1" s="49" t="s">
        <v>215</v>
      </c>
      <c r="R1" s="49" t="s">
        <v>216</v>
      </c>
      <c r="S1" s="49" t="s">
        <v>217</v>
      </c>
      <c r="T1" s="49" t="s">
        <v>218</v>
      </c>
      <c r="U1" s="49" t="s">
        <v>219</v>
      </c>
      <c r="V1" s="49" t="s">
        <v>220</v>
      </c>
      <c r="W1" s="49" t="s">
        <v>221</v>
      </c>
      <c r="X1" s="49" t="s">
        <v>222</v>
      </c>
      <c r="Y1" s="49" t="s">
        <v>223</v>
      </c>
      <c r="Z1" s="49" t="s">
        <v>224</v>
      </c>
      <c r="AA1" s="49" t="s">
        <v>194</v>
      </c>
      <c r="AB1" s="49" t="s">
        <v>195</v>
      </c>
      <c r="AC1" s="49" t="s">
        <v>225</v>
      </c>
      <c r="AD1" s="49" t="s">
        <v>226</v>
      </c>
      <c r="AE1" s="49" t="s">
        <v>199</v>
      </c>
      <c r="AF1" s="49" t="s">
        <v>227</v>
      </c>
      <c r="AG1" s="49" t="s">
        <v>228</v>
      </c>
      <c r="AH1" s="49" t="s">
        <v>229</v>
      </c>
      <c r="AI1" s="49" t="s">
        <v>230</v>
      </c>
    </row>
    <row r="2" spans="1:3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E2"/>
  <sheetViews>
    <sheetView workbookViewId="0"/>
  </sheetViews>
  <sheetFormatPr defaultRowHeight="15" x14ac:dyDescent="0.25"/>
  <sheetData>
    <row r="1" spans="1:31" x14ac:dyDescent="0.25">
      <c r="A1" t="s">
        <v>307</v>
      </c>
      <c r="B1" t="s">
        <v>308</v>
      </c>
      <c r="C1" t="s">
        <v>74</v>
      </c>
      <c r="D1" t="s">
        <v>309</v>
      </c>
      <c r="E1" t="s">
        <v>310</v>
      </c>
      <c r="F1" s="49" t="s">
        <v>311</v>
      </c>
      <c r="G1" s="49" t="s">
        <v>312</v>
      </c>
      <c r="H1" s="49" t="s">
        <v>212</v>
      </c>
      <c r="I1" s="49" t="s">
        <v>190</v>
      </c>
      <c r="J1" s="49" t="s">
        <v>189</v>
      </c>
      <c r="K1" s="49" t="s">
        <v>303</v>
      </c>
      <c r="L1" s="49" t="s">
        <v>313</v>
      </c>
      <c r="M1" s="49" t="s">
        <v>314</v>
      </c>
      <c r="N1" s="49" t="s">
        <v>315</v>
      </c>
      <c r="O1" s="49" t="s">
        <v>316</v>
      </c>
      <c r="P1" s="49" t="s">
        <v>317</v>
      </c>
      <c r="Q1" s="49" t="s">
        <v>318</v>
      </c>
      <c r="R1" s="49" t="s">
        <v>319</v>
      </c>
      <c r="S1" s="49" t="s">
        <v>320</v>
      </c>
      <c r="T1" s="49" t="s">
        <v>321</v>
      </c>
      <c r="U1" s="49" t="s">
        <v>322</v>
      </c>
      <c r="V1" s="49" t="s">
        <v>323</v>
      </c>
      <c r="W1" s="49" t="s">
        <v>324</v>
      </c>
      <c r="X1" s="49" t="s">
        <v>325</v>
      </c>
      <c r="Y1" s="49" t="s">
        <v>326</v>
      </c>
      <c r="Z1" s="49" t="s">
        <v>327</v>
      </c>
      <c r="AA1" s="49" t="s">
        <v>328</v>
      </c>
      <c r="AB1" s="49" t="s">
        <v>227</v>
      </c>
      <c r="AC1" s="49" t="s">
        <v>229</v>
      </c>
      <c r="AD1" s="49" t="s">
        <v>228</v>
      </c>
      <c r="AE1" s="49" t="s">
        <v>230</v>
      </c>
    </row>
    <row r="2" spans="1:31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workbookViewId="0"/>
  </sheetViews>
  <sheetFormatPr defaultRowHeight="15" x14ac:dyDescent="0.25"/>
  <sheetData>
    <row r="1" spans="1:12" x14ac:dyDescent="0.25">
      <c r="A1" s="49" t="s">
        <v>74</v>
      </c>
      <c r="B1" s="49" t="s">
        <v>233</v>
      </c>
      <c r="C1" s="49" t="s">
        <v>188</v>
      </c>
      <c r="D1" s="49" t="s">
        <v>234</v>
      </c>
      <c r="E1" s="49" t="s">
        <v>235</v>
      </c>
      <c r="F1" s="49" t="s">
        <v>236</v>
      </c>
      <c r="G1" s="49" t="s">
        <v>237</v>
      </c>
      <c r="H1" s="49" t="s">
        <v>238</v>
      </c>
      <c r="I1" s="49" t="s">
        <v>239</v>
      </c>
      <c r="J1" s="49" t="s">
        <v>240</v>
      </c>
      <c r="K1" s="49" t="s">
        <v>241</v>
      </c>
      <c r="L1" s="49" t="s">
        <v>227</v>
      </c>
    </row>
    <row r="2" spans="1:12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workbookViewId="0"/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4F309-3629-4BE8-90B4-52E5466D2C1D}">
  <dimension ref="A1:Y2"/>
  <sheetViews>
    <sheetView workbookViewId="0"/>
  </sheetViews>
  <sheetFormatPr defaultRowHeight="15" x14ac:dyDescent="0.25"/>
  <sheetData>
    <row r="1" spans="1:25" x14ac:dyDescent="0.25">
      <c r="A1" t="s">
        <v>298</v>
      </c>
      <c r="B1" t="s">
        <v>337</v>
      </c>
      <c r="C1" t="s">
        <v>312</v>
      </c>
      <c r="D1" t="s">
        <v>341</v>
      </c>
      <c r="E1" t="s">
        <v>303</v>
      </c>
      <c r="F1" t="s">
        <v>342</v>
      </c>
      <c r="G1" t="s">
        <v>76</v>
      </c>
      <c r="H1" t="s">
        <v>339</v>
      </c>
      <c r="I1" t="s">
        <v>343</v>
      </c>
      <c r="J1" t="s">
        <v>344</v>
      </c>
      <c r="K1" t="s">
        <v>345</v>
      </c>
      <c r="L1" t="s">
        <v>367</v>
      </c>
      <c r="M1" t="s">
        <v>74</v>
      </c>
      <c r="N1" t="s">
        <v>346</v>
      </c>
      <c r="O1" t="s">
        <v>347</v>
      </c>
      <c r="P1" t="s">
        <v>348</v>
      </c>
      <c r="Q1" t="s">
        <v>305</v>
      </c>
      <c r="R1" t="s">
        <v>336</v>
      </c>
      <c r="S1" t="s">
        <v>227</v>
      </c>
      <c r="T1" t="s">
        <v>368</v>
      </c>
      <c r="U1" t="s">
        <v>229</v>
      </c>
      <c r="V1" t="s">
        <v>228</v>
      </c>
      <c r="W1" t="s">
        <v>230</v>
      </c>
      <c r="X1" t="s">
        <v>369</v>
      </c>
      <c r="Y1" t="s">
        <v>370</v>
      </c>
    </row>
    <row r="2" spans="1:2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fechamento</vt:lpstr>
      <vt:lpstr>n&amp;cn</vt:lpstr>
      <vt:lpstr>fin</vt:lpstr>
      <vt:lpstr>inputs</vt:lpstr>
      <vt:lpstr>viabs</vt:lpstr>
      <vt:lpstr>vgv</vt:lpstr>
      <vt:lpstr>status.unis</vt:lpstr>
      <vt:lpstr>rec.uni</vt:lpstr>
      <vt:lpstr>ik-&gt;viab</vt:lpstr>
      <vt:lpstr>cef</vt:lpstr>
      <vt:lpstr>cef.detalhado</vt:lpstr>
      <vt:lpstr>cef.mensal</vt:lpstr>
      <vt:lpstr>cmfcns.mensal</vt:lpstr>
      <vt:lpstr>cmfcn.xcef</vt:lpstr>
      <vt:lpstr>cmfcn.xcef.mensal</vt:lpstr>
      <vt:lpstr>rec</vt:lpstr>
      <vt:lpstr>unis.cruzado</vt:lpstr>
      <vt:lpstr>xcef.mensal</vt:lpstr>
      <vt:lpstr>car</vt:lpstr>
      <vt:lpstr>cmfcns</vt:lpstr>
      <vt:lpstr>contr</vt:lpstr>
      <vt:lpstr>cr</vt:lpstr>
      <vt:lpstr>desp</vt:lpstr>
      <vt:lpstr>ecns</vt:lpstr>
      <vt:lpstr>estq</vt:lpstr>
      <vt:lpstr>unis</vt:lpstr>
      <vt:lpstr>xcef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2026-03-06T21:17:42Z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