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0" documentId="8_{C6C56A3F-2425-44CF-8BE3-ECE51A50A5D5}" xr6:coauthVersionLast="47" xr6:coauthVersionMax="47" xr10:uidLastSave="{00000000-0000-0000-0000-000000000000}"/>
  <bookViews>
    <workbookView xWindow="-120" yWindow="-120" windowWidth="20730" windowHeight="11160" xr2:uid="{8AA2AB72-8DC6-4479-B147-EE3FD606C4A8}"/>
  </bookViews>
  <sheets>
    <sheet name="inputs" sheetId="2" r:id="rId1"/>
    <sheet name="resumo" sheetId="3" r:id="rId2"/>
    <sheet name="unis" sheetId="5" r:id="rId3"/>
    <sheet name="viabs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5" l="1"/>
  <c r="H43" i="5" s="1"/>
  <c r="K41" i="5"/>
  <c r="J41" i="5"/>
  <c r="I41" i="5"/>
  <c r="G41" i="5"/>
  <c r="H41" i="5" s="1"/>
  <c r="G39" i="5"/>
  <c r="H39" i="5" s="1"/>
  <c r="K37" i="5"/>
  <c r="J37" i="5"/>
  <c r="I37" i="5"/>
  <c r="G37" i="5"/>
  <c r="H37" i="5" s="1"/>
  <c r="F36" i="5"/>
  <c r="G35" i="5"/>
  <c r="H35" i="5" s="1"/>
  <c r="K33" i="5"/>
  <c r="J33" i="5"/>
  <c r="I33" i="5"/>
  <c r="G33" i="5"/>
  <c r="H33" i="5" s="1"/>
  <c r="C32" i="5"/>
  <c r="G31" i="5"/>
  <c r="H31" i="5" s="1"/>
  <c r="K29" i="5"/>
  <c r="J29" i="5"/>
  <c r="I29" i="5"/>
  <c r="H29" i="5"/>
  <c r="G29" i="5"/>
  <c r="H27" i="5"/>
  <c r="G27" i="5"/>
  <c r="K25" i="5"/>
  <c r="J25" i="5"/>
  <c r="I25" i="5"/>
  <c r="H25" i="5"/>
  <c r="G25" i="5"/>
  <c r="H23" i="5"/>
  <c r="G23" i="5"/>
  <c r="K21" i="5"/>
  <c r="J21" i="5"/>
  <c r="I21" i="5"/>
  <c r="H21" i="5"/>
  <c r="G21" i="5"/>
  <c r="H19" i="5"/>
  <c r="G19" i="5"/>
  <c r="K17" i="5"/>
  <c r="J17" i="5"/>
  <c r="I17" i="5"/>
  <c r="H17" i="5"/>
  <c r="G17" i="5"/>
  <c r="H8" i="5"/>
  <c r="F40" i="5" s="1"/>
  <c r="G8" i="5"/>
  <c r="F8" i="5"/>
  <c r="I8" i="5" s="1"/>
  <c r="E8" i="5"/>
  <c r="D8" i="5"/>
  <c r="E40" i="5" s="1"/>
  <c r="C8" i="5"/>
  <c r="D40" i="5" s="1"/>
  <c r="B8" i="5"/>
  <c r="C40" i="5" s="1"/>
  <c r="H7" i="5"/>
  <c r="G7" i="5"/>
  <c r="F7" i="5"/>
  <c r="I7" i="5" s="1"/>
  <c r="E7" i="5"/>
  <c r="D7" i="5"/>
  <c r="E36" i="5" s="1"/>
  <c r="C7" i="5"/>
  <c r="D36" i="5" s="1"/>
  <c r="B7" i="5"/>
  <c r="C36" i="5" s="1"/>
  <c r="H6" i="5"/>
  <c r="F32" i="5" s="1"/>
  <c r="G6" i="5"/>
  <c r="F6" i="5"/>
  <c r="E6" i="5"/>
  <c r="D6" i="5"/>
  <c r="E32" i="5" s="1"/>
  <c r="C6" i="5"/>
  <c r="D32" i="5" s="1"/>
  <c r="B6" i="5"/>
  <c r="I6" i="5" s="1"/>
  <c r="H5" i="5"/>
  <c r="F28" i="5" s="1"/>
  <c r="G5" i="5"/>
  <c r="F5" i="5"/>
  <c r="E5" i="5"/>
  <c r="D5" i="5"/>
  <c r="E28" i="5" s="1"/>
  <c r="C5" i="5"/>
  <c r="D28" i="5" s="1"/>
  <c r="B5" i="5"/>
  <c r="C28" i="5" s="1"/>
  <c r="H4" i="5"/>
  <c r="F24" i="5" s="1"/>
  <c r="G4" i="5"/>
  <c r="F4" i="5"/>
  <c r="E4" i="5"/>
  <c r="D4" i="5"/>
  <c r="E24" i="5" s="1"/>
  <c r="C4" i="5"/>
  <c r="D24" i="5" s="1"/>
  <c r="B4" i="5"/>
  <c r="C24" i="5" s="1"/>
  <c r="G24" i="5" s="1"/>
  <c r="H24" i="5" s="1"/>
  <c r="H3" i="5"/>
  <c r="F20" i="5" s="1"/>
  <c r="G3" i="5"/>
  <c r="F3" i="5"/>
  <c r="E3" i="5"/>
  <c r="D3" i="5"/>
  <c r="E20" i="5" s="1"/>
  <c r="C3" i="5"/>
  <c r="D20" i="5" s="1"/>
  <c r="B3" i="5"/>
  <c r="I3" i="5" s="1"/>
  <c r="H2" i="5"/>
  <c r="H9" i="5" s="1"/>
  <c r="G2" i="5"/>
  <c r="G9" i="5" s="1"/>
  <c r="F2" i="5"/>
  <c r="F9" i="5" s="1"/>
  <c r="E2" i="5"/>
  <c r="E9" i="5" s="1"/>
  <c r="D2" i="5"/>
  <c r="E16" i="5" s="1"/>
  <c r="C2" i="5"/>
  <c r="D16" i="5" s="1"/>
  <c r="B2" i="5"/>
  <c r="C16" i="5" s="1"/>
  <c r="R9" i="4"/>
  <c r="I9" i="4"/>
  <c r="H9" i="4"/>
  <c r="AB8" i="4"/>
  <c r="Y8" i="4"/>
  <c r="X8" i="4"/>
  <c r="W8" i="4"/>
  <c r="U8" i="4"/>
  <c r="T8" i="4"/>
  <c r="R8" i="4"/>
  <c r="O8" i="4"/>
  <c r="N8" i="4"/>
  <c r="M8" i="4"/>
  <c r="J8" i="4"/>
  <c r="I8" i="4"/>
  <c r="H8" i="4"/>
  <c r="E8" i="4"/>
  <c r="D8" i="4"/>
  <c r="C8" i="4"/>
  <c r="AB7" i="4"/>
  <c r="AB9" i="4" s="1"/>
  <c r="AA7" i="4"/>
  <c r="Y7" i="4"/>
  <c r="Y9" i="4" s="1"/>
  <c r="X7" i="4"/>
  <c r="X9" i="4" s="1"/>
  <c r="W7" i="4"/>
  <c r="W9" i="4" s="1"/>
  <c r="V7" i="4"/>
  <c r="U7" i="4"/>
  <c r="U9" i="4" s="1"/>
  <c r="T7" i="4"/>
  <c r="T9" i="4" s="1"/>
  <c r="S7" i="4"/>
  <c r="R7" i="4"/>
  <c r="Q7" i="4"/>
  <c r="O7" i="4"/>
  <c r="O9" i="4" s="1"/>
  <c r="N7" i="4"/>
  <c r="N9" i="4" s="1"/>
  <c r="M7" i="4"/>
  <c r="M9" i="4" s="1"/>
  <c r="L7" i="4"/>
  <c r="J7" i="4"/>
  <c r="J9" i="4" s="1"/>
  <c r="I7" i="4"/>
  <c r="H7" i="4"/>
  <c r="G7" i="4"/>
  <c r="E7" i="4"/>
  <c r="E9" i="4" s="1"/>
  <c r="D7" i="4"/>
  <c r="D9" i="4" s="1"/>
  <c r="C7" i="4"/>
  <c r="C9" i="4" s="1"/>
  <c r="B7" i="4"/>
  <c r="I4" i="4"/>
  <c r="D4" i="4"/>
  <c r="I17" i="3"/>
  <c r="H17" i="3"/>
  <c r="L17" i="3" s="1"/>
  <c r="G17" i="3"/>
  <c r="K16" i="3" a="1"/>
  <c r="K16" i="3" s="1"/>
  <c r="J16" i="3"/>
  <c r="I16" i="3"/>
  <c r="H16" i="3"/>
  <c r="I15" i="3"/>
  <c r="H15" i="3"/>
  <c r="F15" i="3"/>
  <c r="E15" i="3"/>
  <c r="D15" i="3"/>
  <c r="C15" i="3"/>
  <c r="L15" i="3" s="1"/>
  <c r="K14" i="3" a="1"/>
  <c r="K14" i="3" s="1"/>
  <c r="J14" i="3"/>
  <c r="I14" i="3"/>
  <c r="H14" i="3"/>
  <c r="F14" i="3"/>
  <c r="I13" i="3"/>
  <c r="L13" i="3" s="1"/>
  <c r="H13" i="3"/>
  <c r="G13" i="3"/>
  <c r="K12" i="3" a="1"/>
  <c r="K12" i="3" s="1"/>
  <c r="J12" i="3"/>
  <c r="I12" i="3"/>
  <c r="H12" i="3"/>
  <c r="L12" i="3" s="1"/>
  <c r="L11" i="3"/>
  <c r="I11" i="3"/>
  <c r="H11" i="3"/>
  <c r="G11" i="3"/>
  <c r="K10" i="3" a="1"/>
  <c r="K10" i="3" s="1"/>
  <c r="J10" i="3"/>
  <c r="I10" i="3"/>
  <c r="H10" i="3"/>
  <c r="I9" i="3"/>
  <c r="H9" i="3"/>
  <c r="F9" i="3"/>
  <c r="E9" i="3"/>
  <c r="D9" i="3"/>
  <c r="C9" i="3"/>
  <c r="L9" i="3" s="1"/>
  <c r="K8" i="3" a="1"/>
  <c r="K8" i="3" s="1"/>
  <c r="J8" i="3"/>
  <c r="I8" i="3"/>
  <c r="H8" i="3"/>
  <c r="F8" i="3"/>
  <c r="I7" i="3"/>
  <c r="H7" i="3"/>
  <c r="F7" i="3"/>
  <c r="L7" i="3" s="1"/>
  <c r="E7" i="3"/>
  <c r="D7" i="3"/>
  <c r="C7" i="3"/>
  <c r="K6" i="3" a="1"/>
  <c r="K6" i="3" s="1"/>
  <c r="J6" i="3"/>
  <c r="I6" i="3"/>
  <c r="H6" i="3"/>
  <c r="J5" i="3"/>
  <c r="I5" i="3"/>
  <c r="H5" i="3"/>
  <c r="L5" i="3" s="1"/>
  <c r="F5" i="3"/>
  <c r="E5" i="3"/>
  <c r="D5" i="3"/>
  <c r="C5" i="3"/>
  <c r="K4" i="3" a="1"/>
  <c r="K4" i="3" s="1"/>
  <c r="J4" i="3"/>
  <c r="I4" i="3"/>
  <c r="H4" i="3"/>
  <c r="A1" i="3"/>
  <c r="AN122" i="2"/>
  <c r="AG122" i="2"/>
  <c r="AF122" i="2"/>
  <c r="AC122" i="2"/>
  <c r="AB122" i="2"/>
  <c r="X122" i="2"/>
  <c r="Q122" i="2"/>
  <c r="J122" i="2"/>
  <c r="C122" i="2"/>
  <c r="AN121" i="2"/>
  <c r="AG121" i="2"/>
  <c r="AF121" i="2"/>
  <c r="AC121" i="2"/>
  <c r="AB121" i="2"/>
  <c r="X121" i="2"/>
  <c r="Q121" i="2"/>
  <c r="J121" i="2"/>
  <c r="C121" i="2"/>
  <c r="AN120" i="2"/>
  <c r="AG120" i="2"/>
  <c r="AF120" i="2"/>
  <c r="AC120" i="2"/>
  <c r="AB120" i="2"/>
  <c r="X120" i="2"/>
  <c r="Q120" i="2"/>
  <c r="J120" i="2"/>
  <c r="C120" i="2"/>
  <c r="AN119" i="2"/>
  <c r="AG119" i="2"/>
  <c r="AF119" i="2"/>
  <c r="AC119" i="2"/>
  <c r="AB119" i="2"/>
  <c r="X119" i="2"/>
  <c r="Q119" i="2"/>
  <c r="J119" i="2"/>
  <c r="C119" i="2"/>
  <c r="AN118" i="2"/>
  <c r="AG118" i="2"/>
  <c r="AF118" i="2"/>
  <c r="AC118" i="2"/>
  <c r="AB118" i="2"/>
  <c r="X118" i="2"/>
  <c r="Q118" i="2"/>
  <c r="J118" i="2"/>
  <c r="C118" i="2"/>
  <c r="AN117" i="2"/>
  <c r="AG117" i="2"/>
  <c r="AF117" i="2"/>
  <c r="AC117" i="2"/>
  <c r="AB117" i="2"/>
  <c r="X117" i="2"/>
  <c r="Q117" i="2"/>
  <c r="J117" i="2"/>
  <c r="C117" i="2"/>
  <c r="AN116" i="2"/>
  <c r="AG116" i="2"/>
  <c r="AF116" i="2"/>
  <c r="AC116" i="2"/>
  <c r="AB116" i="2"/>
  <c r="X116" i="2"/>
  <c r="Q116" i="2"/>
  <c r="J116" i="2"/>
  <c r="C116" i="2"/>
  <c r="AN115" i="2"/>
  <c r="AG115" i="2"/>
  <c r="AF115" i="2"/>
  <c r="AC115" i="2"/>
  <c r="AB115" i="2"/>
  <c r="X115" i="2"/>
  <c r="Q115" i="2"/>
  <c r="J115" i="2"/>
  <c r="C115" i="2"/>
  <c r="AN114" i="2"/>
  <c r="AG114" i="2"/>
  <c r="AF114" i="2"/>
  <c r="AC114" i="2"/>
  <c r="AB114" i="2"/>
  <c r="X114" i="2"/>
  <c r="Q114" i="2"/>
  <c r="J114" i="2"/>
  <c r="C114" i="2"/>
  <c r="AN113" i="2"/>
  <c r="AG113" i="2"/>
  <c r="AF113" i="2"/>
  <c r="AC113" i="2"/>
  <c r="AB113" i="2"/>
  <c r="X113" i="2"/>
  <c r="Q113" i="2"/>
  <c r="J113" i="2"/>
  <c r="C113" i="2"/>
  <c r="AN112" i="2"/>
  <c r="AG112" i="2"/>
  <c r="AF112" i="2"/>
  <c r="AC112" i="2"/>
  <c r="AB112" i="2"/>
  <c r="X112" i="2"/>
  <c r="Q112" i="2"/>
  <c r="J112" i="2"/>
  <c r="C112" i="2"/>
  <c r="AN111" i="2"/>
  <c r="AG111" i="2"/>
  <c r="AF111" i="2"/>
  <c r="AC111" i="2"/>
  <c r="AB111" i="2"/>
  <c r="X111" i="2"/>
  <c r="Q111" i="2"/>
  <c r="J111" i="2"/>
  <c r="C111" i="2"/>
  <c r="AN110" i="2"/>
  <c r="AG110" i="2"/>
  <c r="AF110" i="2"/>
  <c r="AC110" i="2"/>
  <c r="AB110" i="2"/>
  <c r="X110" i="2"/>
  <c r="Q110" i="2"/>
  <c r="J110" i="2"/>
  <c r="C110" i="2"/>
  <c r="AN109" i="2"/>
  <c r="AG109" i="2"/>
  <c r="AF109" i="2"/>
  <c r="AC109" i="2"/>
  <c r="AB109" i="2"/>
  <c r="X109" i="2"/>
  <c r="Q109" i="2"/>
  <c r="J109" i="2"/>
  <c r="C109" i="2"/>
  <c r="AN108" i="2"/>
  <c r="AG108" i="2"/>
  <c r="AF108" i="2"/>
  <c r="AC108" i="2"/>
  <c r="AB108" i="2"/>
  <c r="X108" i="2"/>
  <c r="Q108" i="2"/>
  <c r="J108" i="2"/>
  <c r="C108" i="2"/>
  <c r="AN107" i="2"/>
  <c r="AG107" i="2"/>
  <c r="AF107" i="2"/>
  <c r="AC107" i="2"/>
  <c r="AB107" i="2"/>
  <c r="X107" i="2"/>
  <c r="Q107" i="2"/>
  <c r="J107" i="2"/>
  <c r="C107" i="2"/>
  <c r="AN106" i="2"/>
  <c r="AG106" i="2"/>
  <c r="AF106" i="2"/>
  <c r="AC106" i="2"/>
  <c r="AB106" i="2"/>
  <c r="X106" i="2"/>
  <c r="Q106" i="2"/>
  <c r="J106" i="2"/>
  <c r="C106" i="2"/>
  <c r="AN105" i="2"/>
  <c r="AG105" i="2"/>
  <c r="AF105" i="2"/>
  <c r="AC105" i="2"/>
  <c r="AB105" i="2"/>
  <c r="X105" i="2"/>
  <c r="Q105" i="2"/>
  <c r="J105" i="2"/>
  <c r="C105" i="2"/>
  <c r="AN104" i="2"/>
  <c r="AG104" i="2"/>
  <c r="AF104" i="2"/>
  <c r="AC104" i="2"/>
  <c r="AB104" i="2"/>
  <c r="X104" i="2"/>
  <c r="Q104" i="2"/>
  <c r="J104" i="2"/>
  <c r="C104" i="2"/>
  <c r="AN103" i="2"/>
  <c r="AG103" i="2"/>
  <c r="AF103" i="2"/>
  <c r="AC103" i="2"/>
  <c r="AB103" i="2"/>
  <c r="X103" i="2"/>
  <c r="Q103" i="2"/>
  <c r="J103" i="2"/>
  <c r="C103" i="2"/>
  <c r="AN102" i="2"/>
  <c r="AG102" i="2"/>
  <c r="AF102" i="2"/>
  <c r="AC102" i="2"/>
  <c r="AB102" i="2"/>
  <c r="X102" i="2"/>
  <c r="Q102" i="2"/>
  <c r="J102" i="2"/>
  <c r="C102" i="2"/>
  <c r="AN101" i="2"/>
  <c r="AG101" i="2"/>
  <c r="AF101" i="2"/>
  <c r="AC101" i="2"/>
  <c r="AB101" i="2"/>
  <c r="X101" i="2"/>
  <c r="Q101" i="2"/>
  <c r="J101" i="2"/>
  <c r="C101" i="2"/>
  <c r="AN100" i="2"/>
  <c r="AG100" i="2"/>
  <c r="AF100" i="2"/>
  <c r="AC100" i="2"/>
  <c r="AB100" i="2"/>
  <c r="X100" i="2"/>
  <c r="Q100" i="2"/>
  <c r="J100" i="2"/>
  <c r="C100" i="2"/>
  <c r="AN99" i="2"/>
  <c r="AG99" i="2"/>
  <c r="AF99" i="2"/>
  <c r="AC99" i="2"/>
  <c r="AB99" i="2"/>
  <c r="X99" i="2"/>
  <c r="Q99" i="2"/>
  <c r="J99" i="2"/>
  <c r="C99" i="2"/>
  <c r="AN98" i="2"/>
  <c r="AG98" i="2"/>
  <c r="AF98" i="2"/>
  <c r="AC98" i="2"/>
  <c r="AB98" i="2"/>
  <c r="X98" i="2"/>
  <c r="Q98" i="2"/>
  <c r="J98" i="2"/>
  <c r="C98" i="2"/>
  <c r="AN97" i="2"/>
  <c r="AG97" i="2"/>
  <c r="AF97" i="2"/>
  <c r="AC97" i="2"/>
  <c r="AB97" i="2"/>
  <c r="X97" i="2"/>
  <c r="Q97" i="2"/>
  <c r="J97" i="2"/>
  <c r="C97" i="2"/>
  <c r="AN96" i="2"/>
  <c r="AG96" i="2"/>
  <c r="AF96" i="2"/>
  <c r="AC96" i="2"/>
  <c r="AB96" i="2"/>
  <c r="X96" i="2"/>
  <c r="Q96" i="2"/>
  <c r="J96" i="2"/>
  <c r="C96" i="2"/>
  <c r="AN95" i="2"/>
  <c r="AG95" i="2"/>
  <c r="AF95" i="2"/>
  <c r="AC95" i="2"/>
  <c r="AB95" i="2"/>
  <c r="X95" i="2"/>
  <c r="Q95" i="2"/>
  <c r="J95" i="2"/>
  <c r="C95" i="2"/>
  <c r="AN94" i="2"/>
  <c r="AG94" i="2"/>
  <c r="AF94" i="2"/>
  <c r="AC94" i="2"/>
  <c r="AB94" i="2"/>
  <c r="X94" i="2"/>
  <c r="Q94" i="2"/>
  <c r="J94" i="2"/>
  <c r="C94" i="2"/>
  <c r="AN93" i="2"/>
  <c r="AG93" i="2"/>
  <c r="AF93" i="2"/>
  <c r="AC93" i="2"/>
  <c r="AB93" i="2"/>
  <c r="X93" i="2"/>
  <c r="Q93" i="2"/>
  <c r="J93" i="2"/>
  <c r="C93" i="2"/>
  <c r="AN92" i="2"/>
  <c r="AG92" i="2"/>
  <c r="AF92" i="2"/>
  <c r="AC92" i="2"/>
  <c r="AB92" i="2"/>
  <c r="X92" i="2"/>
  <c r="Q92" i="2"/>
  <c r="J92" i="2"/>
  <c r="C92" i="2"/>
  <c r="C9" i="2" s="1"/>
  <c r="AN91" i="2"/>
  <c r="AG91" i="2"/>
  <c r="AF91" i="2"/>
  <c r="AC91" i="2"/>
  <c r="AB91" i="2"/>
  <c r="X91" i="2"/>
  <c r="Q91" i="2"/>
  <c r="J91" i="2"/>
  <c r="C91" i="2"/>
  <c r="AN90" i="2"/>
  <c r="AG90" i="2"/>
  <c r="AF90" i="2"/>
  <c r="AC90" i="2"/>
  <c r="AB90" i="2"/>
  <c r="X90" i="2"/>
  <c r="Q90" i="2"/>
  <c r="J90" i="2"/>
  <c r="C90" i="2"/>
  <c r="AN89" i="2"/>
  <c r="AG89" i="2"/>
  <c r="AF89" i="2"/>
  <c r="AC89" i="2"/>
  <c r="AB89" i="2"/>
  <c r="X89" i="2"/>
  <c r="Q89" i="2"/>
  <c r="J89" i="2"/>
  <c r="C89" i="2"/>
  <c r="AN88" i="2"/>
  <c r="AG88" i="2"/>
  <c r="AF88" i="2"/>
  <c r="AC88" i="2"/>
  <c r="AB88" i="2"/>
  <c r="X88" i="2"/>
  <c r="Q88" i="2"/>
  <c r="J88" i="2"/>
  <c r="C88" i="2"/>
  <c r="AN87" i="2"/>
  <c r="AG87" i="2"/>
  <c r="AF87" i="2"/>
  <c r="AC87" i="2"/>
  <c r="AB87" i="2"/>
  <c r="X87" i="2"/>
  <c r="Q87" i="2"/>
  <c r="J87" i="2"/>
  <c r="C87" i="2"/>
  <c r="AN86" i="2"/>
  <c r="AN9" i="2" s="1"/>
  <c r="AG86" i="2"/>
  <c r="AF86" i="2"/>
  <c r="AC86" i="2"/>
  <c r="AB86" i="2"/>
  <c r="X86" i="2"/>
  <c r="Q86" i="2"/>
  <c r="J86" i="2"/>
  <c r="C86" i="2"/>
  <c r="AN85" i="2"/>
  <c r="AG85" i="2"/>
  <c r="AF85" i="2"/>
  <c r="AC85" i="2"/>
  <c r="AB85" i="2"/>
  <c r="X85" i="2"/>
  <c r="Q85" i="2"/>
  <c r="J85" i="2"/>
  <c r="C85" i="2"/>
  <c r="AN84" i="2"/>
  <c r="AG84" i="2"/>
  <c r="AF84" i="2"/>
  <c r="AC84" i="2"/>
  <c r="AB84" i="2"/>
  <c r="X84" i="2"/>
  <c r="Q84" i="2"/>
  <c r="J84" i="2"/>
  <c r="C84" i="2"/>
  <c r="AN83" i="2"/>
  <c r="AG83" i="2"/>
  <c r="AF83" i="2"/>
  <c r="AC83" i="2"/>
  <c r="AB83" i="2"/>
  <c r="X83" i="2"/>
  <c r="Q83" i="2"/>
  <c r="J83" i="2"/>
  <c r="C83" i="2"/>
  <c r="AN82" i="2"/>
  <c r="AG82" i="2"/>
  <c r="AF82" i="2"/>
  <c r="AC82" i="2"/>
  <c r="AB82" i="2"/>
  <c r="X82" i="2"/>
  <c r="Q82" i="2"/>
  <c r="J82" i="2"/>
  <c r="C82" i="2"/>
  <c r="AN81" i="2"/>
  <c r="AG81" i="2"/>
  <c r="AF81" i="2"/>
  <c r="AC81" i="2"/>
  <c r="AB81" i="2"/>
  <c r="X81" i="2"/>
  <c r="Q81" i="2"/>
  <c r="J81" i="2"/>
  <c r="C81" i="2"/>
  <c r="AN80" i="2"/>
  <c r="AG80" i="2"/>
  <c r="AF80" i="2"/>
  <c r="AC80" i="2"/>
  <c r="AB80" i="2"/>
  <c r="X80" i="2"/>
  <c r="Q80" i="2"/>
  <c r="J80" i="2"/>
  <c r="C80" i="2"/>
  <c r="AN79" i="2"/>
  <c r="AG79" i="2"/>
  <c r="AF79" i="2"/>
  <c r="AC79" i="2"/>
  <c r="AB79" i="2"/>
  <c r="X79" i="2"/>
  <c r="Q79" i="2"/>
  <c r="J79" i="2"/>
  <c r="C79" i="2"/>
  <c r="AN78" i="2"/>
  <c r="AG78" i="2"/>
  <c r="AF78" i="2"/>
  <c r="AC78" i="2"/>
  <c r="AB78" i="2"/>
  <c r="X78" i="2"/>
  <c r="Q78" i="2"/>
  <c r="J78" i="2"/>
  <c r="C78" i="2"/>
  <c r="AN77" i="2"/>
  <c r="AG77" i="2"/>
  <c r="AF77" i="2"/>
  <c r="AC77" i="2"/>
  <c r="AB77" i="2"/>
  <c r="X77" i="2"/>
  <c r="Q77" i="2"/>
  <c r="J77" i="2"/>
  <c r="C77" i="2"/>
  <c r="AN76" i="2"/>
  <c r="AG76" i="2"/>
  <c r="AF76" i="2"/>
  <c r="AC76" i="2"/>
  <c r="AB76" i="2"/>
  <c r="X76" i="2"/>
  <c r="Q76" i="2"/>
  <c r="J76" i="2"/>
  <c r="C76" i="2"/>
  <c r="AN75" i="2"/>
  <c r="AG75" i="2"/>
  <c r="AF75" i="2"/>
  <c r="AC75" i="2"/>
  <c r="AB75" i="2"/>
  <c r="X75" i="2"/>
  <c r="Q75" i="2"/>
  <c r="J75" i="2"/>
  <c r="C75" i="2"/>
  <c r="AN74" i="2"/>
  <c r="AG74" i="2"/>
  <c r="AF74" i="2"/>
  <c r="AC74" i="2"/>
  <c r="AB74" i="2"/>
  <c r="X74" i="2"/>
  <c r="Q74" i="2"/>
  <c r="J74" i="2"/>
  <c r="C74" i="2"/>
  <c r="AN73" i="2"/>
  <c r="AG73" i="2"/>
  <c r="AG9" i="2" s="1"/>
  <c r="AF73" i="2"/>
  <c r="AC73" i="2"/>
  <c r="AB73" i="2"/>
  <c r="X73" i="2"/>
  <c r="Q73" i="2"/>
  <c r="J73" i="2"/>
  <c r="C73" i="2"/>
  <c r="AN72" i="2"/>
  <c r="AG72" i="2"/>
  <c r="AF72" i="2"/>
  <c r="AC72" i="2"/>
  <c r="AB72" i="2"/>
  <c r="X72" i="2"/>
  <c r="Q72" i="2"/>
  <c r="J72" i="2"/>
  <c r="C72" i="2"/>
  <c r="AN71" i="2"/>
  <c r="AG71" i="2"/>
  <c r="AF71" i="2"/>
  <c r="AC71" i="2"/>
  <c r="AB71" i="2"/>
  <c r="X71" i="2"/>
  <c r="Q71" i="2"/>
  <c r="J71" i="2"/>
  <c r="C71" i="2"/>
  <c r="AN70" i="2"/>
  <c r="AG70" i="2"/>
  <c r="AF70" i="2"/>
  <c r="AC70" i="2"/>
  <c r="AB70" i="2"/>
  <c r="X70" i="2"/>
  <c r="Q70" i="2"/>
  <c r="J70" i="2"/>
  <c r="C70" i="2"/>
  <c r="AN69" i="2"/>
  <c r="AG69" i="2"/>
  <c r="AF69" i="2"/>
  <c r="AC69" i="2"/>
  <c r="AB69" i="2"/>
  <c r="X69" i="2"/>
  <c r="Q69" i="2"/>
  <c r="J69" i="2"/>
  <c r="C69" i="2"/>
  <c r="AN68" i="2"/>
  <c r="AG68" i="2"/>
  <c r="AF68" i="2"/>
  <c r="AC68" i="2"/>
  <c r="AB68" i="2"/>
  <c r="X68" i="2"/>
  <c r="Q68" i="2"/>
  <c r="J68" i="2"/>
  <c r="C68" i="2"/>
  <c r="AN67" i="2"/>
  <c r="AG67" i="2"/>
  <c r="AF67" i="2"/>
  <c r="AC67" i="2"/>
  <c r="AB67" i="2"/>
  <c r="X67" i="2"/>
  <c r="Q67" i="2"/>
  <c r="J67" i="2"/>
  <c r="C67" i="2"/>
  <c r="AN66" i="2"/>
  <c r="AG66" i="2"/>
  <c r="AF66" i="2"/>
  <c r="AC66" i="2"/>
  <c r="AC9" i="2" s="1"/>
  <c r="AB66" i="2"/>
  <c r="X66" i="2"/>
  <c r="Q66" i="2"/>
  <c r="J66" i="2"/>
  <c r="C66" i="2"/>
  <c r="AN65" i="2"/>
  <c r="AG65" i="2"/>
  <c r="AF65" i="2"/>
  <c r="AC65" i="2"/>
  <c r="AB65" i="2"/>
  <c r="X65" i="2"/>
  <c r="Q65" i="2"/>
  <c r="J65" i="2"/>
  <c r="C65" i="2"/>
  <c r="AN64" i="2"/>
  <c r="AG64" i="2"/>
  <c r="AF64" i="2"/>
  <c r="AC64" i="2"/>
  <c r="AB64" i="2"/>
  <c r="X64" i="2"/>
  <c r="X9" i="2" s="1"/>
  <c r="Q64" i="2"/>
  <c r="J64" i="2"/>
  <c r="C64" i="2"/>
  <c r="AN63" i="2"/>
  <c r="AG63" i="2"/>
  <c r="AF63" i="2"/>
  <c r="AC63" i="2"/>
  <c r="AB63" i="2"/>
  <c r="X63" i="2"/>
  <c r="Q63" i="2"/>
  <c r="J63" i="2"/>
  <c r="C63" i="2"/>
  <c r="AN62" i="2"/>
  <c r="AG62" i="2"/>
  <c r="AF62" i="2"/>
  <c r="AC62" i="2"/>
  <c r="AB62" i="2"/>
  <c r="X62" i="2"/>
  <c r="Q62" i="2"/>
  <c r="J62" i="2"/>
  <c r="J9" i="2" s="1"/>
  <c r="C62" i="2"/>
  <c r="AN61" i="2"/>
  <c r="AM61" i="2"/>
  <c r="AG61" i="2"/>
  <c r="AF61" i="2"/>
  <c r="AC61" i="2"/>
  <c r="AB61" i="2"/>
  <c r="AA61" i="2"/>
  <c r="X61" i="2"/>
  <c r="W61" i="2"/>
  <c r="Q61" i="2"/>
  <c r="P61" i="2"/>
  <c r="J61" i="2"/>
  <c r="I61" i="2"/>
  <c r="C61" i="2"/>
  <c r="B61" i="2"/>
  <c r="AN60" i="2"/>
  <c r="AM60" i="2"/>
  <c r="AG60" i="2"/>
  <c r="AF60" i="2"/>
  <c r="AC60" i="2"/>
  <c r="AB60" i="2"/>
  <c r="AA60" i="2"/>
  <c r="X60" i="2"/>
  <c r="W60" i="2"/>
  <c r="Q60" i="2"/>
  <c r="P60" i="2"/>
  <c r="J60" i="2"/>
  <c r="I60" i="2"/>
  <c r="C60" i="2"/>
  <c r="B60" i="2"/>
  <c r="AN59" i="2"/>
  <c r="AM59" i="2"/>
  <c r="AG59" i="2"/>
  <c r="AF59" i="2"/>
  <c r="AC59" i="2"/>
  <c r="AB59" i="2"/>
  <c r="AA59" i="2"/>
  <c r="X59" i="2"/>
  <c r="W59" i="2"/>
  <c r="Q59" i="2"/>
  <c r="P59" i="2"/>
  <c r="J59" i="2"/>
  <c r="I59" i="2"/>
  <c r="C59" i="2"/>
  <c r="B59" i="2"/>
  <c r="AN58" i="2"/>
  <c r="AM58" i="2"/>
  <c r="AG58" i="2"/>
  <c r="AF58" i="2"/>
  <c r="AC58" i="2"/>
  <c r="AB58" i="2"/>
  <c r="AA58" i="2"/>
  <c r="X58" i="2"/>
  <c r="W58" i="2"/>
  <c r="Q58" i="2"/>
  <c r="P58" i="2"/>
  <c r="J58" i="2"/>
  <c r="I58" i="2"/>
  <c r="C58" i="2"/>
  <c r="B58" i="2"/>
  <c r="AN57" i="2"/>
  <c r="AM57" i="2"/>
  <c r="AG57" i="2"/>
  <c r="AF57" i="2"/>
  <c r="AC57" i="2"/>
  <c r="AB57" i="2"/>
  <c r="AA57" i="2"/>
  <c r="X57" i="2"/>
  <c r="W57" i="2"/>
  <c r="Q57" i="2"/>
  <c r="P57" i="2"/>
  <c r="J57" i="2"/>
  <c r="I57" i="2"/>
  <c r="C57" i="2"/>
  <c r="B57" i="2"/>
  <c r="AN56" i="2"/>
  <c r="AM56" i="2"/>
  <c r="AG56" i="2"/>
  <c r="AF56" i="2"/>
  <c r="AC56" i="2"/>
  <c r="AB56" i="2"/>
  <c r="AA56" i="2"/>
  <c r="X56" i="2"/>
  <c r="W56" i="2"/>
  <c r="Q56" i="2"/>
  <c r="P56" i="2"/>
  <c r="J56" i="2"/>
  <c r="I56" i="2"/>
  <c r="C56" i="2"/>
  <c r="B56" i="2"/>
  <c r="AN55" i="2"/>
  <c r="AM55" i="2"/>
  <c r="AG55" i="2"/>
  <c r="AF55" i="2"/>
  <c r="AC55" i="2"/>
  <c r="AB55" i="2"/>
  <c r="AA55" i="2"/>
  <c r="X55" i="2"/>
  <c r="W55" i="2"/>
  <c r="Q55" i="2"/>
  <c r="P55" i="2"/>
  <c r="J55" i="2"/>
  <c r="I55" i="2"/>
  <c r="C55" i="2"/>
  <c r="B55" i="2"/>
  <c r="AN54" i="2"/>
  <c r="AM54" i="2"/>
  <c r="AG54" i="2"/>
  <c r="AF54" i="2"/>
  <c r="AC54" i="2"/>
  <c r="AB54" i="2"/>
  <c r="AA54" i="2"/>
  <c r="X54" i="2"/>
  <c r="W54" i="2"/>
  <c r="Q54" i="2"/>
  <c r="P54" i="2"/>
  <c r="J54" i="2"/>
  <c r="I54" i="2"/>
  <c r="C54" i="2"/>
  <c r="B54" i="2"/>
  <c r="AN53" i="2"/>
  <c r="AM53" i="2"/>
  <c r="AG53" i="2"/>
  <c r="AF53" i="2"/>
  <c r="AC53" i="2"/>
  <c r="AB53" i="2"/>
  <c r="AA53" i="2"/>
  <c r="X53" i="2"/>
  <c r="W53" i="2"/>
  <c r="Q53" i="2"/>
  <c r="P53" i="2"/>
  <c r="J53" i="2"/>
  <c r="I53" i="2"/>
  <c r="C53" i="2"/>
  <c r="B53" i="2"/>
  <c r="AN52" i="2"/>
  <c r="AM52" i="2"/>
  <c r="AG52" i="2"/>
  <c r="AF52" i="2"/>
  <c r="AC52" i="2"/>
  <c r="AB52" i="2"/>
  <c r="AA52" i="2"/>
  <c r="X52" i="2"/>
  <c r="W52" i="2"/>
  <c r="Q52" i="2"/>
  <c r="P52" i="2"/>
  <c r="J52" i="2"/>
  <c r="I52" i="2"/>
  <c r="C52" i="2"/>
  <c r="B52" i="2"/>
  <c r="AN51" i="2"/>
  <c r="AM51" i="2"/>
  <c r="AG51" i="2"/>
  <c r="AF51" i="2"/>
  <c r="AC51" i="2"/>
  <c r="AB51" i="2"/>
  <c r="AA51" i="2"/>
  <c r="X51" i="2"/>
  <c r="W51" i="2"/>
  <c r="Q51" i="2"/>
  <c r="P51" i="2"/>
  <c r="J51" i="2"/>
  <c r="I51" i="2"/>
  <c r="C51" i="2"/>
  <c r="B51" i="2"/>
  <c r="AN50" i="2"/>
  <c r="AM50" i="2"/>
  <c r="AG50" i="2"/>
  <c r="AF50" i="2"/>
  <c r="AC50" i="2"/>
  <c r="AB50" i="2"/>
  <c r="AA50" i="2"/>
  <c r="X50" i="2"/>
  <c r="W50" i="2"/>
  <c r="Q50" i="2"/>
  <c r="P50" i="2"/>
  <c r="J50" i="2"/>
  <c r="I50" i="2"/>
  <c r="C50" i="2"/>
  <c r="B50" i="2"/>
  <c r="AN49" i="2"/>
  <c r="AM49" i="2"/>
  <c r="AG49" i="2"/>
  <c r="AF49" i="2"/>
  <c r="AC49" i="2"/>
  <c r="AB49" i="2"/>
  <c r="AA49" i="2"/>
  <c r="X49" i="2"/>
  <c r="W49" i="2"/>
  <c r="Q49" i="2"/>
  <c r="P49" i="2"/>
  <c r="J49" i="2"/>
  <c r="I49" i="2"/>
  <c r="C49" i="2"/>
  <c r="B49" i="2"/>
  <c r="AN48" i="2"/>
  <c r="AM48" i="2"/>
  <c r="AG48" i="2"/>
  <c r="AF48" i="2"/>
  <c r="AC48" i="2"/>
  <c r="AB48" i="2"/>
  <c r="AA48" i="2"/>
  <c r="X48" i="2"/>
  <c r="W48" i="2"/>
  <c r="Q48" i="2"/>
  <c r="P48" i="2"/>
  <c r="J48" i="2"/>
  <c r="I48" i="2"/>
  <c r="C48" i="2"/>
  <c r="B48" i="2"/>
  <c r="AN47" i="2"/>
  <c r="AM47" i="2"/>
  <c r="AG47" i="2"/>
  <c r="AF47" i="2"/>
  <c r="AC47" i="2"/>
  <c r="AB47" i="2"/>
  <c r="AA47" i="2"/>
  <c r="X47" i="2"/>
  <c r="W47" i="2"/>
  <c r="Q47" i="2"/>
  <c r="P47" i="2"/>
  <c r="J47" i="2"/>
  <c r="I47" i="2"/>
  <c r="C47" i="2"/>
  <c r="B47" i="2"/>
  <c r="AN46" i="2"/>
  <c r="AM46" i="2"/>
  <c r="AG46" i="2"/>
  <c r="AF46" i="2"/>
  <c r="AC46" i="2"/>
  <c r="AB46" i="2"/>
  <c r="AA46" i="2"/>
  <c r="X46" i="2"/>
  <c r="W46" i="2"/>
  <c r="Q46" i="2"/>
  <c r="P46" i="2"/>
  <c r="J46" i="2"/>
  <c r="I46" i="2"/>
  <c r="C46" i="2"/>
  <c r="B46" i="2"/>
  <c r="AN45" i="2"/>
  <c r="AM45" i="2"/>
  <c r="AG45" i="2"/>
  <c r="AF45" i="2"/>
  <c r="AC45" i="2"/>
  <c r="AB45" i="2"/>
  <c r="AA45" i="2"/>
  <c r="X45" i="2"/>
  <c r="W45" i="2"/>
  <c r="Q45" i="2"/>
  <c r="P45" i="2"/>
  <c r="J45" i="2"/>
  <c r="I45" i="2"/>
  <c r="C45" i="2"/>
  <c r="B45" i="2"/>
  <c r="AN44" i="2"/>
  <c r="AM44" i="2"/>
  <c r="AG44" i="2"/>
  <c r="AF44" i="2"/>
  <c r="AC44" i="2"/>
  <c r="AB44" i="2"/>
  <c r="AA44" i="2"/>
  <c r="X44" i="2"/>
  <c r="W44" i="2"/>
  <c r="Q44" i="2"/>
  <c r="P44" i="2"/>
  <c r="J44" i="2"/>
  <c r="I44" i="2"/>
  <c r="C44" i="2"/>
  <c r="B44" i="2"/>
  <c r="AN43" i="2"/>
  <c r="AM43" i="2"/>
  <c r="AG43" i="2"/>
  <c r="AF43" i="2"/>
  <c r="AC43" i="2"/>
  <c r="AB43" i="2"/>
  <c r="AA43" i="2"/>
  <c r="X43" i="2"/>
  <c r="W43" i="2"/>
  <c r="Q43" i="2"/>
  <c r="P43" i="2"/>
  <c r="J43" i="2"/>
  <c r="I43" i="2"/>
  <c r="C43" i="2"/>
  <c r="B43" i="2"/>
  <c r="AN42" i="2"/>
  <c r="AM42" i="2"/>
  <c r="AG42" i="2"/>
  <c r="AF42" i="2"/>
  <c r="AC42" i="2"/>
  <c r="AB42" i="2"/>
  <c r="AA42" i="2"/>
  <c r="X42" i="2"/>
  <c r="W42" i="2"/>
  <c r="Q42" i="2"/>
  <c r="P42" i="2"/>
  <c r="J42" i="2"/>
  <c r="I42" i="2"/>
  <c r="C42" i="2"/>
  <c r="B42" i="2"/>
  <c r="AN41" i="2"/>
  <c r="AM41" i="2"/>
  <c r="AG41" i="2"/>
  <c r="AF41" i="2"/>
  <c r="AC41" i="2"/>
  <c r="AB41" i="2"/>
  <c r="AA41" i="2"/>
  <c r="X41" i="2"/>
  <c r="W41" i="2"/>
  <c r="Q41" i="2"/>
  <c r="P41" i="2"/>
  <c r="J41" i="2"/>
  <c r="I41" i="2"/>
  <c r="C41" i="2"/>
  <c r="B41" i="2"/>
  <c r="AN40" i="2"/>
  <c r="AM40" i="2"/>
  <c r="AG40" i="2"/>
  <c r="AF40" i="2"/>
  <c r="AC40" i="2"/>
  <c r="AB40" i="2"/>
  <c r="AA40" i="2"/>
  <c r="X40" i="2"/>
  <c r="W40" i="2"/>
  <c r="Q40" i="2"/>
  <c r="P40" i="2"/>
  <c r="J40" i="2"/>
  <c r="I40" i="2"/>
  <c r="C40" i="2"/>
  <c r="B40" i="2"/>
  <c r="AN39" i="2"/>
  <c r="AM39" i="2"/>
  <c r="AG39" i="2"/>
  <c r="AF39" i="2"/>
  <c r="AC39" i="2"/>
  <c r="AB39" i="2"/>
  <c r="AA39" i="2"/>
  <c r="X39" i="2"/>
  <c r="W39" i="2"/>
  <c r="Q39" i="2"/>
  <c r="P39" i="2"/>
  <c r="J39" i="2"/>
  <c r="I39" i="2"/>
  <c r="C39" i="2"/>
  <c r="B39" i="2"/>
  <c r="AN38" i="2"/>
  <c r="AM38" i="2"/>
  <c r="AG38" i="2"/>
  <c r="AF38" i="2"/>
  <c r="AC38" i="2"/>
  <c r="AB38" i="2"/>
  <c r="AA38" i="2"/>
  <c r="X38" i="2"/>
  <c r="W38" i="2"/>
  <c r="Q38" i="2"/>
  <c r="P38" i="2"/>
  <c r="J38" i="2"/>
  <c r="I38" i="2"/>
  <c r="C38" i="2"/>
  <c r="B38" i="2"/>
  <c r="AN37" i="2"/>
  <c r="AM37" i="2"/>
  <c r="AG37" i="2"/>
  <c r="AF37" i="2"/>
  <c r="AC37" i="2"/>
  <c r="AB37" i="2"/>
  <c r="AA37" i="2"/>
  <c r="X37" i="2"/>
  <c r="W37" i="2"/>
  <c r="Q37" i="2"/>
  <c r="P37" i="2"/>
  <c r="J37" i="2"/>
  <c r="I37" i="2"/>
  <c r="C37" i="2"/>
  <c r="B37" i="2"/>
  <c r="AN36" i="2"/>
  <c r="AM36" i="2"/>
  <c r="AG36" i="2"/>
  <c r="AF36" i="2"/>
  <c r="AC36" i="2"/>
  <c r="AB36" i="2"/>
  <c r="AA36" i="2"/>
  <c r="X36" i="2"/>
  <c r="W36" i="2"/>
  <c r="Q36" i="2"/>
  <c r="P36" i="2"/>
  <c r="J36" i="2"/>
  <c r="I36" i="2"/>
  <c r="C36" i="2"/>
  <c r="B36" i="2"/>
  <c r="AN35" i="2"/>
  <c r="AM35" i="2"/>
  <c r="AG35" i="2"/>
  <c r="AF35" i="2"/>
  <c r="AC35" i="2"/>
  <c r="AB35" i="2"/>
  <c r="AA35" i="2"/>
  <c r="X35" i="2"/>
  <c r="W35" i="2"/>
  <c r="Q35" i="2"/>
  <c r="P35" i="2"/>
  <c r="J35" i="2"/>
  <c r="I35" i="2"/>
  <c r="C35" i="2"/>
  <c r="B35" i="2"/>
  <c r="AN34" i="2"/>
  <c r="AM34" i="2"/>
  <c r="AG34" i="2"/>
  <c r="AF34" i="2"/>
  <c r="AC34" i="2"/>
  <c r="AB34" i="2"/>
  <c r="AA34" i="2"/>
  <c r="X34" i="2"/>
  <c r="W34" i="2"/>
  <c r="Q34" i="2"/>
  <c r="P34" i="2"/>
  <c r="J34" i="2"/>
  <c r="I34" i="2"/>
  <c r="C34" i="2"/>
  <c r="B34" i="2"/>
  <c r="AN33" i="2"/>
  <c r="AM33" i="2"/>
  <c r="AG33" i="2"/>
  <c r="AF33" i="2"/>
  <c r="AC33" i="2"/>
  <c r="AB33" i="2"/>
  <c r="AA33" i="2"/>
  <c r="X33" i="2"/>
  <c r="W33" i="2"/>
  <c r="Q33" i="2"/>
  <c r="P33" i="2"/>
  <c r="J33" i="2"/>
  <c r="I33" i="2"/>
  <c r="C33" i="2"/>
  <c r="B33" i="2"/>
  <c r="AN32" i="2"/>
  <c r="AM32" i="2"/>
  <c r="AG32" i="2"/>
  <c r="AF32" i="2"/>
  <c r="AC32" i="2"/>
  <c r="AB32" i="2"/>
  <c r="AA32" i="2"/>
  <c r="X32" i="2"/>
  <c r="W32" i="2"/>
  <c r="Q32" i="2"/>
  <c r="P32" i="2"/>
  <c r="J32" i="2"/>
  <c r="I32" i="2"/>
  <c r="C32" i="2"/>
  <c r="B32" i="2"/>
  <c r="AN31" i="2"/>
  <c r="AM31" i="2"/>
  <c r="AG31" i="2"/>
  <c r="AF31" i="2"/>
  <c r="AC31" i="2"/>
  <c r="AB31" i="2"/>
  <c r="AA31" i="2"/>
  <c r="X31" i="2"/>
  <c r="W31" i="2"/>
  <c r="Q31" i="2"/>
  <c r="P31" i="2"/>
  <c r="J31" i="2"/>
  <c r="I31" i="2"/>
  <c r="C31" i="2"/>
  <c r="B31" i="2"/>
  <c r="AN30" i="2"/>
  <c r="AM30" i="2"/>
  <c r="AG30" i="2"/>
  <c r="AF30" i="2"/>
  <c r="AC30" i="2"/>
  <c r="AB30" i="2"/>
  <c r="AA30" i="2"/>
  <c r="X30" i="2"/>
  <c r="W30" i="2"/>
  <c r="Q30" i="2"/>
  <c r="P30" i="2"/>
  <c r="J30" i="2"/>
  <c r="I30" i="2"/>
  <c r="C30" i="2"/>
  <c r="B30" i="2"/>
  <c r="AN29" i="2"/>
  <c r="AM29" i="2"/>
  <c r="AG29" i="2"/>
  <c r="AF29" i="2"/>
  <c r="AC29" i="2"/>
  <c r="AB29" i="2"/>
  <c r="AA29" i="2"/>
  <c r="X29" i="2"/>
  <c r="W29" i="2"/>
  <c r="Q29" i="2"/>
  <c r="P29" i="2"/>
  <c r="J29" i="2"/>
  <c r="I29" i="2"/>
  <c r="C29" i="2"/>
  <c r="B29" i="2"/>
  <c r="AN28" i="2"/>
  <c r="AM28" i="2"/>
  <c r="AG28" i="2"/>
  <c r="AF28" i="2"/>
  <c r="AC28" i="2"/>
  <c r="AB28" i="2"/>
  <c r="AA28" i="2"/>
  <c r="X28" i="2"/>
  <c r="W28" i="2"/>
  <c r="Q28" i="2"/>
  <c r="P28" i="2"/>
  <c r="J28" i="2"/>
  <c r="I28" i="2"/>
  <c r="C28" i="2"/>
  <c r="B28" i="2"/>
  <c r="AN27" i="2"/>
  <c r="AM27" i="2"/>
  <c r="AG27" i="2"/>
  <c r="AF27" i="2"/>
  <c r="AC27" i="2"/>
  <c r="AB27" i="2"/>
  <c r="AA27" i="2"/>
  <c r="X27" i="2"/>
  <c r="W27" i="2"/>
  <c r="Q27" i="2"/>
  <c r="P27" i="2"/>
  <c r="J27" i="2"/>
  <c r="I27" i="2"/>
  <c r="C27" i="2"/>
  <c r="B27" i="2"/>
  <c r="AN26" i="2"/>
  <c r="AM26" i="2"/>
  <c r="AG26" i="2"/>
  <c r="AF26" i="2"/>
  <c r="AC26" i="2"/>
  <c r="AB26" i="2"/>
  <c r="AA26" i="2"/>
  <c r="X26" i="2"/>
  <c r="W26" i="2"/>
  <c r="Q26" i="2"/>
  <c r="P26" i="2"/>
  <c r="J26" i="2"/>
  <c r="I26" i="2"/>
  <c r="C26" i="2"/>
  <c r="B26" i="2"/>
  <c r="AN25" i="2"/>
  <c r="AM25" i="2"/>
  <c r="AG25" i="2"/>
  <c r="AF25" i="2"/>
  <c r="AC25" i="2"/>
  <c r="AB25" i="2"/>
  <c r="AA25" i="2"/>
  <c r="X25" i="2"/>
  <c r="W25" i="2"/>
  <c r="Q25" i="2"/>
  <c r="P25" i="2"/>
  <c r="J25" i="2"/>
  <c r="I25" i="2"/>
  <c r="C25" i="2"/>
  <c r="B25" i="2"/>
  <c r="AN24" i="2"/>
  <c r="AM24" i="2"/>
  <c r="AG24" i="2"/>
  <c r="AF24" i="2"/>
  <c r="AC24" i="2"/>
  <c r="AB24" i="2"/>
  <c r="AA24" i="2"/>
  <c r="X24" i="2"/>
  <c r="W24" i="2"/>
  <c r="Q24" i="2"/>
  <c r="P24" i="2"/>
  <c r="J24" i="2"/>
  <c r="I24" i="2"/>
  <c r="C24" i="2"/>
  <c r="B24" i="2"/>
  <c r="AN23" i="2"/>
  <c r="AM23" i="2"/>
  <c r="AG23" i="2"/>
  <c r="AF23" i="2"/>
  <c r="AC23" i="2"/>
  <c r="AB23" i="2"/>
  <c r="AA23" i="2"/>
  <c r="X23" i="2"/>
  <c r="W23" i="2"/>
  <c r="Q23" i="2"/>
  <c r="P23" i="2"/>
  <c r="J23" i="2"/>
  <c r="I23" i="2"/>
  <c r="C23" i="2"/>
  <c r="B23" i="2"/>
  <c r="AN22" i="2"/>
  <c r="AM22" i="2"/>
  <c r="AG22" i="2"/>
  <c r="AF22" i="2"/>
  <c r="AC22" i="2"/>
  <c r="AB22" i="2"/>
  <c r="AA22" i="2"/>
  <c r="X22" i="2"/>
  <c r="W22" i="2"/>
  <c r="Q22" i="2"/>
  <c r="P22" i="2"/>
  <c r="J22" i="2"/>
  <c r="I22" i="2"/>
  <c r="C22" i="2"/>
  <c r="B22" i="2"/>
  <c r="AN21" i="2"/>
  <c r="AM21" i="2"/>
  <c r="AG21" i="2"/>
  <c r="AF21" i="2"/>
  <c r="AC21" i="2"/>
  <c r="AB21" i="2"/>
  <c r="AA21" i="2"/>
  <c r="X21" i="2"/>
  <c r="W21" i="2"/>
  <c r="Q21" i="2"/>
  <c r="P21" i="2"/>
  <c r="J21" i="2"/>
  <c r="I21" i="2"/>
  <c r="C21" i="2"/>
  <c r="B21" i="2"/>
  <c r="AN20" i="2"/>
  <c r="AM20" i="2"/>
  <c r="AG20" i="2"/>
  <c r="AF20" i="2"/>
  <c r="AC20" i="2"/>
  <c r="AB20" i="2"/>
  <c r="AA20" i="2"/>
  <c r="X20" i="2"/>
  <c r="W20" i="2"/>
  <c r="Q20" i="2"/>
  <c r="P20" i="2"/>
  <c r="J20" i="2"/>
  <c r="I20" i="2"/>
  <c r="C20" i="2"/>
  <c r="B20" i="2"/>
  <c r="AN19" i="2"/>
  <c r="AM19" i="2"/>
  <c r="AG19" i="2"/>
  <c r="AF19" i="2"/>
  <c r="AC19" i="2"/>
  <c r="AB19" i="2"/>
  <c r="AA19" i="2"/>
  <c r="X19" i="2"/>
  <c r="W19" i="2"/>
  <c r="Q19" i="2"/>
  <c r="P19" i="2"/>
  <c r="J19" i="2"/>
  <c r="I19" i="2"/>
  <c r="C19" i="2"/>
  <c r="B19" i="2"/>
  <c r="AN18" i="2"/>
  <c r="AM18" i="2"/>
  <c r="AG18" i="2"/>
  <c r="AF18" i="2"/>
  <c r="AC18" i="2"/>
  <c r="AB18" i="2"/>
  <c r="AA18" i="2"/>
  <c r="X18" i="2"/>
  <c r="W18" i="2"/>
  <c r="Q18" i="2"/>
  <c r="P18" i="2"/>
  <c r="J18" i="2"/>
  <c r="I18" i="2"/>
  <c r="C18" i="2"/>
  <c r="B18" i="2"/>
  <c r="AN17" i="2"/>
  <c r="AM17" i="2"/>
  <c r="AG17" i="2"/>
  <c r="AF17" i="2"/>
  <c r="AC17" i="2"/>
  <c r="AB17" i="2"/>
  <c r="AA17" i="2"/>
  <c r="X17" i="2"/>
  <c r="W17" i="2"/>
  <c r="Q17" i="2"/>
  <c r="P17" i="2"/>
  <c r="J17" i="2"/>
  <c r="I17" i="2"/>
  <c r="C17" i="2"/>
  <c r="B17" i="2"/>
  <c r="AN16" i="2"/>
  <c r="AM16" i="2"/>
  <c r="AG16" i="2"/>
  <c r="AF16" i="2"/>
  <c r="AC16" i="2"/>
  <c r="AB16" i="2"/>
  <c r="AA16" i="2"/>
  <c r="AA8" i="2" s="1"/>
  <c r="AA9" i="2" s="1"/>
  <c r="X16" i="2"/>
  <c r="W16" i="2"/>
  <c r="Q16" i="2"/>
  <c r="P16" i="2"/>
  <c r="J16" i="2"/>
  <c r="I16" i="2"/>
  <c r="C16" i="2"/>
  <c r="B16" i="2"/>
  <c r="AN15" i="2"/>
  <c r="AM15" i="2"/>
  <c r="AG15" i="2"/>
  <c r="AF15" i="2"/>
  <c r="AC15" i="2"/>
  <c r="AC8" i="2" s="1"/>
  <c r="AC10" i="2" s="1"/>
  <c r="AB15" i="2"/>
  <c r="AA15" i="2"/>
  <c r="X15" i="2"/>
  <c r="W15" i="2"/>
  <c r="Q15" i="2"/>
  <c r="P15" i="2"/>
  <c r="J15" i="2"/>
  <c r="I15" i="2"/>
  <c r="C15" i="2"/>
  <c r="B15" i="2"/>
  <c r="AN14" i="2"/>
  <c r="AM14" i="2"/>
  <c r="AG14" i="2"/>
  <c r="AF14" i="2"/>
  <c r="AC14" i="2"/>
  <c r="AB14" i="2"/>
  <c r="AA14" i="2"/>
  <c r="X14" i="2"/>
  <c r="W14" i="2"/>
  <c r="Q14" i="2"/>
  <c r="P14" i="2"/>
  <c r="J14" i="2"/>
  <c r="I14" i="2"/>
  <c r="C14" i="2"/>
  <c r="C8" i="2" s="1"/>
  <c r="C10" i="2" s="1"/>
  <c r="B14" i="2"/>
  <c r="AN13" i="2"/>
  <c r="AM13" i="2"/>
  <c r="AG13" i="2"/>
  <c r="AF13" i="2"/>
  <c r="AC13" i="2"/>
  <c r="AB13" i="2"/>
  <c r="AA13" i="2"/>
  <c r="X13" i="2"/>
  <c r="W13" i="2"/>
  <c r="Q13" i="2"/>
  <c r="P13" i="2"/>
  <c r="J13" i="2"/>
  <c r="I13" i="2"/>
  <c r="C13" i="2"/>
  <c r="B13" i="2"/>
  <c r="AN12" i="2"/>
  <c r="AM12" i="2"/>
  <c r="AG12" i="2"/>
  <c r="AF12" i="2"/>
  <c r="AC12" i="2"/>
  <c r="AB12" i="2"/>
  <c r="AA12" i="2"/>
  <c r="X12" i="2"/>
  <c r="W12" i="2"/>
  <c r="Q12" i="2"/>
  <c r="P12" i="2"/>
  <c r="J12" i="2"/>
  <c r="I12" i="2"/>
  <c r="C12" i="2"/>
  <c r="B12" i="2"/>
  <c r="AN11" i="2"/>
  <c r="AN8" i="2" s="1"/>
  <c r="AN10" i="2" s="1"/>
  <c r="AM11" i="2"/>
  <c r="AM8" i="2" s="1"/>
  <c r="AG11" i="2"/>
  <c r="AG8" i="2" s="1"/>
  <c r="AG10" i="2" s="1"/>
  <c r="AF11" i="2"/>
  <c r="AF8" i="2" s="1"/>
  <c r="AC11" i="2"/>
  <c r="AB11" i="2"/>
  <c r="AA11" i="2"/>
  <c r="X11" i="2"/>
  <c r="X8" i="2" s="1"/>
  <c r="X10" i="2" s="1"/>
  <c r="W11" i="2"/>
  <c r="W8" i="2" s="1"/>
  <c r="Q11" i="2"/>
  <c r="Q8" i="2" s="1"/>
  <c r="Q10" i="2" s="1"/>
  <c r="P11" i="2"/>
  <c r="P8" i="2" s="1"/>
  <c r="P9" i="2" s="1"/>
  <c r="J11" i="2"/>
  <c r="I11" i="2"/>
  <c r="C11" i="2"/>
  <c r="B11" i="2"/>
  <c r="AP10" i="2"/>
  <c r="AM10" i="2"/>
  <c r="AM9" i="2" s="1"/>
  <c r="AF10" i="2"/>
  <c r="AE10" i="2"/>
  <c r="AA10" i="2"/>
  <c r="W10" i="2"/>
  <c r="V10" i="2"/>
  <c r="P10" i="2"/>
  <c r="I10" i="2"/>
  <c r="B10" i="2"/>
  <c r="AP9" i="2"/>
  <c r="AL9" i="2"/>
  <c r="AJ9" i="2"/>
  <c r="AE9" i="2"/>
  <c r="AB9" i="2"/>
  <c r="Z9" i="2"/>
  <c r="Z10" i="2" s="1"/>
  <c r="V9" i="2"/>
  <c r="T9" i="2"/>
  <c r="Q9" i="2"/>
  <c r="O9" i="2"/>
  <c r="O10" i="2" s="1"/>
  <c r="M9" i="2"/>
  <c r="H9" i="2"/>
  <c r="F9" i="2"/>
  <c r="F10" i="2" s="1"/>
  <c r="AP8" i="2"/>
  <c r="AL8" i="2"/>
  <c r="AL10" i="2" s="1"/>
  <c r="AJ8" i="2"/>
  <c r="AJ10" i="2" s="1"/>
  <c r="AE8" i="2"/>
  <c r="AB8" i="2"/>
  <c r="AB10" i="2" s="1"/>
  <c r="Z8" i="2"/>
  <c r="V8" i="2"/>
  <c r="T8" i="2"/>
  <c r="T10" i="2" s="1"/>
  <c r="O8" i="2"/>
  <c r="M8" i="2"/>
  <c r="M10" i="2" s="1"/>
  <c r="I8" i="2"/>
  <c r="I9" i="2" s="1"/>
  <c r="H8" i="2"/>
  <c r="H10" i="2" s="1"/>
  <c r="F8" i="2"/>
  <c r="AO5" i="2"/>
  <c r="AH5" i="2"/>
  <c r="Y5" i="2"/>
  <c r="R5" i="2"/>
  <c r="K5" i="2"/>
  <c r="D5" i="2"/>
  <c r="AO3" i="2"/>
  <c r="AH3" i="2"/>
  <c r="AC3" i="2"/>
  <c r="Y3" i="2"/>
  <c r="R3" i="2"/>
  <c r="K3" i="2"/>
  <c r="D3" i="2"/>
  <c r="AO2" i="2"/>
  <c r="AO2" i="2" a="1"/>
  <c r="AH2" i="2" a="1"/>
  <c r="AH2" i="2" s="1"/>
  <c r="AC2" i="2" a="1"/>
  <c r="AC2" i="2" s="1"/>
  <c r="Y2" i="2" a="1"/>
  <c r="Y2" i="2" s="1"/>
  <c r="R2" i="2"/>
  <c r="R2" i="2" a="1"/>
  <c r="K2" i="2" a="1"/>
  <c r="K2" i="2" s="1"/>
  <c r="D2" i="2" a="1"/>
  <c r="D2" i="2" s="1"/>
  <c r="G6" i="3"/>
  <c r="G4" i="3"/>
  <c r="AO122" i="2"/>
  <c r="Y122" i="2"/>
  <c r="AO121" i="2"/>
  <c r="Y121" i="2"/>
  <c r="AO120" i="2"/>
  <c r="Y120" i="2"/>
  <c r="AO119" i="2"/>
  <c r="Y119" i="2"/>
  <c r="AO118" i="2"/>
  <c r="Y118" i="2"/>
  <c r="AO117" i="2"/>
  <c r="Y117" i="2"/>
  <c r="AO116" i="2"/>
  <c r="Y116" i="2"/>
  <c r="AO115" i="2"/>
  <c r="Y115" i="2"/>
  <c r="AO114" i="2"/>
  <c r="Y114" i="2"/>
  <c r="AO113" i="2"/>
  <c r="Y113" i="2"/>
  <c r="AO112" i="2"/>
  <c r="Y112" i="2"/>
  <c r="AO111" i="2"/>
  <c r="Y111" i="2"/>
  <c r="AO110" i="2"/>
  <c r="Y110" i="2"/>
  <c r="AO109" i="2"/>
  <c r="Y109" i="2"/>
  <c r="AO108" i="2"/>
  <c r="Y108" i="2"/>
  <c r="AO107" i="2"/>
  <c r="Y107" i="2"/>
  <c r="AO106" i="2"/>
  <c r="Y106" i="2"/>
  <c r="AO105" i="2"/>
  <c r="Y105" i="2"/>
  <c r="AO104" i="2"/>
  <c r="Y104" i="2"/>
  <c r="AO103" i="2"/>
  <c r="Y103" i="2"/>
  <c r="AO102" i="2"/>
  <c r="Y102" i="2"/>
  <c r="AO101" i="2"/>
  <c r="Y101" i="2"/>
  <c r="AO100" i="2"/>
  <c r="Y100" i="2"/>
  <c r="AO99" i="2"/>
  <c r="Y99" i="2"/>
  <c r="AO98" i="2"/>
  <c r="Y98" i="2"/>
  <c r="AO97" i="2"/>
  <c r="Y97" i="2"/>
  <c r="AO96" i="2"/>
  <c r="Y96" i="2"/>
  <c r="AO95" i="2"/>
  <c r="Y95" i="2"/>
  <c r="AO94" i="2"/>
  <c r="Y94" i="2"/>
  <c r="AO93" i="2"/>
  <c r="Y93" i="2"/>
  <c r="AO92" i="2"/>
  <c r="Y92" i="2"/>
  <c r="AO91" i="2"/>
  <c r="Y91" i="2"/>
  <c r="AO90" i="2"/>
  <c r="Y90" i="2"/>
  <c r="AO89" i="2"/>
  <c r="Y89" i="2"/>
  <c r="AO88" i="2"/>
  <c r="Y88" i="2"/>
  <c r="AO87" i="2"/>
  <c r="Y87" i="2"/>
  <c r="AO86" i="2"/>
  <c r="Y86" i="2"/>
  <c r="AO85" i="2"/>
  <c r="Y85" i="2"/>
  <c r="AO84" i="2"/>
  <c r="Y84" i="2"/>
  <c r="AO83" i="2"/>
  <c r="Y83" i="2"/>
  <c r="AO82" i="2"/>
  <c r="Y82" i="2"/>
  <c r="AO81" i="2"/>
  <c r="Y81" i="2"/>
  <c r="AO80" i="2"/>
  <c r="Y80" i="2"/>
  <c r="AO79" i="2"/>
  <c r="Y79" i="2"/>
  <c r="AO78" i="2"/>
  <c r="Y78" i="2"/>
  <c r="AO77" i="2"/>
  <c r="Y77" i="2"/>
  <c r="AO76" i="2"/>
  <c r="Y76" i="2"/>
  <c r="AO75" i="2"/>
  <c r="Y75" i="2"/>
  <c r="AO74" i="2"/>
  <c r="Y74" i="2"/>
  <c r="AO73" i="2"/>
  <c r="Y73" i="2"/>
  <c r="AO72" i="2"/>
  <c r="Y72" i="2"/>
  <c r="AO71" i="2"/>
  <c r="Y71" i="2"/>
  <c r="AO70" i="2"/>
  <c r="Y70" i="2"/>
  <c r="AO69" i="2"/>
  <c r="Y69" i="2"/>
  <c r="AO68" i="2"/>
  <c r="Y68" i="2"/>
  <c r="AO67" i="2"/>
  <c r="Y67" i="2"/>
  <c r="AO66" i="2"/>
  <c r="Y66" i="2"/>
  <c r="AO65" i="2"/>
  <c r="Y65" i="2"/>
  <c r="AO64" i="2"/>
  <c r="Y64" i="2"/>
  <c r="AO63" i="2"/>
  <c r="Y63" i="2"/>
  <c r="AO62" i="2"/>
  <c r="Y62" i="2"/>
  <c r="AO61" i="2"/>
  <c r="AD61" i="2"/>
  <c r="S61" i="2"/>
  <c r="E60" i="2"/>
  <c r="AI59" i="2"/>
  <c r="AK122" i="2"/>
  <c r="U122" i="2"/>
  <c r="AK121" i="2"/>
  <c r="U121" i="2"/>
  <c r="AK120" i="2"/>
  <c r="U120" i="2"/>
  <c r="AK119" i="2"/>
  <c r="U119" i="2"/>
  <c r="AK118" i="2"/>
  <c r="U118" i="2"/>
  <c r="AK117" i="2"/>
  <c r="U117" i="2"/>
  <c r="AK116" i="2"/>
  <c r="U116" i="2"/>
  <c r="AK115" i="2"/>
  <c r="U115" i="2"/>
  <c r="AK114" i="2"/>
  <c r="U114" i="2"/>
  <c r="AK113" i="2"/>
  <c r="U113" i="2"/>
  <c r="AK112" i="2"/>
  <c r="U112" i="2"/>
  <c r="AK111" i="2"/>
  <c r="U111" i="2"/>
  <c r="AK110" i="2"/>
  <c r="U110" i="2"/>
  <c r="AK109" i="2"/>
  <c r="U109" i="2"/>
  <c r="AK108" i="2"/>
  <c r="U108" i="2"/>
  <c r="AK107" i="2"/>
  <c r="U107" i="2"/>
  <c r="AK106" i="2"/>
  <c r="U106" i="2"/>
  <c r="AK105" i="2"/>
  <c r="U105" i="2"/>
  <c r="AK104" i="2"/>
  <c r="U104" i="2"/>
  <c r="AK103" i="2"/>
  <c r="U103" i="2"/>
  <c r="AK102" i="2"/>
  <c r="U102" i="2"/>
  <c r="AK101" i="2"/>
  <c r="U101" i="2"/>
  <c r="AK100" i="2"/>
  <c r="U100" i="2"/>
  <c r="AK99" i="2"/>
  <c r="U99" i="2"/>
  <c r="AK98" i="2"/>
  <c r="U98" i="2"/>
  <c r="AK97" i="2"/>
  <c r="U97" i="2"/>
  <c r="AK96" i="2"/>
  <c r="U96" i="2"/>
  <c r="AK95" i="2"/>
  <c r="U95" i="2"/>
  <c r="AK94" i="2"/>
  <c r="U94" i="2"/>
  <c r="AK93" i="2"/>
  <c r="U93" i="2"/>
  <c r="AK92" i="2"/>
  <c r="U92" i="2"/>
  <c r="AK91" i="2"/>
  <c r="U91" i="2"/>
  <c r="AK90" i="2"/>
  <c r="U90" i="2"/>
  <c r="AK89" i="2"/>
  <c r="U89" i="2"/>
  <c r="AK88" i="2"/>
  <c r="U88" i="2"/>
  <c r="AK87" i="2"/>
  <c r="U87" i="2"/>
  <c r="AK86" i="2"/>
  <c r="U86" i="2"/>
  <c r="AK85" i="2"/>
  <c r="U85" i="2"/>
  <c r="AK84" i="2"/>
  <c r="U84" i="2"/>
  <c r="AK83" i="2"/>
  <c r="U83" i="2"/>
  <c r="AK82" i="2"/>
  <c r="U82" i="2"/>
  <c r="AK81" i="2"/>
  <c r="U81" i="2"/>
  <c r="AK80" i="2"/>
  <c r="U80" i="2"/>
  <c r="AK79" i="2"/>
  <c r="U79" i="2"/>
  <c r="AK78" i="2"/>
  <c r="U78" i="2"/>
  <c r="AK77" i="2"/>
  <c r="U77" i="2"/>
  <c r="AK76" i="2"/>
  <c r="U76" i="2"/>
  <c r="AK75" i="2"/>
  <c r="U75" i="2"/>
  <c r="AK74" i="2"/>
  <c r="U74" i="2"/>
  <c r="AK73" i="2"/>
  <c r="U73" i="2"/>
  <c r="AK72" i="2"/>
  <c r="U72" i="2"/>
  <c r="AK71" i="2"/>
  <c r="U71" i="2"/>
  <c r="AK70" i="2"/>
  <c r="U70" i="2"/>
  <c r="AK69" i="2"/>
  <c r="U69" i="2"/>
  <c r="AK68" i="2"/>
  <c r="U68" i="2"/>
  <c r="AK67" i="2"/>
  <c r="U67" i="2"/>
  <c r="AK66" i="2"/>
  <c r="U66" i="2"/>
  <c r="AK65" i="2"/>
  <c r="U65" i="2"/>
  <c r="AK64" i="2"/>
  <c r="U64" i="2"/>
  <c r="AK63" i="2"/>
  <c r="U63" i="2"/>
  <c r="AK62" i="2"/>
  <c r="U62" i="2"/>
  <c r="N122" i="2"/>
  <c r="N121" i="2"/>
  <c r="N120" i="2"/>
  <c r="N119" i="2"/>
  <c r="N118" i="2"/>
  <c r="N117" i="2"/>
  <c r="N116" i="2"/>
  <c r="N115" i="2"/>
  <c r="N114" i="2"/>
  <c r="N113" i="2"/>
  <c r="N112" i="2"/>
  <c r="N111" i="2"/>
  <c r="N110" i="2"/>
  <c r="N109" i="2"/>
  <c r="N108" i="2"/>
  <c r="N107" i="2"/>
  <c r="N106" i="2"/>
  <c r="N105" i="2"/>
  <c r="N104" i="2"/>
  <c r="N103" i="2"/>
  <c r="N102" i="2"/>
  <c r="N101" i="2"/>
  <c r="N100" i="2"/>
  <c r="N99" i="2"/>
  <c r="N98" i="2"/>
  <c r="N97" i="2"/>
  <c r="N96" i="2"/>
  <c r="N95" i="2"/>
  <c r="N94" i="2"/>
  <c r="N93" i="2"/>
  <c r="N92" i="2"/>
  <c r="N91" i="2"/>
  <c r="N90" i="2"/>
  <c r="N89" i="2"/>
  <c r="N8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N65" i="2"/>
  <c r="N64" i="2"/>
  <c r="N63" i="2"/>
  <c r="N62" i="2"/>
  <c r="AI61" i="2"/>
  <c r="Y61" i="2"/>
  <c r="N61" i="2"/>
  <c r="AD122" i="2"/>
  <c r="AD121" i="2"/>
  <c r="AD120" i="2"/>
  <c r="G122" i="2"/>
  <c r="G121" i="2"/>
  <c r="G115" i="2"/>
  <c r="AD113" i="2"/>
  <c r="G107" i="2"/>
  <c r="AD105" i="2"/>
  <c r="G99" i="2"/>
  <c r="AD97" i="2"/>
  <c r="G91" i="2"/>
  <c r="AD89" i="2"/>
  <c r="G83" i="2"/>
  <c r="AD81" i="2"/>
  <c r="G75" i="2"/>
  <c r="AD73" i="2"/>
  <c r="G67" i="2"/>
  <c r="AD65" i="2"/>
  <c r="L61" i="2"/>
  <c r="U60" i="2"/>
  <c r="D59" i="2"/>
  <c r="AH58" i="2"/>
  <c r="L58" i="2"/>
  <c r="U57" i="2"/>
  <c r="R56" i="2"/>
  <c r="G56" i="2"/>
  <c r="AK55" i="2"/>
  <c r="D55" i="2"/>
  <c r="AH54" i="2"/>
  <c r="L54" i="2"/>
  <c r="U53" i="2"/>
  <c r="G120" i="2"/>
  <c r="AD118" i="2"/>
  <c r="G112" i="2"/>
  <c r="AD110" i="2"/>
  <c r="G104" i="2"/>
  <c r="AD102" i="2"/>
  <c r="G96" i="2"/>
  <c r="AD94" i="2"/>
  <c r="G88" i="2"/>
  <c r="AD86" i="2"/>
  <c r="G80" i="2"/>
  <c r="AD78" i="2"/>
  <c r="G72" i="2"/>
  <c r="AD70" i="2"/>
  <c r="G64" i="2"/>
  <c r="AD62" i="2"/>
  <c r="K61" i="2"/>
  <c r="AO60" i="2"/>
  <c r="AD60" i="2"/>
  <c r="S60" i="2"/>
  <c r="AK59" i="2"/>
  <c r="Y59" i="2"/>
  <c r="N59" i="2"/>
  <c r="K58" i="2"/>
  <c r="AO57" i="2"/>
  <c r="AD57" i="2"/>
  <c r="S57" i="2"/>
  <c r="E56" i="2"/>
  <c r="AI55" i="2"/>
  <c r="Y55" i="2"/>
  <c r="N55" i="2"/>
  <c r="K54" i="2"/>
  <c r="AO53" i="2"/>
  <c r="AD53" i="2"/>
  <c r="S53" i="2"/>
  <c r="E52" i="2"/>
  <c r="AI51" i="2"/>
  <c r="Y51" i="2"/>
  <c r="N51" i="2"/>
  <c r="K50" i="2"/>
  <c r="AO49" i="2"/>
  <c r="AD49" i="2"/>
  <c r="S49" i="2"/>
  <c r="E48" i="2"/>
  <c r="AI47" i="2"/>
  <c r="Y47" i="2"/>
  <c r="N47" i="2"/>
  <c r="K46" i="2"/>
  <c r="AO45" i="2"/>
  <c r="AD45" i="2"/>
  <c r="S45" i="2"/>
  <c r="E44" i="2"/>
  <c r="AI43" i="2"/>
  <c r="Y43" i="2"/>
  <c r="N43" i="2"/>
  <c r="K42" i="2"/>
  <c r="AO41" i="2"/>
  <c r="AD41" i="2"/>
  <c r="S41" i="2"/>
  <c r="E40" i="2"/>
  <c r="AI39" i="2"/>
  <c r="Y39" i="2"/>
  <c r="N39" i="2"/>
  <c r="K38" i="2"/>
  <c r="AO37" i="2"/>
  <c r="AD37" i="2"/>
  <c r="S37" i="2"/>
  <c r="E36" i="2"/>
  <c r="AI35" i="2"/>
  <c r="Y35" i="2"/>
  <c r="N35" i="2"/>
  <c r="K34" i="2"/>
  <c r="AO33" i="2"/>
  <c r="AD33" i="2"/>
  <c r="S33" i="2"/>
  <c r="E32" i="2"/>
  <c r="AI31" i="2"/>
  <c r="Y31" i="2"/>
  <c r="N31" i="2"/>
  <c r="K30" i="2"/>
  <c r="AO29" i="2"/>
  <c r="AD29" i="2"/>
  <c r="S29" i="2"/>
  <c r="E28" i="2"/>
  <c r="AI27" i="2"/>
  <c r="Y27" i="2"/>
  <c r="N27" i="2"/>
  <c r="K26" i="2"/>
  <c r="AO25" i="2"/>
  <c r="AD25" i="2"/>
  <c r="S25" i="2"/>
  <c r="E24" i="2"/>
  <c r="AI23" i="2"/>
  <c r="Y23" i="2"/>
  <c r="N23" i="2"/>
  <c r="K22" i="2"/>
  <c r="AO21" i="2"/>
  <c r="AD21" i="2"/>
  <c r="S21" i="2"/>
  <c r="E20" i="2"/>
  <c r="AI19" i="2"/>
  <c r="Y19" i="2"/>
  <c r="N19" i="2"/>
  <c r="K18" i="2"/>
  <c r="AO17" i="2"/>
  <c r="AD17" i="2"/>
  <c r="S17" i="2"/>
  <c r="E16" i="2"/>
  <c r="AI15" i="2"/>
  <c r="Y15" i="2"/>
  <c r="N15" i="2"/>
  <c r="G117" i="2"/>
  <c r="AD115" i="2"/>
  <c r="G109" i="2"/>
  <c r="AD107" i="2"/>
  <c r="G101" i="2"/>
  <c r="AD99" i="2"/>
  <c r="G93" i="2"/>
  <c r="AD91" i="2"/>
  <c r="G85" i="2"/>
  <c r="AD83" i="2"/>
  <c r="G77" i="2"/>
  <c r="AD75" i="2"/>
  <c r="G69" i="2"/>
  <c r="AD67" i="2"/>
  <c r="R60" i="2"/>
  <c r="G60" i="2"/>
  <c r="AH59" i="2"/>
  <c r="L59" i="2"/>
  <c r="U58" i="2"/>
  <c r="R57" i="2"/>
  <c r="G57" i="2"/>
  <c r="AK56" i="2"/>
  <c r="D56" i="2"/>
  <c r="AH55" i="2"/>
  <c r="L55" i="2"/>
  <c r="U54" i="2"/>
  <c r="R53" i="2"/>
  <c r="G53" i="2"/>
  <c r="AK52" i="2"/>
  <c r="D52" i="2"/>
  <c r="AH51" i="2"/>
  <c r="L51" i="2"/>
  <c r="U50" i="2"/>
  <c r="R49" i="2"/>
  <c r="G49" i="2"/>
  <c r="AK48" i="2"/>
  <c r="D48" i="2"/>
  <c r="AH47" i="2"/>
  <c r="L47" i="2"/>
  <c r="U46" i="2"/>
  <c r="R45" i="2"/>
  <c r="G45" i="2"/>
  <c r="AK44" i="2"/>
  <c r="D44" i="2"/>
  <c r="AH43" i="2"/>
  <c r="L43" i="2"/>
  <c r="U42" i="2"/>
  <c r="R41" i="2"/>
  <c r="G41" i="2"/>
  <c r="AK40" i="2"/>
  <c r="D40" i="2"/>
  <c r="AH39" i="2"/>
  <c r="L39" i="2"/>
  <c r="U38" i="2"/>
  <c r="R37" i="2"/>
  <c r="G37" i="2"/>
  <c r="AK36" i="2"/>
  <c r="D36" i="2"/>
  <c r="AH35" i="2"/>
  <c r="L35" i="2"/>
  <c r="U34" i="2"/>
  <c r="G114" i="2"/>
  <c r="AD112" i="2"/>
  <c r="G106" i="2"/>
  <c r="AD104" i="2"/>
  <c r="G98" i="2"/>
  <c r="AD96" i="2"/>
  <c r="G90" i="2"/>
  <c r="AD88" i="2"/>
  <c r="G82" i="2"/>
  <c r="AD80" i="2"/>
  <c r="G74" i="2"/>
  <c r="AD72" i="2"/>
  <c r="G66" i="2"/>
  <c r="AD64" i="2"/>
  <c r="AK61" i="2"/>
  <c r="D60" i="2"/>
  <c r="K59" i="2"/>
  <c r="AO58" i="2"/>
  <c r="AD58" i="2"/>
  <c r="S58" i="2"/>
  <c r="E57" i="2"/>
  <c r="AI56" i="2"/>
  <c r="Y56" i="2"/>
  <c r="N56" i="2"/>
  <c r="K55" i="2"/>
  <c r="AO54" i="2"/>
  <c r="AD54" i="2"/>
  <c r="S54" i="2"/>
  <c r="E53" i="2"/>
  <c r="AI52" i="2"/>
  <c r="Y52" i="2"/>
  <c r="N52" i="2"/>
  <c r="K51" i="2"/>
  <c r="AO50" i="2"/>
  <c r="AD50" i="2"/>
  <c r="S50" i="2"/>
  <c r="E49" i="2"/>
  <c r="AI48" i="2"/>
  <c r="Y48" i="2"/>
  <c r="N48" i="2"/>
  <c r="K47" i="2"/>
  <c r="AO46" i="2"/>
  <c r="AD46" i="2"/>
  <c r="S46" i="2"/>
  <c r="E45" i="2"/>
  <c r="AI44" i="2"/>
  <c r="Y44" i="2"/>
  <c r="N44" i="2"/>
  <c r="K43" i="2"/>
  <c r="AO42" i="2"/>
  <c r="AD42" i="2"/>
  <c r="S42" i="2"/>
  <c r="E41" i="2"/>
  <c r="AI40" i="2"/>
  <c r="Y40" i="2"/>
  <c r="N40" i="2"/>
  <c r="K39" i="2"/>
  <c r="AO38" i="2"/>
  <c r="AD38" i="2"/>
  <c r="S38" i="2"/>
  <c r="E37" i="2"/>
  <c r="AI36" i="2"/>
  <c r="Y36" i="2"/>
  <c r="N36" i="2"/>
  <c r="K35" i="2"/>
  <c r="AO34" i="2"/>
  <c r="AD34" i="2"/>
  <c r="S34" i="2"/>
  <c r="E33" i="2"/>
  <c r="AI32" i="2"/>
  <c r="Y32" i="2"/>
  <c r="N32" i="2"/>
  <c r="K31" i="2"/>
  <c r="AO30" i="2"/>
  <c r="AD30" i="2"/>
  <c r="S30" i="2"/>
  <c r="E29" i="2"/>
  <c r="AI28" i="2"/>
  <c r="Y28" i="2"/>
  <c r="N28" i="2"/>
  <c r="K27" i="2"/>
  <c r="AO26" i="2"/>
  <c r="AD26" i="2"/>
  <c r="S26" i="2"/>
  <c r="G119" i="2"/>
  <c r="AD117" i="2"/>
  <c r="G111" i="2"/>
  <c r="AD109" i="2"/>
  <c r="G103" i="2"/>
  <c r="AD101" i="2"/>
  <c r="G95" i="2"/>
  <c r="AD93" i="2"/>
  <c r="G87" i="2"/>
  <c r="AD85" i="2"/>
  <c r="G79" i="2"/>
  <c r="AD77" i="2"/>
  <c r="G71" i="2"/>
  <c r="AD69" i="2"/>
  <c r="G63" i="2"/>
  <c r="AH61" i="2"/>
  <c r="U61" i="2"/>
  <c r="G61" i="2"/>
  <c r="AK60" i="2"/>
  <c r="U59" i="2"/>
  <c r="R58" i="2"/>
  <c r="G58" i="2"/>
  <c r="AK57" i="2"/>
  <c r="D57" i="2"/>
  <c r="AH56" i="2"/>
  <c r="L56" i="2"/>
  <c r="U55" i="2"/>
  <c r="R54" i="2"/>
  <c r="G54" i="2"/>
  <c r="AK53" i="2"/>
  <c r="D53" i="2"/>
  <c r="AH52" i="2"/>
  <c r="L52" i="2"/>
  <c r="U51" i="2"/>
  <c r="R50" i="2"/>
  <c r="G50" i="2"/>
  <c r="AK49" i="2"/>
  <c r="D49" i="2"/>
  <c r="AH48" i="2"/>
  <c r="L48" i="2"/>
  <c r="U47" i="2"/>
  <c r="R46" i="2"/>
  <c r="G46" i="2"/>
  <c r="AK45" i="2"/>
  <c r="D45" i="2"/>
  <c r="AH44" i="2"/>
  <c r="L44" i="2"/>
  <c r="U43" i="2"/>
  <c r="R42" i="2"/>
  <c r="G42" i="2"/>
  <c r="AK41" i="2"/>
  <c r="D41" i="2"/>
  <c r="AH40" i="2"/>
  <c r="L40" i="2"/>
  <c r="U39" i="2"/>
  <c r="R38" i="2"/>
  <c r="G38" i="2"/>
  <c r="AK37" i="2"/>
  <c r="D37" i="2"/>
  <c r="AH36" i="2"/>
  <c r="L36" i="2"/>
  <c r="U35" i="2"/>
  <c r="R34" i="2"/>
  <c r="G34" i="2"/>
  <c r="AK33" i="2"/>
  <c r="D33" i="2"/>
  <c r="AH32" i="2"/>
  <c r="L32" i="2"/>
  <c r="U31" i="2"/>
  <c r="R30" i="2"/>
  <c r="G30" i="2"/>
  <c r="AK29" i="2"/>
  <c r="D29" i="2"/>
  <c r="AH28" i="2"/>
  <c r="L28" i="2"/>
  <c r="U27" i="2"/>
  <c r="R26" i="2"/>
  <c r="G26" i="2"/>
  <c r="AK25" i="2"/>
  <c r="D25" i="2"/>
  <c r="AH24" i="2"/>
  <c r="L24" i="2"/>
  <c r="U23" i="2"/>
  <c r="R22" i="2"/>
  <c r="G22" i="2"/>
  <c r="AK21" i="2"/>
  <c r="D21" i="2"/>
  <c r="AH20" i="2"/>
  <c r="L20" i="2"/>
  <c r="U19" i="2"/>
  <c r="R18" i="2"/>
  <c r="G18" i="2"/>
  <c r="AK17" i="2"/>
  <c r="D17" i="2"/>
  <c r="AH16" i="2"/>
  <c r="L16" i="2"/>
  <c r="U15" i="2"/>
  <c r="AH4" i="2"/>
  <c r="K36" i="2"/>
  <c r="AO35" i="2"/>
  <c r="AD35" i="2"/>
  <c r="S35" i="2"/>
  <c r="E34" i="2"/>
  <c r="AI33" i="2"/>
  <c r="Y33" i="2"/>
  <c r="N33" i="2"/>
  <c r="G116" i="2"/>
  <c r="AD114" i="2"/>
  <c r="G108" i="2"/>
  <c r="AD106" i="2"/>
  <c r="G100" i="2"/>
  <c r="AD98" i="2"/>
  <c r="G92" i="2"/>
  <c r="AD90" i="2"/>
  <c r="G84" i="2"/>
  <c r="AD82" i="2"/>
  <c r="G76" i="2"/>
  <c r="AD74" i="2"/>
  <c r="G68" i="2"/>
  <c r="AD66" i="2"/>
  <c r="R61" i="2"/>
  <c r="E61" i="2"/>
  <c r="AI60" i="2"/>
  <c r="Y60" i="2"/>
  <c r="N60" i="2"/>
  <c r="AD59" i="2"/>
  <c r="S59" i="2"/>
  <c r="E58" i="2"/>
  <c r="AI57" i="2"/>
  <c r="Y57" i="2"/>
  <c r="N57" i="2"/>
  <c r="K56" i="2"/>
  <c r="AO55" i="2"/>
  <c r="AD55" i="2"/>
  <c r="S55" i="2"/>
  <c r="E54" i="2"/>
  <c r="AI53" i="2"/>
  <c r="Y53" i="2"/>
  <c r="N53" i="2"/>
  <c r="K52" i="2"/>
  <c r="AO51" i="2"/>
  <c r="AD51" i="2"/>
  <c r="S51" i="2"/>
  <c r="E50" i="2"/>
  <c r="AI49" i="2"/>
  <c r="Y49" i="2"/>
  <c r="N49" i="2"/>
  <c r="K48" i="2"/>
  <c r="AO47" i="2"/>
  <c r="AD47" i="2"/>
  <c r="S47" i="2"/>
  <c r="E46" i="2"/>
  <c r="AI45" i="2"/>
  <c r="Y45" i="2"/>
  <c r="N45" i="2"/>
  <c r="K44" i="2"/>
  <c r="AO43" i="2"/>
  <c r="AD43" i="2"/>
  <c r="S43" i="2"/>
  <c r="E42" i="2"/>
  <c r="AI41" i="2"/>
  <c r="Y41" i="2"/>
  <c r="N41" i="2"/>
  <c r="K40" i="2"/>
  <c r="AO39" i="2"/>
  <c r="AD39" i="2"/>
  <c r="S39" i="2"/>
  <c r="E38" i="2"/>
  <c r="AI37" i="2"/>
  <c r="Y37" i="2"/>
  <c r="N37" i="2"/>
  <c r="AD119" i="2"/>
  <c r="G113" i="2"/>
  <c r="AD111" i="2"/>
  <c r="G105" i="2"/>
  <c r="AD103" i="2"/>
  <c r="G118" i="2"/>
  <c r="AD116" i="2"/>
  <c r="G110" i="2"/>
  <c r="AD108" i="2"/>
  <c r="G102" i="2"/>
  <c r="AD100" i="2"/>
  <c r="G94" i="2"/>
  <c r="AD92" i="2"/>
  <c r="G86" i="2"/>
  <c r="AD84" i="2"/>
  <c r="G78" i="2"/>
  <c r="AD76" i="2"/>
  <c r="G70" i="2"/>
  <c r="AD68" i="2"/>
  <c r="G62" i="2"/>
  <c r="K60" i="2"/>
  <c r="E59" i="2"/>
  <c r="AI58" i="2"/>
  <c r="Y58" i="2"/>
  <c r="N58" i="2"/>
  <c r="K57" i="2"/>
  <c r="AO56" i="2"/>
  <c r="AD56" i="2"/>
  <c r="S56" i="2"/>
  <c r="E55" i="2"/>
  <c r="AI54" i="2"/>
  <c r="Y54" i="2"/>
  <c r="N54" i="2"/>
  <c r="K53" i="2"/>
  <c r="AO52" i="2"/>
  <c r="AD52" i="2"/>
  <c r="S52" i="2"/>
  <c r="E51" i="2"/>
  <c r="AI50" i="2"/>
  <c r="Y50" i="2"/>
  <c r="N50" i="2"/>
  <c r="K49" i="2"/>
  <c r="AO48" i="2"/>
  <c r="AD48" i="2"/>
  <c r="S48" i="2"/>
  <c r="E47" i="2"/>
  <c r="AI46" i="2"/>
  <c r="Y46" i="2"/>
  <c r="N46" i="2"/>
  <c r="K45" i="2"/>
  <c r="AO44" i="2"/>
  <c r="AD44" i="2"/>
  <c r="S44" i="2"/>
  <c r="E43" i="2"/>
  <c r="AI42" i="2"/>
  <c r="Y42" i="2"/>
  <c r="N42" i="2"/>
  <c r="K41" i="2"/>
  <c r="AO40" i="2"/>
  <c r="AD40" i="2"/>
  <c r="S40" i="2"/>
  <c r="E39" i="2"/>
  <c r="AI38" i="2"/>
  <c r="Y38" i="2"/>
  <c r="N38" i="2"/>
  <c r="K37" i="2"/>
  <c r="AO36" i="2"/>
  <c r="AD36" i="2"/>
  <c r="S36" i="2"/>
  <c r="E35" i="2"/>
  <c r="AI34" i="2"/>
  <c r="Y34" i="2"/>
  <c r="N34" i="2"/>
  <c r="K33" i="2"/>
  <c r="AO32" i="2"/>
  <c r="AD32" i="2"/>
  <c r="S32" i="2"/>
  <c r="E31" i="2"/>
  <c r="AI30" i="2"/>
  <c r="Y30" i="2"/>
  <c r="N30" i="2"/>
  <c r="K29" i="2"/>
  <c r="AO28" i="2"/>
  <c r="AD28" i="2"/>
  <c r="S28" i="2"/>
  <c r="E27" i="2"/>
  <c r="AI26" i="2"/>
  <c r="Y26" i="2"/>
  <c r="N26" i="2"/>
  <c r="K25" i="2"/>
  <c r="AO24" i="2"/>
  <c r="AD24" i="2"/>
  <c r="S24" i="2"/>
  <c r="E23" i="2"/>
  <c r="AI22" i="2"/>
  <c r="Y22" i="2"/>
  <c r="N22" i="2"/>
  <c r="K21" i="2"/>
  <c r="AO20" i="2"/>
  <c r="AD20" i="2"/>
  <c r="S20" i="2"/>
  <c r="E19" i="2"/>
  <c r="AI18" i="2"/>
  <c r="Y18" i="2"/>
  <c r="N18" i="2"/>
  <c r="K17" i="2"/>
  <c r="AO16" i="2"/>
  <c r="AD16" i="2"/>
  <c r="S16" i="2"/>
  <c r="G97" i="2"/>
  <c r="AD87" i="2"/>
  <c r="G65" i="2"/>
  <c r="AH60" i="2"/>
  <c r="R52" i="2"/>
  <c r="D51" i="2"/>
  <c r="L50" i="2"/>
  <c r="AH49" i="2"/>
  <c r="U49" i="2"/>
  <c r="AH46" i="2"/>
  <c r="AK39" i="2"/>
  <c r="R39" i="2"/>
  <c r="R36" i="2"/>
  <c r="D35" i="2"/>
  <c r="L34" i="2"/>
  <c r="AH33" i="2"/>
  <c r="U33" i="2"/>
  <c r="K32" i="2"/>
  <c r="L31" i="2"/>
  <c r="E30" i="2"/>
  <c r="U29" i="2"/>
  <c r="G29" i="2"/>
  <c r="AO27" i="2"/>
  <c r="AH25" i="2"/>
  <c r="AI24" i="2"/>
  <c r="AK23" i="2"/>
  <c r="AI21" i="2"/>
  <c r="AK20" i="2"/>
  <c r="K19" i="2"/>
  <c r="L18" i="2"/>
  <c r="Y17" i="2"/>
  <c r="L17" i="2"/>
  <c r="Y16" i="2"/>
  <c r="K16" i="2"/>
  <c r="L15" i="2"/>
  <c r="K4" i="2"/>
  <c r="D42" i="2"/>
  <c r="L41" i="2"/>
  <c r="R59" i="2"/>
  <c r="G55" i="2"/>
  <c r="L53" i="2"/>
  <c r="U48" i="2"/>
  <c r="G47" i="2"/>
  <c r="G44" i="2"/>
  <c r="AK42" i="2"/>
  <c r="D38" i="2"/>
  <c r="L37" i="2"/>
  <c r="R33" i="2"/>
  <c r="AK30" i="2"/>
  <c r="D30" i="2"/>
  <c r="R29" i="2"/>
  <c r="K28" i="2"/>
  <c r="L27" i="2"/>
  <c r="E26" i="2"/>
  <c r="U25" i="2"/>
  <c r="G25" i="2"/>
  <c r="U24" i="2"/>
  <c r="G24" i="2"/>
  <c r="AH23" i="2"/>
  <c r="AK22" i="2"/>
  <c r="AH21" i="2"/>
  <c r="AI20" i="2"/>
  <c r="AK19" i="2"/>
  <c r="AI17" i="2"/>
  <c r="AK16" i="2"/>
  <c r="K15" i="2"/>
  <c r="AO31" i="2"/>
  <c r="AK24" i="2"/>
  <c r="G89" i="2"/>
  <c r="AD79" i="2"/>
  <c r="L60" i="2"/>
  <c r="D54" i="2"/>
  <c r="AK51" i="2"/>
  <c r="R51" i="2"/>
  <c r="R48" i="2"/>
  <c r="D47" i="2"/>
  <c r="L46" i="2"/>
  <c r="AH45" i="2"/>
  <c r="U45" i="2"/>
  <c r="AH42" i="2"/>
  <c r="AK35" i="2"/>
  <c r="R35" i="2"/>
  <c r="AK31" i="2"/>
  <c r="AH30" i="2"/>
  <c r="U30" i="2"/>
  <c r="AK26" i="2"/>
  <c r="D26" i="2"/>
  <c r="R25" i="2"/>
  <c r="E25" i="2"/>
  <c r="R24" i="2"/>
  <c r="D24" i="2"/>
  <c r="S23" i="2"/>
  <c r="G23" i="2"/>
  <c r="AH22" i="2"/>
  <c r="E22" i="2"/>
  <c r="U21" i="2"/>
  <c r="G21" i="2"/>
  <c r="U20" i="2"/>
  <c r="G20" i="2"/>
  <c r="AH19" i="2"/>
  <c r="AK18" i="2"/>
  <c r="AH17" i="2"/>
  <c r="AI16" i="2"/>
  <c r="AK15" i="2"/>
  <c r="AO4" i="2"/>
  <c r="AK46" i="2"/>
  <c r="L22" i="2"/>
  <c r="Y21" i="2"/>
  <c r="L21" i="2"/>
  <c r="Y20" i="2"/>
  <c r="K20" i="2"/>
  <c r="L19" i="2"/>
  <c r="AO18" i="2"/>
  <c r="N17" i="2"/>
  <c r="D61" i="2"/>
  <c r="AK58" i="2"/>
  <c r="D50" i="2"/>
  <c r="L49" i="2"/>
  <c r="U44" i="2"/>
  <c r="G43" i="2"/>
  <c r="G40" i="2"/>
  <c r="AK38" i="2"/>
  <c r="D34" i="2"/>
  <c r="G32" i="2"/>
  <c r="AH31" i="2"/>
  <c r="G31" i="2"/>
  <c r="AK27" i="2"/>
  <c r="AH26" i="2"/>
  <c r="U26" i="2"/>
  <c r="R23" i="2"/>
  <c r="D23" i="2"/>
  <c r="U22" i="2"/>
  <c r="D22" i="2"/>
  <c r="R21" i="2"/>
  <c r="E21" i="2"/>
  <c r="R20" i="2"/>
  <c r="D20" i="2"/>
  <c r="S19" i="2"/>
  <c r="G19" i="2"/>
  <c r="AH18" i="2"/>
  <c r="E18" i="2"/>
  <c r="U17" i="2"/>
  <c r="G17" i="2"/>
  <c r="U16" i="2"/>
  <c r="G16" i="2"/>
  <c r="AH15" i="2"/>
  <c r="AO59" i="2"/>
  <c r="D58" i="2"/>
  <c r="AH29" i="2"/>
  <c r="N16" i="2"/>
  <c r="AO15" i="2"/>
  <c r="G81" i="2"/>
  <c r="AD71" i="2"/>
  <c r="AH57" i="2"/>
  <c r="U56" i="2"/>
  <c r="R55" i="2"/>
  <c r="AK47" i="2"/>
  <c r="R47" i="2"/>
  <c r="R44" i="2"/>
  <c r="D43" i="2"/>
  <c r="L42" i="2"/>
  <c r="AH41" i="2"/>
  <c r="U41" i="2"/>
  <c r="AH38" i="2"/>
  <c r="L33" i="2"/>
  <c r="AK32" i="2"/>
  <c r="U32" i="2"/>
  <c r="D32" i="2"/>
  <c r="S31" i="2"/>
  <c r="D31" i="2"/>
  <c r="N29" i="2"/>
  <c r="G28" i="2"/>
  <c r="AH27" i="2"/>
  <c r="G27" i="2"/>
  <c r="AD23" i="2"/>
  <c r="S22" i="2"/>
  <c r="R19" i="2"/>
  <c r="D19" i="2"/>
  <c r="U18" i="2"/>
  <c r="D18" i="2"/>
  <c r="R17" i="2"/>
  <c r="E17" i="2"/>
  <c r="R16" i="2"/>
  <c r="D16" i="2"/>
  <c r="S15" i="2"/>
  <c r="G15" i="2"/>
  <c r="Y4" i="2"/>
  <c r="U36" i="2"/>
  <c r="G35" i="2"/>
  <c r="AD27" i="2"/>
  <c r="AI25" i="2"/>
  <c r="R4" i="2"/>
  <c r="G52" i="2"/>
  <c r="AK50" i="2"/>
  <c r="D46" i="2"/>
  <c r="L45" i="2"/>
  <c r="U40" i="2"/>
  <c r="G39" i="2"/>
  <c r="G36" i="2"/>
  <c r="AK34" i="2"/>
  <c r="R32" i="2"/>
  <c r="R31" i="2"/>
  <c r="L30" i="2"/>
  <c r="Y29" i="2"/>
  <c r="L29" i="2"/>
  <c r="AK28" i="2"/>
  <c r="U28" i="2"/>
  <c r="D28" i="2"/>
  <c r="S27" i="2"/>
  <c r="D27" i="2"/>
  <c r="N25" i="2"/>
  <c r="N24" i="2"/>
  <c r="AO23" i="2"/>
  <c r="AD22" i="2"/>
  <c r="AD19" i="2"/>
  <c r="S18" i="2"/>
  <c r="R15" i="2"/>
  <c r="E15" i="2"/>
  <c r="AD15" i="2"/>
  <c r="AH53" i="2"/>
  <c r="U52" i="2"/>
  <c r="G51" i="2"/>
  <c r="G48" i="2"/>
  <c r="AD95" i="2"/>
  <c r="G73" i="2"/>
  <c r="AD63" i="2"/>
  <c r="G59" i="2"/>
  <c r="L57" i="2"/>
  <c r="AK54" i="2"/>
  <c r="AH50" i="2"/>
  <c r="AK43" i="2"/>
  <c r="R43" i="2"/>
  <c r="R40" i="2"/>
  <c r="D39" i="2"/>
  <c r="L38" i="2"/>
  <c r="AH37" i="2"/>
  <c r="U37" i="2"/>
  <c r="AH34" i="2"/>
  <c r="AD31" i="2"/>
  <c r="AI29" i="2"/>
  <c r="R28" i="2"/>
  <c r="R27" i="2"/>
  <c r="L26" i="2"/>
  <c r="Y25" i="2"/>
  <c r="L25" i="2"/>
  <c r="Y24" i="2"/>
  <c r="K24" i="2"/>
  <c r="L23" i="2"/>
  <c r="AO22" i="2"/>
  <c r="N21" i="2"/>
  <c r="N20" i="2"/>
  <c r="AO19" i="2"/>
  <c r="AD18" i="2"/>
  <c r="D15" i="2"/>
  <c r="G33" i="2"/>
  <c r="K23" i="2"/>
  <c r="G28" i="5" l="1"/>
  <c r="H28" i="5" s="1"/>
  <c r="G16" i="5"/>
  <c r="H16" i="5" s="1"/>
  <c r="G40" i="5"/>
  <c r="H40" i="5" s="1"/>
  <c r="G36" i="5"/>
  <c r="H36" i="5" s="1"/>
  <c r="G32" i="5"/>
  <c r="H32" i="5" s="1"/>
  <c r="F16" i="5"/>
  <c r="C20" i="5"/>
  <c r="G20" i="5" s="1"/>
  <c r="H20" i="5" s="1"/>
  <c r="I2" i="5"/>
  <c r="I4" i="5"/>
  <c r="I5" i="5"/>
  <c r="B9" i="5"/>
  <c r="I9" i="5" s="1"/>
  <c r="C9" i="5"/>
  <c r="D9" i="5"/>
  <c r="D8" i="2"/>
  <c r="D10" i="2" s="1"/>
  <c r="AD8" i="2"/>
  <c r="AD10" i="2" s="1"/>
  <c r="E8" i="2"/>
  <c r="R8" i="2"/>
  <c r="R10" i="2" s="1"/>
  <c r="G8" i="2"/>
  <c r="G10" i="2" s="1"/>
  <c r="S8" i="2"/>
  <c r="AO8" i="2"/>
  <c r="AO10" i="2" s="1"/>
  <c r="AH8" i="2"/>
  <c r="AH10" i="2" s="1"/>
  <c r="AK8" i="2"/>
  <c r="AK10" i="2" s="1"/>
  <c r="K8" i="2"/>
  <c r="K10" i="2" s="1"/>
  <c r="L8" i="2"/>
  <c r="L10" i="2" s="1"/>
  <c r="G9" i="2"/>
  <c r="U8" i="2"/>
  <c r="U10" i="2" s="1"/>
  <c r="N8" i="2"/>
  <c r="N10" i="2" s="1"/>
  <c r="Y8" i="2"/>
  <c r="Y10" i="2" s="1"/>
  <c r="AI8" i="2"/>
  <c r="AD9" i="2"/>
  <c r="N9" i="2"/>
  <c r="U9" i="2"/>
  <c r="AK9" i="2"/>
  <c r="Y9" i="2"/>
  <c r="AO9" i="2"/>
  <c r="W9" i="2"/>
  <c r="AF9" i="2"/>
  <c r="B8" i="2"/>
  <c r="B9" i="2" s="1"/>
  <c r="J8" i="2"/>
  <c r="J10" i="2" s="1"/>
  <c r="AH9" i="2" l="1"/>
  <c r="AI10" i="2"/>
  <c r="S10" i="2"/>
  <c r="R9" i="2"/>
  <c r="E10" i="2"/>
  <c r="D9" i="2"/>
  <c r="G10" i="3" l="1"/>
  <c r="L10" i="3" s="1"/>
  <c r="G16" i="3"/>
  <c r="L16" i="3" s="1"/>
  <c r="G8" i="3"/>
  <c r="G14" i="3"/>
  <c r="Z8" i="4"/>
  <c r="Z9" i="4" s="1"/>
  <c r="P8" i="4"/>
  <c r="P9" i="4" s="1"/>
  <c r="K8" i="4" l="1"/>
  <c r="K9" i="4" s="1"/>
  <c r="F8" i="4"/>
  <c r="F9" i="4" s="1"/>
  <c r="D4" i="2"/>
  <c r="E4" i="3"/>
  <c r="C6" i="3"/>
  <c r="E6" i="3"/>
  <c r="E8" i="3"/>
  <c r="C14" i="3"/>
  <c r="E14" i="3" l="1"/>
  <c r="C8" i="3"/>
  <c r="C4" i="3"/>
  <c r="D4" i="3" s="1"/>
  <c r="L6" i="3"/>
  <c r="L4" i="3" l="1"/>
  <c r="D8" i="3"/>
  <c r="L8" i="3" s="1"/>
  <c r="D14" i="3" l="1"/>
  <c r="L1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tc={29A46E0E-4946-48CD-9CC3-5701679AFB52}</author>
  </authors>
  <commentList>
    <comment ref="G43" authorId="0" shapeId="0" xr:uid="{29A46E0E-4946-48CD-9CC3-5701679AFB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Era pra ser 410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<sst xmlns="http://schemas.openxmlformats.org/spreadsheetml/2006/main" count="480" uniqueCount="81">
  <si>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</si>
  <si>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</si>
  <si>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</si>
  <si>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</si>
  <si>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</si>
  <si>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</si>
  <si>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</si>
  <si>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</si>
  <si>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</si>
  <si>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</si>
  <si>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</si>
  <si>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</si>
  <si>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</si>
  <si>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</si>
  <si>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</si>
  <si>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</si>
  <si>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</si>
  <si>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</si>
  <si>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</si>
  <si>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</si>
  <si>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</si>
  <si>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</si>
  <si>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</si>
  <si>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</si>
  <si>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</si>
  <si>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</si>
  <si>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</si>
  <si>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</si>
  <si>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</si>
  <si>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</si>
  <si>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</si>
  <si>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</si>
  <si>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</si>
  <si>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</si>
  <si>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</si>
  <si>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</si>
  <si>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</si>
  <si>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</si>
  <si>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</si>
  <si>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</si>
  <si>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Repasse CEF obra
(incorrido)</t>
  </si>
  <si>
    <t>Repasse CEF obra
(a incorrer)</t>
  </si>
  <si>
    <t>Repasse CEF terreno
(incorrido)</t>
  </si>
  <si>
    <t>Repasse CEF terreno
(a incorrer)</t>
  </si>
  <si>
    <t>Repasse CEF
(a assinar)</t>
  </si>
  <si>
    <t>Pró soluto
(incorrido)</t>
  </si>
  <si>
    <t>Pró soluto
(a incorrer)</t>
  </si>
  <si>
    <t>Estoque sem reservas (unidades)</t>
  </si>
  <si>
    <t>Estoque sem reservas
(R$)</t>
  </si>
  <si>
    <t>VGV
(sem reservas)</t>
  </si>
  <si>
    <t>VGV
(viabilidade)</t>
  </si>
  <si>
    <t>Atual</t>
  </si>
  <si>
    <t>?</t>
  </si>
  <si>
    <t>-</t>
  </si>
  <si>
    <t>Valor em estoque</t>
  </si>
  <si>
    <t>Valor em inadimplência</t>
  </si>
  <si>
    <t>Clientes a assinar com a CEF</t>
  </si>
  <si>
    <t>CEF a assinar</t>
  </si>
  <si>
    <t xml:space="preserve">  - 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</si>
  <si>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</si>
  <si>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</si>
  <si>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</si>
  <si>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</si>
  <si>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</si>
  <si>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</si>
  <si>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</si>
  <si>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Comparação: Anapro x Informakon x Viabilidade</t>
  </si>
  <si>
    <t>Status</t>
  </si>
  <si>
    <t>Tipo</t>
  </si>
  <si>
    <t>Reserva técnica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</si>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</sst>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64" formatCode="dd/mmm/yyyy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20"/>
      <color rgb="FF000000"/>
      <name val="Aptos Narrow"/>
      <family val="2"/>
      <scheme val="minor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thin">
        <color auto="1"/>
      </right>
      <top style="hair">
        <color theme="0" tint="-0.1499679555650502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/>
      <bottom style="hair">
        <color theme="0" tint="-0.14996795556505021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/>
      <diagonal/>
    </border>
    <border>
      <left style="hair">
        <color theme="0" tint="-0.2499465926084170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50">
    <xf numFmtId="0" fontId="0" fillId="0" borderId="0" xfId="0"/>
    <xf numFmtId="164" fontId="1" fillId="2" borderId="0" xfId="1" applyNumberFormat="1" applyFont="1" applyFill="1" applyAlignment="1">
      <alignment horizontal="center" vertical="center"/>
    </xf>
    <xf numFmtId="0" fontId="5" fillId="3" borderId="1" xfId="1" applyFont="1" applyFill="1" applyBorder="1" applyAlignment="1">
      <alignment horizontal="centerContinuous"/>
    </xf>
    <xf numFmtId="0" fontId="5" fillId="3" borderId="2" xfId="1" applyFont="1" applyFill="1" applyBorder="1" applyAlignment="1">
      <alignment horizontal="centerContinuous"/>
    </xf>
    <xf numFmtId="0" fontId="5" fillId="3" borderId="0" xfId="1" applyFont="1" applyFill="1" applyAlignment="1">
      <alignment horizontal="centerContinuous"/>
    </xf>
    <xf numFmtId="0" fontId="5" fillId="3" borderId="3" xfId="1" applyFont="1" applyFill="1" applyBorder="1" applyAlignment="1">
      <alignment horizontal="centerContinuous"/>
    </xf>
    <xf numFmtId="0" fontId="4" fillId="0" borderId="0" xfId="1"/>
    <xf numFmtId="0" fontId="6" fillId="4" borderId="4" xfId="1" applyFont="1" applyFill="1" applyBorder="1"/>
    <xf numFmtId="0" fontId="4" fillId="4" borderId="0" xfId="1" applyFill="1"/>
    <xf numFmtId="41" fontId="7" fillId="4" borderId="5" xfId="1" applyNumberFormat="1" applyFont="1" applyFill="1" applyBorder="1" applyAlignment="1">
      <alignment horizontal="center" vertical="center"/>
    </xf>
    <xf numFmtId="0" fontId="4" fillId="0" borderId="6" xfId="1" applyBorder="1"/>
    <xf numFmtId="0" fontId="4" fillId="4" borderId="7" xfId="1" applyFill="1" applyBorder="1"/>
    <xf numFmtId="164" fontId="8" fillId="5" borderId="4" xfId="1" applyNumberFormat="1" applyFont="1" applyFill="1" applyBorder="1"/>
    <xf numFmtId="0" fontId="4" fillId="5" borderId="0" xfId="1" applyFill="1"/>
    <xf numFmtId="0" fontId="7" fillId="5" borderId="5" xfId="1" applyFont="1" applyFill="1" applyBorder="1" applyAlignment="1">
      <alignment horizontal="center" vertical="center"/>
    </xf>
    <xf numFmtId="0" fontId="4" fillId="5" borderId="7" xfId="1" applyFill="1" applyBorder="1"/>
    <xf numFmtId="0" fontId="4" fillId="0" borderId="4" xfId="1" applyBorder="1"/>
    <xf numFmtId="164" fontId="8" fillId="5" borderId="8" xfId="1" applyNumberFormat="1" applyFont="1" applyFill="1" applyBorder="1"/>
    <xf numFmtId="0" fontId="4" fillId="5" borderId="9" xfId="1" applyFill="1" applyBorder="1"/>
    <xf numFmtId="0" fontId="7" fillId="5" borderId="10" xfId="1" applyFont="1" applyFill="1" applyBorder="1" applyAlignment="1">
      <alignment horizontal="center" vertical="center"/>
    </xf>
    <xf numFmtId="0" fontId="4" fillId="0" borderId="11" xfId="1" applyBorder="1"/>
    <xf numFmtId="0" fontId="4" fillId="5" borderId="12" xfId="1" applyFill="1" applyBorder="1"/>
    <xf numFmtId="164" fontId="2" fillId="0" borderId="8" xfId="1" applyNumberFormat="1" applyFont="1" applyBorder="1"/>
    <xf numFmtId="0" fontId="4" fillId="0" borderId="12" xfId="1" applyBorder="1"/>
    <xf numFmtId="0" fontId="6" fillId="0" borderId="0" xfId="1" applyFont="1" applyAlignment="1">
      <alignment horizontal="center" vertical="center"/>
    </xf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5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14" fontId="4" fillId="0" borderId="17" xfId="1" applyNumberFormat="1" applyBorder="1" applyAlignment="1">
      <alignment horizontal="center" vertical="center" wrapText="1"/>
    </xf>
    <xf numFmtId="14" fontId="4" fillId="0" borderId="18" xfId="1" applyNumberFormat="1" applyBorder="1" applyAlignment="1">
      <alignment horizontal="center" vertical="center" wrapText="1"/>
    </xf>
    <xf numFmtId="0" fontId="4" fillId="0" borderId="19" xfId="1" applyBorder="1" applyAlignment="1">
      <alignment horizontal="center" vertical="center" wrapText="1"/>
    </xf>
    <xf numFmtId="0" fontId="4" fillId="0" borderId="20" xfId="1" applyBorder="1" applyAlignment="1">
      <alignment horizontal="center" vertical="center" wrapText="1"/>
    </xf>
    <xf numFmtId="0" fontId="6" fillId="6" borderId="0" xfId="1" applyFont="1" applyFill="1" applyAlignment="1">
      <alignment horizontal="center" vertical="center"/>
    </xf>
    <xf numFmtId="1" fontId="4" fillId="6" borderId="17" xfId="1" applyNumberFormat="1" applyFill="1" applyBorder="1" applyAlignment="1">
      <alignment horizontal="center" vertical="center"/>
    </xf>
    <xf numFmtId="43" fontId="4" fillId="6" borderId="18" xfId="1" applyNumberFormat="1" applyFill="1" applyBorder="1" applyAlignment="1">
      <alignment horizontal="center" vertical="center"/>
    </xf>
    <xf numFmtId="43" fontId="4" fillId="6" borderId="19" xfId="1" applyNumberFormat="1" applyFill="1" applyBorder="1" applyAlignment="1">
      <alignment horizontal="center" vertical="center"/>
    </xf>
    <xf numFmtId="43" fontId="4" fillId="6" borderId="20" xfId="1" applyNumberFormat="1" applyFill="1" applyBorder="1" applyAlignment="1">
      <alignment horizontal="center" vertical="center"/>
    </xf>
    <xf numFmtId="43" fontId="4" fillId="7" borderId="18" xfId="1" applyNumberFormat="1" applyFill="1" applyBorder="1" applyAlignment="1">
      <alignment horizontal="center" vertical="center"/>
    </xf>
    <xf numFmtId="1" fontId="4" fillId="7" borderId="17" xfId="1" applyNumberFormat="1" applyFill="1" applyBorder="1" applyAlignment="1">
      <alignment horizontal="center" vertical="center"/>
    </xf>
    <xf numFmtId="43" fontId="4" fillId="7" borderId="21" xfId="1" applyNumberFormat="1" applyFill="1" applyBorder="1" applyAlignment="1">
      <alignment horizontal="center" vertical="center"/>
    </xf>
    <xf numFmtId="43" fontId="4" fillId="7" borderId="22" xfId="1" applyNumberFormat="1" applyFill="1" applyBorder="1" applyAlignment="1">
      <alignment horizontal="center" vertical="center"/>
    </xf>
    <xf numFmtId="43" fontId="4" fillId="7" borderId="23" xfId="1" applyNumberFormat="1" applyFill="1" applyBorder="1" applyAlignment="1">
      <alignment horizontal="center" vertical="center"/>
    </xf>
    <xf numFmtId="0" fontId="9" fillId="8" borderId="0" xfId="1" applyFont="1" applyFill="1" applyAlignment="1">
      <alignment horizontal="center" vertical="center"/>
    </xf>
    <xf numFmtId="43" fontId="3" fillId="8" borderId="24" xfId="1" applyNumberFormat="1" applyFont="1" applyFill="1" applyBorder="1" applyAlignment="1">
      <alignment horizontal="center" vertical="center"/>
    </xf>
    <xf numFmtId="43" fontId="3" fillId="8" borderId="25" xfId="1" applyNumberFormat="1" applyFont="1" applyFill="1" applyBorder="1" applyAlignment="1">
      <alignment horizontal="center" vertical="center"/>
    </xf>
    <xf numFmtId="43" fontId="3" fillId="8" borderId="26" xfId="1" applyNumberFormat="1" applyFont="1" applyFill="1" applyBorder="1" applyAlignment="1">
      <alignment horizontal="center" vertical="center"/>
    </xf>
    <xf numFmtId="17" fontId="4" fillId="0" borderId="0" xfId="1" applyNumberFormat="1" applyAlignment="1">
      <alignment horizontal="center" vertical="center"/>
    </xf>
    <xf numFmtId="1" fontId="4" fillId="0" borderId="17" xfId="1" applyNumberFormat="1" applyBorder="1" applyAlignment="1">
      <alignment horizontal="center" vertical="center"/>
    </xf>
    <xf numFmtId="43" fontId="4" fillId="0" borderId="18" xfId="1" applyNumberFormat="1" applyBorder="1" applyAlignment="1">
      <alignment horizontal="center" vertical="center"/>
    </xf>
    <xf numFmtId="43" fontId="4" fillId="0" borderId="20" xfId="1" applyNumberFormat="1" applyBorder="1" applyAlignment="1">
      <alignment horizontal="center" vertical="center"/>
    </xf>
    <xf numFmtId="43" fontId="4" fillId="7" borderId="27" xfId="1" applyNumberFormat="1" applyFill="1" applyBorder="1" applyAlignment="1">
      <alignment horizontal="center" vertical="center"/>
    </xf>
    <xf numFmtId="1" fontId="4" fillId="7" borderId="28" xfId="1" applyNumberFormat="1" applyFill="1" applyBorder="1" applyAlignment="1">
      <alignment horizontal="center" vertical="center"/>
    </xf>
    <xf numFmtId="43" fontId="4" fillId="0" borderId="29" xfId="1" applyNumberFormat="1" applyBorder="1" applyAlignment="1">
      <alignment horizontal="center" vertical="center"/>
    </xf>
    <xf numFmtId="43" fontId="4" fillId="7" borderId="29" xfId="1" applyNumberFormat="1" applyFill="1" applyBorder="1" applyAlignment="1">
      <alignment horizontal="center" vertical="center"/>
    </xf>
    <xf numFmtId="43" fontId="4" fillId="7" borderId="30" xfId="1" applyNumberFormat="1" applyFill="1" applyBorder="1" applyAlignment="1">
      <alignment horizontal="center" vertical="center"/>
    </xf>
    <xf numFmtId="1" fontId="4" fillId="0" borderId="28" xfId="1" applyNumberFormat="1" applyBorder="1" applyAlignment="1">
      <alignment horizontal="center" vertical="center"/>
    </xf>
    <xf numFmtId="0" fontId="10" fillId="0" borderId="0" xfId="1" applyFont="1"/>
    <xf numFmtId="0" fontId="4" fillId="0" borderId="0" xfId="1" applyAlignment="1">
      <alignment horizontal="center" vertical="center"/>
    </xf>
    <xf numFmtId="0" fontId="11" fillId="0" borderId="0" xfId="1" applyFont="1" applyAlignment="1">
      <alignment horizontal="center"/>
    </xf>
    <xf numFmtId="0" fontId="11" fillId="0" borderId="0" xfId="1" applyFont="1" applyAlignment="1">
      <alignment horizontal="center" wrapText="1"/>
    </xf>
    <xf numFmtId="0" fontId="4" fillId="0" borderId="31" xfId="1" applyBorder="1" applyAlignment="1">
      <alignment horizontal="center" vertical="center"/>
    </xf>
    <xf numFmtId="0" fontId="3" fillId="3" borderId="31" xfId="1" applyFont="1" applyFill="1" applyBorder="1" applyAlignment="1">
      <alignment horizontal="center" vertical="center" wrapText="1"/>
    </xf>
    <xf numFmtId="0" fontId="4" fillId="9" borderId="31" xfId="1" applyFill="1" applyBorder="1" applyAlignment="1">
      <alignment horizontal="center" vertical="center" wrapText="1"/>
    </xf>
    <xf numFmtId="0" fontId="12" fillId="9" borderId="31" xfId="1" applyFont="1" applyFill="1" applyBorder="1" applyAlignment="1">
      <alignment horizontal="center" vertical="center" wrapText="1"/>
    </xf>
    <xf numFmtId="0" fontId="4" fillId="0" borderId="31" xfId="1" applyBorder="1" applyAlignment="1">
      <alignment horizontal="center" vertical="center" wrapText="1"/>
    </xf>
    <xf numFmtId="0" fontId="4" fillId="0" borderId="32" xfId="1" applyBorder="1" applyAlignment="1">
      <alignment horizontal="center" vertical="center"/>
    </xf>
    <xf numFmtId="0" fontId="4" fillId="0" borderId="33" xfId="1" applyBorder="1" applyAlignment="1">
      <alignment horizontal="center" vertical="center"/>
    </xf>
    <xf numFmtId="41" fontId="4" fillId="0" borderId="33" xfId="1" applyNumberFormat="1" applyBorder="1" applyAlignment="1">
      <alignment horizontal="center" vertical="center"/>
    </xf>
    <xf numFmtId="1" fontId="4" fillId="0" borderId="33" xfId="1" applyNumberFormat="1" applyBorder="1" applyAlignment="1">
      <alignment horizontal="center" vertical="center"/>
    </xf>
    <xf numFmtId="41" fontId="4" fillId="0" borderId="34" xfId="1" applyNumberFormat="1" applyBorder="1" applyAlignment="1">
      <alignment horizontal="center" vertical="center"/>
    </xf>
    <xf numFmtId="0" fontId="4" fillId="0" borderId="35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41" fontId="4" fillId="10" borderId="36" xfId="1" applyNumberFormat="1" applyFill="1" applyBorder="1" applyAlignment="1">
      <alignment horizontal="center" vertical="center"/>
    </xf>
    <xf numFmtId="1" fontId="4" fillId="10" borderId="36" xfId="1" applyNumberFormat="1" applyFill="1" applyBorder="1" applyAlignment="1">
      <alignment horizontal="center" vertical="center"/>
    </xf>
    <xf numFmtId="41" fontId="4" fillId="11" borderId="36" xfId="1" applyNumberFormat="1" applyFill="1" applyBorder="1" applyAlignment="1">
      <alignment horizontal="center" vertical="center"/>
    </xf>
    <xf numFmtId="41" fontId="4" fillId="11" borderId="37" xfId="1" applyNumberFormat="1" applyFill="1" applyBorder="1" applyAlignment="1">
      <alignment horizontal="center" vertical="center"/>
    </xf>
    <xf numFmtId="0" fontId="4" fillId="0" borderId="38" xfId="1" applyBorder="1" applyAlignment="1">
      <alignment horizontal="center" vertical="center"/>
    </xf>
    <xf numFmtId="0" fontId="4" fillId="0" borderId="39" xfId="1" applyBorder="1" applyAlignment="1">
      <alignment horizontal="center" vertical="center"/>
    </xf>
    <xf numFmtId="41" fontId="4" fillId="0" borderId="39" xfId="1" applyNumberFormat="1" applyBorder="1" applyAlignment="1">
      <alignment horizontal="center" vertical="center"/>
    </xf>
    <xf numFmtId="41" fontId="4" fillId="0" borderId="40" xfId="1" applyNumberFormat="1" applyBorder="1" applyAlignment="1">
      <alignment horizontal="center" vertical="center"/>
    </xf>
    <xf numFmtId="41" fontId="4" fillId="7" borderId="39" xfId="1" applyNumberFormat="1" applyFill="1" applyBorder="1" applyAlignment="1">
      <alignment horizontal="center" vertical="center"/>
    </xf>
    <xf numFmtId="0" fontId="6" fillId="0" borderId="41" xfId="1" applyFont="1" applyBorder="1"/>
    <xf numFmtId="0" fontId="4" fillId="0" borderId="42" xfId="1" applyBorder="1"/>
    <xf numFmtId="0" fontId="4" fillId="0" borderId="43" xfId="1" applyBorder="1"/>
    <xf numFmtId="0" fontId="4" fillId="0" borderId="41" xfId="1" applyBorder="1"/>
    <xf numFmtId="0" fontId="4" fillId="0" borderId="44" xfId="1" applyBorder="1"/>
    <xf numFmtId="0" fontId="6" fillId="12" borderId="4" xfId="1" applyFont="1" applyFill="1" applyBorder="1"/>
    <xf numFmtId="0" fontId="4" fillId="12" borderId="7" xfId="1" applyFill="1" applyBorder="1"/>
    <xf numFmtId="0" fontId="4" fillId="0" borderId="5" xfId="1" applyBorder="1"/>
    <xf numFmtId="164" fontId="8" fillId="13" borderId="8" xfId="1" applyNumberFormat="1" applyFont="1" applyFill="1" applyBorder="1"/>
    <xf numFmtId="0" fontId="4" fillId="13" borderId="12" xfId="1" applyFill="1" applyBorder="1"/>
    <xf numFmtId="0" fontId="4" fillId="13" borderId="10" xfId="1" applyFill="1" applyBorder="1"/>
    <xf numFmtId="164" fontId="2" fillId="13" borderId="8" xfId="1" applyNumberFormat="1" applyFont="1" applyFill="1" applyBorder="1"/>
    <xf numFmtId="43" fontId="4" fillId="13" borderId="12" xfId="1" applyNumberFormat="1" applyFill="1" applyBorder="1"/>
    <xf numFmtId="3" fontId="4" fillId="13" borderId="12" xfId="1" applyNumberFormat="1" applyFill="1" applyBorder="1"/>
    <xf numFmtId="0" fontId="4" fillId="7" borderId="13" xfId="1" applyFill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14" fontId="4" fillId="13" borderId="18" xfId="1" applyNumberFormat="1" applyFill="1" applyBorder="1" applyAlignment="1">
      <alignment horizontal="center" vertical="center" wrapText="1"/>
    </xf>
    <xf numFmtId="3" fontId="4" fillId="0" borderId="0" xfId="1" applyNumberFormat="1"/>
    <xf numFmtId="43" fontId="4" fillId="7" borderId="17" xfId="1" applyNumberFormat="1" applyFill="1" applyBorder="1" applyAlignment="1">
      <alignment horizontal="center" vertical="center"/>
    </xf>
    <xf numFmtId="43" fontId="4" fillId="12" borderId="21" xfId="1" applyNumberFormat="1" applyFill="1" applyBorder="1" applyAlignment="1">
      <alignment horizontal="center" vertical="center"/>
    </xf>
    <xf numFmtId="43" fontId="4" fillId="12" borderId="18" xfId="1" applyNumberFormat="1" applyFill="1" applyBorder="1" applyAlignment="1">
      <alignment horizontal="center" vertical="center"/>
    </xf>
    <xf numFmtId="43" fontId="3" fillId="7" borderId="45" xfId="1" applyNumberFormat="1" applyFont="1" applyFill="1" applyBorder="1" applyAlignment="1">
      <alignment horizontal="center" vertical="center"/>
    </xf>
    <xf numFmtId="1" fontId="4" fillId="0" borderId="46" xfId="1" applyNumberFormat="1" applyBorder="1" applyAlignment="1">
      <alignment horizontal="center" vertical="center"/>
    </xf>
    <xf numFmtId="43" fontId="4" fillId="0" borderId="27" xfId="1" applyNumberFormat="1" applyBorder="1" applyAlignment="1">
      <alignment horizontal="center" vertical="center"/>
    </xf>
    <xf numFmtId="1" fontId="4" fillId="0" borderId="47" xfId="1" applyNumberFormat="1" applyBorder="1" applyAlignment="1">
      <alignment horizontal="center" vertical="center"/>
    </xf>
    <xf numFmtId="43" fontId="4" fillId="0" borderId="30" xfId="1" applyNumberFormat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1" fillId="14" borderId="31" xfId="1" applyFont="1" applyFill="1" applyBorder="1" applyAlignment="1">
      <alignment horizontal="center"/>
    </xf>
    <xf numFmtId="0" fontId="7" fillId="7" borderId="31" xfId="1" applyFont="1" applyFill="1" applyBorder="1" applyAlignment="1">
      <alignment horizontal="center"/>
    </xf>
    <xf numFmtId="0" fontId="7" fillId="11" borderId="31" xfId="1" applyFont="1" applyFill="1" applyBorder="1" applyAlignment="1">
      <alignment horizontal="center"/>
    </xf>
    <xf numFmtId="0" fontId="7" fillId="9" borderId="31" xfId="1" applyFont="1" applyFill="1" applyBorder="1" applyAlignment="1">
      <alignment horizontal="center"/>
    </xf>
    <xf numFmtId="0" fontId="7" fillId="6" borderId="31" xfId="1" applyFont="1" applyFill="1" applyBorder="1" applyAlignment="1">
      <alignment horizontal="center"/>
    </xf>
    <xf numFmtId="0" fontId="4" fillId="6" borderId="31" xfId="1" applyFill="1" applyBorder="1" applyAlignment="1">
      <alignment horizontal="center" vertical="center"/>
    </xf>
    <xf numFmtId="0" fontId="7" fillId="6" borderId="31" xfId="1" applyFont="1" applyFill="1" applyBorder="1" applyAlignment="1">
      <alignment horizontal="center" vertical="center"/>
    </xf>
    <xf numFmtId="0" fontId="13" fillId="0" borderId="0" xfId="1" applyFont="1"/>
    <xf numFmtId="0" fontId="1" fillId="15" borderId="31" xfId="1" applyFont="1" applyFill="1" applyBorder="1" applyAlignment="1">
      <alignment horizontal="centerContinuous"/>
    </xf>
    <xf numFmtId="0" fontId="3" fillId="15" borderId="31" xfId="1" applyFont="1" applyFill="1" applyBorder="1" applyAlignment="1">
      <alignment horizontal="centerContinuous"/>
    </xf>
    <xf numFmtId="0" fontId="1" fillId="2" borderId="31" xfId="1" applyFont="1" applyFill="1" applyBorder="1" applyAlignment="1">
      <alignment horizontal="centerContinuous"/>
    </xf>
    <xf numFmtId="0" fontId="3" fillId="2" borderId="31" xfId="1" applyFont="1" applyFill="1" applyBorder="1" applyAlignment="1">
      <alignment horizontal="centerContinuous"/>
    </xf>
    <xf numFmtId="0" fontId="4" fillId="2" borderId="0" xfId="1" applyFill="1" applyAlignment="1">
      <alignment horizontal="centerContinuous"/>
    </xf>
    <xf numFmtId="0" fontId="7" fillId="0" borderId="31" xfId="1" applyFont="1" applyBorder="1" applyAlignment="1">
      <alignment horizontal="center" vertical="center" wrapText="1"/>
    </xf>
    <xf numFmtId="0" fontId="1" fillId="14" borderId="31" xfId="1" applyFont="1" applyFill="1" applyBorder="1" applyAlignment="1">
      <alignment horizontal="center" vertical="center" wrapText="1"/>
    </xf>
    <xf numFmtId="0" fontId="7" fillId="7" borderId="31" xfId="1" applyFont="1" applyFill="1" applyBorder="1" applyAlignment="1">
      <alignment horizontal="center" vertical="center" wrapText="1"/>
    </xf>
    <xf numFmtId="0" fontId="7" fillId="11" borderId="31" xfId="1" applyFont="1" applyFill="1" applyBorder="1" applyAlignment="1">
      <alignment horizontal="center" vertical="center" wrapText="1"/>
    </xf>
    <xf numFmtId="0" fontId="7" fillId="9" borderId="31" xfId="1" applyFont="1" applyFill="1" applyBorder="1" applyAlignment="1">
      <alignment horizontal="center" vertical="center" wrapText="1"/>
    </xf>
    <xf numFmtId="0" fontId="7" fillId="6" borderId="31" xfId="1" applyFont="1" applyFill="1" applyBorder="1" applyAlignment="1">
      <alignment horizontal="center" vertical="center" wrapText="1"/>
    </xf>
    <xf numFmtId="0" fontId="4" fillId="0" borderId="20" xfId="1" applyBorder="1" applyAlignment="1">
      <alignment horizontal="center" vertical="center"/>
    </xf>
    <xf numFmtId="0" fontId="4" fillId="0" borderId="48" xfId="1" applyBorder="1" applyAlignment="1">
      <alignment horizontal="center" vertical="center"/>
    </xf>
    <xf numFmtId="0" fontId="4" fillId="2" borderId="16" xfId="1" applyFill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16" borderId="27" xfId="1" applyFill="1" applyBorder="1" applyAlignment="1">
      <alignment horizontal="center" vertical="center"/>
    </xf>
    <xf numFmtId="0" fontId="4" fillId="2" borderId="18" xfId="1" applyFill="1" applyBorder="1" applyAlignment="1">
      <alignment horizontal="center" vertical="center"/>
    </xf>
    <xf numFmtId="0" fontId="4" fillId="2" borderId="20" xfId="1" applyFill="1" applyBorder="1" applyAlignment="1">
      <alignment horizontal="center" vertical="center"/>
    </xf>
    <xf numFmtId="0" fontId="4" fillId="7" borderId="49" xfId="1" applyFill="1" applyBorder="1" applyAlignment="1">
      <alignment horizontal="center" vertical="center"/>
    </xf>
    <xf numFmtId="0" fontId="4" fillId="7" borderId="21" xfId="1" applyFill="1" applyBorder="1" applyAlignment="1">
      <alignment horizontal="center" vertical="center"/>
    </xf>
    <xf numFmtId="0" fontId="4" fillId="2" borderId="21" xfId="1" applyFill="1" applyBorder="1" applyAlignment="1">
      <alignment horizontal="center" vertical="center"/>
    </xf>
    <xf numFmtId="0" fontId="4" fillId="2" borderId="23" xfId="1" applyFill="1" applyBorder="1" applyAlignment="1">
      <alignment horizontal="center" vertical="center"/>
    </xf>
    <xf numFmtId="0" fontId="4" fillId="2" borderId="50" xfId="1" applyFill="1" applyBorder="1" applyAlignment="1">
      <alignment horizontal="center" vertical="center"/>
    </xf>
    <xf numFmtId="0" fontId="4" fillId="7" borderId="28" xfId="1" applyFill="1" applyBorder="1" applyAlignment="1">
      <alignment horizontal="center" vertical="center"/>
    </xf>
    <xf numFmtId="0" fontId="4" fillId="7" borderId="29" xfId="1" applyFill="1" applyBorder="1" applyAlignment="1">
      <alignment horizontal="center" vertical="center"/>
    </xf>
    <xf numFmtId="0" fontId="4" fillId="0" borderId="51" xfId="1" applyBorder="1" applyAlignment="1">
      <alignment horizontal="center" vertical="center"/>
    </xf>
    <xf numFmtId="0" fontId="4" fillId="16" borderId="30" xfId="1" applyFill="1" applyBorder="1" applyAlignment="1">
      <alignment horizontal="center" vertical="center"/>
    </xf>
    <xf numFmtId="0" fontId="4" fillId="7" borderId="51" xfId="1" applyFill="1" applyBorder="1" applyAlignment="1">
      <alignment horizontal="center" vertical="center"/>
    </xf>
    <xf numFmtId="0" fontId="4" fillId="17" borderId="27" xfId="1" applyFill="1" applyBorder="1" applyAlignment="1">
      <alignment horizontal="center" vertical="center"/>
    </xf>
    <xf numFmtId="0" fontId="4" fillId="17" borderId="30" xfId="1" applyFill="1" applyBorder="1" applyAlignment="1">
      <alignment horizontal="center" vertical="center"/>
    </xf>
    <xf numFmtId="0" fontId="4" fillId="12" borderId="20" xfId="1" applyFill="1" applyBorder="1" applyAlignment="1">
      <alignment horizontal="center" vertical="center"/>
    </xf>
    <xf numFmtId="0" fontId="4" fillId="12" borderId="51" xfId="1" applyFill="1" applyBorder="1" applyAlignment="1">
      <alignment horizontal="center" vertical="center"/>
    </xf>
  </cellXfs>
  <cellStyles count="2">
    <cellStyle name="Normal" xfId="0" builtinId="0"/>
    <cellStyle name="Normal 2" xfId="1" xr:uid="{939B727E-EA1D-42DC-9C68-5A1B244A46B7}"/>
  </cellStyles>
  <dxfs count="2"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  <a:r>
              <a:rPr lang="en-US" baseline="0"/>
              <a:t> </a:t>
            </a:r>
            <a:r>
              <a:rPr lang="en-US"/>
              <a:t>(incluindo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2E6-4E66-A806-61EB318A57FB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E6-4E66-A806-61EB318A57FB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E6-4E66-A806-61EB318A57FB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E6-4E66-A806-61EB318A57FB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E6-4E66-A806-61EB318A57FB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E6-4E66-A806-61EB318A57FB}"/>
            </c:ext>
          </c:extLst>
        </c:ser>
        <c:ser>
          <c:idx val="14"/>
          <c:order val="14"/>
          <c:tx>
            <c:strRef>
              <c:f>resumo!$L$3</c:f>
              <c:strCache>
                <c:ptCount val="1"/>
                <c:pt idx="0">
                  <c:v>VGV
(sem reservas)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resumo!$L$4:$L$17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25897171</c:v>
                </c:pt>
                <c:pt idx="2">
                  <c:v>0</c:v>
                </c:pt>
                <c:pt idx="3">
                  <c:v>41582813</c:v>
                </c:pt>
                <c:pt idx="4">
                  <c:v>47674837.269999996</c:v>
                </c:pt>
                <c:pt idx="5">
                  <c:v>47237842</c:v>
                </c:pt>
                <c:pt idx="6">
                  <c:v>65522711.210000008</c:v>
                </c:pt>
                <c:pt idx="7">
                  <c:v>64482384</c:v>
                </c:pt>
                <c:pt idx="8">
                  <c:v>25176865.890000001</c:v>
                </c:pt>
                <c:pt idx="9">
                  <c:v>25916904</c:v>
                </c:pt>
                <c:pt idx="10">
                  <c:v>61336002.129999995</c:v>
                </c:pt>
                <c:pt idx="11">
                  <c:v>60385350.730000004</c:v>
                </c:pt>
                <c:pt idx="12">
                  <c:v>105707726.15000004</c:v>
                </c:pt>
                <c:pt idx="13">
                  <c:v>106533362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resumo!$C$3</c15:sqref>
                        </c15:formulaRef>
                      </c:ext>
                    </c:extLst>
                    <c:strCache>
                      <c:ptCount val="1"/>
                      <c:pt idx="0">
                        <c:v>Repasse CEF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resumo!$C$4:$C$17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10973647.850000001</c:v>
                      </c:pt>
                      <c:pt idx="1">
                        <c:v>10969791</c:v>
                      </c:pt>
                      <c:pt idx="2">
                        <c:v>19232725.690000005</c:v>
                      </c:pt>
                      <c:pt idx="3">
                        <c:v>18611890</c:v>
                      </c:pt>
                      <c:pt idx="4">
                        <c:v>4898668.1399999997</c:v>
                      </c:pt>
                      <c:pt idx="5">
                        <c:v>4747377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6127441.4300000006</c:v>
                      </c:pt>
                      <c:pt idx="11">
                        <c:v>6607255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resumo!$D$3</c15:sqref>
                        </c15:formulaRef>
                      </c:ext>
                    </c:extLst>
                    <c:strCache>
                      <c:ptCount val="1"/>
                      <c:pt idx="0">
                        <c:v>Repasse CEF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resumo!$D$4:$D$17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1336184.9999999981</c:v>
                      </c:pt>
                      <c:pt idx="1">
                        <c:v>2411486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17576379.670000002</c:v>
                      </c:pt>
                      <c:pt idx="5">
                        <c:v>17101428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24428658.209999993</c:v>
                      </c:pt>
                      <c:pt idx="11">
                        <c:v>25947554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resumo!$E$3</c15:sqref>
                        </c15:formulaRef>
                      </c:ext>
                    </c:extLst>
                    <c:strCache>
                      <c:ptCount val="1"/>
                      <c:pt idx="0">
                        <c:v>Repasse CEF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resumo!$E$4:$E$17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2076559.2200000004</c:v>
                      </c:pt>
                      <c:pt idx="1">
                        <c:v>2076560</c:v>
                      </c:pt>
                      <c:pt idx="2">
                        <c:v>3953631.07</c:v>
                      </c:pt>
                      <c:pt idx="3">
                        <c:v>3812440</c:v>
                      </c:pt>
                      <c:pt idx="4">
                        <c:v>4706832.3400000017</c:v>
                      </c:pt>
                      <c:pt idx="5">
                        <c:v>4683225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6328878.6300000008</c:v>
                      </c:pt>
                      <c:pt idx="11">
                        <c:v>6328879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resumo!$F$3</c15:sqref>
                        </c15:formulaRef>
                      </c:ext>
                    </c:extLst>
                    <c:strCache>
                      <c:ptCount val="1"/>
                      <c:pt idx="0">
                        <c:v>Repasse CEF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resumo!$F$4:$F$17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163842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148936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369231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resumo!$G$3</c15:sqref>
                        </c15:formulaRef>
                      </c:ext>
                    </c:extLst>
                    <c:strCache>
                      <c:ptCount val="1"/>
                      <c:pt idx="0">
                        <c:v>Repasse CEF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resumo!$G$4:$G$17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2984203.32</c:v>
                      </c:pt>
                      <c:pt idx="5">
                        <c:v>0</c:v>
                      </c:pt>
                      <c:pt idx="6">
                        <c:v>26877386.240000002</c:v>
                      </c:pt>
                      <c:pt idx="7">
                        <c:v>27758932</c:v>
                      </c:pt>
                      <c:pt idx="8">
                        <c:v>0</c:v>
                      </c:pt>
                      <c:pt idx="9">
                        <c:v>13476430</c:v>
                      </c:pt>
                      <c:pt idx="10">
                        <c:v>2107115.9800000004</c:v>
                      </c:pt>
                      <c:pt idx="11">
                        <c:v>0</c:v>
                      </c:pt>
                      <c:pt idx="12">
                        <c:v>53496814.51000002</c:v>
                      </c:pt>
                      <c:pt idx="13">
                        <c:v>51981763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resumo!$H$3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resumo!$H$4:$H$17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6776091.1599999983</c:v>
                      </c:pt>
                      <c:pt idx="1">
                        <c:v>5441368</c:v>
                      </c:pt>
                      <c:pt idx="2">
                        <c:v>15433142.229999995</c:v>
                      </c:pt>
                      <c:pt idx="3">
                        <c:v>17547728</c:v>
                      </c:pt>
                      <c:pt idx="4">
                        <c:v>5211287.0199999986</c:v>
                      </c:pt>
                      <c:pt idx="5">
                        <c:v>8224551</c:v>
                      </c:pt>
                      <c:pt idx="6">
                        <c:v>1246409.1100000001</c:v>
                      </c:pt>
                      <c:pt idx="7">
                        <c:v>1155519</c:v>
                      </c:pt>
                      <c:pt idx="8">
                        <c:v>8230174.9199999999</c:v>
                      </c:pt>
                      <c:pt idx="9">
                        <c:v>8478046</c:v>
                      </c:pt>
                      <c:pt idx="10">
                        <c:v>11816654.909999998</c:v>
                      </c:pt>
                      <c:pt idx="11">
                        <c:v>11982013.73</c:v>
                      </c:pt>
                      <c:pt idx="12">
                        <c:v>4175897.830000001</c:v>
                      </c:pt>
                      <c:pt idx="13">
                        <c:v>4070583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resumo!$I$3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resumo!$I$4:$I$17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1338289.2299999993</c:v>
                      </c:pt>
                      <c:pt idx="1">
                        <c:v>2532963</c:v>
                      </c:pt>
                      <c:pt idx="2">
                        <c:v>37728.549999999996</c:v>
                      </c:pt>
                      <c:pt idx="3">
                        <c:v>42900</c:v>
                      </c:pt>
                      <c:pt idx="4">
                        <c:v>7061882.8699999982</c:v>
                      </c:pt>
                      <c:pt idx="5">
                        <c:v>6883519</c:v>
                      </c:pt>
                      <c:pt idx="6">
                        <c:v>5284803.7899999982</c:v>
                      </c:pt>
                      <c:pt idx="7">
                        <c:v>5494622</c:v>
                      </c:pt>
                      <c:pt idx="8">
                        <c:v>16946690.970000003</c:v>
                      </c:pt>
                      <c:pt idx="9">
                        <c:v>3542427</c:v>
                      </c:pt>
                      <c:pt idx="10">
                        <c:v>6894061.2099999981</c:v>
                      </c:pt>
                      <c:pt idx="11">
                        <c:v>6927535</c:v>
                      </c:pt>
                      <c:pt idx="12">
                        <c:v>15661815.699999997</c:v>
                      </c:pt>
                      <c:pt idx="13">
                        <c:v>14956888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resumo!$K$3</c15:sqref>
                        </c15:formulaRef>
                      </c:ext>
                    </c:extLst>
                    <c:strCache>
                      <c:ptCount val="1"/>
                      <c:pt idx="0">
                        <c:v>Estoque sem reservas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resumo!$K$4:$K$17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1110078.74</c:v>
                      </c:pt>
                      <c:pt idx="1">
                        <c:v>2301149</c:v>
                      </c:pt>
                      <c:pt idx="2">
                        <c:v>504762.78</c:v>
                      </c:pt>
                      <c:pt idx="3">
                        <c:v>1567849</c:v>
                      </c:pt>
                      <c:pt idx="4">
                        <c:v>5235572.91</c:v>
                      </c:pt>
                      <c:pt idx="5">
                        <c:v>5448793</c:v>
                      </c:pt>
                      <c:pt idx="6">
                        <c:v>32114020.070000011</c:v>
                      </c:pt>
                      <c:pt idx="7">
                        <c:v>30073218</c:v>
                      </c:pt>
                      <c:pt idx="8">
                        <c:v>0</c:v>
                      </c:pt>
                      <c:pt idx="9">
                        <c:v>420000</c:v>
                      </c:pt>
                      <c:pt idx="10">
                        <c:v>3633185.76</c:v>
                      </c:pt>
                      <c:pt idx="11">
                        <c:v>2222876</c:v>
                      </c:pt>
                      <c:pt idx="12">
                        <c:v>32373094.110000007</c:v>
                      </c:pt>
                      <c:pt idx="13">
                        <c:v>35524021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resumo!$M$3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resumo!$M$4:$M$17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 (incluindo as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resumo!$C$3</c:f>
              <c:strCache>
                <c:ptCount val="1"/>
                <c:pt idx="0">
                  <c:v>Repasse CEF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resumo!$C$4:$C$17</c:f>
              <c:numCache>
                <c:formatCode>_(* #,##0_);_(* \(#,##0\);_(* "-"_);_(@_)</c:formatCode>
                <c:ptCount val="14"/>
                <c:pt idx="0">
                  <c:v>10973647.850000001</c:v>
                </c:pt>
                <c:pt idx="1">
                  <c:v>10969791</c:v>
                </c:pt>
                <c:pt idx="2">
                  <c:v>19232725.690000005</c:v>
                </c:pt>
                <c:pt idx="3">
                  <c:v>18611890</c:v>
                </c:pt>
                <c:pt idx="4">
                  <c:v>4898668.1399999997</c:v>
                </c:pt>
                <c:pt idx="5">
                  <c:v>4747377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6127441.4300000006</c:v>
                </c:pt>
                <c:pt idx="11">
                  <c:v>6607255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resumo!$D$3</c:f>
              <c:strCache>
                <c:ptCount val="1"/>
                <c:pt idx="0">
                  <c:v>Repasse CEF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resumo!$D$4:$D$17</c:f>
              <c:numCache>
                <c:formatCode>_(* #,##0_);_(* \(#,##0\);_(* "-"_);_(@_)</c:formatCode>
                <c:ptCount val="14"/>
                <c:pt idx="0">
                  <c:v>1336184.9999999981</c:v>
                </c:pt>
                <c:pt idx="1">
                  <c:v>2411486</c:v>
                </c:pt>
                <c:pt idx="2">
                  <c:v>0</c:v>
                </c:pt>
                <c:pt idx="3">
                  <c:v>0</c:v>
                </c:pt>
                <c:pt idx="4">
                  <c:v>17576379.670000002</c:v>
                </c:pt>
                <c:pt idx="5">
                  <c:v>17101428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24428658.209999993</c:v>
                </c:pt>
                <c:pt idx="11">
                  <c:v>25947554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resumo!$E$3</c:f>
              <c:strCache>
                <c:ptCount val="1"/>
                <c:pt idx="0">
                  <c:v>Repasse CEF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resumo!$E$4:$E$17</c:f>
              <c:numCache>
                <c:formatCode>_(* #,##0_);_(* \(#,##0\);_(* "-"_);_(@_)</c:formatCode>
                <c:ptCount val="14"/>
                <c:pt idx="0">
                  <c:v>2076559.2200000004</c:v>
                </c:pt>
                <c:pt idx="1">
                  <c:v>2076560</c:v>
                </c:pt>
                <c:pt idx="2">
                  <c:v>3953631.07</c:v>
                </c:pt>
                <c:pt idx="3">
                  <c:v>3812440</c:v>
                </c:pt>
                <c:pt idx="4">
                  <c:v>4706832.3400000017</c:v>
                </c:pt>
                <c:pt idx="5">
                  <c:v>4683225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6328878.6300000008</c:v>
                </c:pt>
                <c:pt idx="11">
                  <c:v>6328879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resumo!$F$3</c:f>
              <c:strCache>
                <c:ptCount val="1"/>
                <c:pt idx="0">
                  <c:v>Repasse CEF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resumo!$F$4:$F$17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163842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148936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369231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resumo!$G$3</c:f>
              <c:strCache>
                <c:ptCount val="1"/>
                <c:pt idx="0">
                  <c:v>Repasse CEF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resumo!$G$4:$G$17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2984203.32</c:v>
                </c:pt>
                <c:pt idx="5">
                  <c:v>0</c:v>
                </c:pt>
                <c:pt idx="6">
                  <c:v>26877386.240000002</c:v>
                </c:pt>
                <c:pt idx="7">
                  <c:v>27758932</c:v>
                </c:pt>
                <c:pt idx="8">
                  <c:v>0</c:v>
                </c:pt>
                <c:pt idx="9">
                  <c:v>13476430</c:v>
                </c:pt>
                <c:pt idx="10">
                  <c:v>2107115.9800000004</c:v>
                </c:pt>
                <c:pt idx="11">
                  <c:v>0</c:v>
                </c:pt>
                <c:pt idx="12">
                  <c:v>53496814.51000002</c:v>
                </c:pt>
                <c:pt idx="13">
                  <c:v>51981763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resumo!$H$3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resumo!$H$4:$H$17</c:f>
              <c:numCache>
                <c:formatCode>_(* #,##0_);_(* \(#,##0\);_(* "-"_);_(@_)</c:formatCode>
                <c:ptCount val="14"/>
                <c:pt idx="0">
                  <c:v>6776091.1599999983</c:v>
                </c:pt>
                <c:pt idx="1">
                  <c:v>5441368</c:v>
                </c:pt>
                <c:pt idx="2">
                  <c:v>15433142.229999995</c:v>
                </c:pt>
                <c:pt idx="3">
                  <c:v>17547728</c:v>
                </c:pt>
                <c:pt idx="4">
                  <c:v>5211287.0199999986</c:v>
                </c:pt>
                <c:pt idx="5">
                  <c:v>8224551</c:v>
                </c:pt>
                <c:pt idx="6">
                  <c:v>1246409.1100000001</c:v>
                </c:pt>
                <c:pt idx="7">
                  <c:v>1155519</c:v>
                </c:pt>
                <c:pt idx="8">
                  <c:v>8230174.9199999999</c:v>
                </c:pt>
                <c:pt idx="9">
                  <c:v>8478046</c:v>
                </c:pt>
                <c:pt idx="10">
                  <c:v>11816654.909999998</c:v>
                </c:pt>
                <c:pt idx="11">
                  <c:v>11982013.73</c:v>
                </c:pt>
                <c:pt idx="12">
                  <c:v>4175897.830000001</c:v>
                </c:pt>
                <c:pt idx="13">
                  <c:v>4070583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resumo!$I$3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resumo!$I$4:$I$17</c:f>
              <c:numCache>
                <c:formatCode>_(* #,##0_);_(* \(#,##0\);_(* "-"_);_(@_)</c:formatCode>
                <c:ptCount val="14"/>
                <c:pt idx="0">
                  <c:v>1338289.2299999993</c:v>
                </c:pt>
                <c:pt idx="1">
                  <c:v>2532963</c:v>
                </c:pt>
                <c:pt idx="2">
                  <c:v>37728.549999999996</c:v>
                </c:pt>
                <c:pt idx="3">
                  <c:v>42900</c:v>
                </c:pt>
                <c:pt idx="4">
                  <c:v>7061882.8699999982</c:v>
                </c:pt>
                <c:pt idx="5">
                  <c:v>6883519</c:v>
                </c:pt>
                <c:pt idx="6">
                  <c:v>5284803.7899999982</c:v>
                </c:pt>
                <c:pt idx="7">
                  <c:v>5494622</c:v>
                </c:pt>
                <c:pt idx="8">
                  <c:v>16946690.970000003</c:v>
                </c:pt>
                <c:pt idx="9">
                  <c:v>3542427</c:v>
                </c:pt>
                <c:pt idx="10">
                  <c:v>6894061.2099999981</c:v>
                </c:pt>
                <c:pt idx="11">
                  <c:v>6927535</c:v>
                </c:pt>
                <c:pt idx="12">
                  <c:v>15661815.699999997</c:v>
                </c:pt>
                <c:pt idx="13">
                  <c:v>14956888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A9F-4BE1-981F-4995332F2256}"/>
            </c:ext>
          </c:extLst>
        </c:ser>
        <c:ser>
          <c:idx val="8"/>
          <c:order val="8"/>
          <c:tx>
            <c:strRef>
              <c:f>resumo!$K$3</c:f>
              <c:strCache>
                <c:ptCount val="1"/>
                <c:pt idx="0">
                  <c:v>Estoque sem reservas
(R$)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resumo!$K$4:$K$17</c:f>
              <c:numCache>
                <c:formatCode>_(* #,##0_);_(* \(#,##0\);_(* "-"_);_(@_)</c:formatCode>
                <c:ptCount val="14"/>
                <c:pt idx="0">
                  <c:v>1110078.74</c:v>
                </c:pt>
                <c:pt idx="1">
                  <c:v>2301149</c:v>
                </c:pt>
                <c:pt idx="2">
                  <c:v>504762.78</c:v>
                </c:pt>
                <c:pt idx="3">
                  <c:v>1567849</c:v>
                </c:pt>
                <c:pt idx="4">
                  <c:v>5235572.91</c:v>
                </c:pt>
                <c:pt idx="5">
                  <c:v>5448793</c:v>
                </c:pt>
                <c:pt idx="6">
                  <c:v>32114020.070000011</c:v>
                </c:pt>
                <c:pt idx="7">
                  <c:v>30073218</c:v>
                </c:pt>
                <c:pt idx="8">
                  <c:v>0</c:v>
                </c:pt>
                <c:pt idx="9">
                  <c:v>420000</c:v>
                </c:pt>
                <c:pt idx="10">
                  <c:v>3633185.76</c:v>
                </c:pt>
                <c:pt idx="11">
                  <c:v>2222876</c:v>
                </c:pt>
                <c:pt idx="12">
                  <c:v>32373094.110000007</c:v>
                </c:pt>
                <c:pt idx="13">
                  <c:v>35524021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A9F-4BE1-981F-4995332F2256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8A9F-4BE1-981F-4995332F2256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8A9F-4BE1-981F-4995332F2256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8A9F-4BE1-981F-4995332F2256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resumo!$L$3</c15:sqref>
                        </c15:formulaRef>
                      </c:ext>
                    </c:extLst>
                    <c:strCache>
                      <c:ptCount val="1"/>
                      <c:pt idx="0">
                        <c:v>VGV
(sem reservas)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resumo!$L$4:$L$17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25897171</c:v>
                      </c:pt>
                      <c:pt idx="2">
                        <c:v>0</c:v>
                      </c:pt>
                      <c:pt idx="3">
                        <c:v>41582813</c:v>
                      </c:pt>
                      <c:pt idx="4">
                        <c:v>47674837.269999996</c:v>
                      </c:pt>
                      <c:pt idx="5">
                        <c:v>47237842</c:v>
                      </c:pt>
                      <c:pt idx="6">
                        <c:v>65522711.210000008</c:v>
                      </c:pt>
                      <c:pt idx="7">
                        <c:v>64482384</c:v>
                      </c:pt>
                      <c:pt idx="8">
                        <c:v>25176865.890000001</c:v>
                      </c:pt>
                      <c:pt idx="9">
                        <c:v>25916904</c:v>
                      </c:pt>
                      <c:pt idx="10">
                        <c:v>61336002.129999995</c:v>
                      </c:pt>
                      <c:pt idx="11">
                        <c:v>60385350.730000004</c:v>
                      </c:pt>
                      <c:pt idx="12">
                        <c:v>105707726.15000004</c:v>
                      </c:pt>
                      <c:pt idx="13">
                        <c:v>106533362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resumo!$M$3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resumo!$M$4:$M$17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0</xdr:colOff>
      <xdr:row>26</xdr:row>
      <xdr:rowOff>0</xdr:rowOff>
    </xdr:from>
    <xdr:to>
      <xdr:col>51</xdr:col>
      <xdr:colOff>571499</xdr:colOff>
      <xdr:row>50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19</xdr:row>
      <xdr:rowOff>0</xdr:rowOff>
    </xdr:from>
    <xdr:to>
      <xdr:col>9</xdr:col>
      <xdr:colOff>392906</xdr:colOff>
      <xdr:row>40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19</xdr:row>
      <xdr:rowOff>0</xdr:rowOff>
    </xdr:from>
    <xdr:to>
      <xdr:col>20</xdr:col>
      <xdr:colOff>130969</xdr:colOff>
      <xdr:row>40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ncorporadoraampla.sharepoint.com/sites/Relatorios/Documentos%20Compartilhados/Dados/Para%20o%20Soares/Outputs/2025_11_30/Entradas-2025_11_30%20sem%20reservas.xlsx" TargetMode="External"/><Relationship Id="rId1" Type="http://schemas.openxmlformats.org/officeDocument/2006/relationships/externalLinkPath" Target="/sites/Relatorios/Documentos%20Compartilhados/Dados/Para%20o%20Soares/Outputs/2025_11_30/Entradas-2025_11_30%20sem%20reserv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resumo"/>
      <sheetName val="viabs"/>
      <sheetName val="unis"/>
      <sheetName val="rec.uni"/>
      <sheetName val="in.cef"/>
      <sheetName val="in.cef.detalhado"/>
      <sheetName val="in.cef.mensal"/>
      <sheetName val="in.cmfcn.xcef"/>
      <sheetName val="in.cmfcn.xcef.mensal"/>
      <sheetName val="in.rec"/>
      <sheetName val="in.unis.cruzado"/>
      <sheetName val="in.car"/>
      <sheetName val="in.cmfcns"/>
      <sheetName val="in.cmfcns.mensal"/>
      <sheetName val="in.contr"/>
      <sheetName val="in.cr"/>
      <sheetName val="in.distratos"/>
      <sheetName val="in.ecns"/>
      <sheetName val="in.r9"/>
      <sheetName val="in.unis"/>
      <sheetName val="in.xcef"/>
      <sheetName val="in.xcef.mensal"/>
    </sheetNames>
    <sheetDataSet>
      <sheetData sheetId="0">
        <row r="1">
          <cell r="A1">
            <v>45991</v>
          </cell>
        </row>
        <row r="4">
          <cell r="R4">
            <v>2984203.32</v>
          </cell>
          <cell r="Y4">
            <v>26877386.240000002</v>
          </cell>
          <cell r="AH4">
            <v>2107115.9800000004</v>
          </cell>
          <cell r="AO4">
            <v>53496814.51000002</v>
          </cell>
        </row>
        <row r="8">
          <cell r="C8">
            <v>6776091.1599999983</v>
          </cell>
          <cell r="D8">
            <v>10973647.850000001</v>
          </cell>
          <cell r="E8">
            <v>2076559.2200000004</v>
          </cell>
          <cell r="J8">
            <v>15433142.229999995</v>
          </cell>
          <cell r="K8">
            <v>19232725.690000005</v>
          </cell>
          <cell r="L8">
            <v>3953631.07</v>
          </cell>
          <cell r="Q8">
            <v>5211287.0199999986</v>
          </cell>
          <cell r="R8">
            <v>4898668.1399999997</v>
          </cell>
          <cell r="S8">
            <v>4706832.3400000017</v>
          </cell>
          <cell r="X8">
            <v>1246409.1100000001</v>
          </cell>
          <cell r="AB8">
            <v>8230174.9199999999</v>
          </cell>
          <cell r="AG8">
            <v>11816654.909999998</v>
          </cell>
          <cell r="AH8">
            <v>6127441.4300000006</v>
          </cell>
          <cell r="AI8">
            <v>6328878.6300000008</v>
          </cell>
          <cell r="AN8">
            <v>4175897.830000001</v>
          </cell>
        </row>
        <row r="9">
          <cell r="C9">
            <v>1338289.2299999993</v>
          </cell>
          <cell r="J9">
            <v>37728.549999999996</v>
          </cell>
          <cell r="Q9">
            <v>7061882.8699999982</v>
          </cell>
          <cell r="R9">
            <v>17576379.670000002</v>
          </cell>
          <cell r="S9">
            <v>0</v>
          </cell>
          <cell r="X9">
            <v>5284803.7899999982</v>
          </cell>
          <cell r="AB9">
            <v>16946690.970000003</v>
          </cell>
          <cell r="AG9">
            <v>6894061.2099999981</v>
          </cell>
          <cell r="AH9">
            <v>24428658.209999993</v>
          </cell>
          <cell r="AI9">
            <v>0</v>
          </cell>
          <cell r="AN9">
            <v>15661815.699999997</v>
          </cell>
        </row>
      </sheetData>
      <sheetData sheetId="1">
        <row r="3">
          <cell r="C3" t="str">
            <v>Repasse CEF obra
(incorrido)</v>
          </cell>
          <cell r="D3" t="str">
            <v>Repasse CEF obra
(a incorrer)</v>
          </cell>
          <cell r="E3" t="str">
            <v>Repasse CEF terreno
(incorrido)</v>
          </cell>
          <cell r="F3" t="str">
            <v>Repasse CEF terreno
(a incorrer)</v>
          </cell>
          <cell r="G3" t="str">
            <v>Repasse CEF
(a assinar)</v>
          </cell>
          <cell r="H3" t="str">
            <v>Pró soluto
(incorrido)</v>
          </cell>
          <cell r="I3" t="str">
            <v>Pró soluto
(a incorrer)</v>
          </cell>
          <cell r="K3" t="str">
            <v>Estoque sem reservas
(R$)</v>
          </cell>
          <cell r="L3" t="str">
            <v>VGV
(sem reservas)</v>
          </cell>
          <cell r="M3" t="str">
            <v>VGV
(viabilidade)</v>
          </cell>
        </row>
        <row r="4">
          <cell r="A4" t="str">
            <v>AMP</v>
          </cell>
          <cell r="B4" t="str">
            <v>Atual</v>
          </cell>
          <cell r="C4">
            <v>10973647.850000001</v>
          </cell>
          <cell r="D4">
            <v>1336184.9999999981</v>
          </cell>
          <cell r="E4">
            <v>2076559.2200000004</v>
          </cell>
          <cell r="F4">
            <v>0</v>
          </cell>
          <cell r="G4">
            <v>1427608.52</v>
          </cell>
          <cell r="H4">
            <v>6776091.1599999983</v>
          </cell>
          <cell r="I4">
            <v>1338289.2299999993</v>
          </cell>
          <cell r="K4">
            <v>1110078.74</v>
          </cell>
          <cell r="L4">
            <v>25038464.719999999</v>
          </cell>
          <cell r="M4">
            <v>25897161</v>
          </cell>
        </row>
        <row r="5">
          <cell r="A5" t="str">
            <v>AMP</v>
          </cell>
          <cell r="B5" t="str">
            <v>Viabilidade</v>
          </cell>
          <cell r="C5">
            <v>10969791</v>
          </cell>
          <cell r="D5">
            <v>2411486</v>
          </cell>
          <cell r="E5">
            <v>2076560</v>
          </cell>
          <cell r="F5">
            <v>163842</v>
          </cell>
          <cell r="G5">
            <v>0</v>
          </cell>
          <cell r="H5">
            <v>5441368</v>
          </cell>
          <cell r="I5">
            <v>2532963</v>
          </cell>
          <cell r="K5">
            <v>2301149</v>
          </cell>
          <cell r="L5">
            <v>25897171</v>
          </cell>
          <cell r="M5">
            <v>25897161</v>
          </cell>
        </row>
        <row r="6">
          <cell r="A6" t="str">
            <v>AVS</v>
          </cell>
          <cell r="B6" t="str">
            <v>Atual</v>
          </cell>
          <cell r="C6">
            <v>19232725.690000005</v>
          </cell>
          <cell r="D6">
            <v>0</v>
          </cell>
          <cell r="E6">
            <v>3953631.07</v>
          </cell>
          <cell r="F6">
            <v>0</v>
          </cell>
          <cell r="G6">
            <v>0</v>
          </cell>
          <cell r="H6">
            <v>15433142.229999995</v>
          </cell>
          <cell r="I6">
            <v>37728.549999999996</v>
          </cell>
          <cell r="K6">
            <v>504762.78</v>
          </cell>
          <cell r="L6">
            <v>39161991.32</v>
          </cell>
          <cell r="M6">
            <v>41582807</v>
          </cell>
        </row>
        <row r="7">
          <cell r="A7" t="str">
            <v>AVS</v>
          </cell>
          <cell r="B7" t="str">
            <v>Viabilidade</v>
          </cell>
          <cell r="C7">
            <v>18611890</v>
          </cell>
          <cell r="D7">
            <v>0</v>
          </cell>
          <cell r="E7">
            <v>3812440</v>
          </cell>
          <cell r="F7">
            <v>0</v>
          </cell>
          <cell r="G7">
            <v>0</v>
          </cell>
          <cell r="H7">
            <v>17547728</v>
          </cell>
          <cell r="I7">
            <v>42900</v>
          </cell>
          <cell r="K7">
            <v>1567849</v>
          </cell>
          <cell r="L7">
            <v>41582813</v>
          </cell>
          <cell r="M7">
            <v>41582807</v>
          </cell>
        </row>
        <row r="8">
          <cell r="A8" t="str">
            <v>GRA</v>
          </cell>
          <cell r="B8" t="str">
            <v>Atual</v>
          </cell>
          <cell r="C8">
            <v>4898668.1399999997</v>
          </cell>
          <cell r="D8">
            <v>17576379.670000002</v>
          </cell>
          <cell r="E8">
            <v>4706832.3400000017</v>
          </cell>
          <cell r="F8">
            <v>0</v>
          </cell>
          <cell r="G8">
            <v>2984203.32</v>
          </cell>
          <cell r="H8">
            <v>5211287.0199999986</v>
          </cell>
          <cell r="I8">
            <v>7061882.8699999982</v>
          </cell>
          <cell r="K8">
            <v>5235572.91</v>
          </cell>
          <cell r="L8">
            <v>47674837.269999996</v>
          </cell>
          <cell r="M8">
            <v>47237835</v>
          </cell>
        </row>
        <row r="9">
          <cell r="A9" t="str">
            <v>GRA</v>
          </cell>
          <cell r="B9" t="str">
            <v>Viabilidade</v>
          </cell>
          <cell r="C9">
            <v>4747377</v>
          </cell>
          <cell r="D9">
            <v>17101428</v>
          </cell>
          <cell r="E9">
            <v>4683225</v>
          </cell>
          <cell r="F9">
            <v>148936</v>
          </cell>
          <cell r="G9">
            <v>0</v>
          </cell>
          <cell r="H9">
            <v>8224551</v>
          </cell>
          <cell r="I9">
            <v>6883519</v>
          </cell>
          <cell r="K9">
            <v>5448793</v>
          </cell>
          <cell r="L9">
            <v>47237842</v>
          </cell>
          <cell r="M9">
            <v>47237835</v>
          </cell>
        </row>
        <row r="10">
          <cell r="A10" t="str">
            <v>LUC</v>
          </cell>
          <cell r="B10" t="str">
            <v>Atual</v>
          </cell>
          <cell r="C10">
            <v>0</v>
          </cell>
          <cell r="D10" t="str">
            <v>?</v>
          </cell>
          <cell r="E10">
            <v>0</v>
          </cell>
          <cell r="F10" t="str">
            <v>?</v>
          </cell>
          <cell r="G10">
            <v>26877386.240000002</v>
          </cell>
          <cell r="H10">
            <v>1246409.1100000001</v>
          </cell>
          <cell r="I10">
            <v>5284803.7899999982</v>
          </cell>
          <cell r="K10">
            <v>32114020.070000011</v>
          </cell>
          <cell r="L10">
            <v>65522711.210000008</v>
          </cell>
          <cell r="M10">
            <v>64482292</v>
          </cell>
        </row>
        <row r="11">
          <cell r="A11" t="str">
            <v>LUC</v>
          </cell>
          <cell r="B11" t="str">
            <v>Viabilidade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27758932</v>
          </cell>
          <cell r="H11">
            <v>1155519</v>
          </cell>
          <cell r="I11">
            <v>5494622</v>
          </cell>
          <cell r="K11">
            <v>30073218</v>
          </cell>
          <cell r="L11">
            <v>64482384</v>
          </cell>
          <cell r="M11">
            <v>64482292</v>
          </cell>
        </row>
        <row r="12">
          <cell r="A12" t="str">
            <v>POM</v>
          </cell>
          <cell r="B12" t="str">
            <v>Atual</v>
          </cell>
          <cell r="C12">
            <v>0</v>
          </cell>
          <cell r="D12">
            <v>0</v>
          </cell>
          <cell r="E12">
            <v>0</v>
          </cell>
          <cell r="F12" t="str">
            <v>-</v>
          </cell>
          <cell r="G12">
            <v>0</v>
          </cell>
          <cell r="H12">
            <v>8230174.9199999999</v>
          </cell>
          <cell r="I12">
            <v>16946690.970000003</v>
          </cell>
          <cell r="K12">
            <v>0</v>
          </cell>
          <cell r="L12">
            <v>25176865.890000001</v>
          </cell>
          <cell r="M12">
            <v>25916905</v>
          </cell>
        </row>
        <row r="13">
          <cell r="A13" t="str">
            <v>POM</v>
          </cell>
          <cell r="B13" t="str">
            <v>Viabilidade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13476430</v>
          </cell>
          <cell r="H13">
            <v>8478046</v>
          </cell>
          <cell r="I13">
            <v>3542427</v>
          </cell>
          <cell r="K13">
            <v>420000</v>
          </cell>
          <cell r="L13">
            <v>25916904</v>
          </cell>
          <cell r="M13">
            <v>25916905</v>
          </cell>
        </row>
        <row r="14">
          <cell r="A14" t="str">
            <v>SN2</v>
          </cell>
          <cell r="B14" t="str">
            <v>Atual</v>
          </cell>
          <cell r="C14">
            <v>6127441.4300000006</v>
          </cell>
          <cell r="D14">
            <v>24428658.209999993</v>
          </cell>
          <cell r="E14">
            <v>6328878.6300000008</v>
          </cell>
          <cell r="F14">
            <v>0</v>
          </cell>
          <cell r="G14">
            <v>2107115.9800000004</v>
          </cell>
          <cell r="H14">
            <v>11816654.909999998</v>
          </cell>
          <cell r="I14">
            <v>6894061.2099999981</v>
          </cell>
          <cell r="K14">
            <v>3633185.76</v>
          </cell>
          <cell r="L14">
            <v>61336002.129999995</v>
          </cell>
          <cell r="M14">
            <v>60385343</v>
          </cell>
        </row>
        <row r="15">
          <cell r="A15" t="str">
            <v>SN2</v>
          </cell>
          <cell r="B15" t="str">
            <v>Viabilidade</v>
          </cell>
          <cell r="C15">
            <v>6607255</v>
          </cell>
          <cell r="D15">
            <v>25947554</v>
          </cell>
          <cell r="E15">
            <v>6328879</v>
          </cell>
          <cell r="F15">
            <v>369231</v>
          </cell>
          <cell r="G15">
            <v>0</v>
          </cell>
          <cell r="H15">
            <v>11982013.73</v>
          </cell>
          <cell r="I15">
            <v>6927535</v>
          </cell>
          <cell r="K15">
            <v>2222876</v>
          </cell>
          <cell r="L15">
            <v>60385350.730000004</v>
          </cell>
          <cell r="M15">
            <v>60385343</v>
          </cell>
        </row>
        <row r="16">
          <cell r="A16" t="str">
            <v>SN4</v>
          </cell>
          <cell r="B16" t="str">
            <v>Atual</v>
          </cell>
          <cell r="C16">
            <v>0</v>
          </cell>
          <cell r="D16" t="str">
            <v>?</v>
          </cell>
          <cell r="E16">
            <v>0</v>
          </cell>
          <cell r="F16" t="str">
            <v>?</v>
          </cell>
          <cell r="G16">
            <v>53496814.51000002</v>
          </cell>
          <cell r="H16">
            <v>4175897.830000001</v>
          </cell>
          <cell r="I16">
            <v>15661815.699999997</v>
          </cell>
          <cell r="K16">
            <v>32373094.110000007</v>
          </cell>
          <cell r="L16">
            <v>105707726.15000004</v>
          </cell>
          <cell r="M16">
            <v>106533245</v>
          </cell>
        </row>
        <row r="17">
          <cell r="A17" t="str">
            <v>SN4</v>
          </cell>
          <cell r="B17" t="str">
            <v>Viabilidade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51981763</v>
          </cell>
          <cell r="H17">
            <v>4070583</v>
          </cell>
          <cell r="I17">
            <v>14956888</v>
          </cell>
          <cell r="K17">
            <v>35524021</v>
          </cell>
          <cell r="L17">
            <v>106533362</v>
          </cell>
          <cell r="M17">
            <v>106533245</v>
          </cell>
        </row>
      </sheetData>
      <sheetData sheetId="2">
        <row r="4">
          <cell r="R4">
            <v>27758932</v>
          </cell>
          <cell r="T4">
            <v>13476430</v>
          </cell>
          <cell r="AB4">
            <v>51981763</v>
          </cell>
        </row>
        <row r="7">
          <cell r="C7">
            <v>5441368</v>
          </cell>
          <cell r="D7">
            <v>10969791</v>
          </cell>
          <cell r="E7">
            <v>2076560</v>
          </cell>
          <cell r="H7">
            <v>17547728</v>
          </cell>
          <cell r="I7">
            <v>18611890</v>
          </cell>
          <cell r="J7">
            <v>3812440</v>
          </cell>
          <cell r="M7">
            <v>8224551</v>
          </cell>
          <cell r="N7">
            <v>4747377</v>
          </cell>
          <cell r="O7">
            <v>4683225</v>
          </cell>
          <cell r="R7">
            <v>1155519</v>
          </cell>
          <cell r="T7">
            <v>8478046</v>
          </cell>
          <cell r="W7">
            <v>11982013.73</v>
          </cell>
          <cell r="X7">
            <v>6607255</v>
          </cell>
          <cell r="Y7">
            <v>6328879</v>
          </cell>
          <cell r="AB7">
            <v>4070583</v>
          </cell>
        </row>
        <row r="8">
          <cell r="C8">
            <v>2532963</v>
          </cell>
          <cell r="D8">
            <v>2411486</v>
          </cell>
          <cell r="E8">
            <v>163842</v>
          </cell>
          <cell r="H8">
            <v>42900</v>
          </cell>
          <cell r="I8">
            <v>0</v>
          </cell>
          <cell r="J8">
            <v>0</v>
          </cell>
          <cell r="M8">
            <v>6883519</v>
          </cell>
          <cell r="N8">
            <v>17101428</v>
          </cell>
          <cell r="O8">
            <v>148936</v>
          </cell>
          <cell r="R8">
            <v>5494622</v>
          </cell>
          <cell r="T8">
            <v>3542427</v>
          </cell>
          <cell r="W8">
            <v>6927535</v>
          </cell>
          <cell r="X8">
            <v>25947554</v>
          </cell>
          <cell r="Y8">
            <v>369231</v>
          </cell>
          <cell r="AB8">
            <v>14956888</v>
          </cell>
        </row>
      </sheetData>
      <sheetData sheetId="3">
        <row r="16">
          <cell r="H16">
            <v>95</v>
          </cell>
        </row>
        <row r="20">
          <cell r="H20">
            <v>157</v>
          </cell>
        </row>
        <row r="24">
          <cell r="H24">
            <v>140</v>
          </cell>
        </row>
        <row r="28">
          <cell r="H28">
            <v>214</v>
          </cell>
        </row>
        <row r="32">
          <cell r="H32">
            <v>57</v>
          </cell>
        </row>
        <row r="36">
          <cell r="H36">
            <v>197</v>
          </cell>
        </row>
        <row r="40">
          <cell r="H40">
            <v>392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enato Durbano - Ampla Incorporadora" id="{0293901A-E393-42E5-BBEB-846F2B29C07A}" userId="S::renato@amplaincorporadora.com.br::2a3509ef-fd90-41f9-b4bc-fb075d108f24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3" dT="2025-12-11T17:30:23.35" personId="{0293901A-E393-42E5-BBEB-846F2B29C07A}" id="{29A46E0E-4946-48CD-9CC3-5701679AFB52}">
    <text>Era pra ser 410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F7D0-C757-40DC-8660-28D2472786D9}">
  <sheetPr>
    <tabColor rgb="FFFFFF00"/>
  </sheetPr>
  <dimension ref="A1:AP122"/>
  <sheetViews>
    <sheetView tabSelected="1" zoomScale="80" zoomScaleNormal="80" workbookViewId="0">
      <selection activeCell="G13" sqref="G13"/>
    </sheetView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9" cm="1">
        <f t="array" ref="D2">SUMPRODUCT(
   [1]!estoque[Preço Tab.] *
   ([1]!estoque[empresa]=D$6) *
   (([1]!estoque[Status]="Disponível") + ([1]!estoque[Status]="Reservada") + ([1]!estoque[Status]="Em negociação"))
)</f>
        <v>1110078.74</v>
      </c>
      <c r="H2" s="10"/>
      <c r="I2" s="7" t="s">
        <v>7</v>
      </c>
      <c r="J2" s="11"/>
      <c r="K2" s="9" cm="1">
        <f t="array" ref="K2">SUMPRODUCT(
   [1]!estoque[Preço Tab.] *
   ([1]!estoque[empresa]=K$6) *
   (([1]!estoque[Status]="Disponível") + ([1]!estoque[Status]="Reservada") + ([1]!estoque[Status]="Em negociação"))
)</f>
        <v>504762.78</v>
      </c>
      <c r="O2" s="10"/>
      <c r="P2" s="7" t="s">
        <v>7</v>
      </c>
      <c r="Q2" s="11"/>
      <c r="R2" s="9" cm="1">
        <f t="array" ref="R2">SUMPRODUCT(
   [1]!estoque[Preço Tab.] *
   ([1]!estoque[empresa]=R$6) *
   (([1]!estoque[Status]="Disponível") + ([1]!estoque[Status]="Reservada") + ([1]!estoque[Status]="Em negociação"))
)</f>
        <v>5235572.91</v>
      </c>
      <c r="V2" s="10"/>
      <c r="W2" s="7" t="s">
        <v>7</v>
      </c>
      <c r="X2" s="11"/>
      <c r="Y2" s="9" cm="1">
        <f t="array" ref="Y2">SUMPRODUCT(
   [1]!estoque[Preço Tab.] *
   ([1]!estoque[empresa]=Y$6) *
   (([1]!estoque[Status]="Disponível") + ([1]!estoque[Status]="Reservada") + ([1]!estoque[Status]="Em negociação"))
)</f>
        <v>32114020.070000011</v>
      </c>
      <c r="Z2" s="10"/>
      <c r="AA2" s="7" t="s">
        <v>7</v>
      </c>
      <c r="AB2" s="11"/>
      <c r="AC2" s="9" cm="1">
        <f t="array" ref="AC2">SUMPRODUCT(
   [1]!estoque[Preço Tab.] *
   ([1]!estoque[empresa]=AC$6) *
   (([1]!estoque[Status]="Disponível") + ([1]!estoque[Status]="Reservada") + ([1]!estoque[Status]="Em negociação"))
)</f>
        <v>0</v>
      </c>
      <c r="AE2" s="10"/>
      <c r="AF2" s="7" t="s">
        <v>7</v>
      </c>
      <c r="AG2" s="11"/>
      <c r="AH2" s="9" cm="1">
        <f t="array" ref="AH2">SUMPRODUCT(
   [1]!estoque[Preço Tab.] *
   ([1]!estoque[empresa]=AH$6) *
   (([1]!estoque[Status]="Disponível") + ([1]!estoque[Status]="Reservada") + ([1]!estoque[Status]="Em negociação"))
)</f>
        <v>3633185.76</v>
      </c>
      <c r="AL2" s="10"/>
      <c r="AM2" s="7" t="s">
        <v>7</v>
      </c>
      <c r="AN2" s="11"/>
      <c r="AO2" s="9" cm="1">
        <f t="array" ref="AO2">SUMPRODUCT(
   [1]!estoque[Preço Tab.] *
   ([1]!estoque[empresa]=AO$6) *
   (([1]!estoque[Status]="Disponível") + ([1]!estoque[Status]="Reservada") + ([1]!estoque[Status]="Em negociação"))
)</f>
        <v>32373094.110000007</v>
      </c>
      <c r="AP2" s="10"/>
    </row>
    <row r="3" spans="1:42" ht="15.75" x14ac:dyDescent="0.25">
      <c r="B3" s="12" t="s">
        <v>8</v>
      </c>
      <c r="C3" s="13"/>
      <c r="D3" s="14">
        <f>COUNTIFS([1]!estoque[empresa], D$6, [1]!estoque[Status], "Disponível")
+
COUNTIFS([1]!estoque[empresa], D$6, [1]!estoque[Status], "Reservada")
+
COUNTIFS([1]!estoque[empresa], D$6, [1]!estoque[Status], "Em negociação")</f>
        <v>5</v>
      </c>
      <c r="H3" s="10"/>
      <c r="I3" s="12" t="s">
        <v>8</v>
      </c>
      <c r="J3" s="15"/>
      <c r="K3" s="14">
        <f>COUNTIFS([1]!estoque[empresa], K$6, [1]!estoque[Status], "Disponível")
+
COUNTIFS([1]!estoque[empresa], K$6, [1]!estoque[Status], "Reservada")
+
COUNTIFS([1]!estoque[empresa], K$6, [1]!estoque[Status], "Em negociação")</f>
        <v>1</v>
      </c>
      <c r="O3" s="10"/>
      <c r="P3" s="12" t="s">
        <v>8</v>
      </c>
      <c r="Q3" s="15"/>
      <c r="R3" s="14">
        <f>COUNTIFS([1]!estoque[empresa], R$6, [1]!estoque[Status], "Disponível")
+
COUNTIFS([1]!estoque[empresa], R$6, [1]!estoque[Status], "Reservada")
+
COUNTIFS([1]!estoque[empresa], R$6, [1]!estoque[Status], "Em negociação")</f>
        <v>11</v>
      </c>
      <c r="V3" s="10"/>
      <c r="W3" s="12" t="s">
        <v>8</v>
      </c>
      <c r="X3" s="15"/>
      <c r="Y3" s="14">
        <f>COUNTIFS([1]!estoque[empresa], Y$6, [1]!estoque[Status], "Disponível")
+
COUNTIFS([1]!estoque[empresa], Y$6, [1]!estoque[Status], "Reservada")
+
COUNTIFS([1]!estoque[empresa], Y$6, [1]!estoque[Status], "Em negociação")</f>
        <v>92</v>
      </c>
      <c r="Z3" s="10"/>
      <c r="AA3" s="12" t="s">
        <v>8</v>
      </c>
      <c r="AB3" s="15"/>
      <c r="AC3" s="14">
        <f>COUNTIFS([1]!estoque[empresa], AC$6, [1]!estoque[Status], "Disponível")
+
COUNTIFS([1]!estoque[empresa], AC$6, [1]!estoque[Status], "Reservada")
+
COUNTIFS([1]!estoque[empresa], AC$6, [1]!estoque[Status], "Em negociação")</f>
        <v>0</v>
      </c>
      <c r="AE3" s="10"/>
      <c r="AF3" s="12" t="s">
        <v>8</v>
      </c>
      <c r="AG3" s="15"/>
      <c r="AH3" s="14">
        <f>COUNTIFS([1]!estoque[empresa], AH$6, [1]!estoque[Status], "Disponível")
+
COUNTIFS([1]!estoque[empresa], AH$6, [1]!estoque[Status], "Reservada")
+
COUNTIFS([1]!estoque[empresa], AH$6, [1]!estoque[Status], "Em negociação")</f>
        <v>6</v>
      </c>
      <c r="AL3" s="10"/>
      <c r="AM3" s="12" t="s">
        <v>8</v>
      </c>
      <c r="AN3" s="15"/>
      <c r="AO3" s="14">
        <f>COUNTIFS([1]!estoque[empresa], AO$6, [1]!estoque[Status], "Disponível")
+
COUNTIFS([1]!estoque[empresa], AO$6, [1]!estoque[Status], "Reservada")
+
COUNTIFS([1]!estoque[empresa], AO$6, [1]!estoque[Status], "Em negociação")</f>
        <v>104</v>
      </c>
      <c r="AP3" s="10"/>
    </row>
    <row r="4" spans="1:42" ht="15.75" x14ac:dyDescent="0.25">
      <c r="B4" s="7" t="s">
        <v>9</v>
      </c>
      <c r="C4" s="8"/>
      <c r="D4" s="9">
        <f ca="1">[1]resumo!G4</f>
        <v>1427608.52</v>
      </c>
      <c r="H4" s="10"/>
      <c r="I4" s="7" t="s">
        <v>9</v>
      </c>
      <c r="J4" s="11"/>
      <c r="K4" s="9" t="e">
        <f ca="1">SUMIFS([1]!rec.uni[soma.meses],
INDIRECT("rec.uni[natureza]"),"parcela.cef.assinar",
INDIRECT("rec.uni[empresa]"),K$6)</f>
        <v>#REF!</v>
      </c>
      <c r="O4" s="10"/>
      <c r="P4" s="7" t="s">
        <v>9</v>
      </c>
      <c r="Q4" s="11"/>
      <c r="R4" s="9" t="e">
        <f ca="1">SUMIFS([1]!rec.uni[soma.meses],
INDIRECT("rec.uni[natureza]"),"parcela.cef.assinar",
INDIRECT("rec.uni[empresa]"),R$6)</f>
        <v>#REF!</v>
      </c>
      <c r="V4" s="10"/>
      <c r="W4" s="7" t="s">
        <v>9</v>
      </c>
      <c r="X4" s="11"/>
      <c r="Y4" s="9" t="e">
        <f ca="1">SUMIFS([1]!rec.uni[soma.meses],
INDIRECT("rec.uni[natureza]"),"parcela.cef.assinar",
INDIRECT("rec.uni[empresa]"),Y$6)</f>
        <v>#REF!</v>
      </c>
      <c r="Z4" s="10"/>
      <c r="AA4" s="16"/>
      <c r="AE4" s="10"/>
      <c r="AF4" s="7" t="s">
        <v>9</v>
      </c>
      <c r="AG4" s="11"/>
      <c r="AH4" s="9" t="e">
        <f ca="1">SUMIFS([1]!rec.uni[soma.meses],
INDIRECT("rec.uni[natureza]"),"parcela.cef.assinar",
INDIRECT("rec.uni[empresa]"),AH$6)</f>
        <v>#REF!</v>
      </c>
      <c r="AL4" s="10"/>
      <c r="AM4" s="7" t="s">
        <v>9</v>
      </c>
      <c r="AN4" s="11"/>
      <c r="AO4" s="9" t="e">
        <f ca="1">SUMIFS([1]!rec.uni[soma.meses],
INDIRECT("rec.uni[natureza]"),"parcela.cef.assinar",
INDIRECT("rec.uni[empresa]"),AO$6)</f>
        <v>#REF!</v>
      </c>
      <c r="AP4" s="10"/>
    </row>
    <row r="5" spans="1:42" ht="15.75" x14ac:dyDescent="0.25">
      <c r="B5" s="17" t="s">
        <v>10</v>
      </c>
      <c r="C5" s="18"/>
      <c r="D5" s="19">
        <f>COUNTIFS(
   [1]!rec.uni[empresa],D$6,
   [1]!rec.uni[natureza],"parcela.cef.assinar"
)</f>
        <v>7</v>
      </c>
      <c r="H5" s="20"/>
      <c r="I5" s="17" t="s">
        <v>10</v>
      </c>
      <c r="J5" s="21"/>
      <c r="K5" s="19">
        <f>COUNTIFS(
   [1]!rec.uni[empresa],K$6,
   [1]!rec.uni[natureza],"parcela.cef.assinar"
)</f>
        <v>0</v>
      </c>
      <c r="O5" s="20"/>
      <c r="P5" s="17" t="s">
        <v>10</v>
      </c>
      <c r="Q5" s="21"/>
      <c r="R5" s="19">
        <f>COUNTIFS(
   [1]!rec.uni[empresa],R$6,
   [1]!rec.uni[natureza],"parcela.cef.assinar"
)</f>
        <v>11</v>
      </c>
      <c r="V5" s="20"/>
      <c r="W5" s="17" t="s">
        <v>10</v>
      </c>
      <c r="X5" s="21"/>
      <c r="Y5" s="19">
        <f>COUNTIFS(
   [1]!rec.uni[empresa],Y$6,
   [1]!rec.uni[natureza],"parcela.cef.assinar"
)</f>
        <v>109</v>
      </c>
      <c r="Z5" s="20"/>
      <c r="AA5" s="22"/>
      <c r="AB5" s="23"/>
      <c r="AE5" s="20"/>
      <c r="AF5" s="17" t="s">
        <v>10</v>
      </c>
      <c r="AG5" s="21"/>
      <c r="AH5" s="19">
        <f>COUNTIFS(
   [1]!rec.uni[empresa],AH$6,
   [1]!rec.uni[natureza],"parcela.cef.assinar"
)</f>
        <v>8</v>
      </c>
      <c r="AL5" s="20"/>
      <c r="AM5" s="17" t="s">
        <v>10</v>
      </c>
      <c r="AN5" s="21"/>
      <c r="AO5" s="19">
        <f>COUNTIFS(
   [1]!rec.uni[empresa],AO$6,
   [1]!rec.uni[natureza],"parcela.cef.assinar"
)</f>
        <v>219</v>
      </c>
      <c r="AP5" s="20"/>
    </row>
    <row r="6" spans="1:42" ht="15.75" x14ac:dyDescent="0.25">
      <c r="A6" s="24" t="s">
        <v>11</v>
      </c>
      <c r="B6" s="25" t="s">
        <v>12</v>
      </c>
      <c r="C6" s="26" t="s">
        <v>12</v>
      </c>
      <c r="D6" s="26" t="s">
        <v>12</v>
      </c>
      <c r="E6" s="26" t="s">
        <v>12</v>
      </c>
      <c r="F6" s="27" t="s">
        <v>12</v>
      </c>
      <c r="G6" s="26" t="s">
        <v>12</v>
      </c>
      <c r="H6" s="28" t="s">
        <v>12</v>
      </c>
      <c r="I6" s="25" t="s">
        <v>13</v>
      </c>
      <c r="J6" s="26" t="s">
        <v>13</v>
      </c>
      <c r="K6" s="26" t="s">
        <v>13</v>
      </c>
      <c r="L6" s="26" t="s">
        <v>13</v>
      </c>
      <c r="M6" s="26" t="s">
        <v>13</v>
      </c>
      <c r="N6" s="26" t="s">
        <v>13</v>
      </c>
      <c r="O6" s="28" t="s">
        <v>13</v>
      </c>
      <c r="P6" s="25" t="s">
        <v>14</v>
      </c>
      <c r="Q6" s="26" t="s">
        <v>14</v>
      </c>
      <c r="R6" s="26" t="s">
        <v>14</v>
      </c>
      <c r="S6" s="26" t="s">
        <v>14</v>
      </c>
      <c r="T6" s="26" t="s">
        <v>14</v>
      </c>
      <c r="U6" s="26" t="s">
        <v>14</v>
      </c>
      <c r="V6" s="28" t="s">
        <v>14</v>
      </c>
      <c r="W6" s="25" t="s">
        <v>15</v>
      </c>
      <c r="X6" s="26" t="s">
        <v>15</v>
      </c>
      <c r="Y6" s="26" t="s">
        <v>15</v>
      </c>
      <c r="Z6" s="28" t="s">
        <v>15</v>
      </c>
      <c r="AA6" s="25" t="s">
        <v>16</v>
      </c>
      <c r="AB6" s="26" t="s">
        <v>16</v>
      </c>
      <c r="AC6" s="26" t="s">
        <v>16</v>
      </c>
      <c r="AD6" s="26" t="s">
        <v>16</v>
      </c>
      <c r="AE6" s="28" t="s">
        <v>16</v>
      </c>
      <c r="AF6" s="25" t="s">
        <v>17</v>
      </c>
      <c r="AG6" s="26" t="s">
        <v>17</v>
      </c>
      <c r="AH6" s="26" t="s">
        <v>17</v>
      </c>
      <c r="AI6" s="26" t="s">
        <v>17</v>
      </c>
      <c r="AJ6" s="26" t="s">
        <v>17</v>
      </c>
      <c r="AK6" s="26" t="s">
        <v>17</v>
      </c>
      <c r="AL6" s="28" t="s">
        <v>17</v>
      </c>
      <c r="AM6" s="25" t="s">
        <v>18</v>
      </c>
      <c r="AN6" s="26" t="s">
        <v>18</v>
      </c>
      <c r="AO6" s="26" t="s">
        <v>18</v>
      </c>
      <c r="AP6" s="28" t="s">
        <v>18</v>
      </c>
    </row>
    <row r="7" spans="1:42" ht="30" x14ac:dyDescent="0.25">
      <c r="A7" s="24" t="s">
        <v>19</v>
      </c>
      <c r="B7" s="29" t="s">
        <v>20</v>
      </c>
      <c r="C7" s="30" t="s">
        <v>21</v>
      </c>
      <c r="D7" s="30" t="s">
        <v>22</v>
      </c>
      <c r="E7" s="30" t="s">
        <v>23</v>
      </c>
      <c r="F7" s="31" t="s">
        <v>24</v>
      </c>
      <c r="G7" s="30" t="s">
        <v>25</v>
      </c>
      <c r="H7" s="32" t="s">
        <v>26</v>
      </c>
      <c r="I7" s="29" t="s">
        <v>20</v>
      </c>
      <c r="J7" s="30" t="s">
        <v>21</v>
      </c>
      <c r="K7" s="30" t="s">
        <v>22</v>
      </c>
      <c r="L7" s="30" t="s">
        <v>23</v>
      </c>
      <c r="M7" s="31" t="s">
        <v>24</v>
      </c>
      <c r="N7" s="30" t="s">
        <v>25</v>
      </c>
      <c r="O7" s="32" t="s">
        <v>26</v>
      </c>
      <c r="P7" s="29" t="s">
        <v>20</v>
      </c>
      <c r="Q7" s="30" t="s">
        <v>21</v>
      </c>
      <c r="R7" s="30" t="s">
        <v>22</v>
      </c>
      <c r="S7" s="30" t="s">
        <v>23</v>
      </c>
      <c r="T7" s="31" t="s">
        <v>24</v>
      </c>
      <c r="U7" s="30" t="s">
        <v>25</v>
      </c>
      <c r="V7" s="32" t="s">
        <v>26</v>
      </c>
      <c r="W7" s="29" t="s">
        <v>20</v>
      </c>
      <c r="X7" s="30" t="s">
        <v>21</v>
      </c>
      <c r="Y7" s="30" t="s">
        <v>25</v>
      </c>
      <c r="Z7" s="32" t="s">
        <v>26</v>
      </c>
      <c r="AA7" s="29" t="s">
        <v>20</v>
      </c>
      <c r="AB7" s="30" t="s">
        <v>21</v>
      </c>
      <c r="AC7" s="30" t="s">
        <v>27</v>
      </c>
      <c r="AD7" s="30" t="s">
        <v>25</v>
      </c>
      <c r="AE7" s="32" t="s">
        <v>26</v>
      </c>
      <c r="AF7" s="29" t="s">
        <v>20</v>
      </c>
      <c r="AG7" s="30" t="s">
        <v>21</v>
      </c>
      <c r="AH7" s="30" t="s">
        <v>22</v>
      </c>
      <c r="AI7" s="30" t="s">
        <v>23</v>
      </c>
      <c r="AJ7" s="31" t="s">
        <v>24</v>
      </c>
      <c r="AK7" s="30" t="s">
        <v>25</v>
      </c>
      <c r="AL7" s="32" t="s">
        <v>26</v>
      </c>
      <c r="AM7" s="29" t="s">
        <v>20</v>
      </c>
      <c r="AN7" s="30" t="s">
        <v>21</v>
      </c>
      <c r="AO7" s="30" t="s">
        <v>25</v>
      </c>
      <c r="AP7" s="32" t="s">
        <v>26</v>
      </c>
    </row>
    <row r="8" spans="1:42" ht="15.75" x14ac:dyDescent="0.25">
      <c r="A8" s="33" t="s">
        <v>28</v>
      </c>
      <c r="B8" s="34">
        <f t="shared" ref="B8:N8" si="0">SUMIF($A$11:$A$122,"&lt;="&amp;$A$1,B$11:B$122)</f>
        <v>85</v>
      </c>
      <c r="C8" s="35">
        <f t="shared" si="0"/>
        <v>6776091.1599999983</v>
      </c>
      <c r="D8" s="35" t="e">
        <f t="shared" ca="1" si="0"/>
        <v>#REF!</v>
      </c>
      <c r="E8" s="35" t="e">
        <f t="shared" ca="1" si="0"/>
        <v>#REF!</v>
      </c>
      <c r="F8" s="36">
        <f t="shared" si="0"/>
        <v>4623285.8899999997</v>
      </c>
      <c r="G8" s="35" t="e">
        <f t="shared" ca="1" si="0"/>
        <v>#REF!</v>
      </c>
      <c r="H8" s="37">
        <f>SUMIF($A$11:$A$122,"&lt;="&amp;$A$1,H$11:H$122)</f>
        <v>209771.56</v>
      </c>
      <c r="I8" s="34">
        <f t="shared" si="0"/>
        <v>150</v>
      </c>
      <c r="J8" s="35">
        <f t="shared" si="0"/>
        <v>15433142.229999995</v>
      </c>
      <c r="K8" s="35" t="e">
        <f t="shared" ca="1" si="0"/>
        <v>#REF!</v>
      </c>
      <c r="L8" s="35" t="e">
        <f t="shared" ca="1" si="0"/>
        <v>#REF!</v>
      </c>
      <c r="M8" s="36">
        <f t="shared" si="0"/>
        <v>5133141.9800000004</v>
      </c>
      <c r="N8" s="35" t="e">
        <f t="shared" ca="1" si="0"/>
        <v>#REF!</v>
      </c>
      <c r="O8" s="37">
        <f>SUMIF($A$11:$A$122,"&lt;="&amp;$A$1,O$11:O$122)</f>
        <v>1018326.46</v>
      </c>
      <c r="P8" s="34">
        <f>SUMIF($A$11:$A$122,"&lt;="&amp;$A$1,P$11:P$122)</f>
        <v>128</v>
      </c>
      <c r="Q8" s="35">
        <f>SUMIF($A$11:$A$122,"&lt;="&amp;$A$1,Q$11:Q$122)</f>
        <v>5211287.0199999986</v>
      </c>
      <c r="R8" s="35" t="e">
        <f ca="1">SUMIF($A$11:$A$122,"&lt;="&amp;$A$1,R$11:R$122)</f>
        <v>#REF!</v>
      </c>
      <c r="S8" s="35" t="e">
        <f ca="1">SUMIF($A$11:$A$122,"&lt;="&amp;$A$1,S$11:S$122)</f>
        <v>#REF!</v>
      </c>
      <c r="T8" s="36">
        <f t="shared" ref="T8:AP8" si="1">SUMIF($A$11:$A$122,"&lt;="&amp;$A$1,T$11:T$122)</f>
        <v>2247103.94</v>
      </c>
      <c r="U8" s="35" t="e">
        <f t="shared" ca="1" si="1"/>
        <v>#REF!</v>
      </c>
      <c r="V8" s="37">
        <f t="shared" si="1"/>
        <v>156367.29000000004</v>
      </c>
      <c r="W8" s="34">
        <f t="shared" si="1"/>
        <v>119</v>
      </c>
      <c r="X8" s="35">
        <f t="shared" si="1"/>
        <v>1246409.1100000001</v>
      </c>
      <c r="Y8" s="35" t="e">
        <f t="shared" ca="1" si="1"/>
        <v>#REF!</v>
      </c>
      <c r="Z8" s="37">
        <f t="shared" si="1"/>
        <v>54869.399999999994</v>
      </c>
      <c r="AA8" s="34">
        <f t="shared" si="1"/>
        <v>45</v>
      </c>
      <c r="AB8" s="35">
        <f t="shared" si="1"/>
        <v>8230174.9199999999</v>
      </c>
      <c r="AC8" s="38">
        <f t="shared" si="1"/>
        <v>0</v>
      </c>
      <c r="AD8" s="35" t="e">
        <f t="shared" ca="1" si="1"/>
        <v>#REF!</v>
      </c>
      <c r="AE8" s="37">
        <f t="shared" si="1"/>
        <v>593591.10000000009</v>
      </c>
      <c r="AF8" s="34">
        <f t="shared" si="1"/>
        <v>191</v>
      </c>
      <c r="AG8" s="35">
        <f t="shared" si="1"/>
        <v>11816654.909999998</v>
      </c>
      <c r="AH8" s="35" t="e">
        <f t="shared" ca="1" si="1"/>
        <v>#REF!</v>
      </c>
      <c r="AI8" s="35" t="e">
        <f t="shared" ca="1" si="1"/>
        <v>#REF!</v>
      </c>
      <c r="AJ8" s="36">
        <f t="shared" si="1"/>
        <v>2873902.3600000003</v>
      </c>
      <c r="AK8" s="35" t="e">
        <f t="shared" ca="1" si="1"/>
        <v>#REF!</v>
      </c>
      <c r="AL8" s="37">
        <f t="shared" si="1"/>
        <v>193798.91</v>
      </c>
      <c r="AM8" s="34">
        <f t="shared" si="1"/>
        <v>276</v>
      </c>
      <c r="AN8" s="35">
        <f t="shared" si="1"/>
        <v>4175897.830000001</v>
      </c>
      <c r="AO8" s="35" t="e">
        <f t="shared" ca="1" si="1"/>
        <v>#REF!</v>
      </c>
      <c r="AP8" s="37">
        <f t="shared" si="1"/>
        <v>7483.3700000000008</v>
      </c>
    </row>
    <row r="9" spans="1:42" ht="15.75" x14ac:dyDescent="0.25">
      <c r="A9" s="33" t="s">
        <v>29</v>
      </c>
      <c r="B9" s="39">
        <f>B$10-B$8</f>
        <v>10</v>
      </c>
      <c r="C9" s="35">
        <f>SUMIF($A$11:$A$122,"&gt;"&amp;$A$1,C$11:C$122)</f>
        <v>1338289.2299999993</v>
      </c>
      <c r="D9" s="40">
        <f ca="1">IFERROR(SUMIF([1]!in.ecns[empresa], D$6,[1]!in.ecns[repasse.cef.total])
-E$8
-E$9
-D$8,0)</f>
        <v>0</v>
      </c>
      <c r="E9" s="40">
        <v>0</v>
      </c>
      <c r="F9" s="41">
        <f>SUMIF($A$11:$A$122,"&gt;"&amp;$A$1,F$11:F$122)</f>
        <v>0</v>
      </c>
      <c r="G9" s="35" t="e">
        <f ca="1">SUMIF($A$11:$A$122,"&gt;"&amp;$A$1,G$11:G$122)</f>
        <v>#REF!</v>
      </c>
      <c r="H9" s="42">
        <f>SUMIF($A$11:$A$122,"&gt;"&amp;$A$1,H$11:H$122)</f>
        <v>0</v>
      </c>
      <c r="I9" s="39">
        <f>I$10-I$8</f>
        <v>7</v>
      </c>
      <c r="J9" s="35">
        <f>SUMIF($A$11:$A$122,"&gt;"&amp;$A$1,J$11:J$122)</f>
        <v>37728.549999999996</v>
      </c>
      <c r="K9" s="40">
        <v>0</v>
      </c>
      <c r="L9" s="40">
        <v>0</v>
      </c>
      <c r="M9" s="41">
        <f>SUMIF($A$11:$A$122,"&gt;"&amp;$A$1,M$11:M$122)</f>
        <v>0</v>
      </c>
      <c r="N9" s="35" t="e">
        <f ca="1">SUMIF($A$11:$A$122,"&gt;"&amp;$A$1,N$11:N$122)</f>
        <v>#REF!</v>
      </c>
      <c r="O9" s="42">
        <f>SUMIF($A$11:$A$122,"&gt;"&amp;$A$1,O$11:O$122)</f>
        <v>0</v>
      </c>
      <c r="P9" s="39">
        <f>P$10-P$8</f>
        <v>12</v>
      </c>
      <c r="Q9" s="35">
        <f>SUMIF($A$11:$A$122,"&gt;"&amp;$A$1,Q$11:Q$122)</f>
        <v>7061882.8699999982</v>
      </c>
      <c r="R9" s="40">
        <f ca="1">IFERROR(SUMIF([1]!in.ecns[empresa], R$6,[1]!in.ecns[repasse.cef.total])
-S$8
-S$9
-R$8,0)</f>
        <v>0</v>
      </c>
      <c r="S9" s="40">
        <v>0</v>
      </c>
      <c r="T9" s="41">
        <f>SUMIF($A$11:$A$122,"&gt;"&amp;$A$1,T$11:T$122)</f>
        <v>0</v>
      </c>
      <c r="U9" s="35" t="e">
        <f ca="1">SUMIF($A$11:$A$122,"&gt;"&amp;$A$1,U$11:U$122)</f>
        <v>#REF!</v>
      </c>
      <c r="V9" s="42">
        <f>SUMIF($A$11:$A$122,"&gt;"&amp;$A$1,V$11:V$122)</f>
        <v>0</v>
      </c>
      <c r="W9" s="39">
        <f>W$10-W$8</f>
        <v>95</v>
      </c>
      <c r="X9" s="35">
        <f>SUMIF($A$11:$A$122,"&gt;"&amp;$A$1,X$11:X$122)</f>
        <v>5284803.7899999982</v>
      </c>
      <c r="Y9" s="35" t="e">
        <f ca="1">SUMIF($A$11:$A$122,"&gt;"&amp;$A$1,Y$11:Y$122)</f>
        <v>#REF!</v>
      </c>
      <c r="Z9" s="42">
        <f>SUMIF($A$11:$A$122,"&gt;"&amp;$A$1,Z$11:Z$122)</f>
        <v>0</v>
      </c>
      <c r="AA9" s="39">
        <f>AA$10-AA$8</f>
        <v>12</v>
      </c>
      <c r="AB9" s="35">
        <f>SUMIF($A$11:$A$122,"&gt;"&amp;$A$1,AB$11:AB$122)</f>
        <v>16946690.970000003</v>
      </c>
      <c r="AC9" s="40">
        <f>SUMIF($A$11:$A$122,"&gt;"&amp;$A$1,AC$11:AC$122)</f>
        <v>13499338.830000002</v>
      </c>
      <c r="AD9" s="35" t="e">
        <f ca="1">SUMIF($A$11:$A$122,"&gt;"&amp;$A$1,AD$11:AD$122)</f>
        <v>#REF!</v>
      </c>
      <c r="AE9" s="42">
        <f>SUMIF($A$11:$A$122,"&gt;"&amp;$A$1,AE$11:AE$122)</f>
        <v>0</v>
      </c>
      <c r="AF9" s="39">
        <f>AF$10-AF$8</f>
        <v>6</v>
      </c>
      <c r="AG9" s="35">
        <f>SUMIF($A$11:$A$122,"&gt;"&amp;$A$1,AG$11:AG$122)</f>
        <v>6894061.2099999981</v>
      </c>
      <c r="AH9" s="40">
        <f ca="1">IFERROR(SUMIF([1]!in.ecns[empresa], AH$6,[1]!in.ecns[repasse.cef.total])
-AI$8
-AI$9
-AH$8,0)</f>
        <v>0</v>
      </c>
      <c r="AI9" s="40">
        <v>0</v>
      </c>
      <c r="AJ9" s="41">
        <f>SUMIF($A$11:$A$122,"&gt;"&amp;$A$1,AJ$11:AJ$122)</f>
        <v>0</v>
      </c>
      <c r="AK9" s="35" t="e">
        <f ca="1">SUMIF($A$11:$A$122,"&gt;"&amp;$A$1,AK$11:AK$122)</f>
        <v>#REF!</v>
      </c>
      <c r="AL9" s="42">
        <f>SUMIF($A$11:$A$122,"&gt;"&amp;$A$1,AL$11:AL$122)</f>
        <v>0</v>
      </c>
      <c r="AM9" s="39">
        <f>AM$10-AM$8</f>
        <v>116</v>
      </c>
      <c r="AN9" s="35">
        <f>SUMIF($A$11:$A$122,"&gt;"&amp;$A$1,AN$11:AN$122)</f>
        <v>15661815.699999997</v>
      </c>
      <c r="AO9" s="35" t="e">
        <f ca="1">SUMIF($A$11:$A$122,"&gt;"&amp;$A$1,AO$11:AO$122)</f>
        <v>#REF!</v>
      </c>
      <c r="AP9" s="42">
        <f>SUMIF($A$11:$A$122,"&gt;"&amp;$A$1,AP$11:AP$122)</f>
        <v>0</v>
      </c>
    </row>
    <row r="10" spans="1:42" ht="15.75" x14ac:dyDescent="0.25">
      <c r="A10" s="43" t="s">
        <v>30</v>
      </c>
      <c r="B10" s="39">
        <f>[1]unis!H16</f>
        <v>95</v>
      </c>
      <c r="C10" s="44">
        <f t="shared" ref="C10:H10" si="2">SUM(C8:C9)</f>
        <v>8114380.3899999978</v>
      </c>
      <c r="D10" s="44" t="e">
        <f t="shared" ca="1" si="2"/>
        <v>#REF!</v>
      </c>
      <c r="E10" s="44" t="e">
        <f t="shared" ca="1" si="2"/>
        <v>#REF!</v>
      </c>
      <c r="F10" s="45">
        <f t="shared" si="2"/>
        <v>4623285.8899999997</v>
      </c>
      <c r="G10" s="44" t="e">
        <f t="shared" ca="1" si="2"/>
        <v>#REF!</v>
      </c>
      <c r="H10" s="46">
        <f t="shared" si="2"/>
        <v>209771.56</v>
      </c>
      <c r="I10" s="39">
        <f>[1]unis!H20</f>
        <v>157</v>
      </c>
      <c r="J10" s="44">
        <f t="shared" ref="J10:O10" si="3">SUM(J8:J9)</f>
        <v>15470870.779999996</v>
      </c>
      <c r="K10" s="44" t="e">
        <f t="shared" ca="1" si="3"/>
        <v>#REF!</v>
      </c>
      <c r="L10" s="44" t="e">
        <f t="shared" ca="1" si="3"/>
        <v>#REF!</v>
      </c>
      <c r="M10" s="45">
        <f t="shared" si="3"/>
        <v>5133141.9800000004</v>
      </c>
      <c r="N10" s="44" t="e">
        <f t="shared" ca="1" si="3"/>
        <v>#REF!</v>
      </c>
      <c r="O10" s="46">
        <f t="shared" si="3"/>
        <v>1018326.46</v>
      </c>
      <c r="P10" s="39">
        <f>[1]unis!H24</f>
        <v>140</v>
      </c>
      <c r="Q10" s="44">
        <f t="shared" ref="Q10:V10" si="4">SUM(Q8:Q9)</f>
        <v>12273169.889999997</v>
      </c>
      <c r="R10" s="44" t="e">
        <f t="shared" ca="1" si="4"/>
        <v>#REF!</v>
      </c>
      <c r="S10" s="44" t="e">
        <f t="shared" ca="1" si="4"/>
        <v>#REF!</v>
      </c>
      <c r="T10" s="45">
        <f t="shared" si="4"/>
        <v>2247103.94</v>
      </c>
      <c r="U10" s="44" t="e">
        <f t="shared" ca="1" si="4"/>
        <v>#REF!</v>
      </c>
      <c r="V10" s="46">
        <f t="shared" si="4"/>
        <v>156367.29000000004</v>
      </c>
      <c r="W10" s="39">
        <f>[1]unis!H28</f>
        <v>214</v>
      </c>
      <c r="X10" s="44">
        <f>SUM(X8:X9)</f>
        <v>6531212.8999999985</v>
      </c>
      <c r="Y10" s="44" t="e">
        <f ca="1">SUM(Y8:Y9)</f>
        <v>#REF!</v>
      </c>
      <c r="Z10" s="46">
        <f>SUM(Z8:Z9)</f>
        <v>54869.399999999994</v>
      </c>
      <c r="AA10" s="39">
        <f>[1]unis!H32</f>
        <v>57</v>
      </c>
      <c r="AB10" s="44">
        <f>SUM(AB8:AB9)</f>
        <v>25176865.890000001</v>
      </c>
      <c r="AC10" s="44">
        <f>SUM(AC8:AC9)</f>
        <v>13499338.830000002</v>
      </c>
      <c r="AD10" s="44" t="e">
        <f ca="1">SUM(AD8:AD9)</f>
        <v>#REF!</v>
      </c>
      <c r="AE10" s="46">
        <f>SUM(AE8:AE9)</f>
        <v>593591.10000000009</v>
      </c>
      <c r="AF10" s="39">
        <f>[1]unis!H36</f>
        <v>197</v>
      </c>
      <c r="AG10" s="44">
        <f t="shared" ref="AG10:AL10" si="5">SUM(AG8:AG9)</f>
        <v>18710716.119999997</v>
      </c>
      <c r="AH10" s="44" t="e">
        <f t="shared" ca="1" si="5"/>
        <v>#REF!</v>
      </c>
      <c r="AI10" s="44" t="e">
        <f t="shared" ca="1" si="5"/>
        <v>#REF!</v>
      </c>
      <c r="AJ10" s="45">
        <f t="shared" si="5"/>
        <v>2873902.3600000003</v>
      </c>
      <c r="AK10" s="44" t="e">
        <f t="shared" ca="1" si="5"/>
        <v>#REF!</v>
      </c>
      <c r="AL10" s="46">
        <f t="shared" si="5"/>
        <v>193798.91</v>
      </c>
      <c r="AM10" s="39">
        <f>[1]unis!H40</f>
        <v>392</v>
      </c>
      <c r="AN10" s="44">
        <f>SUM(AN8:AN9)</f>
        <v>19837713.529999997</v>
      </c>
      <c r="AO10" s="44" t="e">
        <f ca="1">SUM(AO8:AO9)</f>
        <v>#REF!</v>
      </c>
      <c r="AP10" s="46">
        <f>SUM(AP8:AP9)</f>
        <v>7483.3700000000008</v>
      </c>
    </row>
    <row r="11" spans="1:42" x14ac:dyDescent="0.25">
      <c r="A11" s="47">
        <v>44440</v>
      </c>
      <c r="B11" s="48">
        <f>COUNTIFS(
    [1]!estoque[empresa], B$6,
    [1]!estoque[Data da venda / reserva], "&gt;=" &amp; $A11,
    [1]!estoque[Data da venda / reserva], "&lt;"  &amp; EOMONTH($A11,0) + 1
)</f>
        <v>0</v>
      </c>
      <c r="C11" s="49">
        <f>SUMIFS([1]!in.rec[total],
[1]!in.rec[natureza],"pro.soluto",
[1]!in.rec[empresa],C$6,
[1]!in.rec[data.base],"&gt;="&amp;$A11,
[1]!in.rec[data.base],"&lt;"&amp;EOMONTH($A11,0)
)</f>
        <v>0</v>
      </c>
      <c r="D11" s="49">
        <v>0</v>
      </c>
      <c r="E11" s="49">
        <v>0</v>
      </c>
      <c r="F11" s="49">
        <v>0</v>
      </c>
      <c r="G11" s="49">
        <v>0</v>
      </c>
      <c r="H11" s="50"/>
      <c r="I11" s="48">
        <f>COUNTIFS(
    [1]!estoque[empresa], I$6,
    [1]!estoque[Data da venda / reserva], "&gt;=" &amp; $A11,
    [1]!estoque[Data da venda / reserva], "&lt;"  &amp; EOMONTH($A11,0) + 1
)</f>
        <v>0</v>
      </c>
      <c r="J11" s="49">
        <f>SUMIFS([1]!in.rec[total],
[1]!in.rec[natureza],"pro.soluto",
[1]!in.rec[empresa],J$6,
[1]!in.rec[data.base],"&gt;="&amp;$A11,
[1]!in.rec[data.base],"&lt;"&amp;EOMONTH($A11,0)
)</f>
        <v>0</v>
      </c>
      <c r="K11" s="49">
        <v>0</v>
      </c>
      <c r="L11" s="49">
        <v>0</v>
      </c>
      <c r="M11" s="49">
        <v>0</v>
      </c>
      <c r="N11" s="49">
        <v>0</v>
      </c>
      <c r="O11" s="50">
        <v>0</v>
      </c>
      <c r="P11" s="48">
        <f>COUNTIFS(
    [1]!estoque[empresa], P$6,
    [1]!estoque[Data da venda / reserva], "&gt;=" &amp; $A11,
    [1]!estoque[Data da venda / reserva], "&lt;"  &amp; EOMONTH($A11,0) + 1
)</f>
        <v>0</v>
      </c>
      <c r="Q11" s="49">
        <f>SUMIFS([1]!in.rec[total],
[1]!in.rec[natureza],"pro.soluto",
[1]!in.rec[empresa],Q$6,
[1]!in.rec[data.base],"&gt;="&amp;$A11,
[1]!in.rec[data.base],"&lt;"&amp;EOMONTH($A11,0)
)</f>
        <v>0</v>
      </c>
      <c r="R11" s="49">
        <v>0</v>
      </c>
      <c r="S11" s="49">
        <v>0</v>
      </c>
      <c r="T11" s="49">
        <v>0</v>
      </c>
      <c r="U11" s="49">
        <v>0</v>
      </c>
      <c r="V11" s="50">
        <v>0</v>
      </c>
      <c r="W11" s="48">
        <f>COUNTIFS(
    [1]!estoque[empresa], W$6,
    [1]!estoque[Data da venda / reserva], "&gt;=" &amp; $A11,
    [1]!estoque[Data da venda / reserva], "&lt;"  &amp; EOMONTH($A11,0) + 1
)</f>
        <v>0</v>
      </c>
      <c r="X11" s="49">
        <f>SUMIFS([1]!in.rec[total],
[1]!in.rec[natureza],"pro.soluto",
[1]!in.rec[empresa],X$6,
[1]!in.rec[data.base],"&gt;="&amp;$A11,
[1]!in.rec[data.base],"&lt;"&amp;EOMONTH($A11,0)
)</f>
        <v>0</v>
      </c>
      <c r="Y11" s="49">
        <v>0</v>
      </c>
      <c r="Z11" s="50">
        <v>0</v>
      </c>
      <c r="AA11" s="48">
        <f>COUNTIFS(
    [1]!estoque[empresa], AA$6,
    [1]!estoque[Data da venda / reserva], "&gt;=" &amp; $A11,
    [1]!estoque[Data da venda / reserva], "&lt;"  &amp; EOMONTH($A11,0) + 1
)</f>
        <v>0</v>
      </c>
      <c r="AB11" s="49">
        <f>SUMIFS([1]!in.rec[total],
[1]!in.rec[natureza],"pro.soluto",
[1]!in.rec[empresa],AB$6,
[1]!in.rec[data.base],"&gt;="&amp;$A11,
[1]!in.rec[data.base],"&lt;"&amp;EOMONTH($A11,0)
)</f>
        <v>0</v>
      </c>
      <c r="AC11" s="49">
        <f>IF(
$A11&lt;=$A$1,
SUMIFS([1]!in.rec[total],
   [1]!in.rec[empresa],AC$6,
   [1]!in.rec[ele],"FIN",
   [1]!in.rec[data.pagamento],"&gt;="&amp;$A11,
   [1]!in.rec[data.pagamento],"&lt;"&amp;$A12
),
SUMIFS([1]!in.rec[total],
   [1]!in.rec[empresa],AC$6,
   [1]!in.rec[ele],"FIN",
   [1]!in.rec[data.vencimento],"&gt;="&amp;$A11,
   [1]!in.rec[data.vencimento],"&lt;"&amp;$A12
)
)</f>
        <v>0</v>
      </c>
      <c r="AD11" s="49">
        <v>0</v>
      </c>
      <c r="AE11" s="50">
        <v>0</v>
      </c>
      <c r="AF11" s="48">
        <f>COUNTIFS(
    [1]!estoque[empresa], AF$6,
    [1]!estoque[Data da venda / reserva], "&gt;=" &amp; $A11,
    [1]!estoque[Data da venda / reserva], "&lt;"  &amp; EOMONTH($A11,0) + 1
)</f>
        <v>0</v>
      </c>
      <c r="AG11" s="49">
        <f>SUMIFS([1]!in.rec[total],
[1]!in.rec[natureza],"pro.soluto",
[1]!in.rec[empresa],AG$6,
[1]!in.rec[data.base],"&gt;="&amp;$A11,
[1]!in.rec[data.base],"&lt;"&amp;EOMONTH($A11,0)
)</f>
        <v>0</v>
      </c>
      <c r="AH11" s="49">
        <v>0</v>
      </c>
      <c r="AI11" s="49">
        <v>0</v>
      </c>
      <c r="AJ11" s="49">
        <v>0</v>
      </c>
      <c r="AK11" s="49">
        <v>0</v>
      </c>
      <c r="AL11" s="50">
        <v>0</v>
      </c>
      <c r="AM11" s="48">
        <f>COUNTIFS(
    [1]!estoque[empresa], AM$6,
    [1]!estoque[Data da venda / reserva], "&gt;=" &amp; $A11,
    [1]!estoque[Data da venda / reserva], "&lt;"  &amp; EOMONTH($A11,0) + 1
)</f>
        <v>0</v>
      </c>
      <c r="AN11" s="49">
        <f>SUMIFS([1]!in.rec[total],
[1]!in.rec[natureza],"pro.soluto",
[1]!in.rec[empresa],AN$6,
[1]!in.rec[data.base],"&gt;="&amp;$A11,
[1]!in.rec[data.base],"&lt;"&amp;EOMONTH($A11,0)
)</f>
        <v>0</v>
      </c>
      <c r="AO11" s="49">
        <v>0</v>
      </c>
      <c r="AP11" s="50">
        <v>0</v>
      </c>
    </row>
    <row r="12" spans="1:42" x14ac:dyDescent="0.25">
      <c r="A12" s="47">
        <v>44470</v>
      </c>
      <c r="B12" s="48">
        <f>COUNTIFS(
    [1]!estoque[empresa], B$6,
    [1]!estoque[Data da venda / reserva], "&gt;=" &amp; $A12,
    [1]!estoque[Data da venda / reserva], "&lt;"  &amp; EOMONTH($A12,0) + 1
)</f>
        <v>0</v>
      </c>
      <c r="C12" s="49">
        <f>SUMIFS([1]!in.rec[total],
[1]!in.rec[natureza],"pro.soluto",
[1]!in.rec[empresa],C$6,
[1]!in.rec[data.base],"&gt;="&amp;$A12,
[1]!in.rec[data.base],"&lt;"&amp;EOMONTH($A12,0)
)</f>
        <v>0</v>
      </c>
      <c r="D12" s="49">
        <v>0</v>
      </c>
      <c r="E12" s="49">
        <v>0</v>
      </c>
      <c r="F12" s="49">
        <v>0</v>
      </c>
      <c r="G12" s="49">
        <v>0</v>
      </c>
      <c r="H12" s="50"/>
      <c r="I12" s="48">
        <f>COUNTIFS(
    [1]!estoque[empresa], I$6,
    [1]!estoque[Data da venda / reserva], "&gt;=" &amp; $A12,
    [1]!estoque[Data da venda / reserva], "&lt;"  &amp; EOMONTH($A12,0) + 1
)</f>
        <v>0</v>
      </c>
      <c r="J12" s="49">
        <f>SUMIFS([1]!in.rec[total],
[1]!in.rec[natureza],"pro.soluto",
[1]!in.rec[empresa],J$6,
[1]!in.rec[data.base],"&gt;="&amp;$A12,
[1]!in.rec[data.base],"&lt;"&amp;EOMONTH($A12,0)
)</f>
        <v>0</v>
      </c>
      <c r="K12" s="49">
        <v>0</v>
      </c>
      <c r="L12" s="49">
        <v>0</v>
      </c>
      <c r="M12" s="49">
        <v>0</v>
      </c>
      <c r="N12" s="49">
        <v>0</v>
      </c>
      <c r="O12" s="50">
        <v>0</v>
      </c>
      <c r="P12" s="48">
        <f>COUNTIFS(
    [1]!estoque[empresa], P$6,
    [1]!estoque[Data da venda / reserva], "&gt;=" &amp; $A12,
    [1]!estoque[Data da venda / reserva], "&lt;"  &amp; EOMONTH($A12,0) + 1
)</f>
        <v>0</v>
      </c>
      <c r="Q12" s="49">
        <f>SUMIFS([1]!in.rec[total],
[1]!in.rec[natureza],"pro.soluto",
[1]!in.rec[empresa],Q$6,
[1]!in.rec[data.base],"&gt;="&amp;$A12,
[1]!in.rec[data.base],"&lt;"&amp;EOMONTH($A12,0)
)</f>
        <v>0</v>
      </c>
      <c r="R12" s="49">
        <v>0</v>
      </c>
      <c r="S12" s="49">
        <v>0</v>
      </c>
      <c r="T12" s="49">
        <v>0</v>
      </c>
      <c r="U12" s="49">
        <v>0</v>
      </c>
      <c r="V12" s="50">
        <v>0</v>
      </c>
      <c r="W12" s="48">
        <f>COUNTIFS(
    [1]!estoque[empresa], W$6,
    [1]!estoque[Data da venda / reserva], "&gt;=" &amp; $A12,
    [1]!estoque[Data da venda / reserva], "&lt;"  &amp; EOMONTH($A12,0) + 1
)</f>
        <v>0</v>
      </c>
      <c r="X12" s="49">
        <f>SUMIFS([1]!in.rec[total],
[1]!in.rec[natureza],"pro.soluto",
[1]!in.rec[empresa],X$6,
[1]!in.rec[data.base],"&gt;="&amp;$A12,
[1]!in.rec[data.base],"&lt;"&amp;EOMONTH($A12,0)
)</f>
        <v>0</v>
      </c>
      <c r="Y12" s="49">
        <v>0</v>
      </c>
      <c r="Z12" s="50">
        <v>0</v>
      </c>
      <c r="AA12" s="48">
        <f>COUNTIFS(
    [1]!estoque[empresa], AA$6,
    [1]!estoque[Data da venda / reserva], "&gt;=" &amp; $A12,
    [1]!estoque[Data da venda / reserva], "&lt;"  &amp; EOMONTH($A12,0) + 1
)</f>
        <v>0</v>
      </c>
      <c r="AB12" s="49">
        <f>SUMIFS([1]!in.rec[total],
[1]!in.rec[natureza],"pro.soluto",
[1]!in.rec[empresa],AB$6,
[1]!in.rec[data.base],"&gt;="&amp;$A12,
[1]!in.rec[data.base],"&lt;"&amp;EOMONTH($A12,0)
)</f>
        <v>0</v>
      </c>
      <c r="AC12" s="49">
        <f>IF(
$A12&lt;=$A$1,
SUMIFS([1]!in.rec[total],
   [1]!in.rec[empresa],AC$6,
   [1]!in.rec[ele],"FIN",
   [1]!in.rec[data.pagamento],"&gt;="&amp;$A12,
   [1]!in.rec[data.pagamento],"&lt;"&amp;$A13
),
SUMIFS([1]!in.rec[total],
   [1]!in.rec[empresa],AC$6,
   [1]!in.rec[ele],"FIN",
   [1]!in.rec[data.vencimento],"&gt;="&amp;$A12,
   [1]!in.rec[data.vencimento],"&lt;"&amp;$A13
)
)</f>
        <v>0</v>
      </c>
      <c r="AD12" s="49">
        <v>0</v>
      </c>
      <c r="AE12" s="50">
        <v>0</v>
      </c>
      <c r="AF12" s="48">
        <f>COUNTIFS(
    [1]!estoque[empresa], AF$6,
    [1]!estoque[Data da venda / reserva], "&gt;=" &amp; $A12,
    [1]!estoque[Data da venda / reserva], "&lt;"  &amp; EOMONTH($A12,0) + 1
)</f>
        <v>0</v>
      </c>
      <c r="AG12" s="49">
        <f>SUMIFS([1]!in.rec[total],
[1]!in.rec[natureza],"pro.soluto",
[1]!in.rec[empresa],AG$6,
[1]!in.rec[data.base],"&gt;="&amp;$A12,
[1]!in.rec[data.base],"&lt;"&amp;EOMONTH($A12,0)
)</f>
        <v>0</v>
      </c>
      <c r="AH12" s="49">
        <v>0</v>
      </c>
      <c r="AI12" s="49">
        <v>0</v>
      </c>
      <c r="AJ12" s="49">
        <v>0</v>
      </c>
      <c r="AK12" s="49">
        <v>0</v>
      </c>
      <c r="AL12" s="50">
        <v>0</v>
      </c>
      <c r="AM12" s="48">
        <f>COUNTIFS(
    [1]!estoque[empresa], AM$6,
    [1]!estoque[Data da venda / reserva], "&gt;=" &amp; $A12,
    [1]!estoque[Data da venda / reserva], "&lt;"  &amp; EOMONTH($A12,0) + 1
)</f>
        <v>0</v>
      </c>
      <c r="AN12" s="49">
        <f>SUMIFS([1]!in.rec[total],
[1]!in.rec[natureza],"pro.soluto",
[1]!in.rec[empresa],AN$6,
[1]!in.rec[data.base],"&gt;="&amp;$A12,
[1]!in.rec[data.base],"&lt;"&amp;EOMONTH($A12,0)
)</f>
        <v>0</v>
      </c>
      <c r="AO12" s="49">
        <v>0</v>
      </c>
      <c r="AP12" s="50">
        <v>0</v>
      </c>
    </row>
    <row r="13" spans="1:42" x14ac:dyDescent="0.25">
      <c r="A13" s="47">
        <v>44501</v>
      </c>
      <c r="B13" s="48">
        <f>COUNTIFS(
    [1]!estoque[empresa], B$6,
    [1]!estoque[Data da venda / reserva], "&gt;=" &amp; $A13,
    [1]!estoque[Data da venda / reserva], "&lt;"  &amp; EOMONTH($A13,0) + 1
)</f>
        <v>0</v>
      </c>
      <c r="C13" s="49">
        <f>SUMIFS([1]!in.rec[total],
[1]!in.rec[natureza],"pro.soluto",
[1]!in.rec[empresa],C$6,
[1]!in.rec[data.base],"&gt;="&amp;$A13,
[1]!in.rec[data.base],"&lt;"&amp;EOMONTH($A13,0)
)</f>
        <v>0</v>
      </c>
      <c r="D13" s="49">
        <v>0</v>
      </c>
      <c r="E13" s="49">
        <v>0</v>
      </c>
      <c r="F13" s="49">
        <v>0</v>
      </c>
      <c r="G13" s="49">
        <v>0</v>
      </c>
      <c r="H13" s="50"/>
      <c r="I13" s="48">
        <f>COUNTIFS(
    [1]!estoque[empresa], I$6,
    [1]!estoque[Data da venda / reserva], "&gt;=" &amp; $A13,
    [1]!estoque[Data da venda / reserva], "&lt;"  &amp; EOMONTH($A13,0) + 1
)</f>
        <v>0</v>
      </c>
      <c r="J13" s="49">
        <f>SUMIFS([1]!in.rec[total],
[1]!in.rec[natureza],"pro.soluto",
[1]!in.rec[empresa],J$6,
[1]!in.rec[data.base],"&gt;="&amp;$A13,
[1]!in.rec[data.base],"&lt;"&amp;EOMONTH($A13,0)
)</f>
        <v>0</v>
      </c>
      <c r="K13" s="49">
        <v>0</v>
      </c>
      <c r="L13" s="49">
        <v>0</v>
      </c>
      <c r="M13" s="49">
        <v>0</v>
      </c>
      <c r="N13" s="49">
        <v>0</v>
      </c>
      <c r="O13" s="50">
        <v>0</v>
      </c>
      <c r="P13" s="48">
        <f>COUNTIFS(
    [1]!estoque[empresa], P$6,
    [1]!estoque[Data da venda / reserva], "&gt;=" &amp; $A13,
    [1]!estoque[Data da venda / reserva], "&lt;"  &amp; EOMONTH($A13,0) + 1
)</f>
        <v>0</v>
      </c>
      <c r="Q13" s="49">
        <f>SUMIFS([1]!in.rec[total],
[1]!in.rec[natureza],"pro.soluto",
[1]!in.rec[empresa],Q$6,
[1]!in.rec[data.base],"&gt;="&amp;$A13,
[1]!in.rec[data.base],"&lt;"&amp;EOMONTH($A13,0)
)</f>
        <v>0</v>
      </c>
      <c r="R13" s="49">
        <v>0</v>
      </c>
      <c r="S13" s="49">
        <v>0</v>
      </c>
      <c r="T13" s="49">
        <v>0</v>
      </c>
      <c r="U13" s="49">
        <v>0</v>
      </c>
      <c r="V13" s="50">
        <v>0</v>
      </c>
      <c r="W13" s="48">
        <f>COUNTIFS(
    [1]!estoque[empresa], W$6,
    [1]!estoque[Data da venda / reserva], "&gt;=" &amp; $A13,
    [1]!estoque[Data da venda / reserva], "&lt;"  &amp; EOMONTH($A13,0) + 1
)</f>
        <v>0</v>
      </c>
      <c r="X13" s="49">
        <f>SUMIFS([1]!in.rec[total],
[1]!in.rec[natureza],"pro.soluto",
[1]!in.rec[empresa],X$6,
[1]!in.rec[data.base],"&gt;="&amp;$A13,
[1]!in.rec[data.base],"&lt;"&amp;EOMONTH($A13,0)
)</f>
        <v>0</v>
      </c>
      <c r="Y13" s="49">
        <v>0</v>
      </c>
      <c r="Z13" s="50">
        <v>0</v>
      </c>
      <c r="AA13" s="48">
        <f>COUNTIFS(
    [1]!estoque[empresa], AA$6,
    [1]!estoque[Data da venda / reserva], "&gt;=" &amp; $A13,
    [1]!estoque[Data da venda / reserva], "&lt;"  &amp; EOMONTH($A13,0) + 1
)</f>
        <v>0</v>
      </c>
      <c r="AB13" s="49">
        <f>SUMIFS([1]!in.rec[total],
[1]!in.rec[natureza],"pro.soluto",
[1]!in.rec[empresa],AB$6,
[1]!in.rec[data.base],"&gt;="&amp;$A13,
[1]!in.rec[data.base],"&lt;"&amp;EOMONTH($A13,0)
)</f>
        <v>0</v>
      </c>
      <c r="AC13" s="49">
        <f>IF(
$A13&lt;=$A$1,
SUMIFS([1]!in.rec[total],
   [1]!in.rec[empresa],AC$6,
   [1]!in.rec[ele],"FIN",
   [1]!in.rec[data.pagamento],"&gt;="&amp;$A13,
   [1]!in.rec[data.pagamento],"&lt;"&amp;$A14
),
SUMIFS([1]!in.rec[total],
   [1]!in.rec[empresa],AC$6,
   [1]!in.rec[ele],"FIN",
   [1]!in.rec[data.vencimento],"&gt;="&amp;$A13,
   [1]!in.rec[data.vencimento],"&lt;"&amp;$A14
)
)</f>
        <v>0</v>
      </c>
      <c r="AD13" s="49">
        <v>0</v>
      </c>
      <c r="AE13" s="50">
        <v>0</v>
      </c>
      <c r="AF13" s="48">
        <f>COUNTIFS(
    [1]!estoque[empresa], AF$6,
    [1]!estoque[Data da venda / reserva], "&gt;=" &amp; $A13,
    [1]!estoque[Data da venda / reserva], "&lt;"  &amp; EOMONTH($A13,0) + 1
)</f>
        <v>0</v>
      </c>
      <c r="AG13" s="49">
        <f>SUMIFS([1]!in.rec[total],
[1]!in.rec[natureza],"pro.soluto",
[1]!in.rec[empresa],AG$6,
[1]!in.rec[data.base],"&gt;="&amp;$A13,
[1]!in.rec[data.base],"&lt;"&amp;EOMONTH($A13,0)
)</f>
        <v>0</v>
      </c>
      <c r="AH13" s="49">
        <v>0</v>
      </c>
      <c r="AI13" s="49">
        <v>0</v>
      </c>
      <c r="AJ13" s="49">
        <v>0</v>
      </c>
      <c r="AK13" s="49">
        <v>0</v>
      </c>
      <c r="AL13" s="50">
        <v>0</v>
      </c>
      <c r="AM13" s="48">
        <f>COUNTIFS(
    [1]!estoque[empresa], AM$6,
    [1]!estoque[Data da venda / reserva], "&gt;=" &amp; $A13,
    [1]!estoque[Data da venda / reserva], "&lt;"  &amp; EOMONTH($A13,0) + 1
)</f>
        <v>0</v>
      </c>
      <c r="AN13" s="49">
        <f>SUMIFS([1]!in.rec[total],
[1]!in.rec[natureza],"pro.soluto",
[1]!in.rec[empresa],AN$6,
[1]!in.rec[data.base],"&gt;="&amp;$A13,
[1]!in.rec[data.base],"&lt;"&amp;EOMONTH($A13,0)
)</f>
        <v>0</v>
      </c>
      <c r="AO13" s="49">
        <v>0</v>
      </c>
      <c r="AP13" s="50">
        <v>0</v>
      </c>
    </row>
    <row r="14" spans="1:42" x14ac:dyDescent="0.25">
      <c r="A14" s="47">
        <v>44531</v>
      </c>
      <c r="B14" s="48">
        <f>COUNTIFS(
    [1]!estoque[empresa], B$6,
    [1]!estoque[Data da venda / reserva], "&gt;=" &amp; $A14,
    [1]!estoque[Data da venda / reserva], "&lt;"  &amp; EOMONTH($A14,0) + 1
)</f>
        <v>0</v>
      </c>
      <c r="C14" s="49">
        <f>SUMIFS([1]!in.rec[total],
[1]!in.rec[natureza],"pro.soluto",
[1]!in.rec[empresa],C$6,
[1]!in.rec[data.base],"&gt;="&amp;$A14,
[1]!in.rec[data.base],"&lt;"&amp;EOMONTH($A14,0)
)</f>
        <v>0</v>
      </c>
      <c r="D14" s="49">
        <v>0</v>
      </c>
      <c r="E14" s="49">
        <v>0</v>
      </c>
      <c r="F14" s="49">
        <v>0</v>
      </c>
      <c r="G14" s="49">
        <v>0</v>
      </c>
      <c r="H14" s="50"/>
      <c r="I14" s="48">
        <f>COUNTIFS(
    [1]!estoque[empresa], I$6,
    [1]!estoque[Data da venda / reserva], "&gt;=" &amp; $A14,
    [1]!estoque[Data da venda / reserva], "&lt;"  &amp; EOMONTH($A14,0) + 1
)</f>
        <v>0</v>
      </c>
      <c r="J14" s="49">
        <f>SUMIFS([1]!in.rec[total],
[1]!in.rec[natureza],"pro.soluto",
[1]!in.rec[empresa],J$6,
[1]!in.rec[data.base],"&gt;="&amp;$A14,
[1]!in.rec[data.base],"&lt;"&amp;EOMONTH($A14,0)
)</f>
        <v>0</v>
      </c>
      <c r="K14" s="49">
        <v>0</v>
      </c>
      <c r="L14" s="49">
        <v>0</v>
      </c>
      <c r="M14" s="49">
        <v>0</v>
      </c>
      <c r="N14" s="49">
        <v>0</v>
      </c>
      <c r="O14" s="50">
        <v>0</v>
      </c>
      <c r="P14" s="48">
        <f>COUNTIFS(
    [1]!estoque[empresa], P$6,
    [1]!estoque[Data da venda / reserva], "&gt;=" &amp; $A14,
    [1]!estoque[Data da venda / reserva], "&lt;"  &amp; EOMONTH($A14,0) + 1
)</f>
        <v>0</v>
      </c>
      <c r="Q14" s="49">
        <f>SUMIFS([1]!in.rec[total],
[1]!in.rec[natureza],"pro.soluto",
[1]!in.rec[empresa],Q$6,
[1]!in.rec[data.base],"&gt;="&amp;$A14,
[1]!in.rec[data.base],"&lt;"&amp;EOMONTH($A14,0)
)</f>
        <v>0</v>
      </c>
      <c r="R14" s="49">
        <v>0</v>
      </c>
      <c r="S14" s="49">
        <v>0</v>
      </c>
      <c r="T14" s="49">
        <v>0</v>
      </c>
      <c r="U14" s="49">
        <v>0</v>
      </c>
      <c r="V14" s="50">
        <v>0</v>
      </c>
      <c r="W14" s="48">
        <f>COUNTIFS(
    [1]!estoque[empresa], W$6,
    [1]!estoque[Data da venda / reserva], "&gt;=" &amp; $A14,
    [1]!estoque[Data da venda / reserva], "&lt;"  &amp; EOMONTH($A14,0) + 1
)</f>
        <v>0</v>
      </c>
      <c r="X14" s="49">
        <f>SUMIFS([1]!in.rec[total],
[1]!in.rec[natureza],"pro.soluto",
[1]!in.rec[empresa],X$6,
[1]!in.rec[data.base],"&gt;="&amp;$A14,
[1]!in.rec[data.base],"&lt;"&amp;EOMONTH($A14,0)
)</f>
        <v>0</v>
      </c>
      <c r="Y14" s="49">
        <v>0</v>
      </c>
      <c r="Z14" s="50">
        <v>0</v>
      </c>
      <c r="AA14" s="48">
        <f>COUNTIFS(
    [1]!estoque[empresa], AA$6,
    [1]!estoque[Data da venda / reserva], "&gt;=" &amp; $A14,
    [1]!estoque[Data da venda / reserva], "&lt;"  &amp; EOMONTH($A14,0) + 1
)</f>
        <v>0</v>
      </c>
      <c r="AB14" s="49">
        <f>SUMIFS([1]!in.rec[total],
[1]!in.rec[natureza],"pro.soluto",
[1]!in.rec[empresa],AB$6,
[1]!in.rec[data.base],"&gt;="&amp;$A14,
[1]!in.rec[data.base],"&lt;"&amp;EOMONTH($A14,0)
)</f>
        <v>0</v>
      </c>
      <c r="AC14" s="49">
        <f>IF(
$A14&lt;=$A$1,
SUMIFS([1]!in.rec[total],
   [1]!in.rec[empresa],AC$6,
   [1]!in.rec[ele],"FIN",
   [1]!in.rec[data.pagamento],"&gt;="&amp;$A14,
   [1]!in.rec[data.pagamento],"&lt;"&amp;$A15
),
SUMIFS([1]!in.rec[total],
   [1]!in.rec[empresa],AC$6,
   [1]!in.rec[ele],"FIN",
   [1]!in.rec[data.vencimento],"&gt;="&amp;$A14,
   [1]!in.rec[data.vencimento],"&lt;"&amp;$A15
)
)</f>
        <v>0</v>
      </c>
      <c r="AD14" s="49">
        <v>0</v>
      </c>
      <c r="AE14" s="50">
        <v>0</v>
      </c>
      <c r="AF14" s="48">
        <f>COUNTIFS(
    [1]!estoque[empresa], AF$6,
    [1]!estoque[Data da venda / reserva], "&gt;=" &amp; $A14,
    [1]!estoque[Data da venda / reserva], "&lt;"  &amp; EOMONTH($A14,0) + 1
)</f>
        <v>0</v>
      </c>
      <c r="AG14" s="49">
        <f>SUMIFS([1]!in.rec[total],
[1]!in.rec[natureza],"pro.soluto",
[1]!in.rec[empresa],AG$6,
[1]!in.rec[data.base],"&gt;="&amp;$A14,
[1]!in.rec[data.base],"&lt;"&amp;EOMONTH($A14,0)
)</f>
        <v>0</v>
      </c>
      <c r="AH14" s="49">
        <v>0</v>
      </c>
      <c r="AI14" s="49">
        <v>0</v>
      </c>
      <c r="AJ14" s="49">
        <v>0</v>
      </c>
      <c r="AK14" s="49">
        <v>0</v>
      </c>
      <c r="AL14" s="50">
        <v>0</v>
      </c>
      <c r="AM14" s="48">
        <f>COUNTIFS(
    [1]!estoque[empresa], AM$6,
    [1]!estoque[Data da venda / reserva], "&gt;=" &amp; $A14,
    [1]!estoque[Data da venda / reserva], "&lt;"  &amp; EOMONTH($A14,0) + 1
)</f>
        <v>0</v>
      </c>
      <c r="AN14" s="49">
        <f>SUMIFS([1]!in.rec[total],
[1]!in.rec[natureza],"pro.soluto",
[1]!in.rec[empresa],AN$6,
[1]!in.rec[data.base],"&gt;="&amp;$A14,
[1]!in.rec[data.base],"&lt;"&amp;EOMONTH($A14,0)
)</f>
        <v>0</v>
      </c>
      <c r="AO14" s="49">
        <v>0</v>
      </c>
      <c r="AP14" s="50">
        <v>0</v>
      </c>
    </row>
    <row r="15" spans="1:42" x14ac:dyDescent="0.25">
      <c r="A15" s="47">
        <v>44562</v>
      </c>
      <c r="B15" s="48">
        <f>COUNTIFS(
    [1]!estoque[empresa], B$6,
    [1]!estoque[Data da venda / reserva], "&gt;=" &amp; $A15,
    [1]!estoque[Data da venda / reserva], "&lt;"  &amp; EOMONTH($A15,0) + 1
)</f>
        <v>0</v>
      </c>
      <c r="C15" s="49">
        <f>SUMIFS([1]!in.rec[total],
[1]!in.rec[natureza],"pro.soluto",
[1]!in.rec[empresa],C$6,
[1]!in.rec[data.base],"&gt;="&amp;$A15,
[1]!in.rec[data.base],"&lt;"&amp;EOMONTH($A15,0)
)</f>
        <v>0</v>
      </c>
      <c r="D15" s="49" t="e">
        <f ca="1">SUMIFS([1]!rec.uni[2022-01-01],
INDIRECT("rec.uni[natureza]"),"repasse.cef.obra",
INDIRECT("rec.uni[empresa]"),D$6)</f>
        <v>#REF!</v>
      </c>
      <c r="E15" s="49" t="e">
        <f ca="1">SUMIFS([1]!rec.uni[2022-01-01],
INDIRECT("rec.uni[natureza]"),"repasse.cef.terreno",
INDIRECT("rec.uni[empresa]"),E$6)</f>
        <v>#REF!</v>
      </c>
      <c r="F15" s="49">
        <v>0</v>
      </c>
      <c r="G15" s="49" t="e">
        <f ca="1">SUMIFS([1]!rec.uni[2022-01-01],
INDIRECT("rec.uni[natureza]"),"taxa.extra",
INDIRECT("rec.uni[empresa]"),G$6)</f>
        <v>#REF!</v>
      </c>
      <c r="H15" s="50"/>
      <c r="I15" s="48">
        <f>COUNTIFS(
    [1]!estoque[empresa], I$6,
    [1]!estoque[Data da venda / reserva], "&gt;=" &amp; $A15,
    [1]!estoque[Data da venda / reserva], "&lt;"  &amp; EOMONTH($A15,0) + 1
)</f>
        <v>0</v>
      </c>
      <c r="J15" s="49">
        <f>SUMIFS([1]!in.rec[total],
[1]!in.rec[natureza],"pro.soluto",
[1]!in.rec[empresa],J$6,
[1]!in.rec[data.base],"&gt;="&amp;$A15,
[1]!in.rec[data.base],"&lt;"&amp;EOMONTH($A15,0)
)</f>
        <v>1297500</v>
      </c>
      <c r="K15" s="49" t="e">
        <f ca="1">SUMIFS([1]!rec.uni[2022-01-01],
INDIRECT("rec.uni[natureza]"),"repasse.cef.obra",
INDIRECT("rec.uni[empresa]"),K$6)</f>
        <v>#REF!</v>
      </c>
      <c r="L15" s="49" t="e">
        <f ca="1">SUMIFS([1]!rec.uni[2022-01-01],
INDIRECT("rec.uni[natureza]"),"repasse.cef.terreno",
INDIRECT("rec.uni[empresa]"),L$6)</f>
        <v>#REF!</v>
      </c>
      <c r="M15" s="49">
        <v>0</v>
      </c>
      <c r="N15" s="49" t="e">
        <f ca="1">SUMIFS([1]!rec.uni[2022-01-01],
INDIRECT("rec.uni[natureza]"),"taxa.extra",
INDIRECT("rec.uni[empresa]"),N$6)</f>
        <v>#REF!</v>
      </c>
      <c r="O15" s="50">
        <v>0</v>
      </c>
      <c r="P15" s="48">
        <f>COUNTIFS(
    [1]!estoque[empresa], P$6,
    [1]!estoque[Data da venda / reserva], "&gt;=" &amp; $A15,
    [1]!estoque[Data da venda / reserva], "&lt;"  &amp; EOMONTH($A15,0) + 1
)</f>
        <v>0</v>
      </c>
      <c r="Q15" s="49">
        <f>SUMIFS([1]!in.rec[total],
[1]!in.rec[natureza],"pro.soluto",
[1]!in.rec[empresa],Q$6,
[1]!in.rec[data.base],"&gt;="&amp;$A15,
[1]!in.rec[data.base],"&lt;"&amp;EOMONTH($A15,0)
)</f>
        <v>0</v>
      </c>
      <c r="R15" s="49" t="e">
        <f ca="1">SUMIFS([1]!rec.uni[2022-01-01],
INDIRECT("rec.uni[natureza]"),"repasse.cef.obra",
INDIRECT("rec.uni[empresa]"),R$6)</f>
        <v>#REF!</v>
      </c>
      <c r="S15" s="49" t="e">
        <f ca="1">SUMIFS([1]!rec.uni[2022-01-01],
INDIRECT("rec.uni[natureza]"),"repasse.cef.terreno",
INDIRECT("rec.uni[empresa]"),S$6)</f>
        <v>#REF!</v>
      </c>
      <c r="T15" s="49">
        <v>0</v>
      </c>
      <c r="U15" s="49" t="e">
        <f ca="1">SUMIFS([1]!rec.uni[2022-01-01],
INDIRECT("rec.uni[natureza]"),"taxa.extra",
INDIRECT("rec.uni[empresa]"),U$6)</f>
        <v>#REF!</v>
      </c>
      <c r="V15" s="50">
        <v>0</v>
      </c>
      <c r="W15" s="48">
        <f>COUNTIFS(
    [1]!estoque[empresa], W$6,
    [1]!estoque[Data da venda / reserva], "&gt;=" &amp; $A15,
    [1]!estoque[Data da venda / reserva], "&lt;"  &amp; EOMONTH($A15,0) + 1
)</f>
        <v>0</v>
      </c>
      <c r="X15" s="49">
        <f>SUMIFS([1]!in.rec[total],
[1]!in.rec[natureza],"pro.soluto",
[1]!in.rec[empresa],X$6,
[1]!in.rec[data.base],"&gt;="&amp;$A15,
[1]!in.rec[data.base],"&lt;"&amp;EOMONTH($A15,0)
)</f>
        <v>0</v>
      </c>
      <c r="Y15" s="49" t="e">
        <f ca="1">SUMIFS([1]!rec.uni[2022-01-01],
INDIRECT("rec.uni[natureza]"),"taxa.extra",
INDIRECT("rec.uni[empresa]"),Y$6)</f>
        <v>#REF!</v>
      </c>
      <c r="Z15" s="50">
        <v>0</v>
      </c>
      <c r="AA15" s="48">
        <f>COUNTIFS(
    [1]!estoque[empresa], AA$6,
    [1]!estoque[Data da venda / reserva], "&gt;=" &amp; $A15,
    [1]!estoque[Data da venda / reserva], "&lt;"  &amp; EOMONTH($A15,0) + 1
)</f>
        <v>0</v>
      </c>
      <c r="AB15" s="49">
        <f>SUMIFS([1]!in.rec[total],
[1]!in.rec[natureza],"pro.soluto",
[1]!in.rec[empresa],AB$6,
[1]!in.rec[data.base],"&gt;="&amp;$A15,
[1]!in.rec[data.base],"&lt;"&amp;EOMONTH($A15,0)
)</f>
        <v>0</v>
      </c>
      <c r="AC15" s="49">
        <f>IF(
$A15&lt;=$A$1,
SUMIFS([1]!in.rec[total],
   [1]!in.rec[empresa],AC$6,
   [1]!in.rec[ele],"FIN",
   [1]!in.rec[data.pagamento],"&gt;="&amp;$A15,
   [1]!in.rec[data.pagamento],"&lt;"&amp;$A16
),
SUMIFS([1]!in.rec[total],
   [1]!in.rec[empresa],AC$6,
   [1]!in.rec[ele],"FIN",
   [1]!in.rec[data.vencimento],"&gt;="&amp;$A15,
   [1]!in.rec[data.vencimento],"&lt;"&amp;$A16
)
)</f>
        <v>0</v>
      </c>
      <c r="AD15" s="49" t="e">
        <f ca="1">SUMIFS([1]!rec.uni[2022-01-01],
INDIRECT("rec.uni[natureza]"),"taxa.extra",
INDIRECT("rec.uni[empresa]"),AD$6)</f>
        <v>#REF!</v>
      </c>
      <c r="AE15" s="50">
        <v>0</v>
      </c>
      <c r="AF15" s="48">
        <f>COUNTIFS(
    [1]!estoque[empresa], AF$6,
    [1]!estoque[Data da venda / reserva], "&gt;=" &amp; $A15,
    [1]!estoque[Data da venda / reserva], "&lt;"  &amp; EOMONTH($A15,0) + 1
)</f>
        <v>0</v>
      </c>
      <c r="AG15" s="49">
        <f>SUMIFS([1]!in.rec[total],
[1]!in.rec[natureza],"pro.soluto",
[1]!in.rec[empresa],AG$6,
[1]!in.rec[data.base],"&gt;="&amp;$A15,
[1]!in.rec[data.base],"&lt;"&amp;EOMONTH($A15,0)
)</f>
        <v>0</v>
      </c>
      <c r="AH15" s="49" t="e">
        <f ca="1">SUMIFS([1]!rec.uni[2022-01-01],
INDIRECT("rec.uni[natureza]"),"repasse.cef.obra",
INDIRECT("rec.uni[empresa]"),AH$6)</f>
        <v>#REF!</v>
      </c>
      <c r="AI15" s="49" t="e">
        <f ca="1">SUMIFS([1]!rec.uni[2022-01-01],
INDIRECT("rec.uni[natureza]"),"repasse.cef.terreno",
INDIRECT("rec.uni[empresa]"),AI$6)</f>
        <v>#REF!</v>
      </c>
      <c r="AJ15" s="49">
        <v>0</v>
      </c>
      <c r="AK15" s="49" t="e">
        <f ca="1">SUMIFS([1]!rec.uni[2022-01-01],
INDIRECT("rec.uni[natureza]"),"taxa.extra",
INDIRECT("rec.uni[empresa]"),AK$6)</f>
        <v>#REF!</v>
      </c>
      <c r="AL15" s="50">
        <v>0</v>
      </c>
      <c r="AM15" s="48">
        <f>COUNTIFS(
    [1]!estoque[empresa], AM$6,
    [1]!estoque[Data da venda / reserva], "&gt;=" &amp; $A15,
    [1]!estoque[Data da venda / reserva], "&lt;"  &amp; EOMONTH($A15,0) + 1
)</f>
        <v>0</v>
      </c>
      <c r="AN15" s="49">
        <f>SUMIFS([1]!in.rec[total],
[1]!in.rec[natureza],"pro.soluto",
[1]!in.rec[empresa],AN$6,
[1]!in.rec[data.base],"&gt;="&amp;$A15,
[1]!in.rec[data.base],"&lt;"&amp;EOMONTH($A15,0)
)</f>
        <v>0</v>
      </c>
      <c r="AO15" s="49" t="e">
        <f ca="1">SUMIFS([1]!rec.uni[2022-01-01],
INDIRECT("rec.uni[natureza]"),"taxa.extra",
INDIRECT("rec.uni[empresa]"),AO$6)</f>
        <v>#REF!</v>
      </c>
      <c r="AP15" s="50">
        <v>0</v>
      </c>
    </row>
    <row r="16" spans="1:42" x14ac:dyDescent="0.25">
      <c r="A16" s="47">
        <v>44593</v>
      </c>
      <c r="B16" s="48">
        <f>COUNTIFS(
    [1]!estoque[empresa], B$6,
    [1]!estoque[Data da venda / reserva], "&gt;=" &amp; $A16,
    [1]!estoque[Data da venda / reserva], "&lt;"  &amp; EOMONTH($A16,0) + 1
)</f>
        <v>0</v>
      </c>
      <c r="C16" s="49">
        <f>SUMIFS([1]!in.rec[total],
[1]!in.rec[natureza],"pro.soluto",
[1]!in.rec[empresa],C$6,
[1]!in.rec[data.base],"&gt;="&amp;$A16,
[1]!in.rec[data.base],"&lt;"&amp;EOMONTH($A16,0)
)</f>
        <v>0</v>
      </c>
      <c r="D16" s="49" t="e">
        <f ca="1">SUMIFS([1]!rec.uni[2022-02-01],
INDIRECT("rec.uni[natureza]"),"repasse.cef.obra",
INDIRECT("rec.uni[empresa]"),D$6)</f>
        <v>#REF!</v>
      </c>
      <c r="E16" s="49" t="e">
        <f ca="1">SUMIFS([1]!rec.uni[2022-02-01],
INDIRECT("rec.uni[natureza]"),"repasse.cef.terreno",
INDIRECT("rec.uni[empresa]"),E$6)</f>
        <v>#REF!</v>
      </c>
      <c r="F16" s="49">
        <v>0</v>
      </c>
      <c r="G16" s="49" t="e">
        <f ca="1">SUMIFS([1]!rec.uni[2022-02-01],
INDIRECT("rec.uni[natureza]"),"taxa.extra",
INDIRECT("rec.uni[empresa]"),G$6)</f>
        <v>#REF!</v>
      </c>
      <c r="H16" s="50"/>
      <c r="I16" s="48">
        <f>COUNTIFS(
    [1]!estoque[empresa], I$6,
    [1]!estoque[Data da venda / reserva], "&gt;=" &amp; $A16,
    [1]!estoque[Data da venda / reserva], "&lt;"  &amp; EOMONTH($A16,0) + 1
)</f>
        <v>0</v>
      </c>
      <c r="J16" s="49">
        <f>SUMIFS([1]!in.rec[total],
[1]!in.rec[natureza],"pro.soluto",
[1]!in.rec[empresa],J$6,
[1]!in.rec[data.base],"&gt;="&amp;$A16,
[1]!in.rec[data.base],"&lt;"&amp;EOMONTH($A16,0)
)</f>
        <v>599000.00000000012</v>
      </c>
      <c r="K16" s="49" t="e">
        <f ca="1">SUMIFS([1]!rec.uni[2022-02-01],
INDIRECT("rec.uni[natureza]"),"repasse.cef.obra",
INDIRECT("rec.uni[empresa]"),K$6)</f>
        <v>#REF!</v>
      </c>
      <c r="L16" s="49" t="e">
        <f ca="1">SUMIFS([1]!rec.uni[2022-02-01],
INDIRECT("rec.uni[natureza]"),"repasse.cef.terreno",
INDIRECT("rec.uni[empresa]"),L$6)</f>
        <v>#REF!</v>
      </c>
      <c r="M16" s="49">
        <v>0</v>
      </c>
      <c r="N16" s="49" t="e">
        <f ca="1">SUMIFS([1]!rec.uni[2022-02-01],
INDIRECT("rec.uni[natureza]"),"taxa.extra",
INDIRECT("rec.uni[empresa]"),N$6)</f>
        <v>#REF!</v>
      </c>
      <c r="O16" s="50">
        <v>51500</v>
      </c>
      <c r="P16" s="48">
        <f>COUNTIFS(
    [1]!estoque[empresa], P$6,
    [1]!estoque[Data da venda / reserva], "&gt;=" &amp; $A16,
    [1]!estoque[Data da venda / reserva], "&lt;"  &amp; EOMONTH($A16,0) + 1
)</f>
        <v>0</v>
      </c>
      <c r="Q16" s="49">
        <f>SUMIFS([1]!in.rec[total],
[1]!in.rec[natureza],"pro.soluto",
[1]!in.rec[empresa],Q$6,
[1]!in.rec[data.base],"&gt;="&amp;$A16,
[1]!in.rec[data.base],"&lt;"&amp;EOMONTH($A16,0)
)</f>
        <v>0</v>
      </c>
      <c r="R16" s="49" t="e">
        <f ca="1">SUMIFS([1]!rec.uni[2022-02-01],
INDIRECT("rec.uni[natureza]"),"repasse.cef.obra",
INDIRECT("rec.uni[empresa]"),R$6)</f>
        <v>#REF!</v>
      </c>
      <c r="S16" s="49" t="e">
        <f ca="1">SUMIFS([1]!rec.uni[2022-02-01],
INDIRECT("rec.uni[natureza]"),"repasse.cef.terreno",
INDIRECT("rec.uni[empresa]"),S$6)</f>
        <v>#REF!</v>
      </c>
      <c r="T16" s="49">
        <v>0</v>
      </c>
      <c r="U16" s="49" t="e">
        <f ca="1">SUMIFS([1]!rec.uni[2022-02-01],
INDIRECT("rec.uni[natureza]"),"taxa.extra",
INDIRECT("rec.uni[empresa]"),U$6)</f>
        <v>#REF!</v>
      </c>
      <c r="V16" s="50">
        <v>0</v>
      </c>
      <c r="W16" s="48">
        <f>COUNTIFS(
    [1]!estoque[empresa], W$6,
    [1]!estoque[Data da venda / reserva], "&gt;=" &amp; $A16,
    [1]!estoque[Data da venda / reserva], "&lt;"  &amp; EOMONTH($A16,0) + 1
)</f>
        <v>0</v>
      </c>
      <c r="X16" s="49">
        <f>SUMIFS([1]!in.rec[total],
[1]!in.rec[natureza],"pro.soluto",
[1]!in.rec[empresa],X$6,
[1]!in.rec[data.base],"&gt;="&amp;$A16,
[1]!in.rec[data.base],"&lt;"&amp;EOMONTH($A16,0)
)</f>
        <v>0</v>
      </c>
      <c r="Y16" s="49" t="e">
        <f ca="1">SUMIFS([1]!rec.uni[2022-02-01],
INDIRECT("rec.uni[natureza]"),"taxa.extra",
INDIRECT("rec.uni[empresa]"),Y$6)</f>
        <v>#REF!</v>
      </c>
      <c r="Z16" s="50">
        <v>0</v>
      </c>
      <c r="AA16" s="48">
        <f>COUNTIFS(
    [1]!estoque[empresa], AA$6,
    [1]!estoque[Data da venda / reserva], "&gt;=" &amp; $A16,
    [1]!estoque[Data da venda / reserva], "&lt;"  &amp; EOMONTH($A16,0) + 1
)</f>
        <v>0</v>
      </c>
      <c r="AB16" s="49">
        <f>SUMIFS([1]!in.rec[total],
[1]!in.rec[natureza],"pro.soluto",
[1]!in.rec[empresa],AB$6,
[1]!in.rec[data.base],"&gt;="&amp;$A16,
[1]!in.rec[data.base],"&lt;"&amp;EOMONTH($A16,0)
)</f>
        <v>0</v>
      </c>
      <c r="AC16" s="49">
        <f>IF(
$A16&lt;=$A$1,
SUMIFS([1]!in.rec[total],
   [1]!in.rec[empresa],AC$6,
   [1]!in.rec[ele],"FIN",
   [1]!in.rec[data.pagamento],"&gt;="&amp;$A16,
   [1]!in.rec[data.pagamento],"&lt;"&amp;$A17
),
SUMIFS([1]!in.rec[total],
   [1]!in.rec[empresa],AC$6,
   [1]!in.rec[ele],"FIN",
   [1]!in.rec[data.vencimento],"&gt;="&amp;$A16,
   [1]!in.rec[data.vencimento],"&lt;"&amp;$A17
)
)</f>
        <v>0</v>
      </c>
      <c r="AD16" s="49" t="e">
        <f ca="1">SUMIFS([1]!rec.uni[2022-02-01],
INDIRECT("rec.uni[natureza]"),"taxa.extra",
INDIRECT("rec.uni[empresa]"),AD$6)</f>
        <v>#REF!</v>
      </c>
      <c r="AE16" s="50">
        <v>0</v>
      </c>
      <c r="AF16" s="48">
        <f>COUNTIFS(
    [1]!estoque[empresa], AF$6,
    [1]!estoque[Data da venda / reserva], "&gt;=" &amp; $A16,
    [1]!estoque[Data da venda / reserva], "&lt;"  &amp; EOMONTH($A16,0) + 1
)</f>
        <v>0</v>
      </c>
      <c r="AG16" s="49">
        <f>SUMIFS([1]!in.rec[total],
[1]!in.rec[natureza],"pro.soluto",
[1]!in.rec[empresa],AG$6,
[1]!in.rec[data.base],"&gt;="&amp;$A16,
[1]!in.rec[data.base],"&lt;"&amp;EOMONTH($A16,0)
)</f>
        <v>0</v>
      </c>
      <c r="AH16" s="49" t="e">
        <f ca="1">SUMIFS([1]!rec.uni[2022-02-01],
INDIRECT("rec.uni[natureza]"),"repasse.cef.obra",
INDIRECT("rec.uni[empresa]"),AH$6)</f>
        <v>#REF!</v>
      </c>
      <c r="AI16" s="49" t="e">
        <f ca="1">SUMIFS([1]!rec.uni[2022-02-01],
INDIRECT("rec.uni[natureza]"),"repasse.cef.terreno",
INDIRECT("rec.uni[empresa]"),AI$6)</f>
        <v>#REF!</v>
      </c>
      <c r="AJ16" s="49">
        <v>0</v>
      </c>
      <c r="AK16" s="49" t="e">
        <f ca="1">SUMIFS([1]!rec.uni[2022-02-01],
INDIRECT("rec.uni[natureza]"),"taxa.extra",
INDIRECT("rec.uni[empresa]"),AK$6)</f>
        <v>#REF!</v>
      </c>
      <c r="AL16" s="50">
        <v>0</v>
      </c>
      <c r="AM16" s="48">
        <f>COUNTIFS(
    [1]!estoque[empresa], AM$6,
    [1]!estoque[Data da venda / reserva], "&gt;=" &amp; $A16,
    [1]!estoque[Data da venda / reserva], "&lt;"  &amp; EOMONTH($A16,0) + 1
)</f>
        <v>0</v>
      </c>
      <c r="AN16" s="49">
        <f>SUMIFS([1]!in.rec[total],
[1]!in.rec[natureza],"pro.soluto",
[1]!in.rec[empresa],AN$6,
[1]!in.rec[data.base],"&gt;="&amp;$A16,
[1]!in.rec[data.base],"&lt;"&amp;EOMONTH($A16,0)
)</f>
        <v>0</v>
      </c>
      <c r="AO16" s="49" t="e">
        <f ca="1">SUMIFS([1]!rec.uni[2022-02-01],
INDIRECT("rec.uni[natureza]"),"taxa.extra",
INDIRECT("rec.uni[empresa]"),AO$6)</f>
        <v>#REF!</v>
      </c>
      <c r="AP16" s="50">
        <v>0</v>
      </c>
    </row>
    <row r="17" spans="1:42" x14ac:dyDescent="0.25">
      <c r="A17" s="47">
        <v>44621</v>
      </c>
      <c r="B17" s="48">
        <f>COUNTIFS(
    [1]!estoque[empresa], B$6,
    [1]!estoque[Data da venda / reserva], "&gt;=" &amp; $A17,
    [1]!estoque[Data da venda / reserva], "&lt;"  &amp; EOMONTH($A17,0) + 1
)</f>
        <v>0</v>
      </c>
      <c r="C17" s="49">
        <f>SUMIFS([1]!in.rec[total],
[1]!in.rec[natureza],"pro.soluto",
[1]!in.rec[empresa],C$6,
[1]!in.rec[data.base],"&gt;="&amp;$A17,
[1]!in.rec[data.base],"&lt;"&amp;EOMONTH($A17,0)
)</f>
        <v>0</v>
      </c>
      <c r="D17" s="49" t="e">
        <f ca="1">SUMIFS([1]!rec.uni[2022-03-01],
INDIRECT("rec.uni[natureza]"),"repasse.cef.obra",
INDIRECT("rec.uni[empresa]"),D$6)</f>
        <v>#REF!</v>
      </c>
      <c r="E17" s="49" t="e">
        <f ca="1">SUMIFS([1]!rec.uni[2022-03-01],
INDIRECT("rec.uni[natureza]"),"repasse.cef.terreno",
INDIRECT("rec.uni[empresa]"),E$6)</f>
        <v>#REF!</v>
      </c>
      <c r="F17" s="49">
        <v>0</v>
      </c>
      <c r="G17" s="49" t="e">
        <f ca="1">SUMIFS([1]!rec.uni[2022-03-01],
INDIRECT("rec.uni[natureza]"),"taxa.extra",
INDIRECT("rec.uni[empresa]"),G$6)</f>
        <v>#REF!</v>
      </c>
      <c r="H17" s="50"/>
      <c r="I17" s="48">
        <f>COUNTIFS(
    [1]!estoque[empresa], I$6,
    [1]!estoque[Data da venda / reserva], "&gt;=" &amp; $A17,
    [1]!estoque[Data da venda / reserva], "&lt;"  &amp; EOMONTH($A17,0) + 1
)</f>
        <v>33</v>
      </c>
      <c r="J17" s="49">
        <f>SUMIFS([1]!in.rec[total],
[1]!in.rec[natureza],"pro.soluto",
[1]!in.rec[empresa],J$6,
[1]!in.rec[data.base],"&gt;="&amp;$A17,
[1]!in.rec[data.base],"&lt;"&amp;EOMONTH($A17,0)
)</f>
        <v>114954</v>
      </c>
      <c r="K17" s="49" t="e">
        <f ca="1">SUMIFS([1]!rec.uni[2022-03-01],
INDIRECT("rec.uni[natureza]"),"repasse.cef.obra",
INDIRECT("rec.uni[empresa]"),K$6)</f>
        <v>#REF!</v>
      </c>
      <c r="L17" s="49" t="e">
        <f ca="1">SUMIFS([1]!rec.uni[2022-03-01],
INDIRECT("rec.uni[natureza]"),"repasse.cef.terreno",
INDIRECT("rec.uni[empresa]"),L$6)</f>
        <v>#REF!</v>
      </c>
      <c r="M17" s="49">
        <v>0</v>
      </c>
      <c r="N17" s="49" t="e">
        <f ca="1">SUMIFS([1]!rec.uni[2022-03-01],
INDIRECT("rec.uni[natureza]"),"taxa.extra",
INDIRECT("rec.uni[empresa]"),N$6)</f>
        <v>#REF!</v>
      </c>
      <c r="O17" s="50">
        <v>5000</v>
      </c>
      <c r="P17" s="48">
        <f>COUNTIFS(
    [1]!estoque[empresa], P$6,
    [1]!estoque[Data da venda / reserva], "&gt;=" &amp; $A17,
    [1]!estoque[Data da venda / reserva], "&lt;"  &amp; EOMONTH($A17,0) + 1
)</f>
        <v>0</v>
      </c>
      <c r="Q17" s="49">
        <f>SUMIFS([1]!in.rec[total],
[1]!in.rec[natureza],"pro.soluto",
[1]!in.rec[empresa],Q$6,
[1]!in.rec[data.base],"&gt;="&amp;$A17,
[1]!in.rec[data.base],"&lt;"&amp;EOMONTH($A17,0)
)</f>
        <v>0</v>
      </c>
      <c r="R17" s="49" t="e">
        <f ca="1">SUMIFS([1]!rec.uni[2022-03-01],
INDIRECT("rec.uni[natureza]"),"repasse.cef.obra",
INDIRECT("rec.uni[empresa]"),R$6)</f>
        <v>#REF!</v>
      </c>
      <c r="S17" s="49" t="e">
        <f ca="1">SUMIFS([1]!rec.uni[2022-03-01],
INDIRECT("rec.uni[natureza]"),"repasse.cef.terreno",
INDIRECT("rec.uni[empresa]"),S$6)</f>
        <v>#REF!</v>
      </c>
      <c r="T17" s="49">
        <v>0</v>
      </c>
      <c r="U17" s="49" t="e">
        <f ca="1">SUMIFS([1]!rec.uni[2022-03-01],
INDIRECT("rec.uni[natureza]"),"taxa.extra",
INDIRECT("rec.uni[empresa]"),U$6)</f>
        <v>#REF!</v>
      </c>
      <c r="V17" s="50">
        <v>0</v>
      </c>
      <c r="W17" s="48">
        <f>COUNTIFS(
    [1]!estoque[empresa], W$6,
    [1]!estoque[Data da venda / reserva], "&gt;=" &amp; $A17,
    [1]!estoque[Data da venda / reserva], "&lt;"  &amp; EOMONTH($A17,0) + 1
)</f>
        <v>0</v>
      </c>
      <c r="X17" s="49">
        <f>SUMIFS([1]!in.rec[total],
[1]!in.rec[natureza],"pro.soluto",
[1]!in.rec[empresa],X$6,
[1]!in.rec[data.base],"&gt;="&amp;$A17,
[1]!in.rec[data.base],"&lt;"&amp;EOMONTH($A17,0)
)</f>
        <v>0</v>
      </c>
      <c r="Y17" s="49" t="e">
        <f ca="1">SUMIFS([1]!rec.uni[2022-03-01],
INDIRECT("rec.uni[natureza]"),"taxa.extra",
INDIRECT("rec.uni[empresa]"),Y$6)</f>
        <v>#REF!</v>
      </c>
      <c r="Z17" s="50">
        <v>0</v>
      </c>
      <c r="AA17" s="48">
        <f>COUNTIFS(
    [1]!estoque[empresa], AA$6,
    [1]!estoque[Data da venda / reserva], "&gt;=" &amp; $A17,
    [1]!estoque[Data da venda / reserva], "&lt;"  &amp; EOMONTH($A17,0) + 1
)</f>
        <v>0</v>
      </c>
      <c r="AB17" s="49">
        <f>SUMIFS([1]!in.rec[total],
[1]!in.rec[natureza],"pro.soluto",
[1]!in.rec[empresa],AB$6,
[1]!in.rec[data.base],"&gt;="&amp;$A17,
[1]!in.rec[data.base],"&lt;"&amp;EOMONTH($A17,0)
)</f>
        <v>0</v>
      </c>
      <c r="AC17" s="49">
        <f>IF(
$A17&lt;=$A$1,
SUMIFS([1]!in.rec[total],
   [1]!in.rec[empresa],AC$6,
   [1]!in.rec[ele],"FIN",
   [1]!in.rec[data.pagamento],"&gt;="&amp;$A17,
   [1]!in.rec[data.pagamento],"&lt;"&amp;$A18
),
SUMIFS([1]!in.rec[total],
   [1]!in.rec[empresa],AC$6,
   [1]!in.rec[ele],"FIN",
   [1]!in.rec[data.vencimento],"&gt;="&amp;$A17,
   [1]!in.rec[data.vencimento],"&lt;"&amp;$A18
)
)</f>
        <v>0</v>
      </c>
      <c r="AD17" s="49" t="e">
        <f ca="1">SUMIFS([1]!rec.uni[2022-03-01],
INDIRECT("rec.uni[natureza]"),"taxa.extra",
INDIRECT("rec.uni[empresa]"),AD$6)</f>
        <v>#REF!</v>
      </c>
      <c r="AE17" s="50">
        <v>0</v>
      </c>
      <c r="AF17" s="48">
        <f>COUNTIFS(
    [1]!estoque[empresa], AF$6,
    [1]!estoque[Data da venda / reserva], "&gt;=" &amp; $A17,
    [1]!estoque[Data da venda / reserva], "&lt;"  &amp; EOMONTH($A17,0) + 1
)</f>
        <v>0</v>
      </c>
      <c r="AG17" s="49">
        <f>SUMIFS([1]!in.rec[total],
[1]!in.rec[natureza],"pro.soluto",
[1]!in.rec[empresa],AG$6,
[1]!in.rec[data.base],"&gt;="&amp;$A17,
[1]!in.rec[data.base],"&lt;"&amp;EOMONTH($A17,0)
)</f>
        <v>0</v>
      </c>
      <c r="AH17" s="49" t="e">
        <f ca="1">SUMIFS([1]!rec.uni[2022-03-01],
INDIRECT("rec.uni[natureza]"),"repasse.cef.obra",
INDIRECT("rec.uni[empresa]"),AH$6)</f>
        <v>#REF!</v>
      </c>
      <c r="AI17" s="49" t="e">
        <f ca="1">SUMIFS([1]!rec.uni[2022-03-01],
INDIRECT("rec.uni[natureza]"),"repasse.cef.terreno",
INDIRECT("rec.uni[empresa]"),AI$6)</f>
        <v>#REF!</v>
      </c>
      <c r="AJ17" s="49">
        <v>0</v>
      </c>
      <c r="AK17" s="49" t="e">
        <f ca="1">SUMIFS([1]!rec.uni[2022-03-01],
INDIRECT("rec.uni[natureza]"),"taxa.extra",
INDIRECT("rec.uni[empresa]"),AK$6)</f>
        <v>#REF!</v>
      </c>
      <c r="AL17" s="50">
        <v>0</v>
      </c>
      <c r="AM17" s="48">
        <f>COUNTIFS(
    [1]!estoque[empresa], AM$6,
    [1]!estoque[Data da venda / reserva], "&gt;=" &amp; $A17,
    [1]!estoque[Data da venda / reserva], "&lt;"  &amp; EOMONTH($A17,0) + 1
)</f>
        <v>0</v>
      </c>
      <c r="AN17" s="49">
        <f>SUMIFS([1]!in.rec[total],
[1]!in.rec[natureza],"pro.soluto",
[1]!in.rec[empresa],AN$6,
[1]!in.rec[data.base],"&gt;="&amp;$A17,
[1]!in.rec[data.base],"&lt;"&amp;EOMONTH($A17,0)
)</f>
        <v>0</v>
      </c>
      <c r="AO17" s="49" t="e">
        <f ca="1">SUMIFS([1]!rec.uni[2022-03-01],
INDIRECT("rec.uni[natureza]"),"taxa.extra",
INDIRECT("rec.uni[empresa]"),AO$6)</f>
        <v>#REF!</v>
      </c>
      <c r="AP17" s="50">
        <v>0</v>
      </c>
    </row>
    <row r="18" spans="1:42" x14ac:dyDescent="0.25">
      <c r="A18" s="47">
        <v>44652</v>
      </c>
      <c r="B18" s="48">
        <f>COUNTIFS(
    [1]!estoque[empresa], B$6,
    [1]!estoque[Data da venda / reserva], "&gt;=" &amp; $A18,
    [1]!estoque[Data da venda / reserva], "&lt;"  &amp; EOMONTH($A18,0) + 1
)</f>
        <v>0</v>
      </c>
      <c r="C18" s="49">
        <f>SUMIFS([1]!in.rec[total],
[1]!in.rec[natureza],"pro.soluto",
[1]!in.rec[empresa],C$6,
[1]!in.rec[data.base],"&gt;="&amp;$A18,
[1]!in.rec[data.base],"&lt;"&amp;EOMONTH($A18,0)
)</f>
        <v>0</v>
      </c>
      <c r="D18" s="49" t="e">
        <f ca="1">SUMIFS([1]!rec.uni[2022-04-01],
INDIRECT("rec.uni[natureza]"),"repasse.cef.obra",
INDIRECT("rec.uni[empresa]"),D$6)</f>
        <v>#REF!</v>
      </c>
      <c r="E18" s="49" t="e">
        <f ca="1">SUMIFS([1]!rec.uni[2022-04-01],
INDIRECT("rec.uni[natureza]"),"repasse.cef.terreno",
INDIRECT("rec.uni[empresa]"),E$6)</f>
        <v>#REF!</v>
      </c>
      <c r="F18" s="49">
        <v>0</v>
      </c>
      <c r="G18" s="49" t="e">
        <f ca="1">SUMIFS([1]!rec.uni[2022-04-01],
INDIRECT("rec.uni[natureza]"),"taxa.extra",
INDIRECT("rec.uni[empresa]"),G$6)</f>
        <v>#REF!</v>
      </c>
      <c r="H18" s="50"/>
      <c r="I18" s="48">
        <f>COUNTIFS(
    [1]!estoque[empresa], I$6,
    [1]!estoque[Data da venda / reserva], "&gt;=" &amp; $A18,
    [1]!estoque[Data da venda / reserva], "&lt;"  &amp; EOMONTH($A18,0) + 1
)</f>
        <v>18</v>
      </c>
      <c r="J18" s="49">
        <f>SUMIFS([1]!in.rec[total],
[1]!in.rec[natureza],"pro.soluto",
[1]!in.rec[empresa],J$6,
[1]!in.rec[data.base],"&gt;="&amp;$A18,
[1]!in.rec[data.base],"&lt;"&amp;EOMONTH($A18,0)
)</f>
        <v>1254947.5500000003</v>
      </c>
      <c r="K18" s="49" t="e">
        <f ca="1">SUMIFS([1]!rec.uni[2022-04-01],
INDIRECT("rec.uni[natureza]"),"repasse.cef.obra",
INDIRECT("rec.uni[empresa]"),K$6)</f>
        <v>#REF!</v>
      </c>
      <c r="L18" s="49" t="e">
        <f ca="1">SUMIFS([1]!rec.uni[2022-04-01],
INDIRECT("rec.uni[natureza]"),"repasse.cef.terreno",
INDIRECT("rec.uni[empresa]"),L$6)</f>
        <v>#REF!</v>
      </c>
      <c r="M18" s="49">
        <v>0</v>
      </c>
      <c r="N18" s="49" t="e">
        <f ca="1">SUMIFS([1]!rec.uni[2022-04-01],
INDIRECT("rec.uni[natureza]"),"taxa.extra",
INDIRECT("rec.uni[empresa]"),N$6)</f>
        <v>#REF!</v>
      </c>
      <c r="O18" s="50">
        <v>6589</v>
      </c>
      <c r="P18" s="48">
        <f>COUNTIFS(
    [1]!estoque[empresa], P$6,
    [1]!estoque[Data da venda / reserva], "&gt;=" &amp; $A18,
    [1]!estoque[Data da venda / reserva], "&lt;"  &amp; EOMONTH($A18,0) + 1
)</f>
        <v>0</v>
      </c>
      <c r="Q18" s="49">
        <f>SUMIFS([1]!in.rec[total],
[1]!in.rec[natureza],"pro.soluto",
[1]!in.rec[empresa],Q$6,
[1]!in.rec[data.base],"&gt;="&amp;$A18,
[1]!in.rec[data.base],"&lt;"&amp;EOMONTH($A18,0)
)</f>
        <v>0</v>
      </c>
      <c r="R18" s="49" t="e">
        <f ca="1">SUMIFS([1]!rec.uni[2022-04-01],
INDIRECT("rec.uni[natureza]"),"repasse.cef.obra",
INDIRECT("rec.uni[empresa]"),R$6)</f>
        <v>#REF!</v>
      </c>
      <c r="S18" s="49" t="e">
        <f ca="1">SUMIFS([1]!rec.uni[2022-04-01],
INDIRECT("rec.uni[natureza]"),"repasse.cef.terreno",
INDIRECT("rec.uni[empresa]"),S$6)</f>
        <v>#REF!</v>
      </c>
      <c r="T18" s="49">
        <v>0</v>
      </c>
      <c r="U18" s="49" t="e">
        <f ca="1">SUMIFS([1]!rec.uni[2022-04-01],
INDIRECT("rec.uni[natureza]"),"taxa.extra",
INDIRECT("rec.uni[empresa]"),U$6)</f>
        <v>#REF!</v>
      </c>
      <c r="V18" s="50">
        <v>0</v>
      </c>
      <c r="W18" s="48">
        <f>COUNTIFS(
    [1]!estoque[empresa], W$6,
    [1]!estoque[Data da venda / reserva], "&gt;=" &amp; $A18,
    [1]!estoque[Data da venda / reserva], "&lt;"  &amp; EOMONTH($A18,0) + 1
)</f>
        <v>0</v>
      </c>
      <c r="X18" s="49">
        <f>SUMIFS([1]!in.rec[total],
[1]!in.rec[natureza],"pro.soluto",
[1]!in.rec[empresa],X$6,
[1]!in.rec[data.base],"&gt;="&amp;$A18,
[1]!in.rec[data.base],"&lt;"&amp;EOMONTH($A18,0)
)</f>
        <v>0</v>
      </c>
      <c r="Y18" s="49" t="e">
        <f ca="1">SUMIFS([1]!rec.uni[2022-04-01],
INDIRECT("rec.uni[natureza]"),"taxa.extra",
INDIRECT("rec.uni[empresa]"),Y$6)</f>
        <v>#REF!</v>
      </c>
      <c r="Z18" s="50">
        <v>0</v>
      </c>
      <c r="AA18" s="48">
        <f>COUNTIFS(
    [1]!estoque[empresa], AA$6,
    [1]!estoque[Data da venda / reserva], "&gt;=" &amp; $A18,
    [1]!estoque[Data da venda / reserva], "&lt;"  &amp; EOMONTH($A18,0) + 1
)</f>
        <v>0</v>
      </c>
      <c r="AB18" s="49">
        <f>SUMIFS([1]!in.rec[total],
[1]!in.rec[natureza],"pro.soluto",
[1]!in.rec[empresa],AB$6,
[1]!in.rec[data.base],"&gt;="&amp;$A18,
[1]!in.rec[data.base],"&lt;"&amp;EOMONTH($A18,0)
)</f>
        <v>0</v>
      </c>
      <c r="AC18" s="49">
        <f>IF(
$A18&lt;=$A$1,
SUMIFS([1]!in.rec[total],
   [1]!in.rec[empresa],AC$6,
   [1]!in.rec[ele],"FIN",
   [1]!in.rec[data.pagamento],"&gt;="&amp;$A18,
   [1]!in.rec[data.pagamento],"&lt;"&amp;$A19
),
SUMIFS([1]!in.rec[total],
   [1]!in.rec[empresa],AC$6,
   [1]!in.rec[ele],"FIN",
   [1]!in.rec[data.vencimento],"&gt;="&amp;$A18,
   [1]!in.rec[data.vencimento],"&lt;"&amp;$A19
)
)</f>
        <v>0</v>
      </c>
      <c r="AD18" s="49" t="e">
        <f ca="1">SUMIFS([1]!rec.uni[2022-04-01],
INDIRECT("rec.uni[natureza]"),"taxa.extra",
INDIRECT("rec.uni[empresa]"),AD$6)</f>
        <v>#REF!</v>
      </c>
      <c r="AE18" s="50">
        <v>0</v>
      </c>
      <c r="AF18" s="48">
        <f>COUNTIFS(
    [1]!estoque[empresa], AF$6,
    [1]!estoque[Data da venda / reserva], "&gt;=" &amp; $A18,
    [1]!estoque[Data da venda / reserva], "&lt;"  &amp; EOMONTH($A18,0) + 1
)</f>
        <v>0</v>
      </c>
      <c r="AG18" s="49">
        <f>SUMIFS([1]!in.rec[total],
[1]!in.rec[natureza],"pro.soluto",
[1]!in.rec[empresa],AG$6,
[1]!in.rec[data.base],"&gt;="&amp;$A18,
[1]!in.rec[data.base],"&lt;"&amp;EOMONTH($A18,0)
)</f>
        <v>0</v>
      </c>
      <c r="AH18" s="49" t="e">
        <f ca="1">SUMIFS([1]!rec.uni[2022-04-01],
INDIRECT("rec.uni[natureza]"),"repasse.cef.obra",
INDIRECT("rec.uni[empresa]"),AH$6)</f>
        <v>#REF!</v>
      </c>
      <c r="AI18" s="49" t="e">
        <f ca="1">SUMIFS([1]!rec.uni[2022-04-01],
INDIRECT("rec.uni[natureza]"),"repasse.cef.terreno",
INDIRECT("rec.uni[empresa]"),AI$6)</f>
        <v>#REF!</v>
      </c>
      <c r="AJ18" s="49">
        <v>0</v>
      </c>
      <c r="AK18" s="49" t="e">
        <f ca="1">SUMIFS([1]!rec.uni[2022-04-01],
INDIRECT("rec.uni[natureza]"),"taxa.extra",
INDIRECT("rec.uni[empresa]"),AK$6)</f>
        <v>#REF!</v>
      </c>
      <c r="AL18" s="50">
        <v>0</v>
      </c>
      <c r="AM18" s="48">
        <f>COUNTIFS(
    [1]!estoque[empresa], AM$6,
    [1]!estoque[Data da venda / reserva], "&gt;=" &amp; $A18,
    [1]!estoque[Data da venda / reserva], "&lt;"  &amp; EOMONTH($A18,0) + 1
)</f>
        <v>0</v>
      </c>
      <c r="AN18" s="49">
        <f>SUMIFS([1]!in.rec[total],
[1]!in.rec[natureza],"pro.soluto",
[1]!in.rec[empresa],AN$6,
[1]!in.rec[data.base],"&gt;="&amp;$A18,
[1]!in.rec[data.base],"&lt;"&amp;EOMONTH($A18,0)
)</f>
        <v>0</v>
      </c>
      <c r="AO18" s="49" t="e">
        <f ca="1">SUMIFS([1]!rec.uni[2022-04-01],
INDIRECT("rec.uni[natureza]"),"taxa.extra",
INDIRECT("rec.uni[empresa]"),AO$6)</f>
        <v>#REF!</v>
      </c>
      <c r="AP18" s="50">
        <v>0</v>
      </c>
    </row>
    <row r="19" spans="1:42" x14ac:dyDescent="0.25">
      <c r="A19" s="47">
        <v>44682</v>
      </c>
      <c r="B19" s="48">
        <f>COUNTIFS(
    [1]!estoque[empresa], B$6,
    [1]!estoque[Data da venda / reserva], "&gt;=" &amp; $A19,
    [1]!estoque[Data da venda / reserva], "&lt;"  &amp; EOMONTH($A19,0) + 1
)</f>
        <v>0</v>
      </c>
      <c r="C19" s="49">
        <f>SUMIFS([1]!in.rec[total],
[1]!in.rec[natureza],"pro.soluto",
[1]!in.rec[empresa],C$6,
[1]!in.rec[data.base],"&gt;="&amp;$A19,
[1]!in.rec[data.base],"&lt;"&amp;EOMONTH($A19,0)
)</f>
        <v>0</v>
      </c>
      <c r="D19" s="49" t="e">
        <f ca="1">SUMIFS([1]!rec.uni[2022-05-01],
INDIRECT("rec.uni[natureza]"),"repasse.cef.obra",
INDIRECT("rec.uni[empresa]"),D$6)</f>
        <v>#REF!</v>
      </c>
      <c r="E19" s="49" t="e">
        <f ca="1">SUMIFS([1]!rec.uni[2022-05-01],
INDIRECT("rec.uni[natureza]"),"repasse.cef.terreno",
INDIRECT("rec.uni[empresa]"),E$6)</f>
        <v>#REF!</v>
      </c>
      <c r="F19" s="49">
        <v>0</v>
      </c>
      <c r="G19" s="49" t="e">
        <f ca="1">SUMIFS([1]!rec.uni[2022-05-01],
INDIRECT("rec.uni[natureza]"),"taxa.extra",
INDIRECT("rec.uni[empresa]"),G$6)</f>
        <v>#REF!</v>
      </c>
      <c r="H19" s="50"/>
      <c r="I19" s="48">
        <f>COUNTIFS(
    [1]!estoque[empresa], I$6,
    [1]!estoque[Data da venda / reserva], "&gt;=" &amp; $A19,
    [1]!estoque[Data da venda / reserva], "&lt;"  &amp; EOMONTH($A19,0) + 1
)</f>
        <v>18</v>
      </c>
      <c r="J19" s="49">
        <f>SUMIFS([1]!in.rec[total],
[1]!in.rec[natureza],"pro.soluto",
[1]!in.rec[empresa],J$6,
[1]!in.rec[data.base],"&gt;="&amp;$A19,
[1]!in.rec[data.base],"&lt;"&amp;EOMONTH($A19,0)
)</f>
        <v>360028.86</v>
      </c>
      <c r="K19" s="49" t="e">
        <f ca="1">SUMIFS([1]!rec.uni[2022-05-01],
INDIRECT("rec.uni[natureza]"),"repasse.cef.obra",
INDIRECT("rec.uni[empresa]"),K$6)</f>
        <v>#REF!</v>
      </c>
      <c r="L19" s="49" t="e">
        <f ca="1">SUMIFS([1]!rec.uni[2022-05-01],
INDIRECT("rec.uni[natureza]"),"repasse.cef.terreno",
INDIRECT("rec.uni[empresa]"),L$6)</f>
        <v>#REF!</v>
      </c>
      <c r="M19" s="49">
        <v>0</v>
      </c>
      <c r="N19" s="49" t="e">
        <f ca="1">SUMIFS([1]!rec.uni[2022-05-01],
INDIRECT("rec.uni[natureza]"),"taxa.extra",
INDIRECT("rec.uni[empresa]"),N$6)</f>
        <v>#REF!</v>
      </c>
      <c r="O19" s="50">
        <v>6451.91</v>
      </c>
      <c r="P19" s="48">
        <f>COUNTIFS(
    [1]!estoque[empresa], P$6,
    [1]!estoque[Data da venda / reserva], "&gt;=" &amp; $A19,
    [1]!estoque[Data da venda / reserva], "&lt;"  &amp; EOMONTH($A19,0) + 1
)</f>
        <v>0</v>
      </c>
      <c r="Q19" s="49">
        <f>SUMIFS([1]!in.rec[total],
[1]!in.rec[natureza],"pro.soluto",
[1]!in.rec[empresa],Q$6,
[1]!in.rec[data.base],"&gt;="&amp;$A19,
[1]!in.rec[data.base],"&lt;"&amp;EOMONTH($A19,0)
)</f>
        <v>0</v>
      </c>
      <c r="R19" s="49" t="e">
        <f ca="1">SUMIFS([1]!rec.uni[2022-05-01],
INDIRECT("rec.uni[natureza]"),"repasse.cef.obra",
INDIRECT("rec.uni[empresa]"),R$6)</f>
        <v>#REF!</v>
      </c>
      <c r="S19" s="49" t="e">
        <f ca="1">SUMIFS([1]!rec.uni[2022-05-01],
INDIRECT("rec.uni[natureza]"),"repasse.cef.terreno",
INDIRECT("rec.uni[empresa]"),S$6)</f>
        <v>#REF!</v>
      </c>
      <c r="T19" s="49">
        <v>0</v>
      </c>
      <c r="U19" s="49" t="e">
        <f ca="1">SUMIFS([1]!rec.uni[2022-05-01],
INDIRECT("rec.uni[natureza]"),"taxa.extra",
INDIRECT("rec.uni[empresa]"),U$6)</f>
        <v>#REF!</v>
      </c>
      <c r="V19" s="50">
        <v>0</v>
      </c>
      <c r="W19" s="48">
        <f>COUNTIFS(
    [1]!estoque[empresa], W$6,
    [1]!estoque[Data da venda / reserva], "&gt;=" &amp; $A19,
    [1]!estoque[Data da venda / reserva], "&lt;"  &amp; EOMONTH($A19,0) + 1
)</f>
        <v>0</v>
      </c>
      <c r="X19" s="49">
        <f>SUMIFS([1]!in.rec[total],
[1]!in.rec[natureza],"pro.soluto",
[1]!in.rec[empresa],X$6,
[1]!in.rec[data.base],"&gt;="&amp;$A19,
[1]!in.rec[data.base],"&lt;"&amp;EOMONTH($A19,0)
)</f>
        <v>0</v>
      </c>
      <c r="Y19" s="49" t="e">
        <f ca="1">SUMIFS([1]!rec.uni[2022-05-01],
INDIRECT("rec.uni[natureza]"),"taxa.extra",
INDIRECT("rec.uni[empresa]"),Y$6)</f>
        <v>#REF!</v>
      </c>
      <c r="Z19" s="50">
        <v>0</v>
      </c>
      <c r="AA19" s="48">
        <f>COUNTIFS(
    [1]!estoque[empresa], AA$6,
    [1]!estoque[Data da venda / reserva], "&gt;=" &amp; $A19,
    [1]!estoque[Data da venda / reserva], "&lt;"  &amp; EOMONTH($A19,0) + 1
)</f>
        <v>0</v>
      </c>
      <c r="AB19" s="49">
        <f>SUMIFS([1]!in.rec[total],
[1]!in.rec[natureza],"pro.soluto",
[1]!in.rec[empresa],AB$6,
[1]!in.rec[data.base],"&gt;="&amp;$A19,
[1]!in.rec[data.base],"&lt;"&amp;EOMONTH($A19,0)
)</f>
        <v>0</v>
      </c>
      <c r="AC19" s="49">
        <f>IF(
$A19&lt;=$A$1,
SUMIFS([1]!in.rec[total],
   [1]!in.rec[empresa],AC$6,
   [1]!in.rec[ele],"FIN",
   [1]!in.rec[data.pagamento],"&gt;="&amp;$A19,
   [1]!in.rec[data.pagamento],"&lt;"&amp;$A20
),
SUMIFS([1]!in.rec[total],
   [1]!in.rec[empresa],AC$6,
   [1]!in.rec[ele],"FIN",
   [1]!in.rec[data.vencimento],"&gt;="&amp;$A19,
   [1]!in.rec[data.vencimento],"&lt;"&amp;$A20
)
)</f>
        <v>0</v>
      </c>
      <c r="AD19" s="49" t="e">
        <f ca="1">SUMIFS([1]!rec.uni[2022-05-01],
INDIRECT("rec.uni[natureza]"),"taxa.extra",
INDIRECT("rec.uni[empresa]"),AD$6)</f>
        <v>#REF!</v>
      </c>
      <c r="AE19" s="50">
        <v>0</v>
      </c>
      <c r="AF19" s="48">
        <f>COUNTIFS(
    [1]!estoque[empresa], AF$6,
    [1]!estoque[Data da venda / reserva], "&gt;=" &amp; $A19,
    [1]!estoque[Data da venda / reserva], "&lt;"  &amp; EOMONTH($A19,0) + 1
)</f>
        <v>0</v>
      </c>
      <c r="AG19" s="49">
        <f>SUMIFS([1]!in.rec[total],
[1]!in.rec[natureza],"pro.soluto",
[1]!in.rec[empresa],AG$6,
[1]!in.rec[data.base],"&gt;="&amp;$A19,
[1]!in.rec[data.base],"&lt;"&amp;EOMONTH($A19,0)
)</f>
        <v>0</v>
      </c>
      <c r="AH19" s="49" t="e">
        <f ca="1">SUMIFS([1]!rec.uni[2022-05-01],
INDIRECT("rec.uni[natureza]"),"repasse.cef.obra",
INDIRECT("rec.uni[empresa]"),AH$6)</f>
        <v>#REF!</v>
      </c>
      <c r="AI19" s="49" t="e">
        <f ca="1">SUMIFS([1]!rec.uni[2022-05-01],
INDIRECT("rec.uni[natureza]"),"repasse.cef.terreno",
INDIRECT("rec.uni[empresa]"),AI$6)</f>
        <v>#REF!</v>
      </c>
      <c r="AJ19" s="49">
        <v>0</v>
      </c>
      <c r="AK19" s="49" t="e">
        <f ca="1">SUMIFS([1]!rec.uni[2022-05-01],
INDIRECT("rec.uni[natureza]"),"taxa.extra",
INDIRECT("rec.uni[empresa]"),AK$6)</f>
        <v>#REF!</v>
      </c>
      <c r="AL19" s="50">
        <v>0</v>
      </c>
      <c r="AM19" s="48">
        <f>COUNTIFS(
    [1]!estoque[empresa], AM$6,
    [1]!estoque[Data da venda / reserva], "&gt;=" &amp; $A19,
    [1]!estoque[Data da venda / reserva], "&lt;"  &amp; EOMONTH($A19,0) + 1
)</f>
        <v>0</v>
      </c>
      <c r="AN19" s="49">
        <f>SUMIFS([1]!in.rec[total],
[1]!in.rec[natureza],"pro.soluto",
[1]!in.rec[empresa],AN$6,
[1]!in.rec[data.base],"&gt;="&amp;$A19,
[1]!in.rec[data.base],"&lt;"&amp;EOMONTH($A19,0)
)</f>
        <v>0</v>
      </c>
      <c r="AO19" s="49" t="e">
        <f ca="1">SUMIFS([1]!rec.uni[2022-05-01],
INDIRECT("rec.uni[natureza]"),"taxa.extra",
INDIRECT("rec.uni[empresa]"),AO$6)</f>
        <v>#REF!</v>
      </c>
      <c r="AP19" s="50">
        <v>0</v>
      </c>
    </row>
    <row r="20" spans="1:42" x14ac:dyDescent="0.25">
      <c r="A20" s="47">
        <v>44713</v>
      </c>
      <c r="B20" s="48">
        <f>COUNTIFS(
    [1]!estoque[empresa], B$6,
    [1]!estoque[Data da venda / reserva], "&gt;=" &amp; $A20,
    [1]!estoque[Data da venda / reserva], "&lt;"  &amp; EOMONTH($A20,0) + 1
)</f>
        <v>0</v>
      </c>
      <c r="C20" s="49">
        <f>SUMIFS([1]!in.rec[total],
[1]!in.rec[natureza],"pro.soluto",
[1]!in.rec[empresa],C$6,
[1]!in.rec[data.base],"&gt;="&amp;$A20,
[1]!in.rec[data.base],"&lt;"&amp;EOMONTH($A20,0)
)</f>
        <v>0</v>
      </c>
      <c r="D20" s="49" t="e">
        <f ca="1">SUMIFS([1]!rec.uni[2022-06-01],
INDIRECT("rec.uni[natureza]"),"repasse.cef.obra",
INDIRECT("rec.uni[empresa]"),D$6)</f>
        <v>#REF!</v>
      </c>
      <c r="E20" s="49" t="e">
        <f ca="1">SUMIFS([1]!rec.uni[2022-06-01],
INDIRECT("rec.uni[natureza]"),"repasse.cef.terreno",
INDIRECT("rec.uni[empresa]"),E$6)</f>
        <v>#REF!</v>
      </c>
      <c r="F20" s="49">
        <v>0</v>
      </c>
      <c r="G20" s="49" t="e">
        <f ca="1">SUMIFS([1]!rec.uni[2022-06-01],
INDIRECT("rec.uni[natureza]"),"taxa.extra",
INDIRECT("rec.uni[empresa]"),G$6)</f>
        <v>#REF!</v>
      </c>
      <c r="H20" s="50"/>
      <c r="I20" s="48">
        <f>COUNTIFS(
    [1]!estoque[empresa], I$6,
    [1]!estoque[Data da venda / reserva], "&gt;=" &amp; $A20,
    [1]!estoque[Data da venda / reserva], "&lt;"  &amp; EOMONTH($A20,0) + 1
)</f>
        <v>11</v>
      </c>
      <c r="J20" s="49">
        <f>SUMIFS([1]!in.rec[total],
[1]!in.rec[natureza],"pro.soluto",
[1]!in.rec[empresa],J$6,
[1]!in.rec[data.base],"&gt;="&amp;$A20,
[1]!in.rec[data.base],"&lt;"&amp;EOMONTH($A20,0)
)</f>
        <v>255679.74</v>
      </c>
      <c r="K20" s="49" t="e">
        <f ca="1">SUMIFS([1]!rec.uni[2022-06-01],
INDIRECT("rec.uni[natureza]"),"repasse.cef.obra",
INDIRECT("rec.uni[empresa]"),K$6)</f>
        <v>#REF!</v>
      </c>
      <c r="L20" s="49" t="e">
        <f ca="1">SUMIFS([1]!rec.uni[2022-06-01],
INDIRECT("rec.uni[natureza]"),"repasse.cef.terreno",
INDIRECT("rec.uni[empresa]"),L$6)</f>
        <v>#REF!</v>
      </c>
      <c r="M20" s="49">
        <v>0</v>
      </c>
      <c r="N20" s="49" t="e">
        <f ca="1">SUMIFS([1]!rec.uni[2022-06-01],
INDIRECT("rec.uni[natureza]"),"taxa.extra",
INDIRECT("rec.uni[empresa]"),N$6)</f>
        <v>#REF!</v>
      </c>
      <c r="O20" s="50">
        <v>16728.04</v>
      </c>
      <c r="P20" s="48">
        <f>COUNTIFS(
    [1]!estoque[empresa], P$6,
    [1]!estoque[Data da venda / reserva], "&gt;=" &amp; $A20,
    [1]!estoque[Data da venda / reserva], "&lt;"  &amp; EOMONTH($A20,0) + 1
)</f>
        <v>0</v>
      </c>
      <c r="Q20" s="49">
        <f>SUMIFS([1]!in.rec[total],
[1]!in.rec[natureza],"pro.soluto",
[1]!in.rec[empresa],Q$6,
[1]!in.rec[data.base],"&gt;="&amp;$A20,
[1]!in.rec[data.base],"&lt;"&amp;EOMONTH($A20,0)
)</f>
        <v>0</v>
      </c>
      <c r="R20" s="49" t="e">
        <f ca="1">SUMIFS([1]!rec.uni[2022-06-01],
INDIRECT("rec.uni[natureza]"),"repasse.cef.obra",
INDIRECT("rec.uni[empresa]"),R$6)</f>
        <v>#REF!</v>
      </c>
      <c r="S20" s="49" t="e">
        <f ca="1">SUMIFS([1]!rec.uni[2022-06-01],
INDIRECT("rec.uni[natureza]"),"repasse.cef.terreno",
INDIRECT("rec.uni[empresa]"),S$6)</f>
        <v>#REF!</v>
      </c>
      <c r="T20" s="49">
        <v>0</v>
      </c>
      <c r="U20" s="49" t="e">
        <f ca="1">SUMIFS([1]!rec.uni[2022-06-01],
INDIRECT("rec.uni[natureza]"),"taxa.extra",
INDIRECT("rec.uni[empresa]"),U$6)</f>
        <v>#REF!</v>
      </c>
      <c r="V20" s="50">
        <v>0</v>
      </c>
      <c r="W20" s="48">
        <f>COUNTIFS(
    [1]!estoque[empresa], W$6,
    [1]!estoque[Data da venda / reserva], "&gt;=" &amp; $A20,
    [1]!estoque[Data da venda / reserva], "&lt;"  &amp; EOMONTH($A20,0) + 1
)</f>
        <v>0</v>
      </c>
      <c r="X20" s="49">
        <f>SUMIFS([1]!in.rec[total],
[1]!in.rec[natureza],"pro.soluto",
[1]!in.rec[empresa],X$6,
[1]!in.rec[data.base],"&gt;="&amp;$A20,
[1]!in.rec[data.base],"&lt;"&amp;EOMONTH($A20,0)
)</f>
        <v>0</v>
      </c>
      <c r="Y20" s="49" t="e">
        <f ca="1">SUMIFS([1]!rec.uni[2022-06-01],
INDIRECT("rec.uni[natureza]"),"taxa.extra",
INDIRECT("rec.uni[empresa]"),Y$6)</f>
        <v>#REF!</v>
      </c>
      <c r="Z20" s="50">
        <v>0</v>
      </c>
      <c r="AA20" s="48">
        <f>COUNTIFS(
    [1]!estoque[empresa], AA$6,
    [1]!estoque[Data da venda / reserva], "&gt;=" &amp; $A20,
    [1]!estoque[Data da venda / reserva], "&lt;"  &amp; EOMONTH($A20,0) + 1
)</f>
        <v>0</v>
      </c>
      <c r="AB20" s="49">
        <f>SUMIFS([1]!in.rec[total],
[1]!in.rec[natureza],"pro.soluto",
[1]!in.rec[empresa],AB$6,
[1]!in.rec[data.base],"&gt;="&amp;$A20,
[1]!in.rec[data.base],"&lt;"&amp;EOMONTH($A20,0)
)</f>
        <v>0</v>
      </c>
      <c r="AC20" s="49">
        <f>IF(
$A20&lt;=$A$1,
SUMIFS([1]!in.rec[total],
   [1]!in.rec[empresa],AC$6,
   [1]!in.rec[ele],"FIN",
   [1]!in.rec[data.pagamento],"&gt;="&amp;$A20,
   [1]!in.rec[data.pagamento],"&lt;"&amp;$A21
),
SUMIFS([1]!in.rec[total],
   [1]!in.rec[empresa],AC$6,
   [1]!in.rec[ele],"FIN",
   [1]!in.rec[data.vencimento],"&gt;="&amp;$A20,
   [1]!in.rec[data.vencimento],"&lt;"&amp;$A21
)
)</f>
        <v>0</v>
      </c>
      <c r="AD20" s="49" t="e">
        <f ca="1">SUMIFS([1]!rec.uni[2022-06-01],
INDIRECT("rec.uni[natureza]"),"taxa.extra",
INDIRECT("rec.uni[empresa]"),AD$6)</f>
        <v>#REF!</v>
      </c>
      <c r="AE20" s="50">
        <v>0</v>
      </c>
      <c r="AF20" s="48">
        <f>COUNTIFS(
    [1]!estoque[empresa], AF$6,
    [1]!estoque[Data da venda / reserva], "&gt;=" &amp; $A20,
    [1]!estoque[Data da venda / reserva], "&lt;"  &amp; EOMONTH($A20,0) + 1
)</f>
        <v>0</v>
      </c>
      <c r="AG20" s="49">
        <f>SUMIFS([1]!in.rec[total],
[1]!in.rec[natureza],"pro.soluto",
[1]!in.rec[empresa],AG$6,
[1]!in.rec[data.base],"&gt;="&amp;$A20,
[1]!in.rec[data.base],"&lt;"&amp;EOMONTH($A20,0)
)</f>
        <v>0</v>
      </c>
      <c r="AH20" s="49" t="e">
        <f ca="1">SUMIFS([1]!rec.uni[2022-06-01],
INDIRECT("rec.uni[natureza]"),"repasse.cef.obra",
INDIRECT("rec.uni[empresa]"),AH$6)</f>
        <v>#REF!</v>
      </c>
      <c r="AI20" s="49" t="e">
        <f ca="1">SUMIFS([1]!rec.uni[2022-06-01],
INDIRECT("rec.uni[natureza]"),"repasse.cef.terreno",
INDIRECT("rec.uni[empresa]"),AI$6)</f>
        <v>#REF!</v>
      </c>
      <c r="AJ20" s="49">
        <v>0</v>
      </c>
      <c r="AK20" s="49" t="e">
        <f ca="1">SUMIFS([1]!rec.uni[2022-06-01],
INDIRECT("rec.uni[natureza]"),"taxa.extra",
INDIRECT("rec.uni[empresa]"),AK$6)</f>
        <v>#REF!</v>
      </c>
      <c r="AL20" s="50">
        <v>0</v>
      </c>
      <c r="AM20" s="48">
        <f>COUNTIFS(
    [1]!estoque[empresa], AM$6,
    [1]!estoque[Data da venda / reserva], "&gt;=" &amp; $A20,
    [1]!estoque[Data da venda / reserva], "&lt;"  &amp; EOMONTH($A20,0) + 1
)</f>
        <v>0</v>
      </c>
      <c r="AN20" s="49">
        <f>SUMIFS([1]!in.rec[total],
[1]!in.rec[natureza],"pro.soluto",
[1]!in.rec[empresa],AN$6,
[1]!in.rec[data.base],"&gt;="&amp;$A20,
[1]!in.rec[data.base],"&lt;"&amp;EOMONTH($A20,0)
)</f>
        <v>0</v>
      </c>
      <c r="AO20" s="49" t="e">
        <f ca="1">SUMIFS([1]!rec.uni[2022-06-01],
INDIRECT("rec.uni[natureza]"),"taxa.extra",
INDIRECT("rec.uni[empresa]"),AO$6)</f>
        <v>#REF!</v>
      </c>
      <c r="AP20" s="50">
        <v>0</v>
      </c>
    </row>
    <row r="21" spans="1:42" x14ac:dyDescent="0.25">
      <c r="A21" s="47">
        <v>44743</v>
      </c>
      <c r="B21" s="48">
        <f>COUNTIFS(
    [1]!estoque[empresa], B$6,
    [1]!estoque[Data da venda / reserva], "&gt;=" &amp; $A21,
    [1]!estoque[Data da venda / reserva], "&lt;"  &amp; EOMONTH($A21,0) + 1
)</f>
        <v>0</v>
      </c>
      <c r="C21" s="49">
        <f>SUMIFS([1]!in.rec[total],
[1]!in.rec[natureza],"pro.soluto",
[1]!in.rec[empresa],C$6,
[1]!in.rec[data.base],"&gt;="&amp;$A21,
[1]!in.rec[data.base],"&lt;"&amp;EOMONTH($A21,0)
)</f>
        <v>0</v>
      </c>
      <c r="D21" s="49" t="e">
        <f ca="1">SUMIFS([1]!rec.uni[2022-07-01],
INDIRECT("rec.uni[natureza]"),"repasse.cef.obra",
INDIRECT("rec.uni[empresa]"),D$6)</f>
        <v>#REF!</v>
      </c>
      <c r="E21" s="49" t="e">
        <f ca="1">SUMIFS([1]!rec.uni[2022-07-01],
INDIRECT("rec.uni[natureza]"),"repasse.cef.terreno",
INDIRECT("rec.uni[empresa]"),E$6)</f>
        <v>#REF!</v>
      </c>
      <c r="F21" s="49">
        <v>0</v>
      </c>
      <c r="G21" s="49" t="e">
        <f ca="1">SUMIFS([1]!rec.uni[2022-07-01],
INDIRECT("rec.uni[natureza]"),"taxa.extra",
INDIRECT("rec.uni[empresa]"),G$6)</f>
        <v>#REF!</v>
      </c>
      <c r="H21" s="50"/>
      <c r="I21" s="48">
        <f>COUNTIFS(
    [1]!estoque[empresa], I$6,
    [1]!estoque[Data da venda / reserva], "&gt;=" &amp; $A21,
    [1]!estoque[Data da venda / reserva], "&lt;"  &amp; EOMONTH($A21,0) + 1
)</f>
        <v>11</v>
      </c>
      <c r="J21" s="49">
        <f>SUMIFS([1]!in.rec[total],
[1]!in.rec[natureza],"pro.soluto",
[1]!in.rec[empresa],J$6,
[1]!in.rec[data.base],"&gt;="&amp;$A21,
[1]!in.rec[data.base],"&lt;"&amp;EOMONTH($A21,0)
)</f>
        <v>492820.83999999997</v>
      </c>
      <c r="K21" s="49" t="e">
        <f ca="1">SUMIFS([1]!rec.uni[2022-07-01],
INDIRECT("rec.uni[natureza]"),"repasse.cef.obra",
INDIRECT("rec.uni[empresa]"),K$6)</f>
        <v>#REF!</v>
      </c>
      <c r="L21" s="49" t="e">
        <f ca="1">SUMIFS([1]!rec.uni[2022-07-01],
INDIRECT("rec.uni[natureza]"),"repasse.cef.terreno",
INDIRECT("rec.uni[empresa]"),L$6)</f>
        <v>#REF!</v>
      </c>
      <c r="M21" s="49">
        <v>0</v>
      </c>
      <c r="N21" s="49" t="e">
        <f ca="1">SUMIFS([1]!rec.uni[2022-07-01],
INDIRECT("rec.uni[natureza]"),"taxa.extra",
INDIRECT("rec.uni[empresa]"),N$6)</f>
        <v>#REF!</v>
      </c>
      <c r="O21" s="50">
        <v>6190.34</v>
      </c>
      <c r="P21" s="48">
        <f>COUNTIFS(
    [1]!estoque[empresa], P$6,
    [1]!estoque[Data da venda / reserva], "&gt;=" &amp; $A21,
    [1]!estoque[Data da venda / reserva], "&lt;"  &amp; EOMONTH($A21,0) + 1
)</f>
        <v>0</v>
      </c>
      <c r="Q21" s="49">
        <f>SUMIFS([1]!in.rec[total],
[1]!in.rec[natureza],"pro.soluto",
[1]!in.rec[empresa],Q$6,
[1]!in.rec[data.base],"&gt;="&amp;$A21,
[1]!in.rec[data.base],"&lt;"&amp;EOMONTH($A21,0)
)</f>
        <v>0</v>
      </c>
      <c r="R21" s="49" t="e">
        <f ca="1">SUMIFS([1]!rec.uni[2022-07-01],
INDIRECT("rec.uni[natureza]"),"repasse.cef.obra",
INDIRECT("rec.uni[empresa]"),R$6)</f>
        <v>#REF!</v>
      </c>
      <c r="S21" s="49" t="e">
        <f ca="1">SUMIFS([1]!rec.uni[2022-07-01],
INDIRECT("rec.uni[natureza]"),"repasse.cef.terreno",
INDIRECT("rec.uni[empresa]"),S$6)</f>
        <v>#REF!</v>
      </c>
      <c r="T21" s="49">
        <v>0</v>
      </c>
      <c r="U21" s="49" t="e">
        <f ca="1">SUMIFS([1]!rec.uni[2022-07-01],
INDIRECT("rec.uni[natureza]"),"taxa.extra",
INDIRECT("rec.uni[empresa]"),U$6)</f>
        <v>#REF!</v>
      </c>
      <c r="V21" s="50">
        <v>0</v>
      </c>
      <c r="W21" s="48">
        <f>COUNTIFS(
    [1]!estoque[empresa], W$6,
    [1]!estoque[Data da venda / reserva], "&gt;=" &amp; $A21,
    [1]!estoque[Data da venda / reserva], "&lt;"  &amp; EOMONTH($A21,0) + 1
)</f>
        <v>0</v>
      </c>
      <c r="X21" s="49">
        <f>SUMIFS([1]!in.rec[total],
[1]!in.rec[natureza],"pro.soluto",
[1]!in.rec[empresa],X$6,
[1]!in.rec[data.base],"&gt;="&amp;$A21,
[1]!in.rec[data.base],"&lt;"&amp;EOMONTH($A21,0)
)</f>
        <v>0</v>
      </c>
      <c r="Y21" s="49" t="e">
        <f ca="1">SUMIFS([1]!rec.uni[2022-07-01],
INDIRECT("rec.uni[natureza]"),"taxa.extra",
INDIRECT("rec.uni[empresa]"),Y$6)</f>
        <v>#REF!</v>
      </c>
      <c r="Z21" s="50">
        <v>0</v>
      </c>
      <c r="AA21" s="48">
        <f>COUNTIFS(
    [1]!estoque[empresa], AA$6,
    [1]!estoque[Data da venda / reserva], "&gt;=" &amp; $A21,
    [1]!estoque[Data da venda / reserva], "&lt;"  &amp; EOMONTH($A21,0) + 1
)</f>
        <v>0</v>
      </c>
      <c r="AB21" s="49">
        <f>SUMIFS([1]!in.rec[total],
[1]!in.rec[natureza],"pro.soluto",
[1]!in.rec[empresa],AB$6,
[1]!in.rec[data.base],"&gt;="&amp;$A21,
[1]!in.rec[data.base],"&lt;"&amp;EOMONTH($A21,0)
)</f>
        <v>0</v>
      </c>
      <c r="AC21" s="49">
        <f>IF(
$A21&lt;=$A$1,
SUMIFS([1]!in.rec[total],
   [1]!in.rec[empresa],AC$6,
   [1]!in.rec[ele],"FIN",
   [1]!in.rec[data.pagamento],"&gt;="&amp;$A21,
   [1]!in.rec[data.pagamento],"&lt;"&amp;$A22
),
SUMIFS([1]!in.rec[total],
   [1]!in.rec[empresa],AC$6,
   [1]!in.rec[ele],"FIN",
   [1]!in.rec[data.vencimento],"&gt;="&amp;$A21,
   [1]!in.rec[data.vencimento],"&lt;"&amp;$A22
)
)</f>
        <v>0</v>
      </c>
      <c r="AD21" s="49" t="e">
        <f ca="1">SUMIFS([1]!rec.uni[2022-07-01],
INDIRECT("rec.uni[natureza]"),"taxa.extra",
INDIRECT("rec.uni[empresa]"),AD$6)</f>
        <v>#REF!</v>
      </c>
      <c r="AE21" s="50">
        <v>0</v>
      </c>
      <c r="AF21" s="48">
        <f>COUNTIFS(
    [1]!estoque[empresa], AF$6,
    [1]!estoque[Data da venda / reserva], "&gt;=" &amp; $A21,
    [1]!estoque[Data da venda / reserva], "&lt;"  &amp; EOMONTH($A21,0) + 1
)</f>
        <v>0</v>
      </c>
      <c r="AG21" s="49">
        <f>SUMIFS([1]!in.rec[total],
[1]!in.rec[natureza],"pro.soluto",
[1]!in.rec[empresa],AG$6,
[1]!in.rec[data.base],"&gt;="&amp;$A21,
[1]!in.rec[data.base],"&lt;"&amp;EOMONTH($A21,0)
)</f>
        <v>0</v>
      </c>
      <c r="AH21" s="49" t="e">
        <f ca="1">SUMIFS([1]!rec.uni[2022-07-01],
INDIRECT("rec.uni[natureza]"),"repasse.cef.obra",
INDIRECT("rec.uni[empresa]"),AH$6)</f>
        <v>#REF!</v>
      </c>
      <c r="AI21" s="49" t="e">
        <f ca="1">SUMIFS([1]!rec.uni[2022-07-01],
INDIRECT("rec.uni[natureza]"),"repasse.cef.terreno",
INDIRECT("rec.uni[empresa]"),AI$6)</f>
        <v>#REF!</v>
      </c>
      <c r="AJ21" s="49">
        <v>0</v>
      </c>
      <c r="AK21" s="49" t="e">
        <f ca="1">SUMIFS([1]!rec.uni[2022-07-01],
INDIRECT("rec.uni[natureza]"),"taxa.extra",
INDIRECT("rec.uni[empresa]"),AK$6)</f>
        <v>#REF!</v>
      </c>
      <c r="AL21" s="50">
        <v>0</v>
      </c>
      <c r="AM21" s="48">
        <f>COUNTIFS(
    [1]!estoque[empresa], AM$6,
    [1]!estoque[Data da venda / reserva], "&gt;=" &amp; $A21,
    [1]!estoque[Data da venda / reserva], "&lt;"  &amp; EOMONTH($A21,0) + 1
)</f>
        <v>0</v>
      </c>
      <c r="AN21" s="49">
        <f>SUMIFS([1]!in.rec[total],
[1]!in.rec[natureza],"pro.soluto",
[1]!in.rec[empresa],AN$6,
[1]!in.rec[data.base],"&gt;="&amp;$A21,
[1]!in.rec[data.base],"&lt;"&amp;EOMONTH($A21,0)
)</f>
        <v>0</v>
      </c>
      <c r="AO21" s="49" t="e">
        <f ca="1">SUMIFS([1]!rec.uni[2022-07-01],
INDIRECT("rec.uni[natureza]"),"taxa.extra",
INDIRECT("rec.uni[empresa]"),AO$6)</f>
        <v>#REF!</v>
      </c>
      <c r="AP21" s="50">
        <v>0</v>
      </c>
    </row>
    <row r="22" spans="1:42" x14ac:dyDescent="0.25">
      <c r="A22" s="47">
        <v>44774</v>
      </c>
      <c r="B22" s="48">
        <f>COUNTIFS(
    [1]!estoque[empresa], B$6,
    [1]!estoque[Data da venda / reserva], "&gt;=" &amp; $A22,
    [1]!estoque[Data da venda / reserva], "&lt;"  &amp; EOMONTH($A22,0) + 1
)</f>
        <v>0</v>
      </c>
      <c r="C22" s="49">
        <f>SUMIFS([1]!in.rec[total],
[1]!in.rec[natureza],"pro.soluto",
[1]!in.rec[empresa],C$6,
[1]!in.rec[data.base],"&gt;="&amp;$A22,
[1]!in.rec[data.base],"&lt;"&amp;EOMONTH($A22,0)
)</f>
        <v>0</v>
      </c>
      <c r="D22" s="49" t="e">
        <f ca="1">SUMIFS([1]!rec.uni[2022-08-01],
INDIRECT("rec.uni[natureza]"),"repasse.cef.obra",
INDIRECT("rec.uni[empresa]"),D$6)</f>
        <v>#REF!</v>
      </c>
      <c r="E22" s="49" t="e">
        <f ca="1">SUMIFS([1]!rec.uni[2022-08-01],
INDIRECT("rec.uni[natureza]"),"repasse.cef.terreno",
INDIRECT("rec.uni[empresa]"),E$6)</f>
        <v>#REF!</v>
      </c>
      <c r="F22" s="49">
        <v>0</v>
      </c>
      <c r="G22" s="49" t="e">
        <f ca="1">SUMIFS([1]!rec.uni[2022-08-01],
INDIRECT("rec.uni[natureza]"),"taxa.extra",
INDIRECT("rec.uni[empresa]"),G$6)</f>
        <v>#REF!</v>
      </c>
      <c r="H22" s="50"/>
      <c r="I22" s="48">
        <f>COUNTIFS(
    [1]!estoque[empresa], I$6,
    [1]!estoque[Data da venda / reserva], "&gt;=" &amp; $A22,
    [1]!estoque[Data da venda / reserva], "&lt;"  &amp; EOMONTH($A22,0) + 1
)</f>
        <v>27</v>
      </c>
      <c r="J22" s="49">
        <f>SUMIFS([1]!in.rec[total],
[1]!in.rec[natureza],"pro.soluto",
[1]!in.rec[empresa],J$6,
[1]!in.rec[data.base],"&gt;="&amp;$A22,
[1]!in.rec[data.base],"&lt;"&amp;EOMONTH($A22,0)
)</f>
        <v>878332.99</v>
      </c>
      <c r="K22" s="49" t="e">
        <f ca="1">SUMIFS([1]!rec.uni[2022-08-01],
INDIRECT("rec.uni[natureza]"),"repasse.cef.obra",
INDIRECT("rec.uni[empresa]"),K$6)</f>
        <v>#REF!</v>
      </c>
      <c r="L22" s="49" t="e">
        <f ca="1">SUMIFS([1]!rec.uni[2022-08-01],
INDIRECT("rec.uni[natureza]"),"repasse.cef.terreno",
INDIRECT("rec.uni[empresa]"),L$6)</f>
        <v>#REF!</v>
      </c>
      <c r="M22" s="49">
        <v>0</v>
      </c>
      <c r="N22" s="49" t="e">
        <f ca="1">SUMIFS([1]!rec.uni[2022-08-01],
INDIRECT("rec.uni[natureza]"),"taxa.extra",
INDIRECT("rec.uni[empresa]"),N$6)</f>
        <v>#REF!</v>
      </c>
      <c r="O22" s="50">
        <v>2494.3599999999997</v>
      </c>
      <c r="P22" s="48">
        <f>COUNTIFS(
    [1]!estoque[empresa], P$6,
    [1]!estoque[Data da venda / reserva], "&gt;=" &amp; $A22,
    [1]!estoque[Data da venda / reserva], "&lt;"  &amp; EOMONTH($A22,0) + 1
)</f>
        <v>0</v>
      </c>
      <c r="Q22" s="49">
        <f>SUMIFS([1]!in.rec[total],
[1]!in.rec[natureza],"pro.soluto",
[1]!in.rec[empresa],Q$6,
[1]!in.rec[data.base],"&gt;="&amp;$A22,
[1]!in.rec[data.base],"&lt;"&amp;EOMONTH($A22,0)
)</f>
        <v>0</v>
      </c>
      <c r="R22" s="49" t="e">
        <f ca="1">SUMIFS([1]!rec.uni[2022-08-01],
INDIRECT("rec.uni[natureza]"),"repasse.cef.obra",
INDIRECT("rec.uni[empresa]"),R$6)</f>
        <v>#REF!</v>
      </c>
      <c r="S22" s="49" t="e">
        <f ca="1">SUMIFS([1]!rec.uni[2022-08-01],
INDIRECT("rec.uni[natureza]"),"repasse.cef.terreno",
INDIRECT("rec.uni[empresa]"),S$6)</f>
        <v>#REF!</v>
      </c>
      <c r="T22" s="49">
        <v>0</v>
      </c>
      <c r="U22" s="49" t="e">
        <f ca="1">SUMIFS([1]!rec.uni[2022-08-01],
INDIRECT("rec.uni[natureza]"),"taxa.extra",
INDIRECT("rec.uni[empresa]"),U$6)</f>
        <v>#REF!</v>
      </c>
      <c r="V22" s="50">
        <v>0</v>
      </c>
      <c r="W22" s="48">
        <f>COUNTIFS(
    [1]!estoque[empresa], W$6,
    [1]!estoque[Data da venda / reserva], "&gt;=" &amp; $A22,
    [1]!estoque[Data da venda / reserva], "&lt;"  &amp; EOMONTH($A22,0) + 1
)</f>
        <v>0</v>
      </c>
      <c r="X22" s="49">
        <f>SUMIFS([1]!in.rec[total],
[1]!in.rec[natureza],"pro.soluto",
[1]!in.rec[empresa],X$6,
[1]!in.rec[data.base],"&gt;="&amp;$A22,
[1]!in.rec[data.base],"&lt;"&amp;EOMONTH($A22,0)
)</f>
        <v>0</v>
      </c>
      <c r="Y22" s="49" t="e">
        <f ca="1">SUMIFS([1]!rec.uni[2022-08-01],
INDIRECT("rec.uni[natureza]"),"taxa.extra",
INDIRECT("rec.uni[empresa]"),Y$6)</f>
        <v>#REF!</v>
      </c>
      <c r="Z22" s="50">
        <v>0</v>
      </c>
      <c r="AA22" s="48">
        <f>COUNTIFS(
    [1]!estoque[empresa], AA$6,
    [1]!estoque[Data da venda / reserva], "&gt;=" &amp; $A22,
    [1]!estoque[Data da venda / reserva], "&lt;"  &amp; EOMONTH($A22,0) + 1
)</f>
        <v>0</v>
      </c>
      <c r="AB22" s="49">
        <f>SUMIFS([1]!in.rec[total],
[1]!in.rec[natureza],"pro.soluto",
[1]!in.rec[empresa],AB$6,
[1]!in.rec[data.base],"&gt;="&amp;$A22,
[1]!in.rec[data.base],"&lt;"&amp;EOMONTH($A22,0)
)</f>
        <v>0</v>
      </c>
      <c r="AC22" s="49">
        <f>IF(
$A22&lt;=$A$1,
SUMIFS([1]!in.rec[total],
   [1]!in.rec[empresa],AC$6,
   [1]!in.rec[ele],"FIN",
   [1]!in.rec[data.pagamento],"&gt;="&amp;$A22,
   [1]!in.rec[data.pagamento],"&lt;"&amp;$A23
),
SUMIFS([1]!in.rec[total],
   [1]!in.rec[empresa],AC$6,
   [1]!in.rec[ele],"FIN",
   [1]!in.rec[data.vencimento],"&gt;="&amp;$A22,
   [1]!in.rec[data.vencimento],"&lt;"&amp;$A23
)
)</f>
        <v>0</v>
      </c>
      <c r="AD22" s="49" t="e">
        <f ca="1">SUMIFS([1]!rec.uni[2022-08-01],
INDIRECT("rec.uni[natureza]"),"taxa.extra",
INDIRECT("rec.uni[empresa]"),AD$6)</f>
        <v>#REF!</v>
      </c>
      <c r="AE22" s="50">
        <v>0</v>
      </c>
      <c r="AF22" s="48">
        <f>COUNTIFS(
    [1]!estoque[empresa], AF$6,
    [1]!estoque[Data da venda / reserva], "&gt;=" &amp; $A22,
    [1]!estoque[Data da venda / reserva], "&lt;"  &amp; EOMONTH($A22,0) + 1
)</f>
        <v>0</v>
      </c>
      <c r="AG22" s="49">
        <f>SUMIFS([1]!in.rec[total],
[1]!in.rec[natureza],"pro.soluto",
[1]!in.rec[empresa],AG$6,
[1]!in.rec[data.base],"&gt;="&amp;$A22,
[1]!in.rec[data.base],"&lt;"&amp;EOMONTH($A22,0)
)</f>
        <v>0</v>
      </c>
      <c r="AH22" s="49" t="e">
        <f ca="1">SUMIFS([1]!rec.uni[2022-08-01],
INDIRECT("rec.uni[natureza]"),"repasse.cef.obra",
INDIRECT("rec.uni[empresa]"),AH$6)</f>
        <v>#REF!</v>
      </c>
      <c r="AI22" s="49" t="e">
        <f ca="1">SUMIFS([1]!rec.uni[2022-08-01],
INDIRECT("rec.uni[natureza]"),"repasse.cef.terreno",
INDIRECT("rec.uni[empresa]"),AI$6)</f>
        <v>#REF!</v>
      </c>
      <c r="AJ22" s="49">
        <v>0</v>
      </c>
      <c r="AK22" s="49" t="e">
        <f ca="1">SUMIFS([1]!rec.uni[2022-08-01],
INDIRECT("rec.uni[natureza]"),"taxa.extra",
INDIRECT("rec.uni[empresa]"),AK$6)</f>
        <v>#REF!</v>
      </c>
      <c r="AL22" s="50">
        <v>0</v>
      </c>
      <c r="AM22" s="48">
        <f>COUNTIFS(
    [1]!estoque[empresa], AM$6,
    [1]!estoque[Data da venda / reserva], "&gt;=" &amp; $A22,
    [1]!estoque[Data da venda / reserva], "&lt;"  &amp; EOMONTH($A22,0) + 1
)</f>
        <v>0</v>
      </c>
      <c r="AN22" s="49">
        <f>SUMIFS([1]!in.rec[total],
[1]!in.rec[natureza],"pro.soluto",
[1]!in.rec[empresa],AN$6,
[1]!in.rec[data.base],"&gt;="&amp;$A22,
[1]!in.rec[data.base],"&lt;"&amp;EOMONTH($A22,0)
)</f>
        <v>0</v>
      </c>
      <c r="AO22" s="49" t="e">
        <f ca="1">SUMIFS([1]!rec.uni[2022-08-01],
INDIRECT("rec.uni[natureza]"),"taxa.extra",
INDIRECT("rec.uni[empresa]"),AO$6)</f>
        <v>#REF!</v>
      </c>
      <c r="AP22" s="50">
        <v>0</v>
      </c>
    </row>
    <row r="23" spans="1:42" x14ac:dyDescent="0.25">
      <c r="A23" s="47">
        <v>44805</v>
      </c>
      <c r="B23" s="48">
        <f>COUNTIFS(
    [1]!estoque[empresa], B$6,
    [1]!estoque[Data da venda / reserva], "&gt;=" &amp; $A23,
    [1]!estoque[Data da venda / reserva], "&lt;"  &amp; EOMONTH($A23,0) + 1
)</f>
        <v>0</v>
      </c>
      <c r="C23" s="49">
        <f>SUMIFS([1]!in.rec[total],
[1]!in.rec[natureza],"pro.soluto",
[1]!in.rec[empresa],C$6,
[1]!in.rec[data.base],"&gt;="&amp;$A23,
[1]!in.rec[data.base],"&lt;"&amp;EOMONTH($A23,0)
)</f>
        <v>0</v>
      </c>
      <c r="D23" s="49" t="e">
        <f ca="1">SUMIFS([1]!rec.uni[2022-09-01],
INDIRECT("rec.uni[natureza]"),"repasse.cef.obra",
INDIRECT("rec.uni[empresa]"),D$6)</f>
        <v>#REF!</v>
      </c>
      <c r="E23" s="49" t="e">
        <f ca="1">SUMIFS([1]!rec.uni[2022-09-01],
INDIRECT("rec.uni[natureza]"),"repasse.cef.terreno",
INDIRECT("rec.uni[empresa]"),E$6)</f>
        <v>#REF!</v>
      </c>
      <c r="F23" s="49">
        <v>0</v>
      </c>
      <c r="G23" s="49" t="e">
        <f ca="1">SUMIFS([1]!rec.uni[2022-09-01],
INDIRECT("rec.uni[natureza]"),"taxa.extra",
INDIRECT("rec.uni[empresa]"),G$6)</f>
        <v>#REF!</v>
      </c>
      <c r="H23" s="50"/>
      <c r="I23" s="48">
        <f>COUNTIFS(
    [1]!estoque[empresa], I$6,
    [1]!estoque[Data da venda / reserva], "&gt;=" &amp; $A23,
    [1]!estoque[Data da venda / reserva], "&lt;"  &amp; EOMONTH($A23,0) + 1
)</f>
        <v>6</v>
      </c>
      <c r="J23" s="49">
        <f>SUMIFS([1]!in.rec[total],
[1]!in.rec[natureza],"pro.soluto",
[1]!in.rec[empresa],J$6,
[1]!in.rec[data.base],"&gt;="&amp;$A23,
[1]!in.rec[data.base],"&lt;"&amp;EOMONTH($A23,0)
)</f>
        <v>191804.62999999989</v>
      </c>
      <c r="K23" s="49" t="e">
        <f ca="1">SUMIFS([1]!rec.uni[2022-09-01],
INDIRECT("rec.uni[natureza]"),"repasse.cef.obra",
INDIRECT("rec.uni[empresa]"),K$6)</f>
        <v>#REF!</v>
      </c>
      <c r="L23" s="49" t="e">
        <f ca="1">SUMIFS([1]!rec.uni[2022-09-01],
INDIRECT("rec.uni[natureza]"),"repasse.cef.terreno",
INDIRECT("rec.uni[empresa]"),L$6)</f>
        <v>#REF!</v>
      </c>
      <c r="M23" s="49">
        <v>0</v>
      </c>
      <c r="N23" s="49" t="e">
        <f ca="1">SUMIFS([1]!rec.uni[2022-09-01],
INDIRECT("rec.uni[natureza]"),"taxa.extra",
INDIRECT("rec.uni[empresa]"),N$6)</f>
        <v>#REF!</v>
      </c>
      <c r="O23" s="50">
        <v>12442.390000000001</v>
      </c>
      <c r="P23" s="48">
        <f>COUNTIFS(
    [1]!estoque[empresa], P$6,
    [1]!estoque[Data da venda / reserva], "&gt;=" &amp; $A23,
    [1]!estoque[Data da venda / reserva], "&lt;"  &amp; EOMONTH($A23,0) + 1
)</f>
        <v>0</v>
      </c>
      <c r="Q23" s="49">
        <f>SUMIFS([1]!in.rec[total],
[1]!in.rec[natureza],"pro.soluto",
[1]!in.rec[empresa],Q$6,
[1]!in.rec[data.base],"&gt;="&amp;$A23,
[1]!in.rec[data.base],"&lt;"&amp;EOMONTH($A23,0)
)</f>
        <v>0</v>
      </c>
      <c r="R23" s="49" t="e">
        <f ca="1">SUMIFS([1]!rec.uni[2022-09-01],
INDIRECT("rec.uni[natureza]"),"repasse.cef.obra",
INDIRECT("rec.uni[empresa]"),R$6)</f>
        <v>#REF!</v>
      </c>
      <c r="S23" s="49" t="e">
        <f ca="1">SUMIFS([1]!rec.uni[2022-09-01],
INDIRECT("rec.uni[natureza]"),"repasse.cef.terreno",
INDIRECT("rec.uni[empresa]"),S$6)</f>
        <v>#REF!</v>
      </c>
      <c r="T23" s="49">
        <v>0</v>
      </c>
      <c r="U23" s="49" t="e">
        <f ca="1">SUMIFS([1]!rec.uni[2022-09-01],
INDIRECT("rec.uni[natureza]"),"taxa.extra",
INDIRECT("rec.uni[empresa]"),U$6)</f>
        <v>#REF!</v>
      </c>
      <c r="V23" s="50">
        <v>0</v>
      </c>
      <c r="W23" s="48">
        <f>COUNTIFS(
    [1]!estoque[empresa], W$6,
    [1]!estoque[Data da venda / reserva], "&gt;=" &amp; $A23,
    [1]!estoque[Data da venda / reserva], "&lt;"  &amp; EOMONTH($A23,0) + 1
)</f>
        <v>0</v>
      </c>
      <c r="X23" s="49">
        <f>SUMIFS([1]!in.rec[total],
[1]!in.rec[natureza],"pro.soluto",
[1]!in.rec[empresa],X$6,
[1]!in.rec[data.base],"&gt;="&amp;$A23,
[1]!in.rec[data.base],"&lt;"&amp;EOMONTH($A23,0)
)</f>
        <v>0</v>
      </c>
      <c r="Y23" s="49" t="e">
        <f ca="1">SUMIFS([1]!rec.uni[2022-09-01],
INDIRECT("rec.uni[natureza]"),"taxa.extra",
INDIRECT("rec.uni[empresa]"),Y$6)</f>
        <v>#REF!</v>
      </c>
      <c r="Z23" s="50">
        <v>0</v>
      </c>
      <c r="AA23" s="48">
        <f>COUNTIFS(
    [1]!estoque[empresa], AA$6,
    [1]!estoque[Data da venda / reserva], "&gt;=" &amp; $A23,
    [1]!estoque[Data da venda / reserva], "&lt;"  &amp; EOMONTH($A23,0) + 1
)</f>
        <v>0</v>
      </c>
      <c r="AB23" s="49">
        <f>SUMIFS([1]!in.rec[total],
[1]!in.rec[natureza],"pro.soluto",
[1]!in.rec[empresa],AB$6,
[1]!in.rec[data.base],"&gt;="&amp;$A23,
[1]!in.rec[data.base],"&lt;"&amp;EOMONTH($A23,0)
)</f>
        <v>0</v>
      </c>
      <c r="AC23" s="49">
        <f>IF(
$A23&lt;=$A$1,
SUMIFS([1]!in.rec[total],
   [1]!in.rec[empresa],AC$6,
   [1]!in.rec[ele],"FIN",
   [1]!in.rec[data.pagamento],"&gt;="&amp;$A23,
   [1]!in.rec[data.pagamento],"&lt;"&amp;$A24
),
SUMIFS([1]!in.rec[total],
   [1]!in.rec[empresa],AC$6,
   [1]!in.rec[ele],"FIN",
   [1]!in.rec[data.vencimento],"&gt;="&amp;$A23,
   [1]!in.rec[data.vencimento],"&lt;"&amp;$A24
)
)</f>
        <v>0</v>
      </c>
      <c r="AD23" s="49" t="e">
        <f ca="1">SUMIFS([1]!rec.uni[2022-09-01],
INDIRECT("rec.uni[natureza]"),"taxa.extra",
INDIRECT("rec.uni[empresa]"),AD$6)</f>
        <v>#REF!</v>
      </c>
      <c r="AE23" s="50">
        <v>0</v>
      </c>
      <c r="AF23" s="48">
        <f>COUNTIFS(
    [1]!estoque[empresa], AF$6,
    [1]!estoque[Data da venda / reserva], "&gt;=" &amp; $A23,
    [1]!estoque[Data da venda / reserva], "&lt;"  &amp; EOMONTH($A23,0) + 1
)</f>
        <v>0</v>
      </c>
      <c r="AG23" s="49">
        <f>SUMIFS([1]!in.rec[total],
[1]!in.rec[natureza],"pro.soluto",
[1]!in.rec[empresa],AG$6,
[1]!in.rec[data.base],"&gt;="&amp;$A23,
[1]!in.rec[data.base],"&lt;"&amp;EOMONTH($A23,0)
)</f>
        <v>0</v>
      </c>
      <c r="AH23" s="49" t="e">
        <f ca="1">SUMIFS([1]!rec.uni[2022-09-01],
INDIRECT("rec.uni[natureza]"),"repasse.cef.obra",
INDIRECT("rec.uni[empresa]"),AH$6)</f>
        <v>#REF!</v>
      </c>
      <c r="AI23" s="49" t="e">
        <f ca="1">SUMIFS([1]!rec.uni[2022-09-01],
INDIRECT("rec.uni[natureza]"),"repasse.cef.terreno",
INDIRECT("rec.uni[empresa]"),AI$6)</f>
        <v>#REF!</v>
      </c>
      <c r="AJ23" s="49">
        <v>0</v>
      </c>
      <c r="AK23" s="49" t="e">
        <f ca="1">SUMIFS([1]!rec.uni[2022-09-01],
INDIRECT("rec.uni[natureza]"),"taxa.extra",
INDIRECT("rec.uni[empresa]"),AK$6)</f>
        <v>#REF!</v>
      </c>
      <c r="AL23" s="50">
        <v>0</v>
      </c>
      <c r="AM23" s="48">
        <f>COUNTIFS(
    [1]!estoque[empresa], AM$6,
    [1]!estoque[Data da venda / reserva], "&gt;=" &amp; $A23,
    [1]!estoque[Data da venda / reserva], "&lt;"  &amp; EOMONTH($A23,0) + 1
)</f>
        <v>0</v>
      </c>
      <c r="AN23" s="49">
        <f>SUMIFS([1]!in.rec[total],
[1]!in.rec[natureza],"pro.soluto",
[1]!in.rec[empresa],AN$6,
[1]!in.rec[data.base],"&gt;="&amp;$A23,
[1]!in.rec[data.base],"&lt;"&amp;EOMONTH($A23,0)
)</f>
        <v>0</v>
      </c>
      <c r="AO23" s="49" t="e">
        <f ca="1">SUMIFS([1]!rec.uni[2022-09-01],
INDIRECT("rec.uni[natureza]"),"taxa.extra",
INDIRECT("rec.uni[empresa]"),AO$6)</f>
        <v>#REF!</v>
      </c>
      <c r="AP23" s="50">
        <v>0</v>
      </c>
    </row>
    <row r="24" spans="1:42" x14ac:dyDescent="0.25">
      <c r="A24" s="47">
        <v>44835</v>
      </c>
      <c r="B24" s="48">
        <f>COUNTIFS(
    [1]!estoque[empresa], B$6,
    [1]!estoque[Data da venda / reserva], "&gt;=" &amp; $A24,
    [1]!estoque[Data da venda / reserva], "&lt;"  &amp; EOMONTH($A24,0) + 1
)</f>
        <v>0</v>
      </c>
      <c r="C24" s="49">
        <f>SUMIFS([1]!in.rec[total],
[1]!in.rec[natureza],"pro.soluto",
[1]!in.rec[empresa],C$6,
[1]!in.rec[data.base],"&gt;="&amp;$A24,
[1]!in.rec[data.base],"&lt;"&amp;EOMONTH($A24,0)
)</f>
        <v>0</v>
      </c>
      <c r="D24" s="49" t="e">
        <f ca="1">SUMIFS([1]!rec.uni[2022-10-01],
INDIRECT("rec.uni[natureza]"),"repasse.cef.obra",
INDIRECT("rec.uni[empresa]"),D$6)</f>
        <v>#REF!</v>
      </c>
      <c r="E24" s="49" t="e">
        <f ca="1">SUMIFS([1]!rec.uni[2022-10-01],
INDIRECT("rec.uni[natureza]"),"repasse.cef.terreno",
INDIRECT("rec.uni[empresa]"),E$6)</f>
        <v>#REF!</v>
      </c>
      <c r="F24" s="49">
        <v>0</v>
      </c>
      <c r="G24" s="49" t="e">
        <f ca="1">SUMIFS([1]!rec.uni[2022-10-01],
INDIRECT("rec.uni[natureza]"),"taxa.extra",
INDIRECT("rec.uni[empresa]"),G$6)</f>
        <v>#REF!</v>
      </c>
      <c r="H24" s="50"/>
      <c r="I24" s="48">
        <f>COUNTIFS(
    [1]!estoque[empresa], I$6,
    [1]!estoque[Data da venda / reserva], "&gt;=" &amp; $A24,
    [1]!estoque[Data da venda / reserva], "&lt;"  &amp; EOMONTH($A24,0) + 1
)</f>
        <v>4</v>
      </c>
      <c r="J24" s="49">
        <f>SUMIFS([1]!in.rec[total],
[1]!in.rec[natureza],"pro.soluto",
[1]!in.rec[empresa],J$6,
[1]!in.rec[data.base],"&gt;="&amp;$A24,
[1]!in.rec[data.base],"&lt;"&amp;EOMONTH($A24,0)
)</f>
        <v>262464.37000000017</v>
      </c>
      <c r="K24" s="49" t="e">
        <f ca="1">SUMIFS([1]!rec.uni[2022-10-01],
INDIRECT("rec.uni[natureza]"),"repasse.cef.obra",
INDIRECT("rec.uni[empresa]"),K$6)</f>
        <v>#REF!</v>
      </c>
      <c r="L24" s="49" t="e">
        <f ca="1">SUMIFS([1]!rec.uni[2022-10-01],
INDIRECT("rec.uni[natureza]"),"repasse.cef.terreno",
INDIRECT("rec.uni[empresa]"),L$6)</f>
        <v>#REF!</v>
      </c>
      <c r="M24" s="49">
        <v>0</v>
      </c>
      <c r="N24" s="49" t="e">
        <f ca="1">SUMIFS([1]!rec.uni[2022-10-01],
INDIRECT("rec.uni[natureza]"),"taxa.extra",
INDIRECT("rec.uni[empresa]"),N$6)</f>
        <v>#REF!</v>
      </c>
      <c r="O24" s="50">
        <v>3483.9400000000005</v>
      </c>
      <c r="P24" s="48">
        <f>COUNTIFS(
    [1]!estoque[empresa], P$6,
    [1]!estoque[Data da venda / reserva], "&gt;=" &amp; $A24,
    [1]!estoque[Data da venda / reserva], "&lt;"  &amp; EOMONTH($A24,0) + 1
)</f>
        <v>0</v>
      </c>
      <c r="Q24" s="49">
        <f>SUMIFS([1]!in.rec[total],
[1]!in.rec[natureza],"pro.soluto",
[1]!in.rec[empresa],Q$6,
[1]!in.rec[data.base],"&gt;="&amp;$A24,
[1]!in.rec[data.base],"&lt;"&amp;EOMONTH($A24,0)
)</f>
        <v>0</v>
      </c>
      <c r="R24" s="49" t="e">
        <f ca="1">SUMIFS([1]!rec.uni[2022-10-01],
INDIRECT("rec.uni[natureza]"),"repasse.cef.obra",
INDIRECT("rec.uni[empresa]"),R$6)</f>
        <v>#REF!</v>
      </c>
      <c r="S24" s="49" t="e">
        <f ca="1">SUMIFS([1]!rec.uni[2022-10-01],
INDIRECT("rec.uni[natureza]"),"repasse.cef.terreno",
INDIRECT("rec.uni[empresa]"),S$6)</f>
        <v>#REF!</v>
      </c>
      <c r="T24" s="49">
        <v>0</v>
      </c>
      <c r="U24" s="49" t="e">
        <f ca="1">SUMIFS([1]!rec.uni[2022-10-01],
INDIRECT("rec.uni[natureza]"),"taxa.extra",
INDIRECT("rec.uni[empresa]"),U$6)</f>
        <v>#REF!</v>
      </c>
      <c r="V24" s="50">
        <v>0</v>
      </c>
      <c r="W24" s="48">
        <f>COUNTIFS(
    [1]!estoque[empresa], W$6,
    [1]!estoque[Data da venda / reserva], "&gt;=" &amp; $A24,
    [1]!estoque[Data da venda / reserva], "&lt;"  &amp; EOMONTH($A24,0) + 1
)</f>
        <v>0</v>
      </c>
      <c r="X24" s="49">
        <f>SUMIFS([1]!in.rec[total],
[1]!in.rec[natureza],"pro.soluto",
[1]!in.rec[empresa],X$6,
[1]!in.rec[data.base],"&gt;="&amp;$A24,
[1]!in.rec[data.base],"&lt;"&amp;EOMONTH($A24,0)
)</f>
        <v>0</v>
      </c>
      <c r="Y24" s="49" t="e">
        <f ca="1">SUMIFS([1]!rec.uni[2022-10-01],
INDIRECT("rec.uni[natureza]"),"taxa.extra",
INDIRECT("rec.uni[empresa]"),Y$6)</f>
        <v>#REF!</v>
      </c>
      <c r="Z24" s="50">
        <v>0</v>
      </c>
      <c r="AA24" s="48">
        <f>COUNTIFS(
    [1]!estoque[empresa], AA$6,
    [1]!estoque[Data da venda / reserva], "&gt;=" &amp; $A24,
    [1]!estoque[Data da venda / reserva], "&lt;"  &amp; EOMONTH($A24,0) + 1
)</f>
        <v>0</v>
      </c>
      <c r="AB24" s="49">
        <f>SUMIFS([1]!in.rec[total],
[1]!in.rec[natureza],"pro.soluto",
[1]!in.rec[empresa],AB$6,
[1]!in.rec[data.base],"&gt;="&amp;$A24,
[1]!in.rec[data.base],"&lt;"&amp;EOMONTH($A24,0)
)</f>
        <v>0</v>
      </c>
      <c r="AC24" s="49">
        <f>IF(
$A24&lt;=$A$1,
SUMIFS([1]!in.rec[total],
   [1]!in.rec[empresa],AC$6,
   [1]!in.rec[ele],"FIN",
   [1]!in.rec[data.pagamento],"&gt;="&amp;$A24,
   [1]!in.rec[data.pagamento],"&lt;"&amp;$A25
),
SUMIFS([1]!in.rec[total],
   [1]!in.rec[empresa],AC$6,
   [1]!in.rec[ele],"FIN",
   [1]!in.rec[data.vencimento],"&gt;="&amp;$A24,
   [1]!in.rec[data.vencimento],"&lt;"&amp;$A25
)
)</f>
        <v>0</v>
      </c>
      <c r="AD24" s="49" t="e">
        <f ca="1">SUMIFS([1]!rec.uni[2022-10-01],
INDIRECT("rec.uni[natureza]"),"taxa.extra",
INDIRECT("rec.uni[empresa]"),AD$6)</f>
        <v>#REF!</v>
      </c>
      <c r="AE24" s="50">
        <v>0</v>
      </c>
      <c r="AF24" s="48">
        <f>COUNTIFS(
    [1]!estoque[empresa], AF$6,
    [1]!estoque[Data da venda / reserva], "&gt;=" &amp; $A24,
    [1]!estoque[Data da venda / reserva], "&lt;"  &amp; EOMONTH($A24,0) + 1
)</f>
        <v>0</v>
      </c>
      <c r="AG24" s="49">
        <f>SUMIFS([1]!in.rec[total],
[1]!in.rec[natureza],"pro.soluto",
[1]!in.rec[empresa],AG$6,
[1]!in.rec[data.base],"&gt;="&amp;$A24,
[1]!in.rec[data.base],"&lt;"&amp;EOMONTH($A24,0)
)</f>
        <v>0</v>
      </c>
      <c r="AH24" s="49" t="e">
        <f ca="1">SUMIFS([1]!rec.uni[2022-10-01],
INDIRECT("rec.uni[natureza]"),"repasse.cef.obra",
INDIRECT("rec.uni[empresa]"),AH$6)</f>
        <v>#REF!</v>
      </c>
      <c r="AI24" s="49" t="e">
        <f ca="1">SUMIFS([1]!rec.uni[2022-10-01],
INDIRECT("rec.uni[natureza]"),"repasse.cef.terreno",
INDIRECT("rec.uni[empresa]"),AI$6)</f>
        <v>#REF!</v>
      </c>
      <c r="AJ24" s="49">
        <v>0</v>
      </c>
      <c r="AK24" s="49" t="e">
        <f ca="1">SUMIFS([1]!rec.uni[2022-10-01],
INDIRECT("rec.uni[natureza]"),"taxa.extra",
INDIRECT("rec.uni[empresa]"),AK$6)</f>
        <v>#REF!</v>
      </c>
      <c r="AL24" s="50">
        <v>0</v>
      </c>
      <c r="AM24" s="48">
        <f>COUNTIFS(
    [1]!estoque[empresa], AM$6,
    [1]!estoque[Data da venda / reserva], "&gt;=" &amp; $A24,
    [1]!estoque[Data da venda / reserva], "&lt;"  &amp; EOMONTH($A24,0) + 1
)</f>
        <v>0</v>
      </c>
      <c r="AN24" s="49">
        <f>SUMIFS([1]!in.rec[total],
[1]!in.rec[natureza],"pro.soluto",
[1]!in.rec[empresa],AN$6,
[1]!in.rec[data.base],"&gt;="&amp;$A24,
[1]!in.rec[data.base],"&lt;"&amp;EOMONTH($A24,0)
)</f>
        <v>0</v>
      </c>
      <c r="AO24" s="49" t="e">
        <f ca="1">SUMIFS([1]!rec.uni[2022-10-01],
INDIRECT("rec.uni[natureza]"),"taxa.extra",
INDIRECT("rec.uni[empresa]"),AO$6)</f>
        <v>#REF!</v>
      </c>
      <c r="AP24" s="50">
        <v>0</v>
      </c>
    </row>
    <row r="25" spans="1:42" x14ac:dyDescent="0.25">
      <c r="A25" s="47">
        <v>44866</v>
      </c>
      <c r="B25" s="48">
        <f>COUNTIFS(
    [1]!estoque[empresa], B$6,
    [1]!estoque[Data da venda / reserva], "&gt;=" &amp; $A25,
    [1]!estoque[Data da venda / reserva], "&lt;"  &amp; EOMONTH($A25,0) + 1
)</f>
        <v>0</v>
      </c>
      <c r="C25" s="49">
        <f>SUMIFS([1]!in.rec[total],
[1]!in.rec[natureza],"pro.soluto",
[1]!in.rec[empresa],C$6,
[1]!in.rec[data.base],"&gt;="&amp;$A25,
[1]!in.rec[data.base],"&lt;"&amp;EOMONTH($A25,0)
)</f>
        <v>0</v>
      </c>
      <c r="D25" s="49" t="e">
        <f ca="1">SUMIFS([1]!rec.uni[2022-11-01],
INDIRECT("rec.uni[natureza]"),"repasse.cef.obra",
INDIRECT("rec.uni[empresa]"),D$6)</f>
        <v>#REF!</v>
      </c>
      <c r="E25" s="49" t="e">
        <f ca="1">SUMIFS([1]!rec.uni[2022-11-01],
INDIRECT("rec.uni[natureza]"),"repasse.cef.terreno",
INDIRECT("rec.uni[empresa]"),E$6)</f>
        <v>#REF!</v>
      </c>
      <c r="F25" s="49">
        <v>0</v>
      </c>
      <c r="G25" s="49" t="e">
        <f ca="1">SUMIFS([1]!rec.uni[2022-11-01],
INDIRECT("rec.uni[natureza]"),"taxa.extra",
INDIRECT("rec.uni[empresa]"),G$6)</f>
        <v>#REF!</v>
      </c>
      <c r="H25" s="50"/>
      <c r="I25" s="48">
        <f>COUNTIFS(
    [1]!estoque[empresa], I$6,
    [1]!estoque[Data da venda / reserva], "&gt;=" &amp; $A25,
    [1]!estoque[Data da venda / reserva], "&lt;"  &amp; EOMONTH($A25,0) + 1
)</f>
        <v>5</v>
      </c>
      <c r="J25" s="49">
        <f>SUMIFS([1]!in.rec[total],
[1]!in.rec[natureza],"pro.soluto",
[1]!in.rec[empresa],J$6,
[1]!in.rec[data.base],"&gt;="&amp;$A25,
[1]!in.rec[data.base],"&lt;"&amp;EOMONTH($A25,0)
)</f>
        <v>246767.71</v>
      </c>
      <c r="K25" s="49" t="e">
        <f ca="1">SUMIFS([1]!rec.uni[2022-11-01],
INDIRECT("rec.uni[natureza]"),"repasse.cef.obra",
INDIRECT("rec.uni[empresa]"),K$6)</f>
        <v>#REF!</v>
      </c>
      <c r="L25" s="49" t="e">
        <f ca="1">SUMIFS([1]!rec.uni[2022-11-01],
INDIRECT("rec.uni[natureza]"),"repasse.cef.terreno",
INDIRECT("rec.uni[empresa]"),L$6)</f>
        <v>#REF!</v>
      </c>
      <c r="M25" s="49">
        <v>0</v>
      </c>
      <c r="N25" s="49" t="e">
        <f ca="1">SUMIFS([1]!rec.uni[2022-11-01],
INDIRECT("rec.uni[natureza]"),"taxa.extra",
INDIRECT("rec.uni[empresa]"),N$6)</f>
        <v>#REF!</v>
      </c>
      <c r="O25" s="50">
        <v>49001.18</v>
      </c>
      <c r="P25" s="48">
        <f>COUNTIFS(
    [1]!estoque[empresa], P$6,
    [1]!estoque[Data da venda / reserva], "&gt;=" &amp; $A25,
    [1]!estoque[Data da venda / reserva], "&lt;"  &amp; EOMONTH($A25,0) + 1
)</f>
        <v>0</v>
      </c>
      <c r="Q25" s="49">
        <f>SUMIFS([1]!in.rec[total],
[1]!in.rec[natureza],"pro.soluto",
[1]!in.rec[empresa],Q$6,
[1]!in.rec[data.base],"&gt;="&amp;$A25,
[1]!in.rec[data.base],"&lt;"&amp;EOMONTH($A25,0)
)</f>
        <v>0</v>
      </c>
      <c r="R25" s="49" t="e">
        <f ca="1">SUMIFS([1]!rec.uni[2022-11-01],
INDIRECT("rec.uni[natureza]"),"repasse.cef.obra",
INDIRECT("rec.uni[empresa]"),R$6)</f>
        <v>#REF!</v>
      </c>
      <c r="S25" s="49" t="e">
        <f ca="1">SUMIFS([1]!rec.uni[2022-11-01],
INDIRECT("rec.uni[natureza]"),"repasse.cef.terreno",
INDIRECT("rec.uni[empresa]"),S$6)</f>
        <v>#REF!</v>
      </c>
      <c r="T25" s="49">
        <v>0</v>
      </c>
      <c r="U25" s="49" t="e">
        <f ca="1">SUMIFS([1]!rec.uni[2022-11-01],
INDIRECT("rec.uni[natureza]"),"taxa.extra",
INDIRECT("rec.uni[empresa]"),U$6)</f>
        <v>#REF!</v>
      </c>
      <c r="V25" s="50">
        <v>0</v>
      </c>
      <c r="W25" s="48">
        <f>COUNTIFS(
    [1]!estoque[empresa], W$6,
    [1]!estoque[Data da venda / reserva], "&gt;=" &amp; $A25,
    [1]!estoque[Data da venda / reserva], "&lt;"  &amp; EOMONTH($A25,0) + 1
)</f>
        <v>0</v>
      </c>
      <c r="X25" s="49">
        <f>SUMIFS([1]!in.rec[total],
[1]!in.rec[natureza],"pro.soluto",
[1]!in.rec[empresa],X$6,
[1]!in.rec[data.base],"&gt;="&amp;$A25,
[1]!in.rec[data.base],"&lt;"&amp;EOMONTH($A25,0)
)</f>
        <v>0</v>
      </c>
      <c r="Y25" s="49" t="e">
        <f ca="1">SUMIFS([1]!rec.uni[2022-11-01],
INDIRECT("rec.uni[natureza]"),"taxa.extra",
INDIRECT("rec.uni[empresa]"),Y$6)</f>
        <v>#REF!</v>
      </c>
      <c r="Z25" s="50">
        <v>0</v>
      </c>
      <c r="AA25" s="48">
        <f>COUNTIFS(
    [1]!estoque[empresa], AA$6,
    [1]!estoque[Data da venda / reserva], "&gt;=" &amp; $A25,
    [1]!estoque[Data da venda / reserva], "&lt;"  &amp; EOMONTH($A25,0) + 1
)</f>
        <v>0</v>
      </c>
      <c r="AB25" s="49">
        <f>SUMIFS([1]!in.rec[total],
[1]!in.rec[natureza],"pro.soluto",
[1]!in.rec[empresa],AB$6,
[1]!in.rec[data.base],"&gt;="&amp;$A25,
[1]!in.rec[data.base],"&lt;"&amp;EOMONTH($A25,0)
)</f>
        <v>0</v>
      </c>
      <c r="AC25" s="49">
        <f>IF(
$A25&lt;=$A$1,
SUMIFS([1]!in.rec[total],
   [1]!in.rec[empresa],AC$6,
   [1]!in.rec[ele],"FIN",
   [1]!in.rec[data.pagamento],"&gt;="&amp;$A25,
   [1]!in.rec[data.pagamento],"&lt;"&amp;$A26
),
SUMIFS([1]!in.rec[total],
   [1]!in.rec[empresa],AC$6,
   [1]!in.rec[ele],"FIN",
   [1]!in.rec[data.vencimento],"&gt;="&amp;$A25,
   [1]!in.rec[data.vencimento],"&lt;"&amp;$A26
)
)</f>
        <v>0</v>
      </c>
      <c r="AD25" s="49" t="e">
        <f ca="1">SUMIFS([1]!rec.uni[2022-11-01],
INDIRECT("rec.uni[natureza]"),"taxa.extra",
INDIRECT("rec.uni[empresa]"),AD$6)</f>
        <v>#REF!</v>
      </c>
      <c r="AE25" s="50">
        <v>0</v>
      </c>
      <c r="AF25" s="48">
        <f>COUNTIFS(
    [1]!estoque[empresa], AF$6,
    [1]!estoque[Data da venda / reserva], "&gt;=" &amp; $A25,
    [1]!estoque[Data da venda / reserva], "&lt;"  &amp; EOMONTH($A25,0) + 1
)</f>
        <v>0</v>
      </c>
      <c r="AG25" s="49">
        <f>SUMIFS([1]!in.rec[total],
[1]!in.rec[natureza],"pro.soluto",
[1]!in.rec[empresa],AG$6,
[1]!in.rec[data.base],"&gt;="&amp;$A25,
[1]!in.rec[data.base],"&lt;"&amp;EOMONTH($A25,0)
)</f>
        <v>0</v>
      </c>
      <c r="AH25" s="49" t="e">
        <f ca="1">SUMIFS([1]!rec.uni[2022-11-01],
INDIRECT("rec.uni[natureza]"),"repasse.cef.obra",
INDIRECT("rec.uni[empresa]"),AH$6)</f>
        <v>#REF!</v>
      </c>
      <c r="AI25" s="49" t="e">
        <f ca="1">SUMIFS([1]!rec.uni[2022-11-01],
INDIRECT("rec.uni[natureza]"),"repasse.cef.terreno",
INDIRECT("rec.uni[empresa]"),AI$6)</f>
        <v>#REF!</v>
      </c>
      <c r="AJ25" s="49">
        <v>0</v>
      </c>
      <c r="AK25" s="49" t="e">
        <f ca="1">SUMIFS([1]!rec.uni[2022-11-01],
INDIRECT("rec.uni[natureza]"),"taxa.extra",
INDIRECT("rec.uni[empresa]"),AK$6)</f>
        <v>#REF!</v>
      </c>
      <c r="AL25" s="50">
        <v>0</v>
      </c>
      <c r="AM25" s="48">
        <f>COUNTIFS(
    [1]!estoque[empresa], AM$6,
    [1]!estoque[Data da venda / reserva], "&gt;=" &amp; $A25,
    [1]!estoque[Data da venda / reserva], "&lt;"  &amp; EOMONTH($A25,0) + 1
)</f>
        <v>0</v>
      </c>
      <c r="AN25" s="49">
        <f>SUMIFS([1]!in.rec[total],
[1]!in.rec[natureza],"pro.soluto",
[1]!in.rec[empresa],AN$6,
[1]!in.rec[data.base],"&gt;="&amp;$A25,
[1]!in.rec[data.base],"&lt;"&amp;EOMONTH($A25,0)
)</f>
        <v>0</v>
      </c>
      <c r="AO25" s="49" t="e">
        <f ca="1">SUMIFS([1]!rec.uni[2022-11-01],
INDIRECT("rec.uni[natureza]"),"taxa.extra",
INDIRECT("rec.uni[empresa]"),AO$6)</f>
        <v>#REF!</v>
      </c>
      <c r="AP25" s="50">
        <v>0</v>
      </c>
    </row>
    <row r="26" spans="1:42" x14ac:dyDescent="0.25">
      <c r="A26" s="47">
        <v>44896</v>
      </c>
      <c r="B26" s="48">
        <f>COUNTIFS(
    [1]!estoque[empresa], B$6,
    [1]!estoque[Data da venda / reserva], "&gt;=" &amp; $A26,
    [1]!estoque[Data da venda / reserva], "&lt;"  &amp; EOMONTH($A26,0) + 1
)</f>
        <v>0</v>
      </c>
      <c r="C26" s="49">
        <f>SUMIFS([1]!in.rec[total],
[1]!in.rec[natureza],"pro.soluto",
[1]!in.rec[empresa],C$6,
[1]!in.rec[data.base],"&gt;="&amp;$A26,
[1]!in.rec[data.base],"&lt;"&amp;EOMONTH($A26,0)
)</f>
        <v>0</v>
      </c>
      <c r="D26" s="49" t="e">
        <f ca="1">SUMIFS([1]!rec.uni[2022-12-01],
INDIRECT("rec.uni[natureza]"),"repasse.cef.obra",
INDIRECT("rec.uni[empresa]"),D$6)</f>
        <v>#REF!</v>
      </c>
      <c r="E26" s="49" t="e">
        <f ca="1">SUMIFS([1]!rec.uni[2022-12-01],
INDIRECT("rec.uni[natureza]"),"repasse.cef.terreno",
INDIRECT("rec.uni[empresa]"),E$6)</f>
        <v>#REF!</v>
      </c>
      <c r="F26" s="49">
        <v>0</v>
      </c>
      <c r="G26" s="49" t="e">
        <f ca="1">SUMIFS([1]!rec.uni[2022-12-01],
INDIRECT("rec.uni[natureza]"),"taxa.extra",
INDIRECT("rec.uni[empresa]"),G$6)</f>
        <v>#REF!</v>
      </c>
      <c r="H26" s="50"/>
      <c r="I26" s="48">
        <f>COUNTIFS(
    [1]!estoque[empresa], I$6,
    [1]!estoque[Data da venda / reserva], "&gt;=" &amp; $A26,
    [1]!estoque[Data da venda / reserva], "&lt;"  &amp; EOMONTH($A26,0) + 1
)</f>
        <v>0</v>
      </c>
      <c r="J26" s="49">
        <f>SUMIFS([1]!in.rec[total],
[1]!in.rec[natureza],"pro.soluto",
[1]!in.rec[empresa],J$6,
[1]!in.rec[data.base],"&gt;="&amp;$A26,
[1]!in.rec[data.base],"&lt;"&amp;EOMONTH($A26,0)
)</f>
        <v>526109.40000000026</v>
      </c>
      <c r="K26" s="49" t="e">
        <f ca="1">SUMIFS([1]!rec.uni[2022-12-01],
INDIRECT("rec.uni[natureza]"),"repasse.cef.obra",
INDIRECT("rec.uni[empresa]"),K$6)</f>
        <v>#REF!</v>
      </c>
      <c r="L26" s="49" t="e">
        <f ca="1">SUMIFS([1]!rec.uni[2022-12-01],
INDIRECT("rec.uni[natureza]"),"repasse.cef.terreno",
INDIRECT("rec.uni[empresa]"),L$6)</f>
        <v>#REF!</v>
      </c>
      <c r="M26" s="49">
        <v>0</v>
      </c>
      <c r="N26" s="49" t="e">
        <f ca="1">SUMIFS([1]!rec.uni[2022-12-01],
INDIRECT("rec.uni[natureza]"),"taxa.extra",
INDIRECT("rec.uni[empresa]"),N$6)</f>
        <v>#REF!</v>
      </c>
      <c r="O26" s="50">
        <v>16722.29</v>
      </c>
      <c r="P26" s="48">
        <f>COUNTIFS(
    [1]!estoque[empresa], P$6,
    [1]!estoque[Data da venda / reserva], "&gt;=" &amp; $A26,
    [1]!estoque[Data da venda / reserva], "&lt;"  &amp; EOMONTH($A26,0) + 1
)</f>
        <v>0</v>
      </c>
      <c r="Q26" s="49">
        <f>SUMIFS([1]!in.rec[total],
[1]!in.rec[natureza],"pro.soluto",
[1]!in.rec[empresa],Q$6,
[1]!in.rec[data.base],"&gt;="&amp;$A26,
[1]!in.rec[data.base],"&lt;"&amp;EOMONTH($A26,0)
)</f>
        <v>0</v>
      </c>
      <c r="R26" s="49" t="e">
        <f ca="1">SUMIFS([1]!rec.uni[2022-12-01],
INDIRECT("rec.uni[natureza]"),"repasse.cef.obra",
INDIRECT("rec.uni[empresa]"),R$6)</f>
        <v>#REF!</v>
      </c>
      <c r="S26" s="49" t="e">
        <f ca="1">SUMIFS([1]!rec.uni[2022-12-01],
INDIRECT("rec.uni[natureza]"),"repasse.cef.terreno",
INDIRECT("rec.uni[empresa]"),S$6)</f>
        <v>#REF!</v>
      </c>
      <c r="T26" s="49">
        <v>0</v>
      </c>
      <c r="U26" s="49" t="e">
        <f ca="1">SUMIFS([1]!rec.uni[2022-12-01],
INDIRECT("rec.uni[natureza]"),"taxa.extra",
INDIRECT("rec.uni[empresa]"),U$6)</f>
        <v>#REF!</v>
      </c>
      <c r="V26" s="50">
        <v>0</v>
      </c>
      <c r="W26" s="48">
        <f>COUNTIFS(
    [1]!estoque[empresa], W$6,
    [1]!estoque[Data da venda / reserva], "&gt;=" &amp; $A26,
    [1]!estoque[Data da venda / reserva], "&lt;"  &amp; EOMONTH($A26,0) + 1
)</f>
        <v>0</v>
      </c>
      <c r="X26" s="49">
        <f>SUMIFS([1]!in.rec[total],
[1]!in.rec[natureza],"pro.soluto",
[1]!in.rec[empresa],X$6,
[1]!in.rec[data.base],"&gt;="&amp;$A26,
[1]!in.rec[data.base],"&lt;"&amp;EOMONTH($A26,0)
)</f>
        <v>0</v>
      </c>
      <c r="Y26" s="49" t="e">
        <f ca="1">SUMIFS([1]!rec.uni[2022-12-01],
INDIRECT("rec.uni[natureza]"),"taxa.extra",
INDIRECT("rec.uni[empresa]"),Y$6)</f>
        <v>#REF!</v>
      </c>
      <c r="Z26" s="50">
        <v>0</v>
      </c>
      <c r="AA26" s="48">
        <f>COUNTIFS(
    [1]!estoque[empresa], AA$6,
    [1]!estoque[Data da venda / reserva], "&gt;=" &amp; $A26,
    [1]!estoque[Data da venda / reserva], "&lt;"  &amp; EOMONTH($A26,0) + 1
)</f>
        <v>0</v>
      </c>
      <c r="AB26" s="49">
        <f>SUMIFS([1]!in.rec[total],
[1]!in.rec[natureza],"pro.soluto",
[1]!in.rec[empresa],AB$6,
[1]!in.rec[data.base],"&gt;="&amp;$A26,
[1]!in.rec[data.base],"&lt;"&amp;EOMONTH($A26,0)
)</f>
        <v>0</v>
      </c>
      <c r="AC26" s="49">
        <f>IF(
$A26&lt;=$A$1,
SUMIFS([1]!in.rec[total],
   [1]!in.rec[empresa],AC$6,
   [1]!in.rec[ele],"FIN",
   [1]!in.rec[data.pagamento],"&gt;="&amp;$A26,
   [1]!in.rec[data.pagamento],"&lt;"&amp;$A27
),
SUMIFS([1]!in.rec[total],
   [1]!in.rec[empresa],AC$6,
   [1]!in.rec[ele],"FIN",
   [1]!in.rec[data.vencimento],"&gt;="&amp;$A26,
   [1]!in.rec[data.vencimento],"&lt;"&amp;$A27
)
)</f>
        <v>0</v>
      </c>
      <c r="AD26" s="49" t="e">
        <f ca="1">SUMIFS([1]!rec.uni[2022-12-01],
INDIRECT("rec.uni[natureza]"),"taxa.extra",
INDIRECT("rec.uni[empresa]"),AD$6)</f>
        <v>#REF!</v>
      </c>
      <c r="AE26" s="50">
        <v>0</v>
      </c>
      <c r="AF26" s="48">
        <f>COUNTIFS(
    [1]!estoque[empresa], AF$6,
    [1]!estoque[Data da venda / reserva], "&gt;=" &amp; $A26,
    [1]!estoque[Data da venda / reserva], "&lt;"  &amp; EOMONTH($A26,0) + 1
)</f>
        <v>0</v>
      </c>
      <c r="AG26" s="49">
        <f>SUMIFS([1]!in.rec[total],
[1]!in.rec[natureza],"pro.soluto",
[1]!in.rec[empresa],AG$6,
[1]!in.rec[data.base],"&gt;="&amp;$A26,
[1]!in.rec[data.base],"&lt;"&amp;EOMONTH($A26,0)
)</f>
        <v>0</v>
      </c>
      <c r="AH26" s="49" t="e">
        <f ca="1">SUMIFS([1]!rec.uni[2022-12-01],
INDIRECT("rec.uni[natureza]"),"repasse.cef.obra",
INDIRECT("rec.uni[empresa]"),AH$6)</f>
        <v>#REF!</v>
      </c>
      <c r="AI26" s="49" t="e">
        <f ca="1">SUMIFS([1]!rec.uni[2022-12-01],
INDIRECT("rec.uni[natureza]"),"repasse.cef.terreno",
INDIRECT("rec.uni[empresa]"),AI$6)</f>
        <v>#REF!</v>
      </c>
      <c r="AJ26" s="49">
        <v>0</v>
      </c>
      <c r="AK26" s="49" t="e">
        <f ca="1">SUMIFS([1]!rec.uni[2022-12-01],
INDIRECT("rec.uni[natureza]"),"taxa.extra",
INDIRECT("rec.uni[empresa]"),AK$6)</f>
        <v>#REF!</v>
      </c>
      <c r="AL26" s="50">
        <v>0</v>
      </c>
      <c r="AM26" s="48">
        <f>COUNTIFS(
    [1]!estoque[empresa], AM$6,
    [1]!estoque[Data da venda / reserva], "&gt;=" &amp; $A26,
    [1]!estoque[Data da venda / reserva], "&lt;"  &amp; EOMONTH($A26,0) + 1
)</f>
        <v>0</v>
      </c>
      <c r="AN26" s="49">
        <f>SUMIFS([1]!in.rec[total],
[1]!in.rec[natureza],"pro.soluto",
[1]!in.rec[empresa],AN$6,
[1]!in.rec[data.base],"&gt;="&amp;$A26,
[1]!in.rec[data.base],"&lt;"&amp;EOMONTH($A26,0)
)</f>
        <v>0</v>
      </c>
      <c r="AO26" s="49" t="e">
        <f ca="1">SUMIFS([1]!rec.uni[2022-12-01],
INDIRECT("rec.uni[natureza]"),"taxa.extra",
INDIRECT("rec.uni[empresa]"),AO$6)</f>
        <v>#REF!</v>
      </c>
      <c r="AP26" s="50">
        <v>0</v>
      </c>
    </row>
    <row r="27" spans="1:42" x14ac:dyDescent="0.25">
      <c r="A27" s="47">
        <v>44927</v>
      </c>
      <c r="B27" s="48">
        <f>COUNTIFS(
    [1]!estoque[empresa], B$6,
    [1]!estoque[Data da venda / reserva], "&gt;=" &amp; $A27,
    [1]!estoque[Data da venda / reserva], "&lt;"  &amp; EOMONTH($A27,0) + 1
)</f>
        <v>0</v>
      </c>
      <c r="C27" s="49">
        <f>SUMIFS([1]!in.rec[total],
[1]!in.rec[natureza],"pro.soluto",
[1]!in.rec[empresa],C$6,
[1]!in.rec[data.base],"&gt;="&amp;$A27,
[1]!in.rec[data.base],"&lt;"&amp;EOMONTH($A27,0)
)</f>
        <v>0</v>
      </c>
      <c r="D27" s="49" t="e">
        <f ca="1">SUMIFS([1]!rec.uni[2023-01-01],
INDIRECT("rec.uni[natureza]"),"repasse.cef.obra",
INDIRECT("rec.uni[empresa]"),D$6)</f>
        <v>#REF!</v>
      </c>
      <c r="E27" s="49" t="e">
        <f ca="1">SUMIFS([1]!rec.uni[2023-01-01],
INDIRECT("rec.uni[natureza]"),"repasse.cef.terreno",
INDIRECT("rec.uni[empresa]"),E$6)</f>
        <v>#REF!</v>
      </c>
      <c r="F27" s="49">
        <v>0</v>
      </c>
      <c r="G27" s="49" t="e">
        <f ca="1">SUMIFS([1]!rec.uni[2023-01-01],
INDIRECT("rec.uni[natureza]"),"taxa.extra",
INDIRECT("rec.uni[empresa]"),G$6)</f>
        <v>#REF!</v>
      </c>
      <c r="H27" s="50"/>
      <c r="I27" s="48">
        <f>COUNTIFS(
    [1]!estoque[empresa], I$6,
    [1]!estoque[Data da venda / reserva], "&gt;=" &amp; $A27,
    [1]!estoque[Data da venda / reserva], "&lt;"  &amp; EOMONTH($A27,0) + 1
)</f>
        <v>0</v>
      </c>
      <c r="J27" s="49">
        <f>SUMIFS([1]!in.rec[total],
[1]!in.rec[natureza],"pro.soluto",
[1]!in.rec[empresa],J$6,
[1]!in.rec[data.base],"&gt;="&amp;$A27,
[1]!in.rec[data.base],"&lt;"&amp;EOMONTH($A27,0)
)</f>
        <v>286944.22999999992</v>
      </c>
      <c r="K27" s="49" t="e">
        <f ca="1">SUMIFS([1]!rec.uni[2023-01-01],
INDIRECT("rec.uni[natureza]"),"repasse.cef.obra",
INDIRECT("rec.uni[empresa]"),K$6)</f>
        <v>#REF!</v>
      </c>
      <c r="L27" s="49" t="e">
        <f ca="1">SUMIFS([1]!rec.uni[2023-01-01],
INDIRECT("rec.uni[natureza]"),"repasse.cef.terreno",
INDIRECT("rec.uni[empresa]"),L$6)</f>
        <v>#REF!</v>
      </c>
      <c r="M27" s="49">
        <v>0</v>
      </c>
      <c r="N27" s="49" t="e">
        <f ca="1">SUMIFS([1]!rec.uni[2023-01-01],
INDIRECT("rec.uni[natureza]"),"taxa.extra",
INDIRECT("rec.uni[empresa]"),N$6)</f>
        <v>#REF!</v>
      </c>
      <c r="O27" s="50">
        <v>18762.169999999998</v>
      </c>
      <c r="P27" s="48">
        <f>COUNTIFS(
    [1]!estoque[empresa], P$6,
    [1]!estoque[Data da venda / reserva], "&gt;=" &amp; $A27,
    [1]!estoque[Data da venda / reserva], "&lt;"  &amp; EOMONTH($A27,0) + 1
)</f>
        <v>0</v>
      </c>
      <c r="Q27" s="49">
        <f>SUMIFS([1]!in.rec[total],
[1]!in.rec[natureza],"pro.soluto",
[1]!in.rec[empresa],Q$6,
[1]!in.rec[data.base],"&gt;="&amp;$A27,
[1]!in.rec[data.base],"&lt;"&amp;EOMONTH($A27,0)
)</f>
        <v>0</v>
      </c>
      <c r="R27" s="49" t="e">
        <f ca="1">SUMIFS([1]!rec.uni[2023-01-01],
INDIRECT("rec.uni[natureza]"),"repasse.cef.obra",
INDIRECT("rec.uni[empresa]"),R$6)</f>
        <v>#REF!</v>
      </c>
      <c r="S27" s="49" t="e">
        <f ca="1">SUMIFS([1]!rec.uni[2023-01-01],
INDIRECT("rec.uni[natureza]"),"repasse.cef.terreno",
INDIRECT("rec.uni[empresa]"),S$6)</f>
        <v>#REF!</v>
      </c>
      <c r="T27" s="49">
        <v>0</v>
      </c>
      <c r="U27" s="49" t="e">
        <f ca="1">SUMIFS([1]!rec.uni[2023-01-01],
INDIRECT("rec.uni[natureza]"),"taxa.extra",
INDIRECT("rec.uni[empresa]"),U$6)</f>
        <v>#REF!</v>
      </c>
      <c r="V27" s="50">
        <v>0</v>
      </c>
      <c r="W27" s="48">
        <f>COUNTIFS(
    [1]!estoque[empresa], W$6,
    [1]!estoque[Data da venda / reserva], "&gt;=" &amp; $A27,
    [1]!estoque[Data da venda / reserva], "&lt;"  &amp; EOMONTH($A27,0) + 1
)</f>
        <v>0</v>
      </c>
      <c r="X27" s="49">
        <f>SUMIFS([1]!in.rec[total],
[1]!in.rec[natureza],"pro.soluto",
[1]!in.rec[empresa],X$6,
[1]!in.rec[data.base],"&gt;="&amp;$A27,
[1]!in.rec[data.base],"&lt;"&amp;EOMONTH($A27,0)
)</f>
        <v>0</v>
      </c>
      <c r="Y27" s="49" t="e">
        <f ca="1">SUMIFS([1]!rec.uni[2023-01-01],
INDIRECT("rec.uni[natureza]"),"taxa.extra",
INDIRECT("rec.uni[empresa]"),Y$6)</f>
        <v>#REF!</v>
      </c>
      <c r="Z27" s="50">
        <v>0</v>
      </c>
      <c r="AA27" s="48">
        <f>COUNTIFS(
    [1]!estoque[empresa], AA$6,
    [1]!estoque[Data da venda / reserva], "&gt;=" &amp; $A27,
    [1]!estoque[Data da venda / reserva], "&lt;"  &amp; EOMONTH($A27,0) + 1
)</f>
        <v>0</v>
      </c>
      <c r="AB27" s="49">
        <f>SUMIFS([1]!in.rec[total],
[1]!in.rec[natureza],"pro.soluto",
[1]!in.rec[empresa],AB$6,
[1]!in.rec[data.base],"&gt;="&amp;$A27,
[1]!in.rec[data.base],"&lt;"&amp;EOMONTH($A27,0)
)</f>
        <v>0</v>
      </c>
      <c r="AC27" s="49">
        <f>IF(
$A27&lt;=$A$1,
SUMIFS([1]!in.rec[total],
   [1]!in.rec[empresa],AC$6,
   [1]!in.rec[ele],"FIN",
   [1]!in.rec[data.pagamento],"&gt;="&amp;$A27,
   [1]!in.rec[data.pagamento],"&lt;"&amp;$A28
),
SUMIFS([1]!in.rec[total],
   [1]!in.rec[empresa],AC$6,
   [1]!in.rec[ele],"FIN",
   [1]!in.rec[data.vencimento],"&gt;="&amp;$A27,
   [1]!in.rec[data.vencimento],"&lt;"&amp;$A28
)
)</f>
        <v>0</v>
      </c>
      <c r="AD27" s="49" t="e">
        <f ca="1">SUMIFS([1]!rec.uni[2023-01-01],
INDIRECT("rec.uni[natureza]"),"taxa.extra",
INDIRECT("rec.uni[empresa]"),AD$6)</f>
        <v>#REF!</v>
      </c>
      <c r="AE27" s="50">
        <v>0</v>
      </c>
      <c r="AF27" s="48">
        <f>COUNTIFS(
    [1]!estoque[empresa], AF$6,
    [1]!estoque[Data da venda / reserva], "&gt;=" &amp; $A27,
    [1]!estoque[Data da venda / reserva], "&lt;"  &amp; EOMONTH($A27,0) + 1
)</f>
        <v>0</v>
      </c>
      <c r="AG27" s="49">
        <f>SUMIFS([1]!in.rec[total],
[1]!in.rec[natureza],"pro.soluto",
[1]!in.rec[empresa],AG$6,
[1]!in.rec[data.base],"&gt;="&amp;$A27,
[1]!in.rec[data.base],"&lt;"&amp;EOMONTH($A27,0)
)</f>
        <v>0</v>
      </c>
      <c r="AH27" s="49" t="e">
        <f ca="1">SUMIFS([1]!rec.uni[2023-01-01],
INDIRECT("rec.uni[natureza]"),"repasse.cef.obra",
INDIRECT("rec.uni[empresa]"),AH$6)</f>
        <v>#REF!</v>
      </c>
      <c r="AI27" s="49" t="e">
        <f ca="1">SUMIFS([1]!rec.uni[2023-01-01],
INDIRECT("rec.uni[natureza]"),"repasse.cef.terreno",
INDIRECT("rec.uni[empresa]"),AI$6)</f>
        <v>#REF!</v>
      </c>
      <c r="AJ27" s="49">
        <v>0</v>
      </c>
      <c r="AK27" s="49" t="e">
        <f ca="1">SUMIFS([1]!rec.uni[2023-01-01],
INDIRECT("rec.uni[natureza]"),"taxa.extra",
INDIRECT("rec.uni[empresa]"),AK$6)</f>
        <v>#REF!</v>
      </c>
      <c r="AL27" s="50">
        <v>0</v>
      </c>
      <c r="AM27" s="48">
        <f>COUNTIFS(
    [1]!estoque[empresa], AM$6,
    [1]!estoque[Data da venda / reserva], "&gt;=" &amp; $A27,
    [1]!estoque[Data da venda / reserva], "&lt;"  &amp; EOMONTH($A27,0) + 1
)</f>
        <v>0</v>
      </c>
      <c r="AN27" s="49">
        <f>SUMIFS([1]!in.rec[total],
[1]!in.rec[natureza],"pro.soluto",
[1]!in.rec[empresa],AN$6,
[1]!in.rec[data.base],"&gt;="&amp;$A27,
[1]!in.rec[data.base],"&lt;"&amp;EOMONTH($A27,0)
)</f>
        <v>0</v>
      </c>
      <c r="AO27" s="49" t="e">
        <f ca="1">SUMIFS([1]!rec.uni[2023-01-01],
INDIRECT("rec.uni[natureza]"),"taxa.extra",
INDIRECT("rec.uni[empresa]"),AO$6)</f>
        <v>#REF!</v>
      </c>
      <c r="AP27" s="50">
        <v>0</v>
      </c>
    </row>
    <row r="28" spans="1:42" x14ac:dyDescent="0.25">
      <c r="A28" s="47">
        <v>44958</v>
      </c>
      <c r="B28" s="48">
        <f>COUNTIFS(
    [1]!estoque[empresa], B$6,
    [1]!estoque[Data da venda / reserva], "&gt;=" &amp; $A28,
    [1]!estoque[Data da venda / reserva], "&lt;"  &amp; EOMONTH($A28,0) + 1
)</f>
        <v>0</v>
      </c>
      <c r="C28" s="49">
        <f>SUMIFS([1]!in.rec[total],
[1]!in.rec[natureza],"pro.soluto",
[1]!in.rec[empresa],C$6,
[1]!in.rec[data.base],"&gt;="&amp;$A28,
[1]!in.rec[data.base],"&lt;"&amp;EOMONTH($A28,0)
)</f>
        <v>0</v>
      </c>
      <c r="D28" s="49" t="e">
        <f ca="1">SUMIFS([1]!rec.uni[2023-02-01],
INDIRECT("rec.uni[natureza]"),"repasse.cef.obra",
INDIRECT("rec.uni[empresa]"),D$6)</f>
        <v>#REF!</v>
      </c>
      <c r="E28" s="49" t="e">
        <f ca="1">SUMIFS([1]!rec.uni[2023-02-01],
INDIRECT("rec.uni[natureza]"),"repasse.cef.terreno",
INDIRECT("rec.uni[empresa]"),E$6)</f>
        <v>#REF!</v>
      </c>
      <c r="F28" s="49">
        <v>0</v>
      </c>
      <c r="G28" s="49" t="e">
        <f ca="1">SUMIFS([1]!rec.uni[2023-02-01],
INDIRECT("rec.uni[natureza]"),"taxa.extra",
INDIRECT("rec.uni[empresa]"),G$6)</f>
        <v>#REF!</v>
      </c>
      <c r="H28" s="50"/>
      <c r="I28" s="48">
        <f>COUNTIFS(
    [1]!estoque[empresa], I$6,
    [1]!estoque[Data da venda / reserva], "&gt;=" &amp; $A28,
    [1]!estoque[Data da venda / reserva], "&lt;"  &amp; EOMONTH($A28,0) + 1
)</f>
        <v>2</v>
      </c>
      <c r="J28" s="49">
        <f>SUMIFS([1]!in.rec[total],
[1]!in.rec[natureza],"pro.soluto",
[1]!in.rec[empresa],J$6,
[1]!in.rec[data.base],"&gt;="&amp;$A28,
[1]!in.rec[data.base],"&lt;"&amp;EOMONTH($A28,0)
)</f>
        <v>245547.24000000014</v>
      </c>
      <c r="K28" s="49" t="e">
        <f ca="1">SUMIFS([1]!rec.uni[2023-02-01],
INDIRECT("rec.uni[natureza]"),"repasse.cef.obra",
INDIRECT("rec.uni[empresa]"),K$6)</f>
        <v>#REF!</v>
      </c>
      <c r="L28" s="49" t="e">
        <f ca="1">SUMIFS([1]!rec.uni[2023-02-01],
INDIRECT("rec.uni[natureza]"),"repasse.cef.terreno",
INDIRECT("rec.uni[empresa]"),L$6)</f>
        <v>#REF!</v>
      </c>
      <c r="M28" s="49">
        <v>0</v>
      </c>
      <c r="N28" s="49" t="e">
        <f ca="1">SUMIFS([1]!rec.uni[2023-02-01],
INDIRECT("rec.uni[natureza]"),"taxa.extra",
INDIRECT("rec.uni[empresa]"),N$6)</f>
        <v>#REF!</v>
      </c>
      <c r="O28" s="50">
        <v>1198.94</v>
      </c>
      <c r="P28" s="48">
        <f>COUNTIFS(
    [1]!estoque[empresa], P$6,
    [1]!estoque[Data da venda / reserva], "&gt;=" &amp; $A28,
    [1]!estoque[Data da venda / reserva], "&lt;"  &amp; EOMONTH($A28,0) + 1
)</f>
        <v>0</v>
      </c>
      <c r="Q28" s="49">
        <f>SUMIFS([1]!in.rec[total],
[1]!in.rec[natureza],"pro.soluto",
[1]!in.rec[empresa],Q$6,
[1]!in.rec[data.base],"&gt;="&amp;$A28,
[1]!in.rec[data.base],"&lt;"&amp;EOMONTH($A28,0)
)</f>
        <v>0</v>
      </c>
      <c r="R28" s="49" t="e">
        <f ca="1">SUMIFS([1]!rec.uni[2023-02-01],
INDIRECT("rec.uni[natureza]"),"repasse.cef.obra",
INDIRECT("rec.uni[empresa]"),R$6)</f>
        <v>#REF!</v>
      </c>
      <c r="S28" s="49" t="e">
        <f ca="1">SUMIFS([1]!rec.uni[2023-02-01],
INDIRECT("rec.uni[natureza]"),"repasse.cef.terreno",
INDIRECT("rec.uni[empresa]"),S$6)</f>
        <v>#REF!</v>
      </c>
      <c r="T28" s="49">
        <v>0</v>
      </c>
      <c r="U28" s="49" t="e">
        <f ca="1">SUMIFS([1]!rec.uni[2023-02-01],
INDIRECT("rec.uni[natureza]"),"taxa.extra",
INDIRECT("rec.uni[empresa]"),U$6)</f>
        <v>#REF!</v>
      </c>
      <c r="V28" s="50">
        <v>0</v>
      </c>
      <c r="W28" s="48">
        <f>COUNTIFS(
    [1]!estoque[empresa], W$6,
    [1]!estoque[Data da venda / reserva], "&gt;=" &amp; $A28,
    [1]!estoque[Data da venda / reserva], "&lt;"  &amp; EOMONTH($A28,0) + 1
)</f>
        <v>0</v>
      </c>
      <c r="X28" s="49">
        <f>SUMIFS([1]!in.rec[total],
[1]!in.rec[natureza],"pro.soluto",
[1]!in.rec[empresa],X$6,
[1]!in.rec[data.base],"&gt;="&amp;$A28,
[1]!in.rec[data.base],"&lt;"&amp;EOMONTH($A28,0)
)</f>
        <v>0</v>
      </c>
      <c r="Y28" s="49" t="e">
        <f ca="1">SUMIFS([1]!rec.uni[2023-02-01],
INDIRECT("rec.uni[natureza]"),"taxa.extra",
INDIRECT("rec.uni[empresa]"),Y$6)</f>
        <v>#REF!</v>
      </c>
      <c r="Z28" s="50">
        <v>0</v>
      </c>
      <c r="AA28" s="48">
        <f>COUNTIFS(
    [1]!estoque[empresa], AA$6,
    [1]!estoque[Data da venda / reserva], "&gt;=" &amp; $A28,
    [1]!estoque[Data da venda / reserva], "&lt;"  &amp; EOMONTH($A28,0) + 1
)</f>
        <v>0</v>
      </c>
      <c r="AB28" s="49">
        <f>SUMIFS([1]!in.rec[total],
[1]!in.rec[natureza],"pro.soluto",
[1]!in.rec[empresa],AB$6,
[1]!in.rec[data.base],"&gt;="&amp;$A28,
[1]!in.rec[data.base],"&lt;"&amp;EOMONTH($A28,0)
)</f>
        <v>0</v>
      </c>
      <c r="AC28" s="49">
        <f>IF(
$A28&lt;=$A$1,
SUMIFS([1]!in.rec[total],
   [1]!in.rec[empresa],AC$6,
   [1]!in.rec[ele],"FIN",
   [1]!in.rec[data.pagamento],"&gt;="&amp;$A28,
   [1]!in.rec[data.pagamento],"&lt;"&amp;$A29
),
SUMIFS([1]!in.rec[total],
   [1]!in.rec[empresa],AC$6,
   [1]!in.rec[ele],"FIN",
   [1]!in.rec[data.vencimento],"&gt;="&amp;$A28,
   [1]!in.rec[data.vencimento],"&lt;"&amp;$A29
)
)</f>
        <v>0</v>
      </c>
      <c r="AD28" s="49" t="e">
        <f ca="1">SUMIFS([1]!rec.uni[2023-02-01],
INDIRECT("rec.uni[natureza]"),"taxa.extra",
INDIRECT("rec.uni[empresa]"),AD$6)</f>
        <v>#REF!</v>
      </c>
      <c r="AE28" s="50">
        <v>0</v>
      </c>
      <c r="AF28" s="48">
        <f>COUNTIFS(
    [1]!estoque[empresa], AF$6,
    [1]!estoque[Data da venda / reserva], "&gt;=" &amp; $A28,
    [1]!estoque[Data da venda / reserva], "&lt;"  &amp; EOMONTH($A28,0) + 1
)</f>
        <v>0</v>
      </c>
      <c r="AG28" s="49">
        <f>SUMIFS([1]!in.rec[total],
[1]!in.rec[natureza],"pro.soluto",
[1]!in.rec[empresa],AG$6,
[1]!in.rec[data.base],"&gt;="&amp;$A28,
[1]!in.rec[data.base],"&lt;"&amp;EOMONTH($A28,0)
)</f>
        <v>0</v>
      </c>
      <c r="AH28" s="49" t="e">
        <f ca="1">SUMIFS([1]!rec.uni[2023-02-01],
INDIRECT("rec.uni[natureza]"),"repasse.cef.obra",
INDIRECT("rec.uni[empresa]"),AH$6)</f>
        <v>#REF!</v>
      </c>
      <c r="AI28" s="49" t="e">
        <f ca="1">SUMIFS([1]!rec.uni[2023-02-01],
INDIRECT("rec.uni[natureza]"),"repasse.cef.terreno",
INDIRECT("rec.uni[empresa]"),AI$6)</f>
        <v>#REF!</v>
      </c>
      <c r="AJ28" s="49">
        <v>0</v>
      </c>
      <c r="AK28" s="49" t="e">
        <f ca="1">SUMIFS([1]!rec.uni[2023-02-01],
INDIRECT("rec.uni[natureza]"),"taxa.extra",
INDIRECT("rec.uni[empresa]"),AK$6)</f>
        <v>#REF!</v>
      </c>
      <c r="AL28" s="50">
        <v>0</v>
      </c>
      <c r="AM28" s="48">
        <f>COUNTIFS(
    [1]!estoque[empresa], AM$6,
    [1]!estoque[Data da venda / reserva], "&gt;=" &amp; $A28,
    [1]!estoque[Data da venda / reserva], "&lt;"  &amp; EOMONTH($A28,0) + 1
)</f>
        <v>0</v>
      </c>
      <c r="AN28" s="49">
        <f>SUMIFS([1]!in.rec[total],
[1]!in.rec[natureza],"pro.soluto",
[1]!in.rec[empresa],AN$6,
[1]!in.rec[data.base],"&gt;="&amp;$A28,
[1]!in.rec[data.base],"&lt;"&amp;EOMONTH($A28,0)
)</f>
        <v>0</v>
      </c>
      <c r="AO28" s="49" t="e">
        <f ca="1">SUMIFS([1]!rec.uni[2023-02-01],
INDIRECT("rec.uni[natureza]"),"taxa.extra",
INDIRECT("rec.uni[empresa]"),AO$6)</f>
        <v>#REF!</v>
      </c>
      <c r="AP28" s="50">
        <v>0</v>
      </c>
    </row>
    <row r="29" spans="1:42" x14ac:dyDescent="0.25">
      <c r="A29" s="47">
        <v>44986</v>
      </c>
      <c r="B29" s="48">
        <f>COUNTIFS(
    [1]!estoque[empresa], B$6,
    [1]!estoque[Data da venda / reserva], "&gt;=" &amp; $A29,
    [1]!estoque[Data da venda / reserva], "&lt;"  &amp; EOMONTH($A29,0) + 1
)</f>
        <v>0</v>
      </c>
      <c r="C29" s="49">
        <f>SUMIFS([1]!in.rec[total],
[1]!in.rec[natureza],"pro.soluto",
[1]!in.rec[empresa],C$6,
[1]!in.rec[data.base],"&gt;="&amp;$A29,
[1]!in.rec[data.base],"&lt;"&amp;EOMONTH($A29,0)
)</f>
        <v>0</v>
      </c>
      <c r="D29" s="49" t="e">
        <f ca="1">SUMIFS([1]!rec.uni[2023-03-01],
INDIRECT("rec.uni[natureza]"),"repasse.cef.obra",
INDIRECT("rec.uni[empresa]"),D$6)</f>
        <v>#REF!</v>
      </c>
      <c r="E29" s="49" t="e">
        <f ca="1">SUMIFS([1]!rec.uni[2023-03-01],
INDIRECT("rec.uni[natureza]"),"repasse.cef.terreno",
INDIRECT("rec.uni[empresa]"),E$6)</f>
        <v>#REF!</v>
      </c>
      <c r="F29" s="49">
        <v>0</v>
      </c>
      <c r="G29" s="49" t="e">
        <f ca="1">SUMIFS([1]!rec.uni[2023-03-01],
INDIRECT("rec.uni[natureza]"),"taxa.extra",
INDIRECT("rec.uni[empresa]"),G$6)</f>
        <v>#REF!</v>
      </c>
      <c r="H29" s="50"/>
      <c r="I29" s="48">
        <f>COUNTIFS(
    [1]!estoque[empresa], I$6,
    [1]!estoque[Data da venda / reserva], "&gt;=" &amp; $A29,
    [1]!estoque[Data da venda / reserva], "&lt;"  &amp; EOMONTH($A29,0) + 1
)</f>
        <v>2</v>
      </c>
      <c r="J29" s="49">
        <f>SUMIFS([1]!in.rec[total],
[1]!in.rec[natureza],"pro.soluto",
[1]!in.rec[empresa],J$6,
[1]!in.rec[data.base],"&gt;="&amp;$A29,
[1]!in.rec[data.base],"&lt;"&amp;EOMONTH($A29,0)
)</f>
        <v>454851.35999999987</v>
      </c>
      <c r="K29" s="49" t="e">
        <f ca="1">SUMIFS([1]!rec.uni[2023-03-01],
INDIRECT("rec.uni[natureza]"),"repasse.cef.obra",
INDIRECT("rec.uni[empresa]"),K$6)</f>
        <v>#REF!</v>
      </c>
      <c r="L29" s="49" t="e">
        <f ca="1">SUMIFS([1]!rec.uni[2023-03-01],
INDIRECT("rec.uni[natureza]"),"repasse.cef.terreno",
INDIRECT("rec.uni[empresa]"),L$6)</f>
        <v>#REF!</v>
      </c>
      <c r="M29" s="49">
        <v>0</v>
      </c>
      <c r="N29" s="49" t="e">
        <f ca="1">SUMIFS([1]!rec.uni[2023-03-01],
INDIRECT("rec.uni[natureza]"),"taxa.extra",
INDIRECT("rec.uni[empresa]"),N$6)</f>
        <v>#REF!</v>
      </c>
      <c r="O29" s="50">
        <v>13170.7</v>
      </c>
      <c r="P29" s="48">
        <f>COUNTIFS(
    [1]!estoque[empresa], P$6,
    [1]!estoque[Data da venda / reserva], "&gt;=" &amp; $A29,
    [1]!estoque[Data da venda / reserva], "&lt;"  &amp; EOMONTH($A29,0) + 1
)</f>
        <v>0</v>
      </c>
      <c r="Q29" s="49">
        <f>SUMIFS([1]!in.rec[total],
[1]!in.rec[natureza],"pro.soluto",
[1]!in.rec[empresa],Q$6,
[1]!in.rec[data.base],"&gt;="&amp;$A29,
[1]!in.rec[data.base],"&lt;"&amp;EOMONTH($A29,0)
)</f>
        <v>0</v>
      </c>
      <c r="R29" s="49" t="e">
        <f ca="1">SUMIFS([1]!rec.uni[2023-03-01],
INDIRECT("rec.uni[natureza]"),"repasse.cef.obra",
INDIRECT("rec.uni[empresa]"),R$6)</f>
        <v>#REF!</v>
      </c>
      <c r="S29" s="49" t="e">
        <f ca="1">SUMIFS([1]!rec.uni[2023-03-01],
INDIRECT("rec.uni[natureza]"),"repasse.cef.terreno",
INDIRECT("rec.uni[empresa]"),S$6)</f>
        <v>#REF!</v>
      </c>
      <c r="T29" s="49">
        <v>0</v>
      </c>
      <c r="U29" s="49" t="e">
        <f ca="1">SUMIFS([1]!rec.uni[2023-03-01],
INDIRECT("rec.uni[natureza]"),"taxa.extra",
INDIRECT("rec.uni[empresa]"),U$6)</f>
        <v>#REF!</v>
      </c>
      <c r="V29" s="50">
        <v>0</v>
      </c>
      <c r="W29" s="48">
        <f>COUNTIFS(
    [1]!estoque[empresa], W$6,
    [1]!estoque[Data da venda / reserva], "&gt;=" &amp; $A29,
    [1]!estoque[Data da venda / reserva], "&lt;"  &amp; EOMONTH($A29,0) + 1
)</f>
        <v>0</v>
      </c>
      <c r="X29" s="49">
        <f>SUMIFS([1]!in.rec[total],
[1]!in.rec[natureza],"pro.soluto",
[1]!in.rec[empresa],X$6,
[1]!in.rec[data.base],"&gt;="&amp;$A29,
[1]!in.rec[data.base],"&lt;"&amp;EOMONTH($A29,0)
)</f>
        <v>0</v>
      </c>
      <c r="Y29" s="49" t="e">
        <f ca="1">SUMIFS([1]!rec.uni[2023-03-01],
INDIRECT("rec.uni[natureza]"),"taxa.extra",
INDIRECT("rec.uni[empresa]"),Y$6)</f>
        <v>#REF!</v>
      </c>
      <c r="Z29" s="50">
        <v>0</v>
      </c>
      <c r="AA29" s="48">
        <f>COUNTIFS(
    [1]!estoque[empresa], AA$6,
    [1]!estoque[Data da venda / reserva], "&gt;=" &amp; $A29,
    [1]!estoque[Data da venda / reserva], "&lt;"  &amp; EOMONTH($A29,0) + 1
)</f>
        <v>0</v>
      </c>
      <c r="AB29" s="49">
        <f>SUMIFS([1]!in.rec[total],
[1]!in.rec[natureza],"pro.soluto",
[1]!in.rec[empresa],AB$6,
[1]!in.rec[data.base],"&gt;="&amp;$A29,
[1]!in.rec[data.base],"&lt;"&amp;EOMONTH($A29,0)
)</f>
        <v>0</v>
      </c>
      <c r="AC29" s="49">
        <f>IF(
$A29&lt;=$A$1,
SUMIFS([1]!in.rec[total],
   [1]!in.rec[empresa],AC$6,
   [1]!in.rec[ele],"FIN",
   [1]!in.rec[data.pagamento],"&gt;="&amp;$A29,
   [1]!in.rec[data.pagamento],"&lt;"&amp;$A30
),
SUMIFS([1]!in.rec[total],
   [1]!in.rec[empresa],AC$6,
   [1]!in.rec[ele],"FIN",
   [1]!in.rec[data.vencimento],"&gt;="&amp;$A29,
   [1]!in.rec[data.vencimento],"&lt;"&amp;$A30
)
)</f>
        <v>0</v>
      </c>
      <c r="AD29" s="49" t="e">
        <f ca="1">SUMIFS([1]!rec.uni[2023-03-01],
INDIRECT("rec.uni[natureza]"),"taxa.extra",
INDIRECT("rec.uni[empresa]"),AD$6)</f>
        <v>#REF!</v>
      </c>
      <c r="AE29" s="50">
        <v>0</v>
      </c>
      <c r="AF29" s="48">
        <f>COUNTIFS(
    [1]!estoque[empresa], AF$6,
    [1]!estoque[Data da venda / reserva], "&gt;=" &amp; $A29,
    [1]!estoque[Data da venda / reserva], "&lt;"  &amp; EOMONTH($A29,0) + 1
)</f>
        <v>0</v>
      </c>
      <c r="AG29" s="49">
        <f>SUMIFS([1]!in.rec[total],
[1]!in.rec[natureza],"pro.soluto",
[1]!in.rec[empresa],AG$6,
[1]!in.rec[data.base],"&gt;="&amp;$A29,
[1]!in.rec[data.base],"&lt;"&amp;EOMONTH($A29,0)
)</f>
        <v>0</v>
      </c>
      <c r="AH29" s="49" t="e">
        <f ca="1">SUMIFS([1]!rec.uni[2023-03-01],
INDIRECT("rec.uni[natureza]"),"repasse.cef.obra",
INDIRECT("rec.uni[empresa]"),AH$6)</f>
        <v>#REF!</v>
      </c>
      <c r="AI29" s="49" t="e">
        <f ca="1">SUMIFS([1]!rec.uni[2023-03-01],
INDIRECT("rec.uni[natureza]"),"repasse.cef.terreno",
INDIRECT("rec.uni[empresa]"),AI$6)</f>
        <v>#REF!</v>
      </c>
      <c r="AJ29" s="49">
        <v>0</v>
      </c>
      <c r="AK29" s="49" t="e">
        <f ca="1">SUMIFS([1]!rec.uni[2023-03-01],
INDIRECT("rec.uni[natureza]"),"taxa.extra",
INDIRECT("rec.uni[empresa]"),AK$6)</f>
        <v>#REF!</v>
      </c>
      <c r="AL29" s="50">
        <v>0</v>
      </c>
      <c r="AM29" s="48">
        <f>COUNTIFS(
    [1]!estoque[empresa], AM$6,
    [1]!estoque[Data da venda / reserva], "&gt;=" &amp; $A29,
    [1]!estoque[Data da venda / reserva], "&lt;"  &amp; EOMONTH($A29,0) + 1
)</f>
        <v>0</v>
      </c>
      <c r="AN29" s="49">
        <f>SUMIFS([1]!in.rec[total],
[1]!in.rec[natureza],"pro.soluto",
[1]!in.rec[empresa],AN$6,
[1]!in.rec[data.base],"&gt;="&amp;$A29,
[1]!in.rec[data.base],"&lt;"&amp;EOMONTH($A29,0)
)</f>
        <v>0</v>
      </c>
      <c r="AO29" s="49" t="e">
        <f ca="1">SUMIFS([1]!rec.uni[2023-03-01],
INDIRECT("rec.uni[natureza]"),"taxa.extra",
INDIRECT("rec.uni[empresa]"),AO$6)</f>
        <v>#REF!</v>
      </c>
      <c r="AP29" s="50">
        <v>0</v>
      </c>
    </row>
    <row r="30" spans="1:42" x14ac:dyDescent="0.25">
      <c r="A30" s="47">
        <v>45017</v>
      </c>
      <c r="B30" s="48">
        <f>COUNTIFS(
    [1]!estoque[empresa], B$6,
    [1]!estoque[Data da venda / reserva], "&gt;=" &amp; $A30,
    [1]!estoque[Data da venda / reserva], "&lt;"  &amp; EOMONTH($A30,0) + 1
)</f>
        <v>25</v>
      </c>
      <c r="C30" s="49">
        <f>SUMIFS([1]!in.rec[total],
[1]!in.rec[natureza],"pro.soluto",
[1]!in.rec[empresa],C$6,
[1]!in.rec[data.base],"&gt;="&amp;$A30,
[1]!in.rec[data.base],"&lt;"&amp;EOMONTH($A30,0)
)</f>
        <v>457787.39999999991</v>
      </c>
      <c r="D30" s="49" t="e">
        <f ca="1">SUMIFS([1]!rec.uni[2023-04-01],
INDIRECT("rec.uni[natureza]"),"repasse.cef.obra",
INDIRECT("rec.uni[empresa]"),D$6)</f>
        <v>#REF!</v>
      </c>
      <c r="E30" s="49" t="e">
        <f ca="1">SUMIFS([1]!rec.uni[2023-04-01],
INDIRECT("rec.uni[natureza]"),"repasse.cef.terreno",
INDIRECT("rec.uni[empresa]"),E$6)</f>
        <v>#REF!</v>
      </c>
      <c r="F30" s="49">
        <v>0</v>
      </c>
      <c r="G30" s="49" t="e">
        <f ca="1">SUMIFS([1]!rec.uni[2023-04-01],
INDIRECT("rec.uni[natureza]"),"taxa.extra",
INDIRECT("rec.uni[empresa]"),G$6)</f>
        <v>#REF!</v>
      </c>
      <c r="H30" s="50"/>
      <c r="I30" s="48">
        <f>COUNTIFS(
    [1]!estoque[empresa], I$6,
    [1]!estoque[Data da venda / reserva], "&gt;=" &amp; $A30,
    [1]!estoque[Data da venda / reserva], "&lt;"  &amp; EOMONTH($A30,0) + 1
)</f>
        <v>0</v>
      </c>
      <c r="J30" s="49">
        <f>SUMIFS([1]!in.rec[total],
[1]!in.rec[natureza],"pro.soluto",
[1]!in.rec[empresa],J$6,
[1]!in.rec[data.base],"&gt;="&amp;$A30,
[1]!in.rec[data.base],"&lt;"&amp;EOMONTH($A30,0)
)</f>
        <v>187009.2099999999</v>
      </c>
      <c r="K30" s="49" t="e">
        <f ca="1">SUMIFS([1]!rec.uni[2023-04-01],
INDIRECT("rec.uni[natureza]"),"repasse.cef.obra",
INDIRECT("rec.uni[empresa]"),K$6)</f>
        <v>#REF!</v>
      </c>
      <c r="L30" s="49" t="e">
        <f ca="1">SUMIFS([1]!rec.uni[2023-04-01],
INDIRECT("rec.uni[natureza]"),"repasse.cef.terreno",
INDIRECT("rec.uni[empresa]"),L$6)</f>
        <v>#REF!</v>
      </c>
      <c r="M30" s="49">
        <v>0</v>
      </c>
      <c r="N30" s="49" t="e">
        <f ca="1">SUMIFS([1]!rec.uni[2023-04-01],
INDIRECT("rec.uni[natureza]"),"taxa.extra",
INDIRECT("rec.uni[empresa]"),N$6)</f>
        <v>#REF!</v>
      </c>
      <c r="O30" s="50">
        <v>1204.46</v>
      </c>
      <c r="P30" s="48">
        <f>COUNTIFS(
    [1]!estoque[empresa], P$6,
    [1]!estoque[Data da venda / reserva], "&gt;=" &amp; $A30,
    [1]!estoque[Data da venda / reserva], "&lt;"  &amp; EOMONTH($A30,0) + 1
)</f>
        <v>0</v>
      </c>
      <c r="Q30" s="49">
        <f>SUMIFS([1]!in.rec[total],
[1]!in.rec[natureza],"pro.soluto",
[1]!in.rec[empresa],Q$6,
[1]!in.rec[data.base],"&gt;="&amp;$A30,
[1]!in.rec[data.base],"&lt;"&amp;EOMONTH($A30,0)
)</f>
        <v>0</v>
      </c>
      <c r="R30" s="49" t="e">
        <f ca="1">SUMIFS([1]!rec.uni[2023-04-01],
INDIRECT("rec.uni[natureza]"),"repasse.cef.obra",
INDIRECT("rec.uni[empresa]"),R$6)</f>
        <v>#REF!</v>
      </c>
      <c r="S30" s="49" t="e">
        <f ca="1">SUMIFS([1]!rec.uni[2023-04-01],
INDIRECT("rec.uni[natureza]"),"repasse.cef.terreno",
INDIRECT("rec.uni[empresa]"),S$6)</f>
        <v>#REF!</v>
      </c>
      <c r="T30" s="49">
        <v>0</v>
      </c>
      <c r="U30" s="49" t="e">
        <f ca="1">SUMIFS([1]!rec.uni[2023-04-01],
INDIRECT("rec.uni[natureza]"),"taxa.extra",
INDIRECT("rec.uni[empresa]"),U$6)</f>
        <v>#REF!</v>
      </c>
      <c r="V30" s="50">
        <v>0</v>
      </c>
      <c r="W30" s="48">
        <f>COUNTIFS(
    [1]!estoque[empresa], W$6,
    [1]!estoque[Data da venda / reserva], "&gt;=" &amp; $A30,
    [1]!estoque[Data da venda / reserva], "&lt;"  &amp; EOMONTH($A30,0) + 1
)</f>
        <v>0</v>
      </c>
      <c r="X30" s="49">
        <f>SUMIFS([1]!in.rec[total],
[1]!in.rec[natureza],"pro.soluto",
[1]!in.rec[empresa],X$6,
[1]!in.rec[data.base],"&gt;="&amp;$A30,
[1]!in.rec[data.base],"&lt;"&amp;EOMONTH($A30,0)
)</f>
        <v>0</v>
      </c>
      <c r="Y30" s="49" t="e">
        <f ca="1">SUMIFS([1]!rec.uni[2023-04-01],
INDIRECT("rec.uni[natureza]"),"taxa.extra",
INDIRECT("rec.uni[empresa]"),Y$6)</f>
        <v>#REF!</v>
      </c>
      <c r="Z30" s="50">
        <v>0</v>
      </c>
      <c r="AA30" s="48">
        <f>COUNTIFS(
    [1]!estoque[empresa], AA$6,
    [1]!estoque[Data da venda / reserva], "&gt;=" &amp; $A30,
    [1]!estoque[Data da venda / reserva], "&lt;"  &amp; EOMONTH($A30,0) + 1
)</f>
        <v>0</v>
      </c>
      <c r="AB30" s="49">
        <f>SUMIFS([1]!in.rec[total],
[1]!in.rec[natureza],"pro.soluto",
[1]!in.rec[empresa],AB$6,
[1]!in.rec[data.base],"&gt;="&amp;$A30,
[1]!in.rec[data.base],"&lt;"&amp;EOMONTH($A30,0)
)</f>
        <v>0</v>
      </c>
      <c r="AC30" s="49">
        <f>IF(
$A30&lt;=$A$1,
SUMIFS([1]!in.rec[total],
   [1]!in.rec[empresa],AC$6,
   [1]!in.rec[ele],"FIN",
   [1]!in.rec[data.pagamento],"&gt;="&amp;$A30,
   [1]!in.rec[data.pagamento],"&lt;"&amp;$A31
),
SUMIFS([1]!in.rec[total],
   [1]!in.rec[empresa],AC$6,
   [1]!in.rec[ele],"FIN",
   [1]!in.rec[data.vencimento],"&gt;="&amp;$A30,
   [1]!in.rec[data.vencimento],"&lt;"&amp;$A31
)
)</f>
        <v>0</v>
      </c>
      <c r="AD30" s="49" t="e">
        <f ca="1">SUMIFS([1]!rec.uni[2023-04-01],
INDIRECT("rec.uni[natureza]"),"taxa.extra",
INDIRECT("rec.uni[empresa]"),AD$6)</f>
        <v>#REF!</v>
      </c>
      <c r="AE30" s="50">
        <v>0</v>
      </c>
      <c r="AF30" s="48">
        <f>COUNTIFS(
    [1]!estoque[empresa], AF$6,
    [1]!estoque[Data da venda / reserva], "&gt;=" &amp; $A30,
    [1]!estoque[Data da venda / reserva], "&lt;"  &amp; EOMONTH($A30,0) + 1
)</f>
        <v>0</v>
      </c>
      <c r="AG30" s="49">
        <f>SUMIFS([1]!in.rec[total],
[1]!in.rec[natureza],"pro.soluto",
[1]!in.rec[empresa],AG$6,
[1]!in.rec[data.base],"&gt;="&amp;$A30,
[1]!in.rec[data.base],"&lt;"&amp;EOMONTH($A30,0)
)</f>
        <v>0</v>
      </c>
      <c r="AH30" s="49" t="e">
        <f ca="1">SUMIFS([1]!rec.uni[2023-04-01],
INDIRECT("rec.uni[natureza]"),"repasse.cef.obra",
INDIRECT("rec.uni[empresa]"),AH$6)</f>
        <v>#REF!</v>
      </c>
      <c r="AI30" s="49" t="e">
        <f ca="1">SUMIFS([1]!rec.uni[2023-04-01],
INDIRECT("rec.uni[natureza]"),"repasse.cef.terreno",
INDIRECT("rec.uni[empresa]"),AI$6)</f>
        <v>#REF!</v>
      </c>
      <c r="AJ30" s="49">
        <v>0</v>
      </c>
      <c r="AK30" s="49" t="e">
        <f ca="1">SUMIFS([1]!rec.uni[2023-04-01],
INDIRECT("rec.uni[natureza]"),"taxa.extra",
INDIRECT("rec.uni[empresa]"),AK$6)</f>
        <v>#REF!</v>
      </c>
      <c r="AL30" s="50">
        <v>0</v>
      </c>
      <c r="AM30" s="48">
        <f>COUNTIFS(
    [1]!estoque[empresa], AM$6,
    [1]!estoque[Data da venda / reserva], "&gt;=" &amp; $A30,
    [1]!estoque[Data da venda / reserva], "&lt;"  &amp; EOMONTH($A30,0) + 1
)</f>
        <v>0</v>
      </c>
      <c r="AN30" s="49">
        <f>SUMIFS([1]!in.rec[total],
[1]!in.rec[natureza],"pro.soluto",
[1]!in.rec[empresa],AN$6,
[1]!in.rec[data.base],"&gt;="&amp;$A30,
[1]!in.rec[data.base],"&lt;"&amp;EOMONTH($A30,0)
)</f>
        <v>0</v>
      </c>
      <c r="AO30" s="49" t="e">
        <f ca="1">SUMIFS([1]!rec.uni[2023-04-01],
INDIRECT("rec.uni[natureza]"),"taxa.extra",
INDIRECT("rec.uni[empresa]"),AO$6)</f>
        <v>#REF!</v>
      </c>
      <c r="AP30" s="50">
        <v>0</v>
      </c>
    </row>
    <row r="31" spans="1:42" x14ac:dyDescent="0.25">
      <c r="A31" s="47">
        <v>45047</v>
      </c>
      <c r="B31" s="48">
        <f>COUNTIFS(
    [1]!estoque[empresa], B$6,
    [1]!estoque[Data da venda / reserva], "&gt;=" &amp; $A31,
    [1]!estoque[Data da venda / reserva], "&lt;"  &amp; EOMONTH($A31,0) + 1
)</f>
        <v>13</v>
      </c>
      <c r="C31" s="49">
        <f>SUMIFS([1]!in.rec[total],
[1]!in.rec[natureza],"pro.soluto",
[1]!in.rec[empresa],C$6,
[1]!in.rec[data.base],"&gt;="&amp;$A31,
[1]!in.rec[data.base],"&lt;"&amp;EOMONTH($A31,0)
)</f>
        <v>109523.23000000001</v>
      </c>
      <c r="D31" s="49" t="e">
        <f ca="1">SUMIFS([1]!rec.uni[2023-05-01],
INDIRECT("rec.uni[natureza]"),"repasse.cef.obra",
INDIRECT("rec.uni[empresa]"),D$6)</f>
        <v>#REF!</v>
      </c>
      <c r="E31" s="49" t="e">
        <f ca="1">SUMIFS([1]!rec.uni[2023-05-01],
INDIRECT("rec.uni[natureza]"),"repasse.cef.terreno",
INDIRECT("rec.uni[empresa]"),E$6)</f>
        <v>#REF!</v>
      </c>
      <c r="F31" s="49">
        <v>0</v>
      </c>
      <c r="G31" s="49" t="e">
        <f ca="1">SUMIFS([1]!rec.uni[2023-05-01],
INDIRECT("rec.uni[natureza]"),"taxa.extra",
INDIRECT("rec.uni[empresa]"),G$6)</f>
        <v>#REF!</v>
      </c>
      <c r="H31" s="50"/>
      <c r="I31" s="48">
        <f>COUNTIFS(
    [1]!estoque[empresa], I$6,
    [1]!estoque[Data da venda / reserva], "&gt;=" &amp; $A31,
    [1]!estoque[Data da venda / reserva], "&lt;"  &amp; EOMONTH($A31,0) + 1
)</f>
        <v>1</v>
      </c>
      <c r="J31" s="49">
        <f>SUMIFS([1]!in.rec[total],
[1]!in.rec[natureza],"pro.soluto",
[1]!in.rec[empresa],J$6,
[1]!in.rec[data.base],"&gt;="&amp;$A31,
[1]!in.rec[data.base],"&lt;"&amp;EOMONTH($A31,0)
)</f>
        <v>162773.50999999998</v>
      </c>
      <c r="K31" s="49" t="e">
        <f ca="1">SUMIFS([1]!rec.uni[2023-05-01],
INDIRECT("rec.uni[natureza]"),"repasse.cef.obra",
INDIRECT("rec.uni[empresa]"),K$6)</f>
        <v>#REF!</v>
      </c>
      <c r="L31" s="49" t="e">
        <f ca="1">SUMIFS([1]!rec.uni[2023-05-01],
INDIRECT("rec.uni[natureza]"),"repasse.cef.terreno",
INDIRECT("rec.uni[empresa]"),L$6)</f>
        <v>#REF!</v>
      </c>
      <c r="M31" s="49">
        <v>0</v>
      </c>
      <c r="N31" s="49" t="e">
        <f ca="1">SUMIFS([1]!rec.uni[2023-05-01],
INDIRECT("rec.uni[natureza]"),"taxa.extra",
INDIRECT("rec.uni[empresa]"),N$6)</f>
        <v>#REF!</v>
      </c>
      <c r="O31" s="50">
        <v>1208.68</v>
      </c>
      <c r="P31" s="48">
        <f>COUNTIFS(
    [1]!estoque[empresa], P$6,
    [1]!estoque[Data da venda / reserva], "&gt;=" &amp; $A31,
    [1]!estoque[Data da venda / reserva], "&lt;"  &amp; EOMONTH($A31,0) + 1
)</f>
        <v>0</v>
      </c>
      <c r="Q31" s="49">
        <f>SUMIFS([1]!in.rec[total],
[1]!in.rec[natureza],"pro.soluto",
[1]!in.rec[empresa],Q$6,
[1]!in.rec[data.base],"&gt;="&amp;$A31,
[1]!in.rec[data.base],"&lt;"&amp;EOMONTH($A31,0)
)</f>
        <v>0</v>
      </c>
      <c r="R31" s="49" t="e">
        <f ca="1">SUMIFS([1]!rec.uni[2023-05-01],
INDIRECT("rec.uni[natureza]"),"repasse.cef.obra",
INDIRECT("rec.uni[empresa]"),R$6)</f>
        <v>#REF!</v>
      </c>
      <c r="S31" s="49" t="e">
        <f ca="1">SUMIFS([1]!rec.uni[2023-05-01],
INDIRECT("rec.uni[natureza]"),"repasse.cef.terreno",
INDIRECT("rec.uni[empresa]"),S$6)</f>
        <v>#REF!</v>
      </c>
      <c r="T31" s="49">
        <v>0</v>
      </c>
      <c r="U31" s="49" t="e">
        <f ca="1">SUMIFS([1]!rec.uni[2023-05-01],
INDIRECT("rec.uni[natureza]"),"taxa.extra",
INDIRECT("rec.uni[empresa]"),U$6)</f>
        <v>#REF!</v>
      </c>
      <c r="V31" s="50">
        <v>0</v>
      </c>
      <c r="W31" s="48">
        <f>COUNTIFS(
    [1]!estoque[empresa], W$6,
    [1]!estoque[Data da venda / reserva], "&gt;=" &amp; $A31,
    [1]!estoque[Data da venda / reserva], "&lt;"  &amp; EOMONTH($A31,0) + 1
)</f>
        <v>0</v>
      </c>
      <c r="X31" s="49">
        <f>SUMIFS([1]!in.rec[total],
[1]!in.rec[natureza],"pro.soluto",
[1]!in.rec[empresa],X$6,
[1]!in.rec[data.base],"&gt;="&amp;$A31,
[1]!in.rec[data.base],"&lt;"&amp;EOMONTH($A31,0)
)</f>
        <v>0</v>
      </c>
      <c r="Y31" s="49" t="e">
        <f ca="1">SUMIFS([1]!rec.uni[2023-05-01],
INDIRECT("rec.uni[natureza]"),"taxa.extra",
INDIRECT("rec.uni[empresa]"),Y$6)</f>
        <v>#REF!</v>
      </c>
      <c r="Z31" s="50">
        <v>0</v>
      </c>
      <c r="AA31" s="48">
        <f>COUNTIFS(
    [1]!estoque[empresa], AA$6,
    [1]!estoque[Data da venda / reserva], "&gt;=" &amp; $A31,
    [1]!estoque[Data da venda / reserva], "&lt;"  &amp; EOMONTH($A31,0) + 1
)</f>
        <v>0</v>
      </c>
      <c r="AB31" s="49">
        <f>SUMIFS([1]!in.rec[total],
[1]!in.rec[natureza],"pro.soluto",
[1]!in.rec[empresa],AB$6,
[1]!in.rec[data.base],"&gt;="&amp;$A31,
[1]!in.rec[data.base],"&lt;"&amp;EOMONTH($A31,0)
)</f>
        <v>499400</v>
      </c>
      <c r="AC31" s="49">
        <f>IF(
$A31&lt;=$A$1,
SUMIFS([1]!in.rec[total],
   [1]!in.rec[empresa],AC$6,
   [1]!in.rec[ele],"FIN",
   [1]!in.rec[data.pagamento],"&gt;="&amp;$A31,
   [1]!in.rec[data.pagamento],"&lt;"&amp;$A32
),
SUMIFS([1]!in.rec[total],
   [1]!in.rec[empresa],AC$6,
   [1]!in.rec[ele],"FIN",
   [1]!in.rec[data.vencimento],"&gt;="&amp;$A31,
   [1]!in.rec[data.vencimento],"&lt;"&amp;$A32
)
)</f>
        <v>0</v>
      </c>
      <c r="AD31" s="49" t="e">
        <f ca="1">SUMIFS([1]!rec.uni[2023-05-01],
INDIRECT("rec.uni[natureza]"),"taxa.extra",
INDIRECT("rec.uni[empresa]"),AD$6)</f>
        <v>#REF!</v>
      </c>
      <c r="AE31" s="50">
        <v>0</v>
      </c>
      <c r="AF31" s="48">
        <f>COUNTIFS(
    [1]!estoque[empresa], AF$6,
    [1]!estoque[Data da venda / reserva], "&gt;=" &amp; $A31,
    [1]!estoque[Data da venda / reserva], "&lt;"  &amp; EOMONTH($A31,0) + 1
)</f>
        <v>0</v>
      </c>
      <c r="AG31" s="49">
        <f>SUMIFS([1]!in.rec[total],
[1]!in.rec[natureza],"pro.soluto",
[1]!in.rec[empresa],AG$6,
[1]!in.rec[data.base],"&gt;="&amp;$A31,
[1]!in.rec[data.base],"&lt;"&amp;EOMONTH($A31,0)
)</f>
        <v>0</v>
      </c>
      <c r="AH31" s="49" t="e">
        <f ca="1">SUMIFS([1]!rec.uni[2023-05-01],
INDIRECT("rec.uni[natureza]"),"repasse.cef.obra",
INDIRECT("rec.uni[empresa]"),AH$6)</f>
        <v>#REF!</v>
      </c>
      <c r="AI31" s="49" t="e">
        <f ca="1">SUMIFS([1]!rec.uni[2023-05-01],
INDIRECT("rec.uni[natureza]"),"repasse.cef.terreno",
INDIRECT("rec.uni[empresa]"),AI$6)</f>
        <v>#REF!</v>
      </c>
      <c r="AJ31" s="49">
        <v>0</v>
      </c>
      <c r="AK31" s="49" t="e">
        <f ca="1">SUMIFS([1]!rec.uni[2023-05-01],
INDIRECT("rec.uni[natureza]"),"taxa.extra",
INDIRECT("rec.uni[empresa]"),AK$6)</f>
        <v>#REF!</v>
      </c>
      <c r="AL31" s="50">
        <v>0</v>
      </c>
      <c r="AM31" s="48">
        <f>COUNTIFS(
    [1]!estoque[empresa], AM$6,
    [1]!estoque[Data da venda / reserva], "&gt;=" &amp; $A31,
    [1]!estoque[Data da venda / reserva], "&lt;"  &amp; EOMONTH($A31,0) + 1
)</f>
        <v>0</v>
      </c>
      <c r="AN31" s="49">
        <f>SUMIFS([1]!in.rec[total],
[1]!in.rec[natureza],"pro.soluto",
[1]!in.rec[empresa],AN$6,
[1]!in.rec[data.base],"&gt;="&amp;$A31,
[1]!in.rec[data.base],"&lt;"&amp;EOMONTH($A31,0)
)</f>
        <v>0</v>
      </c>
      <c r="AO31" s="49" t="e">
        <f ca="1">SUMIFS([1]!rec.uni[2023-05-01],
INDIRECT("rec.uni[natureza]"),"taxa.extra",
INDIRECT("rec.uni[empresa]"),AO$6)</f>
        <v>#REF!</v>
      </c>
      <c r="AP31" s="50">
        <v>0</v>
      </c>
    </row>
    <row r="32" spans="1:42" x14ac:dyDescent="0.25">
      <c r="A32" s="47">
        <v>45078</v>
      </c>
      <c r="B32" s="48">
        <f>COUNTIFS(
    [1]!estoque[empresa], B$6,
    [1]!estoque[Data da venda / reserva], "&gt;=" &amp; $A32,
    [1]!estoque[Data da venda / reserva], "&lt;"  &amp; EOMONTH($A32,0) + 1
)</f>
        <v>16</v>
      </c>
      <c r="C32" s="49">
        <f>SUMIFS([1]!in.rec[total],
[1]!in.rec[natureza],"pro.soluto",
[1]!in.rec[empresa],C$6,
[1]!in.rec[data.base],"&gt;="&amp;$A32,
[1]!in.rec[data.base],"&lt;"&amp;EOMONTH($A32,0)
)</f>
        <v>330108.20999999996</v>
      </c>
      <c r="D32" s="49" t="e">
        <f ca="1">SUMIFS([1]!rec.uni[2023-06-01],
INDIRECT("rec.uni[natureza]"),"repasse.cef.obra",
INDIRECT("rec.uni[empresa]"),D$6)</f>
        <v>#REF!</v>
      </c>
      <c r="E32" s="49" t="e">
        <f ca="1">SUMIFS([1]!rec.uni[2023-06-01],
INDIRECT("rec.uni[natureza]"),"repasse.cef.terreno",
INDIRECT("rec.uni[empresa]"),E$6)</f>
        <v>#REF!</v>
      </c>
      <c r="F32" s="49">
        <v>0</v>
      </c>
      <c r="G32" s="49" t="e">
        <f ca="1">SUMIFS([1]!rec.uni[2023-06-01],
INDIRECT("rec.uni[natureza]"),"taxa.extra",
INDIRECT("rec.uni[empresa]"),G$6)</f>
        <v>#REF!</v>
      </c>
      <c r="H32" s="50">
        <v>3439.99</v>
      </c>
      <c r="I32" s="48">
        <f>COUNTIFS(
    [1]!estoque[empresa], I$6,
    [1]!estoque[Data da venda / reserva], "&gt;=" &amp; $A32,
    [1]!estoque[Data da venda / reserva], "&lt;"  &amp; EOMONTH($A32,0) + 1
)</f>
        <v>0</v>
      </c>
      <c r="J32" s="49">
        <f>SUMIFS([1]!in.rec[total],
[1]!in.rec[natureza],"pro.soluto",
[1]!in.rec[empresa],J$6,
[1]!in.rec[data.base],"&gt;="&amp;$A32,
[1]!in.rec[data.base],"&lt;"&amp;EOMONTH($A32,0)
)</f>
        <v>228432.88000000003</v>
      </c>
      <c r="K32" s="49" t="e">
        <f ca="1">SUMIFS([1]!rec.uni[2023-06-01],
INDIRECT("rec.uni[natureza]"),"repasse.cef.obra",
INDIRECT("rec.uni[empresa]"),K$6)</f>
        <v>#REF!</v>
      </c>
      <c r="L32" s="49" t="e">
        <f ca="1">SUMIFS([1]!rec.uni[2023-06-01],
INDIRECT("rec.uni[natureza]"),"repasse.cef.terreno",
INDIRECT("rec.uni[empresa]"),L$6)</f>
        <v>#REF!</v>
      </c>
      <c r="M32" s="49">
        <v>0</v>
      </c>
      <c r="N32" s="49" t="e">
        <f ca="1">SUMIFS([1]!rec.uni[2023-06-01],
INDIRECT("rec.uni[natureza]"),"taxa.extra",
INDIRECT("rec.uni[empresa]"),N$6)</f>
        <v>#REF!</v>
      </c>
      <c r="O32" s="50">
        <v>20492.920000000002</v>
      </c>
      <c r="P32" s="48">
        <f>COUNTIFS(
    [1]!estoque[empresa], P$6,
    [1]!estoque[Data da venda / reserva], "&gt;=" &amp; $A32,
    [1]!estoque[Data da venda / reserva], "&lt;"  &amp; EOMONTH($A32,0) + 1
)</f>
        <v>0</v>
      </c>
      <c r="Q32" s="49">
        <f>SUMIFS([1]!in.rec[total],
[1]!in.rec[natureza],"pro.soluto",
[1]!in.rec[empresa],Q$6,
[1]!in.rec[data.base],"&gt;="&amp;$A32,
[1]!in.rec[data.base],"&lt;"&amp;EOMONTH($A32,0)
)</f>
        <v>0</v>
      </c>
      <c r="R32" s="49" t="e">
        <f ca="1">SUMIFS([1]!rec.uni[2023-06-01],
INDIRECT("rec.uni[natureza]"),"repasse.cef.obra",
INDIRECT("rec.uni[empresa]"),R$6)</f>
        <v>#REF!</v>
      </c>
      <c r="S32" s="49" t="e">
        <f ca="1">SUMIFS([1]!rec.uni[2023-06-01],
INDIRECT("rec.uni[natureza]"),"repasse.cef.terreno",
INDIRECT("rec.uni[empresa]"),S$6)</f>
        <v>#REF!</v>
      </c>
      <c r="T32" s="49">
        <v>0</v>
      </c>
      <c r="U32" s="49" t="e">
        <f ca="1">SUMIFS([1]!rec.uni[2023-06-01],
INDIRECT("rec.uni[natureza]"),"taxa.extra",
INDIRECT("rec.uni[empresa]"),U$6)</f>
        <v>#REF!</v>
      </c>
      <c r="V32" s="50">
        <v>0</v>
      </c>
      <c r="W32" s="48">
        <f>COUNTIFS(
    [1]!estoque[empresa], W$6,
    [1]!estoque[Data da venda / reserva], "&gt;=" &amp; $A32,
    [1]!estoque[Data da venda / reserva], "&lt;"  &amp; EOMONTH($A32,0) + 1
)</f>
        <v>0</v>
      </c>
      <c r="X32" s="49">
        <f>SUMIFS([1]!in.rec[total],
[1]!in.rec[natureza],"pro.soluto",
[1]!in.rec[empresa],X$6,
[1]!in.rec[data.base],"&gt;="&amp;$A32,
[1]!in.rec[data.base],"&lt;"&amp;EOMONTH($A32,0)
)</f>
        <v>0</v>
      </c>
      <c r="Y32" s="49" t="e">
        <f ca="1">SUMIFS([1]!rec.uni[2023-06-01],
INDIRECT("rec.uni[natureza]"),"taxa.extra",
INDIRECT("rec.uni[empresa]"),Y$6)</f>
        <v>#REF!</v>
      </c>
      <c r="Z32" s="50">
        <v>0</v>
      </c>
      <c r="AA32" s="48">
        <f>COUNTIFS(
    [1]!estoque[empresa], AA$6,
    [1]!estoque[Data da venda / reserva], "&gt;=" &amp; $A32,
    [1]!estoque[Data da venda / reserva], "&lt;"  &amp; EOMONTH($A32,0) + 1
)</f>
        <v>0</v>
      </c>
      <c r="AB32" s="49">
        <f>SUMIFS([1]!in.rec[total],
[1]!in.rec[natureza],"pro.soluto",
[1]!in.rec[empresa],AB$6,
[1]!in.rec[data.base],"&gt;="&amp;$A32,
[1]!in.rec[data.base],"&lt;"&amp;EOMONTH($A32,0)
)</f>
        <v>0</v>
      </c>
      <c r="AC32" s="49">
        <f>IF(
$A32&lt;=$A$1,
SUMIFS([1]!in.rec[total],
   [1]!in.rec[empresa],AC$6,
   [1]!in.rec[ele],"FIN",
   [1]!in.rec[data.pagamento],"&gt;="&amp;$A32,
   [1]!in.rec[data.pagamento],"&lt;"&amp;$A33
),
SUMIFS([1]!in.rec[total],
   [1]!in.rec[empresa],AC$6,
   [1]!in.rec[ele],"FIN",
   [1]!in.rec[data.vencimento],"&gt;="&amp;$A32,
   [1]!in.rec[data.vencimento],"&lt;"&amp;$A33
)
)</f>
        <v>0</v>
      </c>
      <c r="AD32" s="49" t="e">
        <f ca="1">SUMIFS([1]!rec.uni[2023-06-01],
INDIRECT("rec.uni[natureza]"),"taxa.extra",
INDIRECT("rec.uni[empresa]"),AD$6)</f>
        <v>#REF!</v>
      </c>
      <c r="AE32" s="50">
        <v>0</v>
      </c>
      <c r="AF32" s="48">
        <f>COUNTIFS(
    [1]!estoque[empresa], AF$6,
    [1]!estoque[Data da venda / reserva], "&gt;=" &amp; $A32,
    [1]!estoque[Data da venda / reserva], "&lt;"  &amp; EOMONTH($A32,0) + 1
)</f>
        <v>0</v>
      </c>
      <c r="AG32" s="49">
        <f>SUMIFS([1]!in.rec[total],
[1]!in.rec[natureza],"pro.soluto",
[1]!in.rec[empresa],AG$6,
[1]!in.rec[data.base],"&gt;="&amp;$A32,
[1]!in.rec[data.base],"&lt;"&amp;EOMONTH($A32,0)
)</f>
        <v>0</v>
      </c>
      <c r="AH32" s="49" t="e">
        <f ca="1">SUMIFS([1]!rec.uni[2023-06-01],
INDIRECT("rec.uni[natureza]"),"repasse.cef.obra",
INDIRECT("rec.uni[empresa]"),AH$6)</f>
        <v>#REF!</v>
      </c>
      <c r="AI32" s="49" t="e">
        <f ca="1">SUMIFS([1]!rec.uni[2023-06-01],
INDIRECT("rec.uni[natureza]"),"repasse.cef.terreno",
INDIRECT("rec.uni[empresa]"),AI$6)</f>
        <v>#REF!</v>
      </c>
      <c r="AJ32" s="49">
        <v>0</v>
      </c>
      <c r="AK32" s="49" t="e">
        <f ca="1">SUMIFS([1]!rec.uni[2023-06-01],
INDIRECT("rec.uni[natureza]"),"taxa.extra",
INDIRECT("rec.uni[empresa]"),AK$6)</f>
        <v>#REF!</v>
      </c>
      <c r="AL32" s="50">
        <v>0</v>
      </c>
      <c r="AM32" s="48">
        <f>COUNTIFS(
    [1]!estoque[empresa], AM$6,
    [1]!estoque[Data da venda / reserva], "&gt;=" &amp; $A32,
    [1]!estoque[Data da venda / reserva], "&lt;"  &amp; EOMONTH($A32,0) + 1
)</f>
        <v>0</v>
      </c>
      <c r="AN32" s="49">
        <f>SUMIFS([1]!in.rec[total],
[1]!in.rec[natureza],"pro.soluto",
[1]!in.rec[empresa],AN$6,
[1]!in.rec[data.base],"&gt;="&amp;$A32,
[1]!in.rec[data.base],"&lt;"&amp;EOMONTH($A32,0)
)</f>
        <v>0</v>
      </c>
      <c r="AO32" s="49" t="e">
        <f ca="1">SUMIFS([1]!rec.uni[2023-06-01],
INDIRECT("rec.uni[natureza]"),"taxa.extra",
INDIRECT("rec.uni[empresa]"),AO$6)</f>
        <v>#REF!</v>
      </c>
      <c r="AP32" s="50">
        <v>0</v>
      </c>
    </row>
    <row r="33" spans="1:42" x14ac:dyDescent="0.25">
      <c r="A33" s="47">
        <v>45108</v>
      </c>
      <c r="B33" s="48">
        <f>COUNTIFS(
    [1]!estoque[empresa], B$6,
    [1]!estoque[Data da venda / reserva], "&gt;=" &amp; $A33,
    [1]!estoque[Data da venda / reserva], "&lt;"  &amp; EOMONTH($A33,0) + 1
)</f>
        <v>5</v>
      </c>
      <c r="C33" s="49">
        <f>SUMIFS([1]!in.rec[total],
[1]!in.rec[natureza],"pro.soluto",
[1]!in.rec[empresa],C$6,
[1]!in.rec[data.base],"&gt;="&amp;$A33,
[1]!in.rec[data.base],"&lt;"&amp;EOMONTH($A33,0)
)</f>
        <v>96405.029999999984</v>
      </c>
      <c r="D33" s="49" t="e">
        <f ca="1">SUMIFS([1]!rec.uni[2023-07-01],
INDIRECT("rec.uni[natureza]"),"repasse.cef.obra",
INDIRECT("rec.uni[empresa]"),D$6)</f>
        <v>#REF!</v>
      </c>
      <c r="E33" s="49" t="e">
        <f ca="1">SUMIFS([1]!rec.uni[2023-07-01],
INDIRECT("rec.uni[natureza]"),"repasse.cef.terreno",
INDIRECT("rec.uni[empresa]"),E$6)</f>
        <v>#REF!</v>
      </c>
      <c r="F33" s="49">
        <v>0</v>
      </c>
      <c r="G33" s="49" t="e">
        <f ca="1">SUMIFS([1]!rec.uni[2023-07-01],
INDIRECT("rec.uni[natureza]"),"taxa.extra",
INDIRECT("rec.uni[empresa]"),G$6)</f>
        <v>#REF!</v>
      </c>
      <c r="H33" s="50">
        <v>6113.77</v>
      </c>
      <c r="I33" s="48">
        <f>COUNTIFS(
    [1]!estoque[empresa], I$6,
    [1]!estoque[Data da venda / reserva], "&gt;=" &amp; $A33,
    [1]!estoque[Data da venda / reserva], "&lt;"  &amp; EOMONTH($A33,0) + 1
)</f>
        <v>1</v>
      </c>
      <c r="J33" s="49">
        <f>SUMIFS([1]!in.rec[total],
[1]!in.rec[natureza],"pro.soluto",
[1]!in.rec[empresa],J$6,
[1]!in.rec[data.base],"&gt;="&amp;$A33,
[1]!in.rec[data.base],"&lt;"&amp;EOMONTH($A33,0)
)</f>
        <v>199318.45999999996</v>
      </c>
      <c r="K33" s="49" t="e">
        <f ca="1">SUMIFS([1]!rec.uni[2023-07-01],
INDIRECT("rec.uni[natureza]"),"repasse.cef.obra",
INDIRECT("rec.uni[empresa]"),K$6)</f>
        <v>#REF!</v>
      </c>
      <c r="L33" s="49" t="e">
        <f ca="1">SUMIFS([1]!rec.uni[2023-07-01],
INDIRECT("rec.uni[natureza]"),"repasse.cef.terreno",
INDIRECT("rec.uni[empresa]"),L$6)</f>
        <v>#REF!</v>
      </c>
      <c r="M33" s="49">
        <v>0</v>
      </c>
      <c r="N33" s="49" t="e">
        <f ca="1">SUMIFS([1]!rec.uni[2023-07-01],
INDIRECT("rec.uni[natureza]"),"taxa.extra",
INDIRECT("rec.uni[empresa]"),N$6)</f>
        <v>#REF!</v>
      </c>
      <c r="O33" s="50">
        <v>10404.65</v>
      </c>
      <c r="P33" s="48">
        <f>COUNTIFS(
    [1]!estoque[empresa], P$6,
    [1]!estoque[Data da venda / reserva], "&gt;=" &amp; $A33,
    [1]!estoque[Data da venda / reserva], "&lt;"  &amp; EOMONTH($A33,0) + 1
)</f>
        <v>0</v>
      </c>
      <c r="Q33" s="49">
        <f>SUMIFS([1]!in.rec[total],
[1]!in.rec[natureza],"pro.soluto",
[1]!in.rec[empresa],Q$6,
[1]!in.rec[data.base],"&gt;="&amp;$A33,
[1]!in.rec[data.base],"&lt;"&amp;EOMONTH($A33,0)
)</f>
        <v>0</v>
      </c>
      <c r="R33" s="49" t="e">
        <f ca="1">SUMIFS([1]!rec.uni[2023-07-01],
INDIRECT("rec.uni[natureza]"),"repasse.cef.obra",
INDIRECT("rec.uni[empresa]"),R$6)</f>
        <v>#REF!</v>
      </c>
      <c r="S33" s="49" t="e">
        <f ca="1">SUMIFS([1]!rec.uni[2023-07-01],
INDIRECT("rec.uni[natureza]"),"repasse.cef.terreno",
INDIRECT("rec.uni[empresa]"),S$6)</f>
        <v>#REF!</v>
      </c>
      <c r="T33" s="49">
        <v>0</v>
      </c>
      <c r="U33" s="49" t="e">
        <f ca="1">SUMIFS([1]!rec.uni[2023-07-01],
INDIRECT("rec.uni[natureza]"),"taxa.extra",
INDIRECT("rec.uni[empresa]"),U$6)</f>
        <v>#REF!</v>
      </c>
      <c r="V33" s="50">
        <v>0</v>
      </c>
      <c r="W33" s="48">
        <f>COUNTIFS(
    [1]!estoque[empresa], W$6,
    [1]!estoque[Data da venda / reserva], "&gt;=" &amp; $A33,
    [1]!estoque[Data da venda / reserva], "&lt;"  &amp; EOMONTH($A33,0) + 1
)</f>
        <v>0</v>
      </c>
      <c r="X33" s="49">
        <f>SUMIFS([1]!in.rec[total],
[1]!in.rec[natureza],"pro.soluto",
[1]!in.rec[empresa],X$6,
[1]!in.rec[data.base],"&gt;="&amp;$A33,
[1]!in.rec[data.base],"&lt;"&amp;EOMONTH($A33,0)
)</f>
        <v>0</v>
      </c>
      <c r="Y33" s="49" t="e">
        <f ca="1">SUMIFS([1]!rec.uni[2023-07-01],
INDIRECT("rec.uni[natureza]"),"taxa.extra",
INDIRECT("rec.uni[empresa]"),Y$6)</f>
        <v>#REF!</v>
      </c>
      <c r="Z33" s="50">
        <v>0</v>
      </c>
      <c r="AA33" s="48">
        <f>COUNTIFS(
    [1]!estoque[empresa], AA$6,
    [1]!estoque[Data da venda / reserva], "&gt;=" &amp; $A33,
    [1]!estoque[Data da venda / reserva], "&lt;"  &amp; EOMONTH($A33,0) + 1
)</f>
        <v>0</v>
      </c>
      <c r="AB33" s="49">
        <f>SUMIFS([1]!in.rec[total],
[1]!in.rec[natureza],"pro.soluto",
[1]!in.rec[empresa],AB$6,
[1]!in.rec[data.base],"&gt;="&amp;$A33,
[1]!in.rec[data.base],"&lt;"&amp;EOMONTH($A33,0)
)</f>
        <v>5000</v>
      </c>
      <c r="AC33" s="49">
        <f>IF(
$A33&lt;=$A$1,
SUMIFS([1]!in.rec[total],
   [1]!in.rec[empresa],AC$6,
   [1]!in.rec[ele],"FIN",
   [1]!in.rec[data.pagamento],"&gt;="&amp;$A33,
   [1]!in.rec[data.pagamento],"&lt;"&amp;$A34
),
SUMIFS([1]!in.rec[total],
   [1]!in.rec[empresa],AC$6,
   [1]!in.rec[ele],"FIN",
   [1]!in.rec[data.vencimento],"&gt;="&amp;$A33,
   [1]!in.rec[data.vencimento],"&lt;"&amp;$A34
)
)</f>
        <v>0</v>
      </c>
      <c r="AD33" s="49" t="e">
        <f ca="1">SUMIFS([1]!rec.uni[2023-07-01],
INDIRECT("rec.uni[natureza]"),"taxa.extra",
INDIRECT("rec.uni[empresa]"),AD$6)</f>
        <v>#REF!</v>
      </c>
      <c r="AE33" s="50">
        <v>0</v>
      </c>
      <c r="AF33" s="48">
        <f>COUNTIFS(
    [1]!estoque[empresa], AF$6,
    [1]!estoque[Data da venda / reserva], "&gt;=" &amp; $A33,
    [1]!estoque[Data da venda / reserva], "&lt;"  &amp; EOMONTH($A33,0) + 1
)</f>
        <v>0</v>
      </c>
      <c r="AG33" s="49">
        <f>SUMIFS([1]!in.rec[total],
[1]!in.rec[natureza],"pro.soluto",
[1]!in.rec[empresa],AG$6,
[1]!in.rec[data.base],"&gt;="&amp;$A33,
[1]!in.rec[data.base],"&lt;"&amp;EOMONTH($A33,0)
)</f>
        <v>0</v>
      </c>
      <c r="AH33" s="49" t="e">
        <f ca="1">SUMIFS([1]!rec.uni[2023-07-01],
INDIRECT("rec.uni[natureza]"),"repasse.cef.obra",
INDIRECT("rec.uni[empresa]"),AH$6)</f>
        <v>#REF!</v>
      </c>
      <c r="AI33" s="49" t="e">
        <f ca="1">SUMIFS([1]!rec.uni[2023-07-01],
INDIRECT("rec.uni[natureza]"),"repasse.cef.terreno",
INDIRECT("rec.uni[empresa]"),AI$6)</f>
        <v>#REF!</v>
      </c>
      <c r="AJ33" s="49">
        <v>0</v>
      </c>
      <c r="AK33" s="49" t="e">
        <f ca="1">SUMIFS([1]!rec.uni[2023-07-01],
INDIRECT("rec.uni[natureza]"),"taxa.extra",
INDIRECT("rec.uni[empresa]"),AK$6)</f>
        <v>#REF!</v>
      </c>
      <c r="AL33" s="50">
        <v>0</v>
      </c>
      <c r="AM33" s="48">
        <f>COUNTIFS(
    [1]!estoque[empresa], AM$6,
    [1]!estoque[Data da venda / reserva], "&gt;=" &amp; $A33,
    [1]!estoque[Data da venda / reserva], "&lt;"  &amp; EOMONTH($A33,0) + 1
)</f>
        <v>0</v>
      </c>
      <c r="AN33" s="49">
        <f>SUMIFS([1]!in.rec[total],
[1]!in.rec[natureza],"pro.soluto",
[1]!in.rec[empresa],AN$6,
[1]!in.rec[data.base],"&gt;="&amp;$A33,
[1]!in.rec[data.base],"&lt;"&amp;EOMONTH($A33,0)
)</f>
        <v>0</v>
      </c>
      <c r="AO33" s="49" t="e">
        <f ca="1">SUMIFS([1]!rec.uni[2023-07-01],
INDIRECT("rec.uni[natureza]"),"taxa.extra",
INDIRECT("rec.uni[empresa]"),AO$6)</f>
        <v>#REF!</v>
      </c>
      <c r="AP33" s="50">
        <v>0</v>
      </c>
    </row>
    <row r="34" spans="1:42" x14ac:dyDescent="0.25">
      <c r="A34" s="47">
        <v>45139</v>
      </c>
      <c r="B34" s="48">
        <f>COUNTIFS(
    [1]!estoque[empresa], B$6,
    [1]!estoque[Data da venda / reserva], "&gt;=" &amp; $A34,
    [1]!estoque[Data da venda / reserva], "&lt;"  &amp; EOMONTH($A34,0) + 1
)</f>
        <v>8</v>
      </c>
      <c r="C34" s="49">
        <f>SUMIFS([1]!in.rec[total],
[1]!in.rec[natureza],"pro.soluto",
[1]!in.rec[empresa],C$6,
[1]!in.rec[data.base],"&gt;="&amp;$A34,
[1]!in.rec[data.base],"&lt;"&amp;EOMONTH($A34,0)
)</f>
        <v>81142.42</v>
      </c>
      <c r="D34" s="49" t="e">
        <f ca="1">SUMIFS([1]!rec.uni[2023-08-01],
INDIRECT("rec.uni[natureza]"),"repasse.cef.obra",
INDIRECT("rec.uni[empresa]"),D$6)</f>
        <v>#REF!</v>
      </c>
      <c r="E34" s="49" t="e">
        <f ca="1">SUMIFS([1]!rec.uni[2023-08-01],
INDIRECT("rec.uni[natureza]"),"repasse.cef.terreno",
INDIRECT("rec.uni[empresa]"),E$6)</f>
        <v>#REF!</v>
      </c>
      <c r="F34" s="49">
        <v>0</v>
      </c>
      <c r="G34" s="49" t="e">
        <f ca="1">SUMIFS([1]!rec.uni[2023-08-01],
INDIRECT("rec.uni[natureza]"),"taxa.extra",
INDIRECT("rec.uni[empresa]"),G$6)</f>
        <v>#REF!</v>
      </c>
      <c r="H34" s="50">
        <v>2616.19</v>
      </c>
      <c r="I34" s="48">
        <f>COUNTIFS(
    [1]!estoque[empresa], I$6,
    [1]!estoque[Data da venda / reserva], "&gt;=" &amp; $A34,
    [1]!estoque[Data da venda / reserva], "&lt;"  &amp; EOMONTH($A34,0) + 1
)</f>
        <v>0</v>
      </c>
      <c r="J34" s="49">
        <f>SUMIFS([1]!in.rec[total],
[1]!in.rec[natureza],"pro.soluto",
[1]!in.rec[empresa],J$6,
[1]!in.rec[data.base],"&gt;="&amp;$A34,
[1]!in.rec[data.base],"&lt;"&amp;EOMONTH($A34,0)
)</f>
        <v>300241.07</v>
      </c>
      <c r="K34" s="49" t="e">
        <f ca="1">SUMIFS([1]!rec.uni[2023-08-01],
INDIRECT("rec.uni[natureza]"),"repasse.cef.obra",
INDIRECT("rec.uni[empresa]"),K$6)</f>
        <v>#REF!</v>
      </c>
      <c r="L34" s="49" t="e">
        <f ca="1">SUMIFS([1]!rec.uni[2023-08-01],
INDIRECT("rec.uni[natureza]"),"repasse.cef.terreno",
INDIRECT("rec.uni[empresa]"),L$6)</f>
        <v>#REF!</v>
      </c>
      <c r="M34" s="49">
        <v>327575.88</v>
      </c>
      <c r="N34" s="49" t="e">
        <f ca="1">SUMIFS([1]!rec.uni[2023-08-01],
INDIRECT("rec.uni[natureza]"),"taxa.extra",
INDIRECT("rec.uni[empresa]"),N$6)</f>
        <v>#REF!</v>
      </c>
      <c r="O34" s="50">
        <v>164943.25</v>
      </c>
      <c r="P34" s="48">
        <f>COUNTIFS(
    [1]!estoque[empresa], P$6,
    [1]!estoque[Data da venda / reserva], "&gt;=" &amp; $A34,
    [1]!estoque[Data da venda / reserva], "&lt;"  &amp; EOMONTH($A34,0) + 1
)</f>
        <v>0</v>
      </c>
      <c r="Q34" s="49">
        <f>SUMIFS([1]!in.rec[total],
[1]!in.rec[natureza],"pro.soluto",
[1]!in.rec[empresa],Q$6,
[1]!in.rec[data.base],"&gt;="&amp;$A34,
[1]!in.rec[data.base],"&lt;"&amp;EOMONTH($A34,0)
)</f>
        <v>0</v>
      </c>
      <c r="R34" s="49" t="e">
        <f ca="1">SUMIFS([1]!rec.uni[2023-08-01],
INDIRECT("rec.uni[natureza]"),"repasse.cef.obra",
INDIRECT("rec.uni[empresa]"),R$6)</f>
        <v>#REF!</v>
      </c>
      <c r="S34" s="49" t="e">
        <f ca="1">SUMIFS([1]!rec.uni[2023-08-01],
INDIRECT("rec.uni[natureza]"),"repasse.cef.terreno",
INDIRECT("rec.uni[empresa]"),S$6)</f>
        <v>#REF!</v>
      </c>
      <c r="T34" s="49">
        <v>0</v>
      </c>
      <c r="U34" s="49" t="e">
        <f ca="1">SUMIFS([1]!rec.uni[2023-08-01],
INDIRECT("rec.uni[natureza]"),"taxa.extra",
INDIRECT("rec.uni[empresa]"),U$6)</f>
        <v>#REF!</v>
      </c>
      <c r="V34" s="50">
        <v>0</v>
      </c>
      <c r="W34" s="48">
        <f>COUNTIFS(
    [1]!estoque[empresa], W$6,
    [1]!estoque[Data da venda / reserva], "&gt;=" &amp; $A34,
    [1]!estoque[Data da venda / reserva], "&lt;"  &amp; EOMONTH($A34,0) + 1
)</f>
        <v>0</v>
      </c>
      <c r="X34" s="49">
        <f>SUMIFS([1]!in.rec[total],
[1]!in.rec[natureza],"pro.soluto",
[1]!in.rec[empresa],X$6,
[1]!in.rec[data.base],"&gt;="&amp;$A34,
[1]!in.rec[data.base],"&lt;"&amp;EOMONTH($A34,0)
)</f>
        <v>0</v>
      </c>
      <c r="Y34" s="49" t="e">
        <f ca="1">SUMIFS([1]!rec.uni[2023-08-01],
INDIRECT("rec.uni[natureza]"),"taxa.extra",
INDIRECT("rec.uni[empresa]"),Y$6)</f>
        <v>#REF!</v>
      </c>
      <c r="Z34" s="50">
        <v>0</v>
      </c>
      <c r="AA34" s="48">
        <f>COUNTIFS(
    [1]!estoque[empresa], AA$6,
    [1]!estoque[Data da venda / reserva], "&gt;=" &amp; $A34,
    [1]!estoque[Data da venda / reserva], "&lt;"  &amp; EOMONTH($A34,0) + 1
)</f>
        <v>0</v>
      </c>
      <c r="AB34" s="49">
        <f>SUMIFS([1]!in.rec[total],
[1]!in.rec[natureza],"pro.soluto",
[1]!in.rec[empresa],AB$6,
[1]!in.rec[data.base],"&gt;="&amp;$A34,
[1]!in.rec[data.base],"&lt;"&amp;EOMONTH($A34,0)
)</f>
        <v>374675</v>
      </c>
      <c r="AC34" s="49">
        <f>IF(
$A34&lt;=$A$1,
SUMIFS([1]!in.rec[total],
   [1]!in.rec[empresa],AC$6,
   [1]!in.rec[ele],"FIN",
   [1]!in.rec[data.pagamento],"&gt;="&amp;$A34,
   [1]!in.rec[data.pagamento],"&lt;"&amp;$A35
),
SUMIFS([1]!in.rec[total],
   [1]!in.rec[empresa],AC$6,
   [1]!in.rec[ele],"FIN",
   [1]!in.rec[data.vencimento],"&gt;="&amp;$A34,
   [1]!in.rec[data.vencimento],"&lt;"&amp;$A35
)
)</f>
        <v>0</v>
      </c>
      <c r="AD34" s="49" t="e">
        <f ca="1">SUMIFS([1]!rec.uni[2023-08-01],
INDIRECT("rec.uni[natureza]"),"taxa.extra",
INDIRECT("rec.uni[empresa]"),AD$6)</f>
        <v>#REF!</v>
      </c>
      <c r="AE34" s="50">
        <v>0</v>
      </c>
      <c r="AF34" s="48">
        <f>COUNTIFS(
    [1]!estoque[empresa], AF$6,
    [1]!estoque[Data da venda / reserva], "&gt;=" &amp; $A34,
    [1]!estoque[Data da venda / reserva], "&lt;"  &amp; EOMONTH($A34,0) + 1
)</f>
        <v>0</v>
      </c>
      <c r="AG34" s="49">
        <f>SUMIFS([1]!in.rec[total],
[1]!in.rec[natureza],"pro.soluto",
[1]!in.rec[empresa],AG$6,
[1]!in.rec[data.base],"&gt;="&amp;$A34,
[1]!in.rec[data.base],"&lt;"&amp;EOMONTH($A34,0)
)</f>
        <v>150000</v>
      </c>
      <c r="AH34" s="49" t="e">
        <f ca="1">SUMIFS([1]!rec.uni[2023-08-01],
INDIRECT("rec.uni[natureza]"),"repasse.cef.obra",
INDIRECT("rec.uni[empresa]"),AH$6)</f>
        <v>#REF!</v>
      </c>
      <c r="AI34" s="49" t="e">
        <f ca="1">SUMIFS([1]!rec.uni[2023-08-01],
INDIRECT("rec.uni[natureza]"),"repasse.cef.terreno",
INDIRECT("rec.uni[empresa]"),AI$6)</f>
        <v>#REF!</v>
      </c>
      <c r="AJ34" s="49">
        <v>0</v>
      </c>
      <c r="AK34" s="49" t="e">
        <f ca="1">SUMIFS([1]!rec.uni[2023-08-01],
INDIRECT("rec.uni[natureza]"),"taxa.extra",
INDIRECT("rec.uni[empresa]"),AK$6)</f>
        <v>#REF!</v>
      </c>
      <c r="AL34" s="50">
        <v>0</v>
      </c>
      <c r="AM34" s="48">
        <f>COUNTIFS(
    [1]!estoque[empresa], AM$6,
    [1]!estoque[Data da venda / reserva], "&gt;=" &amp; $A34,
    [1]!estoque[Data da venda / reserva], "&lt;"  &amp; EOMONTH($A34,0) + 1
)</f>
        <v>0</v>
      </c>
      <c r="AN34" s="49">
        <f>SUMIFS([1]!in.rec[total],
[1]!in.rec[natureza],"pro.soluto",
[1]!in.rec[empresa],AN$6,
[1]!in.rec[data.base],"&gt;="&amp;$A34,
[1]!in.rec[data.base],"&lt;"&amp;EOMONTH($A34,0)
)</f>
        <v>0</v>
      </c>
      <c r="AO34" s="49" t="e">
        <f ca="1">SUMIFS([1]!rec.uni[2023-08-01],
INDIRECT("rec.uni[natureza]"),"taxa.extra",
INDIRECT("rec.uni[empresa]"),AO$6)</f>
        <v>#REF!</v>
      </c>
      <c r="AP34" s="50">
        <v>0</v>
      </c>
    </row>
    <row r="35" spans="1:42" x14ac:dyDescent="0.25">
      <c r="A35" s="47">
        <v>45170</v>
      </c>
      <c r="B35" s="48">
        <f>COUNTIFS(
    [1]!estoque[empresa], B$6,
    [1]!estoque[Data da venda / reserva], "&gt;=" &amp; $A35,
    [1]!estoque[Data da venda / reserva], "&lt;"  &amp; EOMONTH($A35,0) + 1
)</f>
        <v>0</v>
      </c>
      <c r="C35" s="49">
        <f>SUMIFS([1]!in.rec[total],
[1]!in.rec[natureza],"pro.soluto",
[1]!in.rec[empresa],C$6,
[1]!in.rec[data.base],"&gt;="&amp;$A35,
[1]!in.rec[data.base],"&lt;"&amp;EOMONTH($A35,0)
)</f>
        <v>154039.74000000002</v>
      </c>
      <c r="D35" s="49" t="e">
        <f ca="1">SUMIFS([1]!rec.uni[2023-09-01],
INDIRECT("rec.uni[natureza]"),"repasse.cef.obra",
INDIRECT("rec.uni[empresa]"),D$6)</f>
        <v>#REF!</v>
      </c>
      <c r="E35" s="49" t="e">
        <f ca="1">SUMIFS([1]!rec.uni[2023-09-01],
INDIRECT("rec.uni[natureza]"),"repasse.cef.terreno",
INDIRECT("rec.uni[empresa]"),E$6)</f>
        <v>#REF!</v>
      </c>
      <c r="F35" s="49">
        <v>0</v>
      </c>
      <c r="G35" s="49" t="e">
        <f ca="1">SUMIFS([1]!rec.uni[2023-09-01],
INDIRECT("rec.uni[natureza]"),"taxa.extra",
INDIRECT("rec.uni[empresa]"),G$6)</f>
        <v>#REF!</v>
      </c>
      <c r="H35" s="50">
        <v>2350.89</v>
      </c>
      <c r="I35" s="48">
        <f>COUNTIFS(
    [1]!estoque[empresa], I$6,
    [1]!estoque[Data da venda / reserva], "&gt;=" &amp; $A35,
    [1]!estoque[Data da venda / reserva], "&lt;"  &amp; EOMONTH($A35,0) + 1
)</f>
        <v>1</v>
      </c>
      <c r="J35" s="49">
        <f>SUMIFS([1]!in.rec[total],
[1]!in.rec[natureza],"pro.soluto",
[1]!in.rec[empresa],J$6,
[1]!in.rec[data.base],"&gt;="&amp;$A35,
[1]!in.rec[data.base],"&lt;"&amp;EOMONTH($A35,0)
)</f>
        <v>208709.91999999993</v>
      </c>
      <c r="K35" s="49" t="e">
        <f ca="1">SUMIFS([1]!rec.uni[2023-09-01],
INDIRECT("rec.uni[natureza]"),"repasse.cef.obra",
INDIRECT("rec.uni[empresa]"),K$6)</f>
        <v>#REF!</v>
      </c>
      <c r="L35" s="49" t="e">
        <f ca="1">SUMIFS([1]!rec.uni[2023-09-01],
INDIRECT("rec.uni[natureza]"),"repasse.cef.terreno",
INDIRECT("rec.uni[empresa]"),L$6)</f>
        <v>#REF!</v>
      </c>
      <c r="M35" s="49">
        <v>445799.01</v>
      </c>
      <c r="N35" s="49" t="e">
        <f ca="1">SUMIFS([1]!rec.uni[2023-09-01],
INDIRECT("rec.uni[natureza]"),"taxa.extra",
INDIRECT("rec.uni[empresa]"),N$6)</f>
        <v>#REF!</v>
      </c>
      <c r="O35" s="50">
        <v>24327.050000000003</v>
      </c>
      <c r="P35" s="48">
        <f>COUNTIFS(
    [1]!estoque[empresa], P$6,
    [1]!estoque[Data da venda / reserva], "&gt;=" &amp; $A35,
    [1]!estoque[Data da venda / reserva], "&lt;"  &amp; EOMONTH($A35,0) + 1
)</f>
        <v>0</v>
      </c>
      <c r="Q35" s="49">
        <f>SUMIFS([1]!in.rec[total],
[1]!in.rec[natureza],"pro.soluto",
[1]!in.rec[empresa],Q$6,
[1]!in.rec[data.base],"&gt;="&amp;$A35,
[1]!in.rec[data.base],"&lt;"&amp;EOMONTH($A35,0)
)</f>
        <v>0</v>
      </c>
      <c r="R35" s="49" t="e">
        <f ca="1">SUMIFS([1]!rec.uni[2023-09-01],
INDIRECT("rec.uni[natureza]"),"repasse.cef.obra",
INDIRECT("rec.uni[empresa]"),R$6)</f>
        <v>#REF!</v>
      </c>
      <c r="S35" s="49" t="e">
        <f ca="1">SUMIFS([1]!rec.uni[2023-09-01],
INDIRECT("rec.uni[natureza]"),"repasse.cef.terreno",
INDIRECT("rec.uni[empresa]"),S$6)</f>
        <v>#REF!</v>
      </c>
      <c r="T35" s="49">
        <v>0</v>
      </c>
      <c r="U35" s="49" t="e">
        <f ca="1">SUMIFS([1]!rec.uni[2023-09-01],
INDIRECT("rec.uni[natureza]"),"taxa.extra",
INDIRECT("rec.uni[empresa]"),U$6)</f>
        <v>#REF!</v>
      </c>
      <c r="V35" s="50">
        <v>0</v>
      </c>
      <c r="W35" s="48">
        <f>COUNTIFS(
    [1]!estoque[empresa], W$6,
    [1]!estoque[Data da venda / reserva], "&gt;=" &amp; $A35,
    [1]!estoque[Data da venda / reserva], "&lt;"  &amp; EOMONTH($A35,0) + 1
)</f>
        <v>0</v>
      </c>
      <c r="X35" s="49">
        <f>SUMIFS([1]!in.rec[total],
[1]!in.rec[natureza],"pro.soluto",
[1]!in.rec[empresa],X$6,
[1]!in.rec[data.base],"&gt;="&amp;$A35,
[1]!in.rec[data.base],"&lt;"&amp;EOMONTH($A35,0)
)</f>
        <v>0</v>
      </c>
      <c r="Y35" s="49" t="e">
        <f ca="1">SUMIFS([1]!rec.uni[2023-09-01],
INDIRECT("rec.uni[natureza]"),"taxa.extra",
INDIRECT("rec.uni[empresa]"),Y$6)</f>
        <v>#REF!</v>
      </c>
      <c r="Z35" s="50">
        <v>0</v>
      </c>
      <c r="AA35" s="48">
        <f>COUNTIFS(
    [1]!estoque[empresa], AA$6,
    [1]!estoque[Data da venda / reserva], "&gt;=" &amp; $A35,
    [1]!estoque[Data da venda / reserva], "&lt;"  &amp; EOMONTH($A35,0) + 1
)</f>
        <v>0</v>
      </c>
      <c r="AB35" s="49">
        <f>SUMIFS([1]!in.rec[total],
[1]!in.rec[natureza],"pro.soluto",
[1]!in.rec[empresa],AB$6,
[1]!in.rec[data.base],"&gt;="&amp;$A35,
[1]!in.rec[data.base],"&lt;"&amp;EOMONTH($A35,0)
)</f>
        <v>1456250</v>
      </c>
      <c r="AC35" s="49">
        <f>IF(
$A35&lt;=$A$1,
SUMIFS([1]!in.rec[total],
   [1]!in.rec[empresa],AC$6,
   [1]!in.rec[ele],"FIN",
   [1]!in.rec[data.pagamento],"&gt;="&amp;$A35,
   [1]!in.rec[data.pagamento],"&lt;"&amp;$A36
),
SUMIFS([1]!in.rec[total],
   [1]!in.rec[empresa],AC$6,
   [1]!in.rec[ele],"FIN",
   [1]!in.rec[data.vencimento],"&gt;="&amp;$A35,
   [1]!in.rec[data.vencimento],"&lt;"&amp;$A36
)
)</f>
        <v>0</v>
      </c>
      <c r="AD35" s="49" t="e">
        <f ca="1">SUMIFS([1]!rec.uni[2023-09-01],
INDIRECT("rec.uni[natureza]"),"taxa.extra",
INDIRECT("rec.uni[empresa]"),AD$6)</f>
        <v>#REF!</v>
      </c>
      <c r="AE35" s="50">
        <v>200000</v>
      </c>
      <c r="AF35" s="48">
        <f>COUNTIFS(
    [1]!estoque[empresa], AF$6,
    [1]!estoque[Data da venda / reserva], "&gt;=" &amp; $A35,
    [1]!estoque[Data da venda / reserva], "&lt;"  &amp; EOMONTH($A35,0) + 1
)</f>
        <v>0</v>
      </c>
      <c r="AG35" s="49">
        <f>SUMIFS([1]!in.rec[total],
[1]!in.rec[natureza],"pro.soluto",
[1]!in.rec[empresa],AG$6,
[1]!in.rec[data.base],"&gt;="&amp;$A35,
[1]!in.rec[data.base],"&lt;"&amp;EOMONTH($A35,0)
)</f>
        <v>0</v>
      </c>
      <c r="AH35" s="49" t="e">
        <f ca="1">SUMIFS([1]!rec.uni[2023-09-01],
INDIRECT("rec.uni[natureza]"),"repasse.cef.obra",
INDIRECT("rec.uni[empresa]"),AH$6)</f>
        <v>#REF!</v>
      </c>
      <c r="AI35" s="49" t="e">
        <f ca="1">SUMIFS([1]!rec.uni[2023-09-01],
INDIRECT("rec.uni[natureza]"),"repasse.cef.terreno",
INDIRECT("rec.uni[empresa]"),AI$6)</f>
        <v>#REF!</v>
      </c>
      <c r="AJ35" s="49">
        <v>0</v>
      </c>
      <c r="AK35" s="49" t="e">
        <f ca="1">SUMIFS([1]!rec.uni[2023-09-01],
INDIRECT("rec.uni[natureza]"),"taxa.extra",
INDIRECT("rec.uni[empresa]"),AK$6)</f>
        <v>#REF!</v>
      </c>
      <c r="AL35" s="50">
        <v>0</v>
      </c>
      <c r="AM35" s="48">
        <f>COUNTIFS(
    [1]!estoque[empresa], AM$6,
    [1]!estoque[Data da venda / reserva], "&gt;=" &amp; $A35,
    [1]!estoque[Data da venda / reserva], "&lt;"  &amp; EOMONTH($A35,0) + 1
)</f>
        <v>0</v>
      </c>
      <c r="AN35" s="49">
        <f>SUMIFS([1]!in.rec[total],
[1]!in.rec[natureza],"pro.soluto",
[1]!in.rec[empresa],AN$6,
[1]!in.rec[data.base],"&gt;="&amp;$A35,
[1]!in.rec[data.base],"&lt;"&amp;EOMONTH($A35,0)
)</f>
        <v>0</v>
      </c>
      <c r="AO35" s="49" t="e">
        <f ca="1">SUMIFS([1]!rec.uni[2023-09-01],
INDIRECT("rec.uni[natureza]"),"taxa.extra",
INDIRECT("rec.uni[empresa]"),AO$6)</f>
        <v>#REF!</v>
      </c>
      <c r="AP35" s="50">
        <v>0</v>
      </c>
    </row>
    <row r="36" spans="1:42" x14ac:dyDescent="0.25">
      <c r="A36" s="47">
        <v>45200</v>
      </c>
      <c r="B36" s="48">
        <f>COUNTIFS(
    [1]!estoque[empresa], B$6,
    [1]!estoque[Data da venda / reserva], "&gt;=" &amp; $A36,
    [1]!estoque[Data da venda / reserva], "&lt;"  &amp; EOMONTH($A36,0) + 1
)</f>
        <v>1</v>
      </c>
      <c r="C36" s="49">
        <f>SUMIFS([1]!in.rec[total],
[1]!in.rec[natureza],"pro.soluto",
[1]!in.rec[empresa],C$6,
[1]!in.rec[data.base],"&gt;="&amp;$A36,
[1]!in.rec[data.base],"&lt;"&amp;EOMONTH($A36,0)
)</f>
        <v>104596.42000000001</v>
      </c>
      <c r="D36" s="49" t="e">
        <f ca="1">SUMIFS([1]!rec.uni[2023-10-01],
INDIRECT("rec.uni[natureza]"),"repasse.cef.obra",
INDIRECT("rec.uni[empresa]"),D$6)</f>
        <v>#REF!</v>
      </c>
      <c r="E36" s="49" t="e">
        <f ca="1">SUMIFS([1]!rec.uni[2023-10-01],
INDIRECT("rec.uni[natureza]"),"repasse.cef.terreno",
INDIRECT("rec.uni[empresa]"),E$6)</f>
        <v>#REF!</v>
      </c>
      <c r="F36" s="49">
        <v>0</v>
      </c>
      <c r="G36" s="49" t="e">
        <f ca="1">SUMIFS([1]!rec.uni[2023-10-01],
INDIRECT("rec.uni[natureza]"),"taxa.extra",
INDIRECT("rec.uni[empresa]"),G$6)</f>
        <v>#REF!</v>
      </c>
      <c r="H36" s="50">
        <v>1737.47</v>
      </c>
      <c r="I36" s="48">
        <f>COUNTIFS(
    [1]!estoque[empresa], I$6,
    [1]!estoque[Data da venda / reserva], "&gt;=" &amp; $A36,
    [1]!estoque[Data da venda / reserva], "&lt;"  &amp; EOMONTH($A36,0) + 1
)</f>
        <v>0</v>
      </c>
      <c r="J36" s="49">
        <f>SUMIFS([1]!in.rec[total],
[1]!in.rec[natureza],"pro.soluto",
[1]!in.rec[empresa],J$6,
[1]!in.rec[data.base],"&gt;="&amp;$A36,
[1]!in.rec[data.base],"&lt;"&amp;EOMONTH($A36,0)
)</f>
        <v>253062.72000000006</v>
      </c>
      <c r="K36" s="49" t="e">
        <f ca="1">SUMIFS([1]!rec.uni[2023-10-01],
INDIRECT("rec.uni[natureza]"),"repasse.cef.obra",
INDIRECT("rec.uni[empresa]"),K$6)</f>
        <v>#REF!</v>
      </c>
      <c r="L36" s="49" t="e">
        <f ca="1">SUMIFS([1]!rec.uni[2023-10-01],
INDIRECT("rec.uni[natureza]"),"repasse.cef.terreno",
INDIRECT("rec.uni[empresa]"),L$6)</f>
        <v>#REF!</v>
      </c>
      <c r="M36" s="49">
        <v>0</v>
      </c>
      <c r="N36" s="49" t="e">
        <f ca="1">SUMIFS([1]!rec.uni[2023-10-01],
INDIRECT("rec.uni[natureza]"),"taxa.extra",
INDIRECT("rec.uni[empresa]"),N$6)</f>
        <v>#REF!</v>
      </c>
      <c r="O36" s="50">
        <v>30946.080000000002</v>
      </c>
      <c r="P36" s="48">
        <f>COUNTIFS(
    [1]!estoque[empresa], P$6,
    [1]!estoque[Data da venda / reserva], "&gt;=" &amp; $A36,
    [1]!estoque[Data da venda / reserva], "&lt;"  &amp; EOMONTH($A36,0) + 1
)</f>
        <v>0</v>
      </c>
      <c r="Q36" s="49">
        <f>SUMIFS([1]!in.rec[total],
[1]!in.rec[natureza],"pro.soluto",
[1]!in.rec[empresa],Q$6,
[1]!in.rec[data.base],"&gt;="&amp;$A36,
[1]!in.rec[data.base],"&lt;"&amp;EOMONTH($A36,0)
)</f>
        <v>0</v>
      </c>
      <c r="R36" s="49" t="e">
        <f ca="1">SUMIFS([1]!rec.uni[2023-10-01],
INDIRECT("rec.uni[natureza]"),"repasse.cef.obra",
INDIRECT("rec.uni[empresa]"),R$6)</f>
        <v>#REF!</v>
      </c>
      <c r="S36" s="49" t="e">
        <f ca="1">SUMIFS([1]!rec.uni[2023-10-01],
INDIRECT("rec.uni[natureza]"),"repasse.cef.terreno",
INDIRECT("rec.uni[empresa]"),S$6)</f>
        <v>#REF!</v>
      </c>
      <c r="T36" s="49">
        <v>0</v>
      </c>
      <c r="U36" s="49" t="e">
        <f ca="1">SUMIFS([1]!rec.uni[2023-10-01],
INDIRECT("rec.uni[natureza]"),"taxa.extra",
INDIRECT("rec.uni[empresa]"),U$6)</f>
        <v>#REF!</v>
      </c>
      <c r="V36" s="50">
        <v>0</v>
      </c>
      <c r="W36" s="48">
        <f>COUNTIFS(
    [1]!estoque[empresa], W$6,
    [1]!estoque[Data da venda / reserva], "&gt;=" &amp; $A36,
    [1]!estoque[Data da venda / reserva], "&lt;"  &amp; EOMONTH($A36,0) + 1
)</f>
        <v>0</v>
      </c>
      <c r="X36" s="49">
        <f>SUMIFS([1]!in.rec[total],
[1]!in.rec[natureza],"pro.soluto",
[1]!in.rec[empresa],X$6,
[1]!in.rec[data.base],"&gt;="&amp;$A36,
[1]!in.rec[data.base],"&lt;"&amp;EOMONTH($A36,0)
)</f>
        <v>0</v>
      </c>
      <c r="Y36" s="49" t="e">
        <f ca="1">SUMIFS([1]!rec.uni[2023-10-01],
INDIRECT("rec.uni[natureza]"),"taxa.extra",
INDIRECT("rec.uni[empresa]"),Y$6)</f>
        <v>#REF!</v>
      </c>
      <c r="Z36" s="50">
        <v>0</v>
      </c>
      <c r="AA36" s="48">
        <f>COUNTIFS(
    [1]!estoque[empresa], AA$6,
    [1]!estoque[Data da venda / reserva], "&gt;=" &amp; $A36,
    [1]!estoque[Data da venda / reserva], "&lt;"  &amp; EOMONTH($A36,0) + 1
)</f>
        <v>0</v>
      </c>
      <c r="AB36" s="49">
        <f>SUMIFS([1]!in.rec[total],
[1]!in.rec[natureza],"pro.soluto",
[1]!in.rec[empresa],AB$6,
[1]!in.rec[data.base],"&gt;="&amp;$A36,
[1]!in.rec[data.base],"&lt;"&amp;EOMONTH($A36,0)
)</f>
        <v>235500</v>
      </c>
      <c r="AC36" s="49">
        <f>IF(
$A36&lt;=$A$1,
SUMIFS([1]!in.rec[total],
   [1]!in.rec[empresa],AC$6,
   [1]!in.rec[ele],"FIN",
   [1]!in.rec[data.pagamento],"&gt;="&amp;$A36,
   [1]!in.rec[data.pagamento],"&lt;"&amp;$A37
),
SUMIFS([1]!in.rec[total],
   [1]!in.rec[empresa],AC$6,
   [1]!in.rec[ele],"FIN",
   [1]!in.rec[data.vencimento],"&gt;="&amp;$A36,
   [1]!in.rec[data.vencimento],"&lt;"&amp;$A37
)
)</f>
        <v>0</v>
      </c>
      <c r="AD36" s="49" t="e">
        <f ca="1">SUMIFS([1]!rec.uni[2023-10-01],
INDIRECT("rec.uni[natureza]"),"taxa.extra",
INDIRECT("rec.uni[empresa]"),AD$6)</f>
        <v>#REF!</v>
      </c>
      <c r="AE36" s="50">
        <v>1500</v>
      </c>
      <c r="AF36" s="48">
        <f>COUNTIFS(
    [1]!estoque[empresa], AF$6,
    [1]!estoque[Data da venda / reserva], "&gt;=" &amp; $A36,
    [1]!estoque[Data da venda / reserva], "&lt;"  &amp; EOMONTH($A36,0) + 1
)</f>
        <v>0</v>
      </c>
      <c r="AG36" s="49">
        <f>SUMIFS([1]!in.rec[total],
[1]!in.rec[natureza],"pro.soluto",
[1]!in.rec[empresa],AG$6,
[1]!in.rec[data.base],"&gt;="&amp;$A36,
[1]!in.rec[data.base],"&lt;"&amp;EOMONTH($A36,0)
)</f>
        <v>0</v>
      </c>
      <c r="AH36" s="49" t="e">
        <f ca="1">SUMIFS([1]!rec.uni[2023-10-01],
INDIRECT("rec.uni[natureza]"),"repasse.cef.obra",
INDIRECT("rec.uni[empresa]"),AH$6)</f>
        <v>#REF!</v>
      </c>
      <c r="AI36" s="49" t="e">
        <f ca="1">SUMIFS([1]!rec.uni[2023-10-01],
INDIRECT("rec.uni[natureza]"),"repasse.cef.terreno",
INDIRECT("rec.uni[empresa]"),AI$6)</f>
        <v>#REF!</v>
      </c>
      <c r="AJ36" s="49">
        <v>0</v>
      </c>
      <c r="AK36" s="49" t="e">
        <f ca="1">SUMIFS([1]!rec.uni[2023-10-01],
INDIRECT("rec.uni[natureza]"),"taxa.extra",
INDIRECT("rec.uni[empresa]"),AK$6)</f>
        <v>#REF!</v>
      </c>
      <c r="AL36" s="50">
        <v>0</v>
      </c>
      <c r="AM36" s="48">
        <f>COUNTIFS(
    [1]!estoque[empresa], AM$6,
    [1]!estoque[Data da venda / reserva], "&gt;=" &amp; $A36,
    [1]!estoque[Data da venda / reserva], "&lt;"  &amp; EOMONTH($A36,0) + 1
)</f>
        <v>0</v>
      </c>
      <c r="AN36" s="49">
        <f>SUMIFS([1]!in.rec[total],
[1]!in.rec[natureza],"pro.soluto",
[1]!in.rec[empresa],AN$6,
[1]!in.rec[data.base],"&gt;="&amp;$A36,
[1]!in.rec[data.base],"&lt;"&amp;EOMONTH($A36,0)
)</f>
        <v>0</v>
      </c>
      <c r="AO36" s="49" t="e">
        <f ca="1">SUMIFS([1]!rec.uni[2023-10-01],
INDIRECT("rec.uni[natureza]"),"taxa.extra",
INDIRECT("rec.uni[empresa]"),AO$6)</f>
        <v>#REF!</v>
      </c>
      <c r="AP36" s="50">
        <v>0</v>
      </c>
    </row>
    <row r="37" spans="1:42" x14ac:dyDescent="0.25">
      <c r="A37" s="47">
        <v>45231</v>
      </c>
      <c r="B37" s="48">
        <f>COUNTIFS(
    [1]!estoque[empresa], B$6,
    [1]!estoque[Data da venda / reserva], "&gt;=" &amp; $A37,
    [1]!estoque[Data da venda / reserva], "&lt;"  &amp; EOMONTH($A37,0) + 1
)</f>
        <v>1</v>
      </c>
      <c r="C37" s="49">
        <f>SUMIFS([1]!in.rec[total],
[1]!in.rec[natureza],"pro.soluto",
[1]!in.rec[empresa],C$6,
[1]!in.rec[data.base],"&gt;="&amp;$A37,
[1]!in.rec[data.base],"&lt;"&amp;EOMONTH($A37,0)
)</f>
        <v>113671.25999999997</v>
      </c>
      <c r="D37" s="49" t="e">
        <f ca="1">SUMIFS([1]!rec.uni[2023-11-01],
INDIRECT("rec.uni[natureza]"),"repasse.cef.obra",
INDIRECT("rec.uni[empresa]"),D$6)</f>
        <v>#REF!</v>
      </c>
      <c r="E37" s="49" t="e">
        <f ca="1">SUMIFS([1]!rec.uni[2023-11-01],
INDIRECT("rec.uni[natureza]"),"repasse.cef.terreno",
INDIRECT("rec.uni[empresa]"),E$6)</f>
        <v>#REF!</v>
      </c>
      <c r="F37" s="49">
        <v>0</v>
      </c>
      <c r="G37" s="49" t="e">
        <f ca="1">SUMIFS([1]!rec.uni[2023-11-01],
INDIRECT("rec.uni[natureza]"),"taxa.extra",
INDIRECT("rec.uni[empresa]"),G$6)</f>
        <v>#REF!</v>
      </c>
      <c r="H37" s="50">
        <v>3254.86</v>
      </c>
      <c r="I37" s="48">
        <f>COUNTIFS(
    [1]!estoque[empresa], I$6,
    [1]!estoque[Data da venda / reserva], "&gt;=" &amp; $A37,
    [1]!estoque[Data da venda / reserva], "&lt;"  &amp; EOMONTH($A37,0) + 1
)</f>
        <v>0</v>
      </c>
      <c r="J37" s="49">
        <f>SUMIFS([1]!in.rec[total],
[1]!in.rec[natureza],"pro.soluto",
[1]!in.rec[empresa],J$6,
[1]!in.rec[data.base],"&gt;="&amp;$A37,
[1]!in.rec[data.base],"&lt;"&amp;EOMONTH($A37,0)
)</f>
        <v>303423.24</v>
      </c>
      <c r="K37" s="49" t="e">
        <f ca="1">SUMIFS([1]!rec.uni[2023-11-01],
INDIRECT("rec.uni[natureza]"),"repasse.cef.obra",
INDIRECT("rec.uni[empresa]"),K$6)</f>
        <v>#REF!</v>
      </c>
      <c r="L37" s="49" t="e">
        <f ca="1">SUMIFS([1]!rec.uni[2023-11-01],
INDIRECT("rec.uni[natureza]"),"repasse.cef.terreno",
INDIRECT("rec.uni[empresa]"),L$6)</f>
        <v>#REF!</v>
      </c>
      <c r="M37" s="49">
        <v>1455283.7599999998</v>
      </c>
      <c r="N37" s="49" t="e">
        <f ca="1">SUMIFS([1]!rec.uni[2023-11-01],
INDIRECT("rec.uni[natureza]"),"taxa.extra",
INDIRECT("rec.uni[empresa]"),N$6)</f>
        <v>#REF!</v>
      </c>
      <c r="O37" s="50">
        <v>4024.44</v>
      </c>
      <c r="P37" s="48">
        <f>COUNTIFS(
    [1]!estoque[empresa], P$6,
    [1]!estoque[Data da venda / reserva], "&gt;=" &amp; $A37,
    [1]!estoque[Data da venda / reserva], "&lt;"  &amp; EOMONTH($A37,0) + 1
)</f>
        <v>0</v>
      </c>
      <c r="Q37" s="49">
        <f>SUMIFS([1]!in.rec[total],
[1]!in.rec[natureza],"pro.soluto",
[1]!in.rec[empresa],Q$6,
[1]!in.rec[data.base],"&gt;="&amp;$A37,
[1]!in.rec[data.base],"&lt;"&amp;EOMONTH($A37,0)
)</f>
        <v>0</v>
      </c>
      <c r="R37" s="49" t="e">
        <f ca="1">SUMIFS([1]!rec.uni[2023-11-01],
INDIRECT("rec.uni[natureza]"),"repasse.cef.obra",
INDIRECT("rec.uni[empresa]"),R$6)</f>
        <v>#REF!</v>
      </c>
      <c r="S37" s="49" t="e">
        <f ca="1">SUMIFS([1]!rec.uni[2023-11-01],
INDIRECT("rec.uni[natureza]"),"repasse.cef.terreno",
INDIRECT("rec.uni[empresa]"),S$6)</f>
        <v>#REF!</v>
      </c>
      <c r="T37" s="49">
        <v>0</v>
      </c>
      <c r="U37" s="49" t="e">
        <f ca="1">SUMIFS([1]!rec.uni[2023-11-01],
INDIRECT("rec.uni[natureza]"),"taxa.extra",
INDIRECT("rec.uni[empresa]"),U$6)</f>
        <v>#REF!</v>
      </c>
      <c r="V37" s="50">
        <v>0</v>
      </c>
      <c r="W37" s="48">
        <f>COUNTIFS(
    [1]!estoque[empresa], W$6,
    [1]!estoque[Data da venda / reserva], "&gt;=" &amp; $A37,
    [1]!estoque[Data da venda / reserva], "&lt;"  &amp; EOMONTH($A37,0) + 1
)</f>
        <v>0</v>
      </c>
      <c r="X37" s="49">
        <f>SUMIFS([1]!in.rec[total],
[1]!in.rec[natureza],"pro.soluto",
[1]!in.rec[empresa],X$6,
[1]!in.rec[data.base],"&gt;="&amp;$A37,
[1]!in.rec[data.base],"&lt;"&amp;EOMONTH($A37,0)
)</f>
        <v>0</v>
      </c>
      <c r="Y37" s="49" t="e">
        <f ca="1">SUMIFS([1]!rec.uni[2023-11-01],
INDIRECT("rec.uni[natureza]"),"taxa.extra",
INDIRECT("rec.uni[empresa]"),Y$6)</f>
        <v>#REF!</v>
      </c>
      <c r="Z37" s="50">
        <v>0</v>
      </c>
      <c r="AA37" s="48">
        <f>COUNTIFS(
    [1]!estoque[empresa], AA$6,
    [1]!estoque[Data da venda / reserva], "&gt;=" &amp; $A37,
    [1]!estoque[Data da venda / reserva], "&lt;"  &amp; EOMONTH($A37,0) + 1
)</f>
        <v>0</v>
      </c>
      <c r="AB37" s="49">
        <f>SUMIFS([1]!in.rec[total],
[1]!in.rec[natureza],"pro.soluto",
[1]!in.rec[empresa],AB$6,
[1]!in.rec[data.base],"&gt;="&amp;$A37,
[1]!in.rec[data.base],"&lt;"&amp;EOMONTH($A37,0)
)</f>
        <v>1500</v>
      </c>
      <c r="AC37" s="49">
        <f>IF(
$A37&lt;=$A$1,
SUMIFS([1]!in.rec[total],
   [1]!in.rec[empresa],AC$6,
   [1]!in.rec[ele],"FIN",
   [1]!in.rec[data.pagamento],"&gt;="&amp;$A37,
   [1]!in.rec[data.pagamento],"&lt;"&amp;$A38
),
SUMIFS([1]!in.rec[total],
   [1]!in.rec[empresa],AC$6,
   [1]!in.rec[ele],"FIN",
   [1]!in.rec[data.vencimento],"&gt;="&amp;$A37,
   [1]!in.rec[data.vencimento],"&lt;"&amp;$A38
)
)</f>
        <v>0</v>
      </c>
      <c r="AD37" s="49" t="e">
        <f ca="1">SUMIFS([1]!rec.uni[2023-11-01],
INDIRECT("rec.uni[natureza]"),"taxa.extra",
INDIRECT("rec.uni[empresa]"),AD$6)</f>
        <v>#REF!</v>
      </c>
      <c r="AE37" s="50">
        <v>1500</v>
      </c>
      <c r="AF37" s="48">
        <f>COUNTIFS(
    [1]!estoque[empresa], AF$6,
    [1]!estoque[Data da venda / reserva], "&gt;=" &amp; $A37,
    [1]!estoque[Data da venda / reserva], "&lt;"  &amp; EOMONTH($A37,0) + 1
)</f>
        <v>0</v>
      </c>
      <c r="AG37" s="49">
        <f>SUMIFS([1]!in.rec[total],
[1]!in.rec[natureza],"pro.soluto",
[1]!in.rec[empresa],AG$6,
[1]!in.rec[data.base],"&gt;="&amp;$A37,
[1]!in.rec[data.base],"&lt;"&amp;EOMONTH($A37,0)
)</f>
        <v>0</v>
      </c>
      <c r="AH37" s="49" t="e">
        <f ca="1">SUMIFS([1]!rec.uni[2023-11-01],
INDIRECT("rec.uni[natureza]"),"repasse.cef.obra",
INDIRECT("rec.uni[empresa]"),AH$6)</f>
        <v>#REF!</v>
      </c>
      <c r="AI37" s="49" t="e">
        <f ca="1">SUMIFS([1]!rec.uni[2023-11-01],
INDIRECT("rec.uni[natureza]"),"repasse.cef.terreno",
INDIRECT("rec.uni[empresa]"),AI$6)</f>
        <v>#REF!</v>
      </c>
      <c r="AJ37" s="49">
        <v>0</v>
      </c>
      <c r="AK37" s="49" t="e">
        <f ca="1">SUMIFS([1]!rec.uni[2023-11-01],
INDIRECT("rec.uni[natureza]"),"taxa.extra",
INDIRECT("rec.uni[empresa]"),AK$6)</f>
        <v>#REF!</v>
      </c>
      <c r="AL37" s="50">
        <v>0</v>
      </c>
      <c r="AM37" s="48">
        <f>COUNTIFS(
    [1]!estoque[empresa], AM$6,
    [1]!estoque[Data da venda / reserva], "&gt;=" &amp; $A37,
    [1]!estoque[Data da venda / reserva], "&lt;"  &amp; EOMONTH($A37,0) + 1
)</f>
        <v>0</v>
      </c>
      <c r="AN37" s="49">
        <f>SUMIFS([1]!in.rec[total],
[1]!in.rec[natureza],"pro.soluto",
[1]!in.rec[empresa],AN$6,
[1]!in.rec[data.base],"&gt;="&amp;$A37,
[1]!in.rec[data.base],"&lt;"&amp;EOMONTH($A37,0)
)</f>
        <v>0</v>
      </c>
      <c r="AO37" s="49" t="e">
        <f ca="1">SUMIFS([1]!rec.uni[2023-11-01],
INDIRECT("rec.uni[natureza]"),"taxa.extra",
INDIRECT("rec.uni[empresa]"),AO$6)</f>
        <v>#REF!</v>
      </c>
      <c r="AP37" s="50">
        <v>0</v>
      </c>
    </row>
    <row r="38" spans="1:42" x14ac:dyDescent="0.25">
      <c r="A38" s="47">
        <v>45261</v>
      </c>
      <c r="B38" s="48">
        <f>COUNTIFS(
    [1]!estoque[empresa], B$6,
    [1]!estoque[Data da venda / reserva], "&gt;=" &amp; $A38,
    [1]!estoque[Data da venda / reserva], "&lt;"  &amp; EOMONTH($A38,0) + 1
)</f>
        <v>0</v>
      </c>
      <c r="C38" s="49">
        <f>SUMIFS([1]!in.rec[total],
[1]!in.rec[natureza],"pro.soluto",
[1]!in.rec[empresa],C$6,
[1]!in.rec[data.base],"&gt;="&amp;$A38,
[1]!in.rec[data.base],"&lt;"&amp;EOMONTH($A38,0)
)</f>
        <v>295633.67999999988</v>
      </c>
      <c r="D38" s="49" t="e">
        <f ca="1">SUMIFS([1]!rec.uni[2023-12-01],
INDIRECT("rec.uni[natureza]"),"repasse.cef.obra",
INDIRECT("rec.uni[empresa]"),D$6)</f>
        <v>#REF!</v>
      </c>
      <c r="E38" s="49" t="e">
        <f ca="1">SUMIFS([1]!rec.uni[2023-12-01],
INDIRECT("rec.uni[natureza]"),"repasse.cef.terreno",
INDIRECT("rec.uni[empresa]"),E$6)</f>
        <v>#REF!</v>
      </c>
      <c r="F38" s="49">
        <v>0</v>
      </c>
      <c r="G38" s="49" t="e">
        <f ca="1">SUMIFS([1]!rec.uni[2023-12-01],
INDIRECT("rec.uni[natureza]"),"taxa.extra",
INDIRECT("rec.uni[empresa]"),G$6)</f>
        <v>#REF!</v>
      </c>
      <c r="H38" s="50">
        <v>6459.3399999999992</v>
      </c>
      <c r="I38" s="48">
        <f>COUNTIFS(
    [1]!estoque[empresa], I$6,
    [1]!estoque[Data da venda / reserva], "&gt;=" &amp; $A38,
    [1]!estoque[Data da venda / reserva], "&lt;"  &amp; EOMONTH($A38,0) + 1
)</f>
        <v>0</v>
      </c>
      <c r="J38" s="49">
        <f>SUMIFS([1]!in.rec[total],
[1]!in.rec[natureza],"pro.soluto",
[1]!in.rec[empresa],J$6,
[1]!in.rec[data.base],"&gt;="&amp;$A38,
[1]!in.rec[data.base],"&lt;"&amp;EOMONTH($A38,0)
)</f>
        <v>586040.45999999985</v>
      </c>
      <c r="K38" s="49" t="e">
        <f ca="1">SUMIFS([1]!rec.uni[2023-12-01],
INDIRECT("rec.uni[natureza]"),"repasse.cef.obra",
INDIRECT("rec.uni[empresa]"),K$6)</f>
        <v>#REF!</v>
      </c>
      <c r="L38" s="49" t="e">
        <f ca="1">SUMIFS([1]!rec.uni[2023-12-01],
INDIRECT("rec.uni[natureza]"),"repasse.cef.terreno",
INDIRECT("rec.uni[empresa]"),L$6)</f>
        <v>#REF!</v>
      </c>
      <c r="M38" s="49">
        <v>0</v>
      </c>
      <c r="N38" s="49" t="e">
        <f ca="1">SUMIFS([1]!rec.uni[2023-12-01],
INDIRECT("rec.uni[natureza]"),"taxa.extra",
INDIRECT("rec.uni[empresa]"),N$6)</f>
        <v>#REF!</v>
      </c>
      <c r="O38" s="50">
        <v>907.31</v>
      </c>
      <c r="P38" s="48">
        <f>COUNTIFS(
    [1]!estoque[empresa], P$6,
    [1]!estoque[Data da venda / reserva], "&gt;=" &amp; $A38,
    [1]!estoque[Data da venda / reserva], "&lt;"  &amp; EOMONTH($A38,0) + 1
)</f>
        <v>0</v>
      </c>
      <c r="Q38" s="49">
        <f>SUMIFS([1]!in.rec[total],
[1]!in.rec[natureza],"pro.soluto",
[1]!in.rec[empresa],Q$6,
[1]!in.rec[data.base],"&gt;="&amp;$A38,
[1]!in.rec[data.base],"&lt;"&amp;EOMONTH($A38,0)
)</f>
        <v>0</v>
      </c>
      <c r="R38" s="49" t="e">
        <f ca="1">SUMIFS([1]!rec.uni[2023-12-01],
INDIRECT("rec.uni[natureza]"),"repasse.cef.obra",
INDIRECT("rec.uni[empresa]"),R$6)</f>
        <v>#REF!</v>
      </c>
      <c r="S38" s="49" t="e">
        <f ca="1">SUMIFS([1]!rec.uni[2023-12-01],
INDIRECT("rec.uni[natureza]"),"repasse.cef.terreno",
INDIRECT("rec.uni[empresa]"),S$6)</f>
        <v>#REF!</v>
      </c>
      <c r="T38" s="49">
        <v>0</v>
      </c>
      <c r="U38" s="49" t="e">
        <f ca="1">SUMIFS([1]!rec.uni[2023-12-01],
INDIRECT("rec.uni[natureza]"),"taxa.extra",
INDIRECT("rec.uni[empresa]"),U$6)</f>
        <v>#REF!</v>
      </c>
      <c r="V38" s="50">
        <v>0</v>
      </c>
      <c r="W38" s="48">
        <f>COUNTIFS(
    [1]!estoque[empresa], W$6,
    [1]!estoque[Data da venda / reserva], "&gt;=" &amp; $A38,
    [1]!estoque[Data da venda / reserva], "&lt;"  &amp; EOMONTH($A38,0) + 1
)</f>
        <v>0</v>
      </c>
      <c r="X38" s="49">
        <f>SUMIFS([1]!in.rec[total],
[1]!in.rec[natureza],"pro.soluto",
[1]!in.rec[empresa],X$6,
[1]!in.rec[data.base],"&gt;="&amp;$A38,
[1]!in.rec[data.base],"&lt;"&amp;EOMONTH($A38,0)
)</f>
        <v>0</v>
      </c>
      <c r="Y38" s="49" t="e">
        <f ca="1">SUMIFS([1]!rec.uni[2023-12-01],
INDIRECT("rec.uni[natureza]"),"taxa.extra",
INDIRECT("rec.uni[empresa]"),Y$6)</f>
        <v>#REF!</v>
      </c>
      <c r="Z38" s="50">
        <v>0</v>
      </c>
      <c r="AA38" s="48">
        <f>COUNTIFS(
    [1]!estoque[empresa], AA$6,
    [1]!estoque[Data da venda / reserva], "&gt;=" &amp; $A38,
    [1]!estoque[Data da venda / reserva], "&lt;"  &amp; EOMONTH($A38,0) + 1
)</f>
        <v>0</v>
      </c>
      <c r="AB38" s="49">
        <f>SUMIFS([1]!in.rec[total],
[1]!in.rec[natureza],"pro.soluto",
[1]!in.rec[empresa],AB$6,
[1]!in.rec[data.base],"&gt;="&amp;$A38,
[1]!in.rec[data.base],"&lt;"&amp;EOMONTH($A38,0)
)</f>
        <v>1500</v>
      </c>
      <c r="AC38" s="49">
        <f>IF(
$A38&lt;=$A$1,
SUMIFS([1]!in.rec[total],
   [1]!in.rec[empresa],AC$6,
   [1]!in.rec[ele],"FIN",
   [1]!in.rec[data.pagamento],"&gt;="&amp;$A38,
   [1]!in.rec[data.pagamento],"&lt;"&amp;$A39
),
SUMIFS([1]!in.rec[total],
   [1]!in.rec[empresa],AC$6,
   [1]!in.rec[ele],"FIN",
   [1]!in.rec[data.vencimento],"&gt;="&amp;$A38,
   [1]!in.rec[data.vencimento],"&lt;"&amp;$A39
)
)</f>
        <v>0</v>
      </c>
      <c r="AD38" s="49" t="e">
        <f ca="1">SUMIFS([1]!rec.uni[2023-12-01],
INDIRECT("rec.uni[natureza]"),"taxa.extra",
INDIRECT("rec.uni[empresa]"),AD$6)</f>
        <v>#REF!</v>
      </c>
      <c r="AE38" s="50">
        <v>1500</v>
      </c>
      <c r="AF38" s="48">
        <f>COUNTIFS(
    [1]!estoque[empresa], AF$6,
    [1]!estoque[Data da venda / reserva], "&gt;=" &amp; $A38,
    [1]!estoque[Data da venda / reserva], "&lt;"  &amp; EOMONTH($A38,0) + 1
)</f>
        <v>59</v>
      </c>
      <c r="AG38" s="49">
        <f>SUMIFS([1]!in.rec[total],
[1]!in.rec[natureza],"pro.soluto",
[1]!in.rec[empresa],AG$6,
[1]!in.rec[data.base],"&gt;="&amp;$A38,
[1]!in.rec[data.base],"&lt;"&amp;EOMONTH($A38,0)
)</f>
        <v>454260.78999999992</v>
      </c>
      <c r="AH38" s="49" t="e">
        <f ca="1">SUMIFS([1]!rec.uni[2023-12-01],
INDIRECT("rec.uni[natureza]"),"repasse.cef.obra",
INDIRECT("rec.uni[empresa]"),AH$6)</f>
        <v>#REF!</v>
      </c>
      <c r="AI38" s="49" t="e">
        <f ca="1">SUMIFS([1]!rec.uni[2023-12-01],
INDIRECT("rec.uni[natureza]"),"repasse.cef.terreno",
INDIRECT("rec.uni[empresa]"),AI$6)</f>
        <v>#REF!</v>
      </c>
      <c r="AJ38" s="49">
        <v>0</v>
      </c>
      <c r="AK38" s="49" t="e">
        <f ca="1">SUMIFS([1]!rec.uni[2023-12-01],
INDIRECT("rec.uni[natureza]"),"taxa.extra",
INDIRECT("rec.uni[empresa]"),AK$6)</f>
        <v>#REF!</v>
      </c>
      <c r="AL38" s="50">
        <v>8500</v>
      </c>
      <c r="AM38" s="48">
        <f>COUNTIFS(
    [1]!estoque[empresa], AM$6,
    [1]!estoque[Data da venda / reserva], "&gt;=" &amp; $A38,
    [1]!estoque[Data da venda / reserva], "&lt;"  &amp; EOMONTH($A38,0) + 1
)</f>
        <v>0</v>
      </c>
      <c r="AN38" s="49">
        <f>SUMIFS([1]!in.rec[total],
[1]!in.rec[natureza],"pro.soluto",
[1]!in.rec[empresa],AN$6,
[1]!in.rec[data.base],"&gt;="&amp;$A38,
[1]!in.rec[data.base],"&lt;"&amp;EOMONTH($A38,0)
)</f>
        <v>0</v>
      </c>
      <c r="AO38" s="49" t="e">
        <f ca="1">SUMIFS([1]!rec.uni[2023-12-01],
INDIRECT("rec.uni[natureza]"),"taxa.extra",
INDIRECT("rec.uni[empresa]"),AO$6)</f>
        <v>#REF!</v>
      </c>
      <c r="AP38" s="50">
        <v>0</v>
      </c>
    </row>
    <row r="39" spans="1:42" x14ac:dyDescent="0.25">
      <c r="A39" s="47">
        <v>45292</v>
      </c>
      <c r="B39" s="48">
        <f>COUNTIFS(
    [1]!estoque[empresa], B$6,
    [1]!estoque[Data da venda / reserva], "&gt;=" &amp; $A39,
    [1]!estoque[Data da venda / reserva], "&lt;"  &amp; EOMONTH($A39,0) + 1
)</f>
        <v>2</v>
      </c>
      <c r="C39" s="49">
        <f>SUMIFS([1]!in.rec[total],
[1]!in.rec[natureza],"pro.soluto",
[1]!in.rec[empresa],C$6,
[1]!in.rec[data.base],"&gt;="&amp;$A39,
[1]!in.rec[data.base],"&lt;"&amp;EOMONTH($A39,0)
)</f>
        <v>93602.46</v>
      </c>
      <c r="D39" s="49" t="e">
        <f ca="1">SUMIFS([1]!rec.uni[2024-01-01],
INDIRECT("rec.uni[natureza]"),"repasse.cef.obra",
INDIRECT("rec.uni[empresa]"),D$6)</f>
        <v>#REF!</v>
      </c>
      <c r="E39" s="49" t="e">
        <f ca="1">SUMIFS([1]!rec.uni[2024-01-01],
INDIRECT("rec.uni[natureza]"),"repasse.cef.terreno",
INDIRECT("rec.uni[empresa]"),E$6)</f>
        <v>#REF!</v>
      </c>
      <c r="F39" s="49">
        <v>0</v>
      </c>
      <c r="G39" s="49" t="e">
        <f ca="1">SUMIFS([1]!rec.uni[2024-01-01],
INDIRECT("rec.uni[natureza]"),"taxa.extra",
INDIRECT("rec.uni[empresa]"),G$6)</f>
        <v>#REF!</v>
      </c>
      <c r="H39" s="50">
        <v>2304.5499999999997</v>
      </c>
      <c r="I39" s="48">
        <f>COUNTIFS(
    [1]!estoque[empresa], I$6,
    [1]!estoque[Data da venda / reserva], "&gt;=" &amp; $A39,
    [1]!estoque[Data da venda / reserva], "&lt;"  &amp; EOMONTH($A39,0) + 1
)</f>
        <v>1</v>
      </c>
      <c r="J39" s="49">
        <f>SUMIFS([1]!in.rec[total],
[1]!in.rec[natureza],"pro.soluto",
[1]!in.rec[empresa],J$6,
[1]!in.rec[data.base],"&gt;="&amp;$A39,
[1]!in.rec[data.base],"&lt;"&amp;EOMONTH($A39,0)
)</f>
        <v>294229.89000000013</v>
      </c>
      <c r="K39" s="49" t="e">
        <f ca="1">SUMIFS([1]!rec.uni[2024-01-01],
INDIRECT("rec.uni[natureza]"),"repasse.cef.obra",
INDIRECT("rec.uni[empresa]"),K$6)</f>
        <v>#REF!</v>
      </c>
      <c r="L39" s="49" t="e">
        <f ca="1">SUMIFS([1]!rec.uni[2024-01-01],
INDIRECT("rec.uni[natureza]"),"repasse.cef.terreno",
INDIRECT("rec.uni[empresa]"),L$6)</f>
        <v>#REF!</v>
      </c>
      <c r="M39" s="49">
        <v>1292869.73</v>
      </c>
      <c r="N39" s="49" t="e">
        <f ca="1">SUMIFS([1]!rec.uni[2024-01-01],
INDIRECT("rec.uni[natureza]"),"taxa.extra",
INDIRECT("rec.uni[empresa]"),N$6)</f>
        <v>#REF!</v>
      </c>
      <c r="O39" s="50">
        <v>11966.28</v>
      </c>
      <c r="P39" s="48">
        <f>COUNTIFS(
    [1]!estoque[empresa], P$6,
    [1]!estoque[Data da venda / reserva], "&gt;=" &amp; $A39,
    [1]!estoque[Data da venda / reserva], "&lt;"  &amp; EOMONTH($A39,0) + 1
)</f>
        <v>0</v>
      </c>
      <c r="Q39" s="49">
        <f>SUMIFS([1]!in.rec[total],
[1]!in.rec[natureza],"pro.soluto",
[1]!in.rec[empresa],Q$6,
[1]!in.rec[data.base],"&gt;="&amp;$A39,
[1]!in.rec[data.base],"&lt;"&amp;EOMONTH($A39,0)
)</f>
        <v>0</v>
      </c>
      <c r="R39" s="49" t="e">
        <f ca="1">SUMIFS([1]!rec.uni[2024-01-01],
INDIRECT("rec.uni[natureza]"),"repasse.cef.obra",
INDIRECT("rec.uni[empresa]"),R$6)</f>
        <v>#REF!</v>
      </c>
      <c r="S39" s="49" t="e">
        <f ca="1">SUMIFS([1]!rec.uni[2024-01-01],
INDIRECT("rec.uni[natureza]"),"repasse.cef.terreno",
INDIRECT("rec.uni[empresa]"),S$6)</f>
        <v>#REF!</v>
      </c>
      <c r="T39" s="49">
        <v>0</v>
      </c>
      <c r="U39" s="49" t="e">
        <f ca="1">SUMIFS([1]!rec.uni[2024-01-01],
INDIRECT("rec.uni[natureza]"),"taxa.extra",
INDIRECT("rec.uni[empresa]"),U$6)</f>
        <v>#REF!</v>
      </c>
      <c r="V39" s="50">
        <v>0</v>
      </c>
      <c r="W39" s="48">
        <f>COUNTIFS(
    [1]!estoque[empresa], W$6,
    [1]!estoque[Data da venda / reserva], "&gt;=" &amp; $A39,
    [1]!estoque[Data da venda / reserva], "&lt;"  &amp; EOMONTH($A39,0) + 1
)</f>
        <v>0</v>
      </c>
      <c r="X39" s="49">
        <f>SUMIFS([1]!in.rec[total],
[1]!in.rec[natureza],"pro.soluto",
[1]!in.rec[empresa],X$6,
[1]!in.rec[data.base],"&gt;="&amp;$A39,
[1]!in.rec[data.base],"&lt;"&amp;EOMONTH($A39,0)
)</f>
        <v>0</v>
      </c>
      <c r="Y39" s="49" t="e">
        <f ca="1">SUMIFS([1]!rec.uni[2024-01-01],
INDIRECT("rec.uni[natureza]"),"taxa.extra",
INDIRECT("rec.uni[empresa]"),Y$6)</f>
        <v>#REF!</v>
      </c>
      <c r="Z39" s="50">
        <v>0</v>
      </c>
      <c r="AA39" s="48">
        <f>COUNTIFS(
    [1]!estoque[empresa], AA$6,
    [1]!estoque[Data da venda / reserva], "&gt;=" &amp; $A39,
    [1]!estoque[Data da venda / reserva], "&lt;"  &amp; EOMONTH($A39,0) + 1
)</f>
        <v>0</v>
      </c>
      <c r="AB39" s="49">
        <f>SUMIFS([1]!in.rec[total],
[1]!in.rec[natureza],"pro.soluto",
[1]!in.rec[empresa],AB$6,
[1]!in.rec[data.base],"&gt;="&amp;$A39,
[1]!in.rec[data.base],"&lt;"&amp;EOMONTH($A39,0)
)</f>
        <v>0</v>
      </c>
      <c r="AC39" s="49">
        <f>IF(
$A39&lt;=$A$1,
SUMIFS([1]!in.rec[total],
   [1]!in.rec[empresa],AC$6,
   [1]!in.rec[ele],"FIN",
   [1]!in.rec[data.pagamento],"&gt;="&amp;$A39,
   [1]!in.rec[data.pagamento],"&lt;"&amp;$A40
),
SUMIFS([1]!in.rec[total],
   [1]!in.rec[empresa],AC$6,
   [1]!in.rec[ele],"FIN",
   [1]!in.rec[data.vencimento],"&gt;="&amp;$A39,
   [1]!in.rec[data.vencimento],"&lt;"&amp;$A40
)
)</f>
        <v>0</v>
      </c>
      <c r="AD39" s="49" t="e">
        <f ca="1">SUMIFS([1]!rec.uni[2024-01-01],
INDIRECT("rec.uni[natureza]"),"taxa.extra",
INDIRECT("rec.uni[empresa]"),AD$6)</f>
        <v>#REF!</v>
      </c>
      <c r="AE39" s="50">
        <v>0</v>
      </c>
      <c r="AF39" s="48">
        <f>COUNTIFS(
    [1]!estoque[empresa], AF$6,
    [1]!estoque[Data da venda / reserva], "&gt;=" &amp; $A39,
    [1]!estoque[Data da venda / reserva], "&lt;"  &amp; EOMONTH($A39,0) + 1
)</f>
        <v>25</v>
      </c>
      <c r="AG39" s="49">
        <f>SUMIFS([1]!in.rec[total],
[1]!in.rec[natureza],"pro.soluto",
[1]!in.rec[empresa],AG$6,
[1]!in.rec[data.base],"&gt;="&amp;$A39,
[1]!in.rec[data.base],"&lt;"&amp;EOMONTH($A39,0)
)</f>
        <v>528162.26000000013</v>
      </c>
      <c r="AH39" s="49" t="e">
        <f ca="1">SUMIFS([1]!rec.uni[2024-01-01],
INDIRECT("rec.uni[natureza]"),"repasse.cef.obra",
INDIRECT("rec.uni[empresa]"),AH$6)</f>
        <v>#REF!</v>
      </c>
      <c r="AI39" s="49" t="e">
        <f ca="1">SUMIFS([1]!rec.uni[2024-01-01],
INDIRECT("rec.uni[natureza]"),"repasse.cef.terreno",
INDIRECT("rec.uni[empresa]"),AI$6)</f>
        <v>#REF!</v>
      </c>
      <c r="AJ39" s="49">
        <v>0</v>
      </c>
      <c r="AK39" s="49" t="e">
        <f ca="1">SUMIFS([1]!rec.uni[2024-01-01],
INDIRECT("rec.uni[natureza]"),"taxa.extra",
INDIRECT("rec.uni[empresa]"),AK$6)</f>
        <v>#REF!</v>
      </c>
      <c r="AL39" s="50">
        <v>4851.09</v>
      </c>
      <c r="AM39" s="48">
        <f>COUNTIFS(
    [1]!estoque[empresa], AM$6,
    [1]!estoque[Data da venda / reserva], "&gt;=" &amp; $A39,
    [1]!estoque[Data da venda / reserva], "&lt;"  &amp; EOMONTH($A39,0) + 1
)</f>
        <v>0</v>
      </c>
      <c r="AN39" s="49">
        <f>SUMIFS([1]!in.rec[total],
[1]!in.rec[natureza],"pro.soluto",
[1]!in.rec[empresa],AN$6,
[1]!in.rec[data.base],"&gt;="&amp;$A39,
[1]!in.rec[data.base],"&lt;"&amp;EOMONTH($A39,0)
)</f>
        <v>0</v>
      </c>
      <c r="AO39" s="49" t="e">
        <f ca="1">SUMIFS([1]!rec.uni[2024-01-01],
INDIRECT("rec.uni[natureza]"),"taxa.extra",
INDIRECT("rec.uni[empresa]"),AO$6)</f>
        <v>#REF!</v>
      </c>
      <c r="AP39" s="50">
        <v>0</v>
      </c>
    </row>
    <row r="40" spans="1:42" x14ac:dyDescent="0.25">
      <c r="A40" s="47">
        <v>45323</v>
      </c>
      <c r="B40" s="48">
        <f>COUNTIFS(
    [1]!estoque[empresa], B$6,
    [1]!estoque[Data da venda / reserva], "&gt;=" &amp; $A40,
    [1]!estoque[Data da venda / reserva], "&lt;"  &amp; EOMONTH($A40,0) + 1
)</f>
        <v>1</v>
      </c>
      <c r="C40" s="49">
        <f>SUMIFS([1]!in.rec[total],
[1]!in.rec[natureza],"pro.soluto",
[1]!in.rec[empresa],C$6,
[1]!in.rec[data.base],"&gt;="&amp;$A40,
[1]!in.rec[data.base],"&lt;"&amp;EOMONTH($A40,0)
)</f>
        <v>104197.72</v>
      </c>
      <c r="D40" s="49" t="e">
        <f ca="1">SUMIFS([1]!rec.uni[2024-02-01],
INDIRECT("rec.uni[natureza]"),"repasse.cef.obra",
INDIRECT("rec.uni[empresa]"),D$6)</f>
        <v>#REF!</v>
      </c>
      <c r="E40" s="49" t="e">
        <f ca="1">SUMIFS([1]!rec.uni[2024-02-01],
INDIRECT("rec.uni[natureza]"),"repasse.cef.terreno",
INDIRECT("rec.uni[empresa]"),E$6)</f>
        <v>#REF!</v>
      </c>
      <c r="F40" s="49">
        <v>0</v>
      </c>
      <c r="G40" s="49" t="e">
        <f ca="1">SUMIFS([1]!rec.uni[2024-02-01],
INDIRECT("rec.uni[natureza]"),"taxa.extra",
INDIRECT("rec.uni[empresa]"),G$6)</f>
        <v>#REF!</v>
      </c>
      <c r="H40" s="50">
        <v>2328.23</v>
      </c>
      <c r="I40" s="48">
        <f>COUNTIFS(
    [1]!estoque[empresa], I$6,
    [1]!estoque[Data da venda / reserva], "&gt;=" &amp; $A40,
    [1]!estoque[Data da venda / reserva], "&lt;"  &amp; EOMONTH($A40,0) + 1
)</f>
        <v>1</v>
      </c>
      <c r="J40" s="49">
        <f>SUMIFS([1]!in.rec[total],
[1]!in.rec[natureza],"pro.soluto",
[1]!in.rec[empresa],J$6,
[1]!in.rec[data.base],"&gt;="&amp;$A40,
[1]!in.rec[data.base],"&lt;"&amp;EOMONTH($A40,0)
)</f>
        <v>255901.43000000005</v>
      </c>
      <c r="K40" s="49" t="e">
        <f ca="1">SUMIFS([1]!rec.uni[2024-02-01],
INDIRECT("rec.uni[natureza]"),"repasse.cef.obra",
INDIRECT("rec.uni[empresa]"),K$6)</f>
        <v>#REF!</v>
      </c>
      <c r="L40" s="49" t="e">
        <f ca="1">SUMIFS([1]!rec.uni[2024-02-01],
INDIRECT("rec.uni[natureza]"),"repasse.cef.terreno",
INDIRECT("rec.uni[empresa]"),L$6)</f>
        <v>#REF!</v>
      </c>
      <c r="M40" s="49">
        <v>641961.35</v>
      </c>
      <c r="N40" s="49" t="e">
        <f ca="1">SUMIFS([1]!rec.uni[2024-02-01],
INDIRECT("rec.uni[natureza]"),"taxa.extra",
INDIRECT("rec.uni[empresa]"),N$6)</f>
        <v>#REF!</v>
      </c>
      <c r="O40" s="50">
        <v>1839.28</v>
      </c>
      <c r="P40" s="48">
        <f>COUNTIFS(
    [1]!estoque[empresa], P$6,
    [1]!estoque[Data da venda / reserva], "&gt;=" &amp; $A40,
    [1]!estoque[Data da venda / reserva], "&lt;"  &amp; EOMONTH($A40,0) + 1
)</f>
        <v>0</v>
      </c>
      <c r="Q40" s="49">
        <f>SUMIFS([1]!in.rec[total],
[1]!in.rec[natureza],"pro.soluto",
[1]!in.rec[empresa],Q$6,
[1]!in.rec[data.base],"&gt;="&amp;$A40,
[1]!in.rec[data.base],"&lt;"&amp;EOMONTH($A40,0)
)</f>
        <v>0</v>
      </c>
      <c r="R40" s="49" t="e">
        <f ca="1">SUMIFS([1]!rec.uni[2024-02-01],
INDIRECT("rec.uni[natureza]"),"repasse.cef.obra",
INDIRECT("rec.uni[empresa]"),R$6)</f>
        <v>#REF!</v>
      </c>
      <c r="S40" s="49" t="e">
        <f ca="1">SUMIFS([1]!rec.uni[2024-02-01],
INDIRECT("rec.uni[natureza]"),"repasse.cef.terreno",
INDIRECT("rec.uni[empresa]"),S$6)</f>
        <v>#REF!</v>
      </c>
      <c r="T40" s="49">
        <v>0</v>
      </c>
      <c r="U40" s="49" t="e">
        <f ca="1">SUMIFS([1]!rec.uni[2024-02-01],
INDIRECT("rec.uni[natureza]"),"taxa.extra",
INDIRECT("rec.uni[empresa]"),U$6)</f>
        <v>#REF!</v>
      </c>
      <c r="V40" s="50">
        <v>0</v>
      </c>
      <c r="W40" s="48">
        <f>COUNTIFS(
    [1]!estoque[empresa], W$6,
    [1]!estoque[Data da venda / reserva], "&gt;=" &amp; $A40,
    [1]!estoque[Data da venda / reserva], "&lt;"  &amp; EOMONTH($A40,0) + 1
)</f>
        <v>0</v>
      </c>
      <c r="X40" s="49">
        <f>SUMIFS([1]!in.rec[total],
[1]!in.rec[natureza],"pro.soluto",
[1]!in.rec[empresa],X$6,
[1]!in.rec[data.base],"&gt;="&amp;$A40,
[1]!in.rec[data.base],"&lt;"&amp;EOMONTH($A40,0)
)</f>
        <v>0</v>
      </c>
      <c r="Y40" s="49" t="e">
        <f ca="1">SUMIFS([1]!rec.uni[2024-02-01],
INDIRECT("rec.uni[natureza]"),"taxa.extra",
INDIRECT("rec.uni[empresa]"),Y$6)</f>
        <v>#REF!</v>
      </c>
      <c r="Z40" s="50">
        <v>0</v>
      </c>
      <c r="AA40" s="48">
        <f>COUNTIFS(
    [1]!estoque[empresa], AA$6,
    [1]!estoque[Data da venda / reserva], "&gt;=" &amp; $A40,
    [1]!estoque[Data da venda / reserva], "&lt;"  &amp; EOMONTH($A40,0) + 1
)</f>
        <v>0</v>
      </c>
      <c r="AB40" s="49">
        <f>SUMIFS([1]!in.rec[total],
[1]!in.rec[natureza],"pro.soluto",
[1]!in.rec[empresa],AB$6,
[1]!in.rec[data.base],"&gt;="&amp;$A40,
[1]!in.rec[data.base],"&lt;"&amp;EOMONTH($A40,0)
)</f>
        <v>0</v>
      </c>
      <c r="AC40" s="49">
        <f>IF(
$A40&lt;=$A$1,
SUMIFS([1]!in.rec[total],
   [1]!in.rec[empresa],AC$6,
   [1]!in.rec[ele],"FIN",
   [1]!in.rec[data.pagamento],"&gt;="&amp;$A40,
   [1]!in.rec[data.pagamento],"&lt;"&amp;$A41
),
SUMIFS([1]!in.rec[total],
   [1]!in.rec[empresa],AC$6,
   [1]!in.rec[ele],"FIN",
   [1]!in.rec[data.vencimento],"&gt;="&amp;$A40,
   [1]!in.rec[data.vencimento],"&lt;"&amp;$A41
)
)</f>
        <v>0</v>
      </c>
      <c r="AD40" s="49" t="e">
        <f ca="1">SUMIFS([1]!rec.uni[2024-02-01],
INDIRECT("rec.uni[natureza]"),"taxa.extra",
INDIRECT("rec.uni[empresa]"),AD$6)</f>
        <v>#REF!</v>
      </c>
      <c r="AE40" s="50">
        <v>0</v>
      </c>
      <c r="AF40" s="48">
        <f>COUNTIFS(
    [1]!estoque[empresa], AF$6,
    [1]!estoque[Data da venda / reserva], "&gt;=" &amp; $A40,
    [1]!estoque[Data da venda / reserva], "&lt;"  &amp; EOMONTH($A40,0) + 1
)</f>
        <v>17</v>
      </c>
      <c r="AG40" s="49">
        <f>SUMIFS([1]!in.rec[total],
[1]!in.rec[natureza],"pro.soluto",
[1]!in.rec[empresa],AG$6,
[1]!in.rec[data.base],"&gt;="&amp;$A40,
[1]!in.rec[data.base],"&lt;"&amp;EOMONTH($A40,0)
)</f>
        <v>616130.64999999967</v>
      </c>
      <c r="AH40" s="49" t="e">
        <f ca="1">SUMIFS([1]!rec.uni[2024-02-01],
INDIRECT("rec.uni[natureza]"),"repasse.cef.obra",
INDIRECT("rec.uni[empresa]"),AH$6)</f>
        <v>#REF!</v>
      </c>
      <c r="AI40" s="49" t="e">
        <f ca="1">SUMIFS([1]!rec.uni[2024-02-01],
INDIRECT("rec.uni[natureza]"),"repasse.cef.terreno",
INDIRECT("rec.uni[empresa]"),AI$6)</f>
        <v>#REF!</v>
      </c>
      <c r="AJ40" s="49">
        <v>0</v>
      </c>
      <c r="AK40" s="49" t="e">
        <f ca="1">SUMIFS([1]!rec.uni[2024-02-01],
INDIRECT("rec.uni[natureza]"),"taxa.extra",
INDIRECT("rec.uni[empresa]"),AK$6)</f>
        <v>#REF!</v>
      </c>
      <c r="AL40" s="50">
        <v>7202.65</v>
      </c>
      <c r="AM40" s="48">
        <f>COUNTIFS(
    [1]!estoque[empresa], AM$6,
    [1]!estoque[Data da venda / reserva], "&gt;=" &amp; $A40,
    [1]!estoque[Data da venda / reserva], "&lt;"  &amp; EOMONTH($A40,0) + 1
)</f>
        <v>0</v>
      </c>
      <c r="AN40" s="49">
        <f>SUMIFS([1]!in.rec[total],
[1]!in.rec[natureza],"pro.soluto",
[1]!in.rec[empresa],AN$6,
[1]!in.rec[data.base],"&gt;="&amp;$A40,
[1]!in.rec[data.base],"&lt;"&amp;EOMONTH($A40,0)
)</f>
        <v>0</v>
      </c>
      <c r="AO40" s="49" t="e">
        <f ca="1">SUMIFS([1]!rec.uni[2024-02-01],
INDIRECT("rec.uni[natureza]"),"taxa.extra",
INDIRECT("rec.uni[empresa]"),AO$6)</f>
        <v>#REF!</v>
      </c>
      <c r="AP40" s="50">
        <v>0</v>
      </c>
    </row>
    <row r="41" spans="1:42" x14ac:dyDescent="0.25">
      <c r="A41" s="47">
        <v>45352</v>
      </c>
      <c r="B41" s="48">
        <f>COUNTIFS(
    [1]!estoque[empresa], B$6,
    [1]!estoque[Data da venda / reserva], "&gt;=" &amp; $A41,
    [1]!estoque[Data da venda / reserva], "&lt;"  &amp; EOMONTH($A41,0) + 1
)</f>
        <v>0</v>
      </c>
      <c r="C41" s="49">
        <f>SUMIFS([1]!in.rec[total],
[1]!in.rec[natureza],"pro.soluto",
[1]!in.rec[empresa],C$6,
[1]!in.rec[data.base],"&gt;="&amp;$A41,
[1]!in.rec[data.base],"&lt;"&amp;EOMONTH($A41,0)
)</f>
        <v>123313.70000000001</v>
      </c>
      <c r="D41" s="49" t="e">
        <f ca="1">SUMIFS([1]!rec.uni[2024-03-01],
INDIRECT("rec.uni[natureza]"),"repasse.cef.obra",
INDIRECT("rec.uni[empresa]"),D$6)</f>
        <v>#REF!</v>
      </c>
      <c r="E41" s="49" t="e">
        <f ca="1">SUMIFS([1]!rec.uni[2024-03-01],
INDIRECT("rec.uni[natureza]"),"repasse.cef.terreno",
INDIRECT("rec.uni[empresa]"),E$6)</f>
        <v>#REF!</v>
      </c>
      <c r="F41" s="49">
        <v>403051.79</v>
      </c>
      <c r="G41" s="49" t="e">
        <f ca="1">SUMIFS([1]!rec.uni[2024-03-01],
INDIRECT("rec.uni[natureza]"),"taxa.extra",
INDIRECT("rec.uni[empresa]"),G$6)</f>
        <v>#REF!</v>
      </c>
      <c r="H41" s="50">
        <v>30436.14</v>
      </c>
      <c r="I41" s="48">
        <f>COUNTIFS(
    [1]!estoque[empresa], I$6,
    [1]!estoque[Data da venda / reserva], "&gt;=" &amp; $A41,
    [1]!estoque[Data da venda / reserva], "&lt;"  &amp; EOMONTH($A41,0) + 1
)</f>
        <v>1</v>
      </c>
      <c r="J41" s="49">
        <f>SUMIFS([1]!in.rec[total],
[1]!in.rec[natureza],"pro.soluto",
[1]!in.rec[empresa],J$6,
[1]!in.rec[data.base],"&gt;="&amp;$A41,
[1]!in.rec[data.base],"&lt;"&amp;EOMONTH($A41,0)
)</f>
        <v>234911.30000000008</v>
      </c>
      <c r="K41" s="49" t="e">
        <f ca="1">SUMIFS([1]!rec.uni[2024-03-01],
INDIRECT("rec.uni[natureza]"),"repasse.cef.obra",
INDIRECT("rec.uni[empresa]"),K$6)</f>
        <v>#REF!</v>
      </c>
      <c r="L41" s="49" t="e">
        <f ca="1">SUMIFS([1]!rec.uni[2024-03-01],
INDIRECT("rec.uni[natureza]"),"repasse.cef.terreno",
INDIRECT("rec.uni[empresa]"),L$6)</f>
        <v>#REF!</v>
      </c>
      <c r="M41" s="49">
        <v>412689.22</v>
      </c>
      <c r="N41" s="49" t="e">
        <f ca="1">SUMIFS([1]!rec.uni[2024-03-01],
INDIRECT("rec.uni[natureza]"),"taxa.extra",
INDIRECT("rec.uni[empresa]"),N$6)</f>
        <v>#REF!</v>
      </c>
      <c r="O41" s="50">
        <v>1170.82</v>
      </c>
      <c r="P41" s="48">
        <f>COUNTIFS(
    [1]!estoque[empresa], P$6,
    [1]!estoque[Data da venda / reserva], "&gt;=" &amp; $A41,
    [1]!estoque[Data da venda / reserva], "&lt;"  &amp; EOMONTH($A41,0) + 1
)</f>
        <v>0</v>
      </c>
      <c r="Q41" s="49">
        <f>SUMIFS([1]!in.rec[total],
[1]!in.rec[natureza],"pro.soluto",
[1]!in.rec[empresa],Q$6,
[1]!in.rec[data.base],"&gt;="&amp;$A41,
[1]!in.rec[data.base],"&lt;"&amp;EOMONTH($A41,0)
)</f>
        <v>0</v>
      </c>
      <c r="R41" s="49" t="e">
        <f ca="1">SUMIFS([1]!rec.uni[2024-03-01],
INDIRECT("rec.uni[natureza]"),"repasse.cef.obra",
INDIRECT("rec.uni[empresa]"),R$6)</f>
        <v>#REF!</v>
      </c>
      <c r="S41" s="49" t="e">
        <f ca="1">SUMIFS([1]!rec.uni[2024-03-01],
INDIRECT("rec.uni[natureza]"),"repasse.cef.terreno",
INDIRECT("rec.uni[empresa]"),S$6)</f>
        <v>#REF!</v>
      </c>
      <c r="T41" s="49">
        <v>0</v>
      </c>
      <c r="U41" s="49" t="e">
        <f ca="1">SUMIFS([1]!rec.uni[2024-03-01],
INDIRECT("rec.uni[natureza]"),"taxa.extra",
INDIRECT("rec.uni[empresa]"),U$6)</f>
        <v>#REF!</v>
      </c>
      <c r="V41" s="50">
        <v>0</v>
      </c>
      <c r="W41" s="48">
        <f>COUNTIFS(
    [1]!estoque[empresa], W$6,
    [1]!estoque[Data da venda / reserva], "&gt;=" &amp; $A41,
    [1]!estoque[Data da venda / reserva], "&lt;"  &amp; EOMONTH($A41,0) + 1
)</f>
        <v>0</v>
      </c>
      <c r="X41" s="49">
        <f>SUMIFS([1]!in.rec[total],
[1]!in.rec[natureza],"pro.soluto",
[1]!in.rec[empresa],X$6,
[1]!in.rec[data.base],"&gt;="&amp;$A41,
[1]!in.rec[data.base],"&lt;"&amp;EOMONTH($A41,0)
)</f>
        <v>0</v>
      </c>
      <c r="Y41" s="49" t="e">
        <f ca="1">SUMIFS([1]!rec.uni[2024-03-01],
INDIRECT("rec.uni[natureza]"),"taxa.extra",
INDIRECT("rec.uni[empresa]"),Y$6)</f>
        <v>#REF!</v>
      </c>
      <c r="Z41" s="50">
        <v>0</v>
      </c>
      <c r="AA41" s="48">
        <f>COUNTIFS(
    [1]!estoque[empresa], AA$6,
    [1]!estoque[Data da venda / reserva], "&gt;=" &amp; $A41,
    [1]!estoque[Data da venda / reserva], "&lt;"  &amp; EOMONTH($A41,0) + 1
)</f>
        <v>16</v>
      </c>
      <c r="AB41" s="49">
        <f>SUMIFS([1]!in.rec[total],
[1]!in.rec[natureza],"pro.soluto",
[1]!in.rec[empresa],AB$6,
[1]!in.rec[data.base],"&gt;="&amp;$A41,
[1]!in.rec[data.base],"&lt;"&amp;EOMONTH($A41,0)
)</f>
        <v>550139.30000000005</v>
      </c>
      <c r="AC41" s="49">
        <f>IF(
$A41&lt;=$A$1,
SUMIFS([1]!in.rec[total],
   [1]!in.rec[empresa],AC$6,
   [1]!in.rec[ele],"FIN",
   [1]!in.rec[data.pagamento],"&gt;="&amp;$A41,
   [1]!in.rec[data.pagamento],"&lt;"&amp;$A42
),
SUMIFS([1]!in.rec[total],
   [1]!in.rec[empresa],AC$6,
   [1]!in.rec[ele],"FIN",
   [1]!in.rec[data.vencimento],"&gt;="&amp;$A41,
   [1]!in.rec[data.vencimento],"&lt;"&amp;$A42
)
)</f>
        <v>0</v>
      </c>
      <c r="AD41" s="49" t="e">
        <f ca="1">SUMIFS([1]!rec.uni[2024-03-01],
INDIRECT("rec.uni[natureza]"),"taxa.extra",
INDIRECT("rec.uni[empresa]"),AD$6)</f>
        <v>#REF!</v>
      </c>
      <c r="AE41" s="50">
        <v>28645</v>
      </c>
      <c r="AF41" s="48">
        <f>COUNTIFS(
    [1]!estoque[empresa], AF$6,
    [1]!estoque[Data da venda / reserva], "&gt;=" &amp; $A41,
    [1]!estoque[Data da venda / reserva], "&lt;"  &amp; EOMONTH($A41,0) + 1
)</f>
        <v>25</v>
      </c>
      <c r="AG41" s="49">
        <f>SUMIFS([1]!in.rec[total],
[1]!in.rec[natureza],"pro.soluto",
[1]!in.rec[empresa],AG$6,
[1]!in.rec[data.base],"&gt;="&amp;$A41,
[1]!in.rec[data.base],"&lt;"&amp;EOMONTH($A41,0)
)</f>
        <v>1127476.2900000003</v>
      </c>
      <c r="AH41" s="49" t="e">
        <f ca="1">SUMIFS([1]!rec.uni[2024-03-01],
INDIRECT("rec.uni[natureza]"),"repasse.cef.obra",
INDIRECT("rec.uni[empresa]"),AH$6)</f>
        <v>#REF!</v>
      </c>
      <c r="AI41" s="49" t="e">
        <f ca="1">SUMIFS([1]!rec.uni[2024-03-01],
INDIRECT("rec.uni[natureza]"),"repasse.cef.terreno",
INDIRECT("rec.uni[empresa]"),AI$6)</f>
        <v>#REF!</v>
      </c>
      <c r="AJ41" s="49">
        <v>0</v>
      </c>
      <c r="AK41" s="49" t="e">
        <f ca="1">SUMIFS([1]!rec.uni[2024-03-01],
INDIRECT("rec.uni[natureza]"),"taxa.extra",
INDIRECT("rec.uni[empresa]"),AK$6)</f>
        <v>#REF!</v>
      </c>
      <c r="AL41" s="50">
        <v>10959.589999999998</v>
      </c>
      <c r="AM41" s="48">
        <f>COUNTIFS(
    [1]!estoque[empresa], AM$6,
    [1]!estoque[Data da venda / reserva], "&gt;=" &amp; $A41,
    [1]!estoque[Data da venda / reserva], "&lt;"  &amp; EOMONTH($A41,0) + 1
)</f>
        <v>0</v>
      </c>
      <c r="AN41" s="49">
        <f>SUMIFS([1]!in.rec[total],
[1]!in.rec[natureza],"pro.soluto",
[1]!in.rec[empresa],AN$6,
[1]!in.rec[data.base],"&gt;="&amp;$A41,
[1]!in.rec[data.base],"&lt;"&amp;EOMONTH($A41,0)
)</f>
        <v>0</v>
      </c>
      <c r="AO41" s="49" t="e">
        <f ca="1">SUMIFS([1]!rec.uni[2024-03-01],
INDIRECT("rec.uni[natureza]"),"taxa.extra",
INDIRECT("rec.uni[empresa]"),AO$6)</f>
        <v>#REF!</v>
      </c>
      <c r="AP41" s="50">
        <v>0</v>
      </c>
    </row>
    <row r="42" spans="1:42" x14ac:dyDescent="0.25">
      <c r="A42" s="47">
        <v>45383</v>
      </c>
      <c r="B42" s="48">
        <f>COUNTIFS(
    [1]!estoque[empresa], B$6,
    [1]!estoque[Data da venda / reserva], "&gt;=" &amp; $A42,
    [1]!estoque[Data da venda / reserva], "&lt;"  &amp; EOMONTH($A42,0) + 1
)</f>
        <v>5</v>
      </c>
      <c r="C42" s="49">
        <f>SUMIFS([1]!in.rec[total],
[1]!in.rec[natureza],"pro.soluto",
[1]!in.rec[empresa],C$6,
[1]!in.rec[data.base],"&gt;="&amp;$A42,
[1]!in.rec[data.base],"&lt;"&amp;EOMONTH($A42,0)
)</f>
        <v>150152.92000000001</v>
      </c>
      <c r="D42" s="49" t="e">
        <f ca="1">SUMIFS([1]!rec.uni[2024-04-01],
INDIRECT("rec.uni[natureza]"),"repasse.cef.obra",
INDIRECT("rec.uni[empresa]"),D$6)</f>
        <v>#REF!</v>
      </c>
      <c r="E42" s="49" t="e">
        <f ca="1">SUMIFS([1]!rec.uni[2024-04-01],
INDIRECT("rec.uni[natureza]"),"repasse.cef.terreno",
INDIRECT("rec.uni[empresa]"),E$6)</f>
        <v>#REF!</v>
      </c>
      <c r="F42" s="49">
        <v>516683.36</v>
      </c>
      <c r="G42" s="49" t="e">
        <f ca="1">SUMIFS([1]!rec.uni[2024-04-01],
INDIRECT("rec.uni[natureza]"),"taxa.extra",
INDIRECT("rec.uni[empresa]"),G$6)</f>
        <v>#REF!</v>
      </c>
      <c r="H42" s="50">
        <v>25374.660000000003</v>
      </c>
      <c r="I42" s="48">
        <f>COUNTIFS(
    [1]!estoque[empresa], I$6,
    [1]!estoque[Data da venda / reserva], "&gt;=" &amp; $A42,
    [1]!estoque[Data da venda / reserva], "&lt;"  &amp; EOMONTH($A42,0) + 1
)</f>
        <v>0</v>
      </c>
      <c r="J42" s="49">
        <f>SUMIFS([1]!in.rec[total],
[1]!in.rec[natureza],"pro.soluto",
[1]!in.rec[empresa],J$6,
[1]!in.rec[data.base],"&gt;="&amp;$A42,
[1]!in.rec[data.base],"&lt;"&amp;EOMONTH($A42,0)
)</f>
        <v>387394.67000000004</v>
      </c>
      <c r="K42" s="49" t="e">
        <f ca="1">SUMIFS([1]!rec.uni[2024-04-01],
INDIRECT("rec.uni[natureza]"),"repasse.cef.obra",
INDIRECT("rec.uni[empresa]"),K$6)</f>
        <v>#REF!</v>
      </c>
      <c r="L42" s="49" t="e">
        <f ca="1">SUMIFS([1]!rec.uni[2024-04-01],
INDIRECT("rec.uni[natureza]"),"repasse.cef.terreno",
INDIRECT("rec.uni[empresa]"),L$6)</f>
        <v>#REF!</v>
      </c>
      <c r="M42" s="49">
        <v>556963.03</v>
      </c>
      <c r="N42" s="49" t="e">
        <f ca="1">SUMIFS([1]!rec.uni[2024-04-01],
INDIRECT("rec.uni[natureza]"),"taxa.extra",
INDIRECT("rec.uni[empresa]"),N$6)</f>
        <v>#REF!</v>
      </c>
      <c r="O42" s="50">
        <v>7908.38</v>
      </c>
      <c r="P42" s="48">
        <f>COUNTIFS(
    [1]!estoque[empresa], P$6,
    [1]!estoque[Data da venda / reserva], "&gt;=" &amp; $A42,
    [1]!estoque[Data da venda / reserva], "&lt;"  &amp; EOMONTH($A42,0) + 1
)</f>
        <v>0</v>
      </c>
      <c r="Q42" s="49">
        <f>SUMIFS([1]!in.rec[total],
[1]!in.rec[natureza],"pro.soluto",
[1]!in.rec[empresa],Q$6,
[1]!in.rec[data.base],"&gt;="&amp;$A42,
[1]!in.rec[data.base],"&lt;"&amp;EOMONTH($A42,0)
)</f>
        <v>0</v>
      </c>
      <c r="R42" s="49" t="e">
        <f ca="1">SUMIFS([1]!rec.uni[2024-04-01],
INDIRECT("rec.uni[natureza]"),"repasse.cef.obra",
INDIRECT("rec.uni[empresa]"),R$6)</f>
        <v>#REF!</v>
      </c>
      <c r="S42" s="49" t="e">
        <f ca="1">SUMIFS([1]!rec.uni[2024-04-01],
INDIRECT("rec.uni[natureza]"),"repasse.cef.terreno",
INDIRECT("rec.uni[empresa]"),S$6)</f>
        <v>#REF!</v>
      </c>
      <c r="T42" s="49">
        <v>0</v>
      </c>
      <c r="U42" s="49" t="e">
        <f ca="1">SUMIFS([1]!rec.uni[2024-04-01],
INDIRECT("rec.uni[natureza]"),"taxa.extra",
INDIRECT("rec.uni[empresa]"),U$6)</f>
        <v>#REF!</v>
      </c>
      <c r="V42" s="50">
        <v>0</v>
      </c>
      <c r="W42" s="48">
        <f>COUNTIFS(
    [1]!estoque[empresa], W$6,
    [1]!estoque[Data da venda / reserva], "&gt;=" &amp; $A42,
    [1]!estoque[Data da venda / reserva], "&lt;"  &amp; EOMONTH($A42,0) + 1
)</f>
        <v>0</v>
      </c>
      <c r="X42" s="49">
        <f>SUMIFS([1]!in.rec[total],
[1]!in.rec[natureza],"pro.soluto",
[1]!in.rec[empresa],X$6,
[1]!in.rec[data.base],"&gt;="&amp;$A42,
[1]!in.rec[data.base],"&lt;"&amp;EOMONTH($A42,0)
)</f>
        <v>0</v>
      </c>
      <c r="Y42" s="49" t="e">
        <f ca="1">SUMIFS([1]!rec.uni[2024-04-01],
INDIRECT("rec.uni[natureza]"),"taxa.extra",
INDIRECT("rec.uni[empresa]"),Y$6)</f>
        <v>#REF!</v>
      </c>
      <c r="Z42" s="50">
        <v>0</v>
      </c>
      <c r="AA42" s="48">
        <f>COUNTIFS(
    [1]!estoque[empresa], AA$6,
    [1]!estoque[Data da venda / reserva], "&gt;=" &amp; $A42,
    [1]!estoque[Data da venda / reserva], "&lt;"  &amp; EOMONTH($A42,0) + 1
)</f>
        <v>23</v>
      </c>
      <c r="AB42" s="49">
        <f>SUMIFS([1]!in.rec[total],
[1]!in.rec[natureza],"pro.soluto",
[1]!in.rec[empresa],AB$6,
[1]!in.rec[data.base],"&gt;="&amp;$A42,
[1]!in.rec[data.base],"&lt;"&amp;EOMONTH($A42,0)
)</f>
        <v>1269410.5199999996</v>
      </c>
      <c r="AC42" s="49">
        <f>IF(
$A42&lt;=$A$1,
SUMIFS([1]!in.rec[total],
   [1]!in.rec[empresa],AC$6,
   [1]!in.rec[ele],"FIN",
   [1]!in.rec[data.pagamento],"&gt;="&amp;$A42,
   [1]!in.rec[data.pagamento],"&lt;"&amp;$A43
),
SUMIFS([1]!in.rec[total],
   [1]!in.rec[empresa],AC$6,
   [1]!in.rec[ele],"FIN",
   [1]!in.rec[data.vencimento],"&gt;="&amp;$A42,
   [1]!in.rec[data.vencimento],"&lt;"&amp;$A43
)
)</f>
        <v>0</v>
      </c>
      <c r="AD42" s="49" t="e">
        <f ca="1">SUMIFS([1]!rec.uni[2024-04-01],
INDIRECT("rec.uni[natureza]"),"taxa.extra",
INDIRECT("rec.uni[empresa]"),AD$6)</f>
        <v>#REF!</v>
      </c>
      <c r="AE42" s="50">
        <v>257155.83999999997</v>
      </c>
      <c r="AF42" s="48">
        <f>COUNTIFS(
    [1]!estoque[empresa], AF$6,
    [1]!estoque[Data da venda / reserva], "&gt;=" &amp; $A42,
    [1]!estoque[Data da venda / reserva], "&lt;"  &amp; EOMONTH($A42,0) + 1
)</f>
        <v>12</v>
      </c>
      <c r="AG42" s="49">
        <f>SUMIFS([1]!in.rec[total],
[1]!in.rec[natureza],"pro.soluto",
[1]!in.rec[empresa],AG$6,
[1]!in.rec[data.base],"&gt;="&amp;$A42,
[1]!in.rec[data.base],"&lt;"&amp;EOMONTH($A42,0)
)</f>
        <v>753158.13999999955</v>
      </c>
      <c r="AH42" s="49" t="e">
        <f ca="1">SUMIFS([1]!rec.uni[2024-04-01],
INDIRECT("rec.uni[natureza]"),"repasse.cef.obra",
INDIRECT("rec.uni[empresa]"),AH$6)</f>
        <v>#REF!</v>
      </c>
      <c r="AI42" s="49" t="e">
        <f ca="1">SUMIFS([1]!rec.uni[2024-04-01],
INDIRECT("rec.uni[natureza]"),"repasse.cef.terreno",
INDIRECT("rec.uni[empresa]"),AI$6)</f>
        <v>#REF!</v>
      </c>
      <c r="AJ42" s="49">
        <v>0</v>
      </c>
      <c r="AK42" s="49" t="e">
        <f ca="1">SUMIFS([1]!rec.uni[2024-04-01],
INDIRECT("rec.uni[natureza]"),"taxa.extra",
INDIRECT("rec.uni[empresa]"),AK$6)</f>
        <v>#REF!</v>
      </c>
      <c r="AL42" s="50">
        <v>26586.27</v>
      </c>
      <c r="AM42" s="48">
        <f>COUNTIFS(
    [1]!estoque[empresa], AM$6,
    [1]!estoque[Data da venda / reserva], "&gt;=" &amp; $A42,
    [1]!estoque[Data da venda / reserva], "&lt;"  &amp; EOMONTH($A42,0) + 1
)</f>
        <v>0</v>
      </c>
      <c r="AN42" s="49">
        <f>SUMIFS([1]!in.rec[total],
[1]!in.rec[natureza],"pro.soluto",
[1]!in.rec[empresa],AN$6,
[1]!in.rec[data.base],"&gt;="&amp;$A42,
[1]!in.rec[data.base],"&lt;"&amp;EOMONTH($A42,0)
)</f>
        <v>0</v>
      </c>
      <c r="AO42" s="49" t="e">
        <f ca="1">SUMIFS([1]!rec.uni[2024-04-01],
INDIRECT("rec.uni[natureza]"),"taxa.extra",
INDIRECT("rec.uni[empresa]"),AO$6)</f>
        <v>#REF!</v>
      </c>
      <c r="AP42" s="50">
        <v>0</v>
      </c>
    </row>
    <row r="43" spans="1:42" x14ac:dyDescent="0.25">
      <c r="A43" s="47">
        <v>45413</v>
      </c>
      <c r="B43" s="48">
        <f>COUNTIFS(
    [1]!estoque[empresa], B$6,
    [1]!estoque[Data da venda / reserva], "&gt;=" &amp; $A43,
    [1]!estoque[Data da venda / reserva], "&lt;"  &amp; EOMONTH($A43,0) + 1
)</f>
        <v>1</v>
      </c>
      <c r="C43" s="49">
        <f>SUMIFS([1]!in.rec[total],
[1]!in.rec[natureza],"pro.soluto",
[1]!in.rec[empresa],C$6,
[1]!in.rec[data.base],"&gt;="&amp;$A43,
[1]!in.rec[data.base],"&lt;"&amp;EOMONTH($A43,0)
)</f>
        <v>261986.88</v>
      </c>
      <c r="D43" s="49" t="e">
        <f ca="1">SUMIFS([1]!rec.uni[2024-05-01],
INDIRECT("rec.uni[natureza]"),"repasse.cef.obra",
INDIRECT("rec.uni[empresa]"),D$6)</f>
        <v>#REF!</v>
      </c>
      <c r="E43" s="49" t="e">
        <f ca="1">SUMIFS([1]!rec.uni[2024-05-01],
INDIRECT("rec.uni[natureza]"),"repasse.cef.terreno",
INDIRECT("rec.uni[empresa]"),E$6)</f>
        <v>#REF!</v>
      </c>
      <c r="F43" s="49">
        <v>0</v>
      </c>
      <c r="G43" s="49" t="e">
        <f ca="1">SUMIFS([1]!rec.uni[2024-05-01],
INDIRECT("rec.uni[natureza]"),"taxa.extra",
INDIRECT("rec.uni[empresa]"),G$6)</f>
        <v>#REF!</v>
      </c>
      <c r="H43" s="50">
        <v>18769.5</v>
      </c>
      <c r="I43" s="48">
        <f>COUNTIFS(
    [1]!estoque[empresa], I$6,
    [1]!estoque[Data da venda / reserva], "&gt;=" &amp; $A43,
    [1]!estoque[Data da venda / reserva], "&lt;"  &amp; EOMONTH($A43,0) + 1
)</f>
        <v>0</v>
      </c>
      <c r="J43" s="49">
        <f>SUMIFS([1]!in.rec[total],
[1]!in.rec[natureza],"pro.soluto",
[1]!in.rec[empresa],J$6,
[1]!in.rec[data.base],"&gt;="&amp;$A43,
[1]!in.rec[data.base],"&lt;"&amp;EOMONTH($A43,0)
)</f>
        <v>167309.59000000003</v>
      </c>
      <c r="K43" s="49" t="e">
        <f ca="1">SUMIFS([1]!rec.uni[2024-05-01],
INDIRECT("rec.uni[natureza]"),"repasse.cef.obra",
INDIRECT("rec.uni[empresa]"),K$6)</f>
        <v>#REF!</v>
      </c>
      <c r="L43" s="49" t="e">
        <f ca="1">SUMIFS([1]!rec.uni[2024-05-01],
INDIRECT("rec.uni[natureza]"),"repasse.cef.terreno",
INDIRECT("rec.uni[empresa]"),L$6)</f>
        <v>#REF!</v>
      </c>
      <c r="M43" s="49">
        <v>0</v>
      </c>
      <c r="N43" s="49" t="e">
        <f ca="1">SUMIFS([1]!rec.uni[2024-05-01],
INDIRECT("rec.uni[natureza]"),"taxa.extra",
INDIRECT("rec.uni[empresa]"),N$6)</f>
        <v>#REF!</v>
      </c>
      <c r="O43" s="50">
        <v>8093.8600000000006</v>
      </c>
      <c r="P43" s="48">
        <f>COUNTIFS(
    [1]!estoque[empresa], P$6,
    [1]!estoque[Data da venda / reserva], "&gt;=" &amp; $A43,
    [1]!estoque[Data da venda / reserva], "&lt;"  &amp; EOMONTH($A43,0) + 1
)</f>
        <v>0</v>
      </c>
      <c r="Q43" s="49">
        <f>SUMIFS([1]!in.rec[total],
[1]!in.rec[natureza],"pro.soluto",
[1]!in.rec[empresa],Q$6,
[1]!in.rec[data.base],"&gt;="&amp;$A43,
[1]!in.rec[data.base],"&lt;"&amp;EOMONTH($A43,0)
)</f>
        <v>0</v>
      </c>
      <c r="R43" s="49" t="e">
        <f ca="1">SUMIFS([1]!rec.uni[2024-05-01],
INDIRECT("rec.uni[natureza]"),"repasse.cef.obra",
INDIRECT("rec.uni[empresa]"),R$6)</f>
        <v>#REF!</v>
      </c>
      <c r="S43" s="49" t="e">
        <f ca="1">SUMIFS([1]!rec.uni[2024-05-01],
INDIRECT("rec.uni[natureza]"),"repasse.cef.terreno",
INDIRECT("rec.uni[empresa]"),S$6)</f>
        <v>#REF!</v>
      </c>
      <c r="T43" s="49">
        <v>0</v>
      </c>
      <c r="U43" s="49" t="e">
        <f ca="1">SUMIFS([1]!rec.uni[2024-05-01],
INDIRECT("rec.uni[natureza]"),"taxa.extra",
INDIRECT("rec.uni[empresa]"),U$6)</f>
        <v>#REF!</v>
      </c>
      <c r="V43" s="50">
        <v>0</v>
      </c>
      <c r="W43" s="48">
        <f>COUNTIFS(
    [1]!estoque[empresa], W$6,
    [1]!estoque[Data da venda / reserva], "&gt;=" &amp; $A43,
    [1]!estoque[Data da venda / reserva], "&lt;"  &amp; EOMONTH($A43,0) + 1
)</f>
        <v>0</v>
      </c>
      <c r="X43" s="49">
        <f>SUMIFS([1]!in.rec[total],
[1]!in.rec[natureza],"pro.soluto",
[1]!in.rec[empresa],X$6,
[1]!in.rec[data.base],"&gt;="&amp;$A43,
[1]!in.rec[data.base],"&lt;"&amp;EOMONTH($A43,0)
)</f>
        <v>0</v>
      </c>
      <c r="Y43" s="49" t="e">
        <f ca="1">SUMIFS([1]!rec.uni[2024-05-01],
INDIRECT("rec.uni[natureza]"),"taxa.extra",
INDIRECT("rec.uni[empresa]"),Y$6)</f>
        <v>#REF!</v>
      </c>
      <c r="Z43" s="50">
        <v>0</v>
      </c>
      <c r="AA43" s="48">
        <f>COUNTIFS(
    [1]!estoque[empresa], AA$6,
    [1]!estoque[Data da venda / reserva], "&gt;=" &amp; $A43,
    [1]!estoque[Data da venda / reserva], "&lt;"  &amp; EOMONTH($A43,0) + 1
)</f>
        <v>2</v>
      </c>
      <c r="AB43" s="49">
        <f>SUMIFS([1]!in.rec[total],
[1]!in.rec[natureza],"pro.soluto",
[1]!in.rec[empresa],AB$6,
[1]!in.rec[data.base],"&gt;="&amp;$A43,
[1]!in.rec[data.base],"&lt;"&amp;EOMONTH($A43,0)
)</f>
        <v>723042.58</v>
      </c>
      <c r="AC43" s="49">
        <f>IF(
$A43&lt;=$A$1,
SUMIFS([1]!in.rec[total],
   [1]!in.rec[empresa],AC$6,
   [1]!in.rec[ele],"FIN",
   [1]!in.rec[data.pagamento],"&gt;="&amp;$A43,
   [1]!in.rec[data.pagamento],"&lt;"&amp;$A44
),
SUMIFS([1]!in.rec[total],
   [1]!in.rec[empresa],AC$6,
   [1]!in.rec[ele],"FIN",
   [1]!in.rec[data.vencimento],"&gt;="&amp;$A43,
   [1]!in.rec[data.vencimento],"&lt;"&amp;$A44
)
)</f>
        <v>0</v>
      </c>
      <c r="AD43" s="49" t="e">
        <f ca="1">SUMIFS([1]!rec.uni[2024-05-01],
INDIRECT("rec.uni[natureza]"),"taxa.extra",
INDIRECT("rec.uni[empresa]"),AD$6)</f>
        <v>#REF!</v>
      </c>
      <c r="AE43" s="50">
        <v>63407.189999999995</v>
      </c>
      <c r="AF43" s="48">
        <f>COUNTIFS(
    [1]!estoque[empresa], AF$6,
    [1]!estoque[Data da venda / reserva], "&gt;=" &amp; $A43,
    [1]!estoque[Data da venda / reserva], "&lt;"  &amp; EOMONTH($A43,0) + 1
)</f>
        <v>11</v>
      </c>
      <c r="AG43" s="49">
        <f>SUMIFS([1]!in.rec[total],
[1]!in.rec[natureza],"pro.soluto",
[1]!in.rec[empresa],AG$6,
[1]!in.rec[data.base],"&gt;="&amp;$A43,
[1]!in.rec[data.base],"&lt;"&amp;EOMONTH($A43,0)
)</f>
        <v>392918.68999999989</v>
      </c>
      <c r="AH43" s="49" t="e">
        <f ca="1">SUMIFS([1]!rec.uni[2024-05-01],
INDIRECT("rec.uni[natureza]"),"repasse.cef.obra",
INDIRECT("rec.uni[empresa]"),AH$6)</f>
        <v>#REF!</v>
      </c>
      <c r="AI43" s="49" t="e">
        <f ca="1">SUMIFS([1]!rec.uni[2024-05-01],
INDIRECT("rec.uni[natureza]"),"repasse.cef.terreno",
INDIRECT("rec.uni[empresa]"),AI$6)</f>
        <v>#REF!</v>
      </c>
      <c r="AJ43" s="49">
        <v>0</v>
      </c>
      <c r="AK43" s="49" t="e">
        <f ca="1">SUMIFS([1]!rec.uni[2024-05-01],
INDIRECT("rec.uni[natureza]"),"taxa.extra",
INDIRECT("rec.uni[empresa]"),AK$6)</f>
        <v>#REF!</v>
      </c>
      <c r="AL43" s="50">
        <v>9103.5499999999993</v>
      </c>
      <c r="AM43" s="48">
        <f>COUNTIFS(
    [1]!estoque[empresa], AM$6,
    [1]!estoque[Data da venda / reserva], "&gt;=" &amp; $A43,
    [1]!estoque[Data da venda / reserva], "&lt;"  &amp; EOMONTH($A43,0) + 1
)</f>
        <v>0</v>
      </c>
      <c r="AN43" s="49">
        <f>SUMIFS([1]!in.rec[total],
[1]!in.rec[natureza],"pro.soluto",
[1]!in.rec[empresa],AN$6,
[1]!in.rec[data.base],"&gt;="&amp;$A43,
[1]!in.rec[data.base],"&lt;"&amp;EOMONTH($A43,0)
)</f>
        <v>0</v>
      </c>
      <c r="AO43" s="49" t="e">
        <f ca="1">SUMIFS([1]!rec.uni[2024-05-01],
INDIRECT("rec.uni[natureza]"),"taxa.extra",
INDIRECT("rec.uni[empresa]"),AO$6)</f>
        <v>#REF!</v>
      </c>
      <c r="AP43" s="50">
        <v>0</v>
      </c>
    </row>
    <row r="44" spans="1:42" x14ac:dyDescent="0.25">
      <c r="A44" s="47">
        <v>45444</v>
      </c>
      <c r="B44" s="48">
        <f>COUNTIFS(
    [1]!estoque[empresa], B$6,
    [1]!estoque[Data da venda / reserva], "&gt;=" &amp; $A44,
    [1]!estoque[Data da venda / reserva], "&lt;"  &amp; EOMONTH($A44,0) + 1
)</f>
        <v>1</v>
      </c>
      <c r="C44" s="49">
        <f>SUMIFS([1]!in.rec[total],
[1]!in.rec[natureza],"pro.soluto",
[1]!in.rec[empresa],C$6,
[1]!in.rec[data.base],"&gt;="&amp;$A44,
[1]!in.rec[data.base],"&lt;"&amp;EOMONTH($A44,0)
)</f>
        <v>183590.89999999988</v>
      </c>
      <c r="D44" s="49" t="e">
        <f ca="1">SUMIFS([1]!rec.uni[2024-06-01],
INDIRECT("rec.uni[natureza]"),"repasse.cef.obra",
INDIRECT("rec.uni[empresa]"),D$6)</f>
        <v>#REF!</v>
      </c>
      <c r="E44" s="49" t="e">
        <f ca="1">SUMIFS([1]!rec.uni[2024-06-01],
INDIRECT("rec.uni[natureza]"),"repasse.cef.terreno",
INDIRECT("rec.uni[empresa]"),E$6)</f>
        <v>#REF!</v>
      </c>
      <c r="F44" s="49">
        <v>0</v>
      </c>
      <c r="G44" s="49" t="e">
        <f ca="1">SUMIFS([1]!rec.uni[2024-06-01],
INDIRECT("rec.uni[natureza]"),"taxa.extra",
INDIRECT("rec.uni[empresa]"),G$6)</f>
        <v>#REF!</v>
      </c>
      <c r="H44" s="50">
        <v>4728.76</v>
      </c>
      <c r="I44" s="48">
        <f>COUNTIFS(
    [1]!estoque[empresa], I$6,
    [1]!estoque[Data da venda / reserva], "&gt;=" &amp; $A44,
    [1]!estoque[Data da venda / reserva], "&lt;"  &amp; EOMONTH($A44,0) + 1
)</f>
        <v>1</v>
      </c>
      <c r="J44" s="49">
        <f>SUMIFS([1]!in.rec[total],
[1]!in.rec[natureza],"pro.soluto",
[1]!in.rec[empresa],J$6,
[1]!in.rec[data.base],"&gt;="&amp;$A44,
[1]!in.rec[data.base],"&lt;"&amp;EOMONTH($A44,0)
)</f>
        <v>255178.02000000002</v>
      </c>
      <c r="K44" s="49" t="e">
        <f ca="1">SUMIFS([1]!rec.uni[2024-06-01],
INDIRECT("rec.uni[natureza]"),"repasse.cef.obra",
INDIRECT("rec.uni[empresa]"),K$6)</f>
        <v>#REF!</v>
      </c>
      <c r="L44" s="49" t="e">
        <f ca="1">SUMIFS([1]!rec.uni[2024-06-01],
INDIRECT("rec.uni[natureza]"),"repasse.cef.terreno",
INDIRECT("rec.uni[empresa]"),L$6)</f>
        <v>#REF!</v>
      </c>
      <c r="M44" s="49">
        <v>0</v>
      </c>
      <c r="N44" s="49" t="e">
        <f ca="1">SUMIFS([1]!rec.uni[2024-06-01],
INDIRECT("rec.uni[natureza]"),"taxa.extra",
INDIRECT("rec.uni[empresa]"),N$6)</f>
        <v>#REF!</v>
      </c>
      <c r="O44" s="50">
        <v>0</v>
      </c>
      <c r="P44" s="48">
        <f>COUNTIFS(
    [1]!estoque[empresa], P$6,
    [1]!estoque[Data da venda / reserva], "&gt;=" &amp; $A44,
    [1]!estoque[Data da venda / reserva], "&lt;"  &amp; EOMONTH($A44,0) + 1
)</f>
        <v>26</v>
      </c>
      <c r="Q44" s="49">
        <f>SUMIFS([1]!in.rec[total],
[1]!in.rec[natureza],"pro.soluto",
[1]!in.rec[empresa],Q$6,
[1]!in.rec[data.base],"&gt;="&amp;$A44,
[1]!in.rec[data.base],"&lt;"&amp;EOMONTH($A44,0)
)</f>
        <v>0</v>
      </c>
      <c r="R44" s="49" t="e">
        <f ca="1">SUMIFS([1]!rec.uni[2024-06-01],
INDIRECT("rec.uni[natureza]"),"repasse.cef.obra",
INDIRECT("rec.uni[empresa]"),R$6)</f>
        <v>#REF!</v>
      </c>
      <c r="S44" s="49" t="e">
        <f ca="1">SUMIFS([1]!rec.uni[2024-06-01],
INDIRECT("rec.uni[natureza]"),"repasse.cef.terreno",
INDIRECT("rec.uni[empresa]"),S$6)</f>
        <v>#REF!</v>
      </c>
      <c r="T44" s="49">
        <v>0</v>
      </c>
      <c r="U44" s="49" t="e">
        <f ca="1">SUMIFS([1]!rec.uni[2024-06-01],
INDIRECT("rec.uni[natureza]"),"taxa.extra",
INDIRECT("rec.uni[empresa]"),U$6)</f>
        <v>#REF!</v>
      </c>
      <c r="V44" s="50">
        <v>0</v>
      </c>
      <c r="W44" s="48">
        <f>COUNTIFS(
    [1]!estoque[empresa], W$6,
    [1]!estoque[Data da venda / reserva], "&gt;=" &amp; $A44,
    [1]!estoque[Data da venda / reserva], "&lt;"  &amp; EOMONTH($A44,0) + 1
)</f>
        <v>0</v>
      </c>
      <c r="X44" s="49">
        <f>SUMIFS([1]!in.rec[total],
[1]!in.rec[natureza],"pro.soluto",
[1]!in.rec[empresa],X$6,
[1]!in.rec[data.base],"&gt;="&amp;$A44,
[1]!in.rec[data.base],"&lt;"&amp;EOMONTH($A44,0)
)</f>
        <v>0</v>
      </c>
      <c r="Y44" s="49" t="e">
        <f ca="1">SUMIFS([1]!rec.uni[2024-06-01],
INDIRECT("rec.uni[natureza]"),"taxa.extra",
INDIRECT("rec.uni[empresa]"),Y$6)</f>
        <v>#REF!</v>
      </c>
      <c r="Z44" s="50">
        <v>0</v>
      </c>
      <c r="AA44" s="48">
        <f>COUNTIFS(
    [1]!estoque[empresa], AA$6,
    [1]!estoque[Data da venda / reserva], "&gt;=" &amp; $A44,
    [1]!estoque[Data da venda / reserva], "&lt;"  &amp; EOMONTH($A44,0) + 1
)</f>
        <v>1</v>
      </c>
      <c r="AB44" s="49">
        <f>SUMIFS([1]!in.rec[total],
[1]!in.rec[natureza],"pro.soluto",
[1]!in.rec[empresa],AB$6,
[1]!in.rec[data.base],"&gt;="&amp;$A44,
[1]!in.rec[data.base],"&lt;"&amp;EOMONTH($A44,0)
)</f>
        <v>170632.51999999996</v>
      </c>
      <c r="AC44" s="49">
        <f>IF(
$A44&lt;=$A$1,
SUMIFS([1]!in.rec[total],
   [1]!in.rec[empresa],AC$6,
   [1]!in.rec[ele],"FIN",
   [1]!in.rec[data.pagamento],"&gt;="&amp;$A44,
   [1]!in.rec[data.pagamento],"&lt;"&amp;$A45
),
SUMIFS([1]!in.rec[total],
   [1]!in.rec[empresa],AC$6,
   [1]!in.rec[ele],"FIN",
   [1]!in.rec[data.vencimento],"&gt;="&amp;$A44,
   [1]!in.rec[data.vencimento],"&lt;"&amp;$A45
)
)</f>
        <v>0</v>
      </c>
      <c r="AD44" s="49" t="e">
        <f ca="1">SUMIFS([1]!rec.uni[2024-06-01],
INDIRECT("rec.uni[natureza]"),"taxa.extra",
INDIRECT("rec.uni[empresa]"),AD$6)</f>
        <v>#REF!</v>
      </c>
      <c r="AE44" s="50">
        <v>8577.2899999999991</v>
      </c>
      <c r="AF44" s="48">
        <f>COUNTIFS(
    [1]!estoque[empresa], AF$6,
    [1]!estoque[Data da venda / reserva], "&gt;=" &amp; $A44,
    [1]!estoque[Data da venda / reserva], "&lt;"  &amp; EOMONTH($A44,0) + 1
)</f>
        <v>8</v>
      </c>
      <c r="AG44" s="49">
        <f>SUMIFS([1]!in.rec[total],
[1]!in.rec[natureza],"pro.soluto",
[1]!in.rec[empresa],AG$6,
[1]!in.rec[data.base],"&gt;="&amp;$A44,
[1]!in.rec[data.base],"&lt;"&amp;EOMONTH($A44,0)
)</f>
        <v>375410.69999999995</v>
      </c>
      <c r="AH44" s="49" t="e">
        <f ca="1">SUMIFS([1]!rec.uni[2024-06-01],
INDIRECT("rec.uni[natureza]"),"repasse.cef.obra",
INDIRECT("rec.uni[empresa]"),AH$6)</f>
        <v>#REF!</v>
      </c>
      <c r="AI44" s="49" t="e">
        <f ca="1">SUMIFS([1]!rec.uni[2024-06-01],
INDIRECT("rec.uni[natureza]"),"repasse.cef.terreno",
INDIRECT("rec.uni[empresa]"),AI$6)</f>
        <v>#REF!</v>
      </c>
      <c r="AJ44" s="49">
        <v>0</v>
      </c>
      <c r="AK44" s="49" t="e">
        <f ca="1">SUMIFS([1]!rec.uni[2024-06-01],
INDIRECT("rec.uni[natureza]"),"taxa.extra",
INDIRECT("rec.uni[empresa]"),AK$6)</f>
        <v>#REF!</v>
      </c>
      <c r="AL44" s="50">
        <v>17419.29</v>
      </c>
      <c r="AM44" s="48">
        <f>COUNTIFS(
    [1]!estoque[empresa], AM$6,
    [1]!estoque[Data da venda / reserva], "&gt;=" &amp; $A44,
    [1]!estoque[Data da venda / reserva], "&lt;"  &amp; EOMONTH($A44,0) + 1
)</f>
        <v>0</v>
      </c>
      <c r="AN44" s="49">
        <f>SUMIFS([1]!in.rec[total],
[1]!in.rec[natureza],"pro.soluto",
[1]!in.rec[empresa],AN$6,
[1]!in.rec[data.base],"&gt;="&amp;$A44,
[1]!in.rec[data.base],"&lt;"&amp;EOMONTH($A44,0)
)</f>
        <v>0</v>
      </c>
      <c r="AO44" s="49" t="e">
        <f ca="1">SUMIFS([1]!rec.uni[2024-06-01],
INDIRECT("rec.uni[natureza]"),"taxa.extra",
INDIRECT("rec.uni[empresa]"),AO$6)</f>
        <v>#REF!</v>
      </c>
      <c r="AP44" s="50">
        <v>0</v>
      </c>
    </row>
    <row r="45" spans="1:42" x14ac:dyDescent="0.25">
      <c r="A45" s="47">
        <v>45474</v>
      </c>
      <c r="B45" s="48">
        <f>COUNTIFS(
    [1]!estoque[empresa], B$6,
    [1]!estoque[Data da venda / reserva], "&gt;=" &amp; $A45,
    [1]!estoque[Data da venda / reserva], "&lt;"  &amp; EOMONTH($A45,0) + 1
)</f>
        <v>0</v>
      </c>
      <c r="C45" s="49">
        <f>SUMIFS([1]!in.rec[total],
[1]!in.rec[natureza],"pro.soluto",
[1]!in.rec[empresa],C$6,
[1]!in.rec[data.base],"&gt;="&amp;$A45,
[1]!in.rec[data.base],"&lt;"&amp;EOMONTH($A45,0)
)</f>
        <v>313672.39000000007</v>
      </c>
      <c r="D45" s="49" t="e">
        <f ca="1">SUMIFS([1]!rec.uni[2024-07-01],
INDIRECT("rec.uni[natureza]"),"repasse.cef.obra",
INDIRECT("rec.uni[empresa]"),D$6)</f>
        <v>#REF!</v>
      </c>
      <c r="E45" s="49" t="e">
        <f ca="1">SUMIFS([1]!rec.uni[2024-07-01],
INDIRECT("rec.uni[natureza]"),"repasse.cef.terreno",
INDIRECT("rec.uni[empresa]"),E$6)</f>
        <v>#REF!</v>
      </c>
      <c r="F45" s="49">
        <v>0</v>
      </c>
      <c r="G45" s="49" t="e">
        <f ca="1">SUMIFS([1]!rec.uni[2024-07-01],
INDIRECT("rec.uni[natureza]"),"taxa.extra",
INDIRECT("rec.uni[empresa]"),G$6)</f>
        <v>#REF!</v>
      </c>
      <c r="H45" s="50">
        <v>3708.39</v>
      </c>
      <c r="I45" s="48">
        <f>COUNTIFS(
    [1]!estoque[empresa], I$6,
    [1]!estoque[Data da venda / reserva], "&gt;=" &amp; $A45,
    [1]!estoque[Data da venda / reserva], "&lt;"  &amp; EOMONTH($A45,0) + 1
)</f>
        <v>1</v>
      </c>
      <c r="J45" s="49">
        <f>SUMIFS([1]!in.rec[total],
[1]!in.rec[natureza],"pro.soluto",
[1]!in.rec[empresa],J$6,
[1]!in.rec[data.base],"&gt;="&amp;$A45,
[1]!in.rec[data.base],"&lt;"&amp;EOMONTH($A45,0)
)</f>
        <v>205705.05000000002</v>
      </c>
      <c r="K45" s="49" t="e">
        <f ca="1">SUMIFS([1]!rec.uni[2024-07-01],
INDIRECT("rec.uni[natureza]"),"repasse.cef.obra",
INDIRECT("rec.uni[empresa]"),K$6)</f>
        <v>#REF!</v>
      </c>
      <c r="L45" s="49" t="e">
        <f ca="1">SUMIFS([1]!rec.uni[2024-07-01],
INDIRECT("rec.uni[natureza]"),"repasse.cef.terreno",
INDIRECT("rec.uni[empresa]"),L$6)</f>
        <v>#REF!</v>
      </c>
      <c r="M45" s="49">
        <v>0</v>
      </c>
      <c r="N45" s="49" t="e">
        <f ca="1">SUMIFS([1]!rec.uni[2024-07-01],
INDIRECT("rec.uni[natureza]"),"taxa.extra",
INDIRECT("rec.uni[empresa]"),N$6)</f>
        <v>#REF!</v>
      </c>
      <c r="O45" s="50">
        <v>7175.0400000000009</v>
      </c>
      <c r="P45" s="48">
        <f>COUNTIFS(
    [1]!estoque[empresa], P$6,
    [1]!estoque[Data da venda / reserva], "&gt;=" &amp; $A45,
    [1]!estoque[Data da venda / reserva], "&lt;"  &amp; EOMONTH($A45,0) + 1
)</f>
        <v>25</v>
      </c>
      <c r="Q45" s="49">
        <f>SUMIFS([1]!in.rec[total],
[1]!in.rec[natureza],"pro.soluto",
[1]!in.rec[empresa],Q$6,
[1]!in.rec[data.base],"&gt;="&amp;$A45,
[1]!in.rec[data.base],"&lt;"&amp;EOMONTH($A45,0)
)</f>
        <v>1040926.5199999999</v>
      </c>
      <c r="R45" s="49" t="e">
        <f ca="1">SUMIFS([1]!rec.uni[2024-07-01],
INDIRECT("rec.uni[natureza]"),"repasse.cef.obra",
INDIRECT("rec.uni[empresa]"),R$6)</f>
        <v>#REF!</v>
      </c>
      <c r="S45" s="49" t="e">
        <f ca="1">SUMIFS([1]!rec.uni[2024-07-01],
INDIRECT("rec.uni[natureza]"),"repasse.cef.terreno",
INDIRECT("rec.uni[empresa]"),S$6)</f>
        <v>#REF!</v>
      </c>
      <c r="T45" s="49">
        <v>0</v>
      </c>
      <c r="U45" s="49" t="e">
        <f ca="1">SUMIFS([1]!rec.uni[2024-07-01],
INDIRECT("rec.uni[natureza]"),"taxa.extra",
INDIRECT("rec.uni[empresa]"),U$6)</f>
        <v>#REF!</v>
      </c>
      <c r="V45" s="50">
        <v>16850</v>
      </c>
      <c r="W45" s="48">
        <f>COUNTIFS(
    [1]!estoque[empresa], W$6,
    [1]!estoque[Data da venda / reserva], "&gt;=" &amp; $A45,
    [1]!estoque[Data da venda / reserva], "&lt;"  &amp; EOMONTH($A45,0) + 1
)</f>
        <v>0</v>
      </c>
      <c r="X45" s="49">
        <f>SUMIFS([1]!in.rec[total],
[1]!in.rec[natureza],"pro.soluto",
[1]!in.rec[empresa],X$6,
[1]!in.rec[data.base],"&gt;="&amp;$A45,
[1]!in.rec[data.base],"&lt;"&amp;EOMONTH($A45,0)
)</f>
        <v>0</v>
      </c>
      <c r="Y45" s="49" t="e">
        <f ca="1">SUMIFS([1]!rec.uni[2024-07-01],
INDIRECT("rec.uni[natureza]"),"taxa.extra",
INDIRECT("rec.uni[empresa]"),Y$6)</f>
        <v>#REF!</v>
      </c>
      <c r="Z45" s="50">
        <v>0</v>
      </c>
      <c r="AA45" s="48">
        <f>COUNTIFS(
    [1]!estoque[empresa], AA$6,
    [1]!estoque[Data da venda / reserva], "&gt;=" &amp; $A45,
    [1]!estoque[Data da venda / reserva], "&lt;"  &amp; EOMONTH($A45,0) + 1
)</f>
        <v>0</v>
      </c>
      <c r="AB45" s="49">
        <f>SUMIFS([1]!in.rec[total],
[1]!in.rec[natureza],"pro.soluto",
[1]!in.rec[empresa],AB$6,
[1]!in.rec[data.base],"&gt;="&amp;$A45,
[1]!in.rec[data.base],"&lt;"&amp;EOMONTH($A45,0)
)</f>
        <v>233532.11999999997</v>
      </c>
      <c r="AC45" s="49">
        <f>IF(
$A45&lt;=$A$1,
SUMIFS([1]!in.rec[total],
   [1]!in.rec[empresa],AC$6,
   [1]!in.rec[ele],"FIN",
   [1]!in.rec[data.pagamento],"&gt;="&amp;$A45,
   [1]!in.rec[data.pagamento],"&lt;"&amp;$A46
),
SUMIFS([1]!in.rec[total],
   [1]!in.rec[empresa],AC$6,
   [1]!in.rec[ele],"FIN",
   [1]!in.rec[data.vencimento],"&gt;="&amp;$A45,
   [1]!in.rec[data.vencimento],"&lt;"&amp;$A46
)
)</f>
        <v>0</v>
      </c>
      <c r="AD45" s="49" t="e">
        <f ca="1">SUMIFS([1]!rec.uni[2024-07-01],
INDIRECT("rec.uni[natureza]"),"taxa.extra",
INDIRECT("rec.uni[empresa]"),AD$6)</f>
        <v>#REF!</v>
      </c>
      <c r="AE45" s="50">
        <v>5597.05</v>
      </c>
      <c r="AF45" s="48">
        <f>COUNTIFS(
    [1]!estoque[empresa], AF$6,
    [1]!estoque[Data da venda / reserva], "&gt;=" &amp; $A45,
    [1]!estoque[Data da venda / reserva], "&lt;"  &amp; EOMONTH($A45,0) + 1
)</f>
        <v>2</v>
      </c>
      <c r="AG45" s="49">
        <f>SUMIFS([1]!in.rec[total],
[1]!in.rec[natureza],"pro.soluto",
[1]!in.rec[empresa],AG$6,
[1]!in.rec[data.base],"&gt;="&amp;$A45,
[1]!in.rec[data.base],"&lt;"&amp;EOMONTH($A45,0)
)</f>
        <v>290470.72000000009</v>
      </c>
      <c r="AH45" s="49" t="e">
        <f ca="1">SUMIFS([1]!rec.uni[2024-07-01],
INDIRECT("rec.uni[natureza]"),"repasse.cef.obra",
INDIRECT("rec.uni[empresa]"),AH$6)</f>
        <v>#REF!</v>
      </c>
      <c r="AI45" s="49" t="e">
        <f ca="1">SUMIFS([1]!rec.uni[2024-07-01],
INDIRECT("rec.uni[natureza]"),"repasse.cef.terreno",
INDIRECT("rec.uni[empresa]"),AI$6)</f>
        <v>#REF!</v>
      </c>
      <c r="AJ45" s="49">
        <v>0</v>
      </c>
      <c r="AK45" s="49" t="e">
        <f ca="1">SUMIFS([1]!rec.uni[2024-07-01],
INDIRECT("rec.uni[natureza]"),"taxa.extra",
INDIRECT("rec.uni[empresa]"),AK$6)</f>
        <v>#REF!</v>
      </c>
      <c r="AL45" s="50">
        <v>14953.320000000002</v>
      </c>
      <c r="AM45" s="48">
        <f>COUNTIFS(
    [1]!estoque[empresa], AM$6,
    [1]!estoque[Data da venda / reserva], "&gt;=" &amp; $A45,
    [1]!estoque[Data da venda / reserva], "&lt;"  &amp; EOMONTH($A45,0) + 1
)</f>
        <v>0</v>
      </c>
      <c r="AN45" s="49">
        <f>SUMIFS([1]!in.rec[total],
[1]!in.rec[natureza],"pro.soluto",
[1]!in.rec[empresa],AN$6,
[1]!in.rec[data.base],"&gt;="&amp;$A45,
[1]!in.rec[data.base],"&lt;"&amp;EOMONTH($A45,0)
)</f>
        <v>0</v>
      </c>
      <c r="AO45" s="49" t="e">
        <f ca="1">SUMIFS([1]!rec.uni[2024-07-01],
INDIRECT("rec.uni[natureza]"),"taxa.extra",
INDIRECT("rec.uni[empresa]"),AO$6)</f>
        <v>#REF!</v>
      </c>
      <c r="AP45" s="50">
        <v>0</v>
      </c>
    </row>
    <row r="46" spans="1:42" x14ac:dyDescent="0.25">
      <c r="A46" s="47">
        <v>45505</v>
      </c>
      <c r="B46" s="48">
        <f>COUNTIFS(
    [1]!estoque[empresa], B$6,
    [1]!estoque[Data da venda / reserva], "&gt;=" &amp; $A46,
    [1]!estoque[Data da venda / reserva], "&lt;"  &amp; EOMONTH($A46,0) + 1
)</f>
        <v>0</v>
      </c>
      <c r="C46" s="49">
        <f>SUMIFS([1]!in.rec[total],
[1]!in.rec[natureza],"pro.soluto",
[1]!in.rec[empresa],C$6,
[1]!in.rec[data.base],"&gt;="&amp;$A46,
[1]!in.rec[data.base],"&lt;"&amp;EOMONTH($A46,0)
)</f>
        <v>203666.46000000002</v>
      </c>
      <c r="D46" s="49" t="e">
        <f ca="1">SUMIFS([1]!rec.uni[2024-08-01],
INDIRECT("rec.uni[natureza]"),"repasse.cef.obra",
INDIRECT("rec.uni[empresa]"),D$6)</f>
        <v>#REF!</v>
      </c>
      <c r="E46" s="49" t="e">
        <f ca="1">SUMIFS([1]!rec.uni[2024-08-01],
INDIRECT("rec.uni[natureza]"),"repasse.cef.terreno",
INDIRECT("rec.uni[empresa]"),E$6)</f>
        <v>#REF!</v>
      </c>
      <c r="F46" s="49">
        <v>0</v>
      </c>
      <c r="G46" s="49" t="e">
        <f ca="1">SUMIFS([1]!rec.uni[2024-08-01],
INDIRECT("rec.uni[natureza]"),"taxa.extra",
INDIRECT("rec.uni[empresa]"),G$6)</f>
        <v>#REF!</v>
      </c>
      <c r="H46" s="50">
        <v>11198.880000000001</v>
      </c>
      <c r="I46" s="48">
        <f>COUNTIFS(
    [1]!estoque[empresa], I$6,
    [1]!estoque[Data da venda / reserva], "&gt;=" &amp; $A46,
    [1]!estoque[Data da venda / reserva], "&lt;"  &amp; EOMONTH($A46,0) + 1
)</f>
        <v>3</v>
      </c>
      <c r="J46" s="49">
        <f>SUMIFS([1]!in.rec[total],
[1]!in.rec[natureza],"pro.soluto",
[1]!in.rec[empresa],J$6,
[1]!in.rec[data.base],"&gt;="&amp;$A46,
[1]!in.rec[data.base],"&lt;"&amp;EOMONTH($A46,0)
)</f>
        <v>700787.33999999973</v>
      </c>
      <c r="K46" s="49" t="e">
        <f ca="1">SUMIFS([1]!rec.uni[2024-08-01],
INDIRECT("rec.uni[natureza]"),"repasse.cef.obra",
INDIRECT("rec.uni[empresa]"),K$6)</f>
        <v>#REF!</v>
      </c>
      <c r="L46" s="49" t="e">
        <f ca="1">SUMIFS([1]!rec.uni[2024-08-01],
INDIRECT("rec.uni[natureza]"),"repasse.cef.terreno",
INDIRECT("rec.uni[empresa]"),L$6)</f>
        <v>#REF!</v>
      </c>
      <c r="M46" s="49">
        <v>0</v>
      </c>
      <c r="N46" s="49" t="e">
        <f ca="1">SUMIFS([1]!rec.uni[2024-08-01],
INDIRECT("rec.uni[natureza]"),"taxa.extra",
INDIRECT("rec.uni[empresa]"),N$6)</f>
        <v>#REF!</v>
      </c>
      <c r="O46" s="50">
        <v>5983.14</v>
      </c>
      <c r="P46" s="48">
        <f>COUNTIFS(
    [1]!estoque[empresa], P$6,
    [1]!estoque[Data da venda / reserva], "&gt;=" &amp; $A46,
    [1]!estoque[Data da venda / reserva], "&lt;"  &amp; EOMONTH($A46,0) + 1
)</f>
        <v>24</v>
      </c>
      <c r="Q46" s="49">
        <f>SUMIFS([1]!in.rec[total],
[1]!in.rec[natureza],"pro.soluto",
[1]!in.rec[empresa],Q$6,
[1]!in.rec[data.base],"&gt;="&amp;$A46,
[1]!in.rec[data.base],"&lt;"&amp;EOMONTH($A46,0)
)</f>
        <v>547740.38000000012</v>
      </c>
      <c r="R46" s="49" t="e">
        <f ca="1">SUMIFS([1]!rec.uni[2024-08-01],
INDIRECT("rec.uni[natureza]"),"repasse.cef.obra",
INDIRECT("rec.uni[empresa]"),R$6)</f>
        <v>#REF!</v>
      </c>
      <c r="S46" s="49" t="e">
        <f ca="1">SUMIFS([1]!rec.uni[2024-08-01],
INDIRECT("rec.uni[natureza]"),"repasse.cef.terreno",
INDIRECT("rec.uni[empresa]"),S$6)</f>
        <v>#REF!</v>
      </c>
      <c r="T46" s="49">
        <v>0</v>
      </c>
      <c r="U46" s="49" t="e">
        <f ca="1">SUMIFS([1]!rec.uni[2024-08-01],
INDIRECT("rec.uni[natureza]"),"taxa.extra",
INDIRECT("rec.uni[empresa]"),U$6)</f>
        <v>#REF!</v>
      </c>
      <c r="V46" s="50">
        <v>3123.33</v>
      </c>
      <c r="W46" s="48">
        <f>COUNTIFS(
    [1]!estoque[empresa], W$6,
    [1]!estoque[Data da venda / reserva], "&gt;=" &amp; $A46,
    [1]!estoque[Data da venda / reserva], "&lt;"  &amp; EOMONTH($A46,0) + 1
)</f>
        <v>0</v>
      </c>
      <c r="X46" s="49">
        <f>SUMIFS([1]!in.rec[total],
[1]!in.rec[natureza],"pro.soluto",
[1]!in.rec[empresa],X$6,
[1]!in.rec[data.base],"&gt;="&amp;$A46,
[1]!in.rec[data.base],"&lt;"&amp;EOMONTH($A46,0)
)</f>
        <v>0</v>
      </c>
      <c r="Y46" s="49" t="e">
        <f ca="1">SUMIFS([1]!rec.uni[2024-08-01],
INDIRECT("rec.uni[natureza]"),"taxa.extra",
INDIRECT("rec.uni[empresa]"),Y$6)</f>
        <v>#REF!</v>
      </c>
      <c r="Z46" s="50">
        <v>0</v>
      </c>
      <c r="AA46" s="48">
        <f>COUNTIFS(
    [1]!estoque[empresa], AA$6,
    [1]!estoque[Data da venda / reserva], "&gt;=" &amp; $A46,
    [1]!estoque[Data da venda / reserva], "&lt;"  &amp; EOMONTH($A46,0) + 1
)</f>
        <v>1</v>
      </c>
      <c r="AB46" s="49">
        <f>SUMIFS([1]!in.rec[total],
[1]!in.rec[natureza],"pro.soluto",
[1]!in.rec[empresa],AB$6,
[1]!in.rec[data.base],"&gt;="&amp;$A46,
[1]!in.rec[data.base],"&lt;"&amp;EOMONTH($A46,0)
)</f>
        <v>116355.98</v>
      </c>
      <c r="AC46" s="49">
        <f>IF(
$A46&lt;=$A$1,
SUMIFS([1]!in.rec[total],
   [1]!in.rec[empresa],AC$6,
   [1]!in.rec[ele],"FIN",
   [1]!in.rec[data.pagamento],"&gt;="&amp;$A46,
   [1]!in.rec[data.pagamento],"&lt;"&amp;$A47
),
SUMIFS([1]!in.rec[total],
   [1]!in.rec[empresa],AC$6,
   [1]!in.rec[ele],"FIN",
   [1]!in.rec[data.vencimento],"&gt;="&amp;$A46,
   [1]!in.rec[data.vencimento],"&lt;"&amp;$A47
)
)</f>
        <v>0</v>
      </c>
      <c r="AD46" s="49" t="e">
        <f ca="1">SUMIFS([1]!rec.uni[2024-08-01],
INDIRECT("rec.uni[natureza]"),"taxa.extra",
INDIRECT("rec.uni[empresa]"),AD$6)</f>
        <v>#REF!</v>
      </c>
      <c r="AE46" s="50">
        <v>1535.85</v>
      </c>
      <c r="AF46" s="48">
        <f>COUNTIFS(
    [1]!estoque[empresa], AF$6,
    [1]!estoque[Data da venda / reserva], "&gt;=" &amp; $A46,
    [1]!estoque[Data da venda / reserva], "&lt;"  &amp; EOMONTH($A46,0) + 1
)</f>
        <v>0</v>
      </c>
      <c r="AG46" s="49">
        <f>SUMIFS([1]!in.rec[total],
[1]!in.rec[natureza],"pro.soluto",
[1]!in.rec[empresa],AG$6,
[1]!in.rec[data.base],"&gt;="&amp;$A46,
[1]!in.rec[data.base],"&lt;"&amp;EOMONTH($A46,0)
)</f>
        <v>363210.15000000008</v>
      </c>
      <c r="AH46" s="49" t="e">
        <f ca="1">SUMIFS([1]!rec.uni[2024-08-01],
INDIRECT("rec.uni[natureza]"),"repasse.cef.obra",
INDIRECT("rec.uni[empresa]"),AH$6)</f>
        <v>#REF!</v>
      </c>
      <c r="AI46" s="49" t="e">
        <f ca="1">SUMIFS([1]!rec.uni[2024-08-01],
INDIRECT("rec.uni[natureza]"),"repasse.cef.terreno",
INDIRECT("rec.uni[empresa]"),AI$6)</f>
        <v>#REF!</v>
      </c>
      <c r="AJ46" s="49">
        <v>0</v>
      </c>
      <c r="AK46" s="49" t="e">
        <f ca="1">SUMIFS([1]!rec.uni[2024-08-01],
INDIRECT("rec.uni[natureza]"),"taxa.extra",
INDIRECT("rec.uni[empresa]"),AK$6)</f>
        <v>#REF!</v>
      </c>
      <c r="AL46" s="50">
        <v>14378.4</v>
      </c>
      <c r="AM46" s="48">
        <f>COUNTIFS(
    [1]!estoque[empresa], AM$6,
    [1]!estoque[Data da venda / reserva], "&gt;=" &amp; $A46,
    [1]!estoque[Data da venda / reserva], "&lt;"  &amp; EOMONTH($A46,0) + 1
)</f>
        <v>0</v>
      </c>
      <c r="AN46" s="49">
        <f>SUMIFS([1]!in.rec[total],
[1]!in.rec[natureza],"pro.soluto",
[1]!in.rec[empresa],AN$6,
[1]!in.rec[data.base],"&gt;="&amp;$A46,
[1]!in.rec[data.base],"&lt;"&amp;EOMONTH($A46,0)
)</f>
        <v>0</v>
      </c>
      <c r="AO46" s="49" t="e">
        <f ca="1">SUMIFS([1]!rec.uni[2024-08-01],
INDIRECT("rec.uni[natureza]"),"taxa.extra",
INDIRECT("rec.uni[empresa]"),AO$6)</f>
        <v>#REF!</v>
      </c>
      <c r="AP46" s="50">
        <v>0</v>
      </c>
    </row>
    <row r="47" spans="1:42" x14ac:dyDescent="0.25">
      <c r="A47" s="47">
        <v>45536</v>
      </c>
      <c r="B47" s="48">
        <f>COUNTIFS(
    [1]!estoque[empresa], B$6,
    [1]!estoque[Data da venda / reserva], "&gt;=" &amp; $A47,
    [1]!estoque[Data da venda / reserva], "&lt;"  &amp; EOMONTH($A47,0) + 1
)</f>
        <v>1</v>
      </c>
      <c r="C47" s="49">
        <f>SUMIFS([1]!in.rec[total],
[1]!in.rec[natureza],"pro.soluto",
[1]!in.rec[empresa],C$6,
[1]!in.rec[data.base],"&gt;="&amp;$A47,
[1]!in.rec[data.base],"&lt;"&amp;EOMONTH($A47,0)
)</f>
        <v>151795.71999999997</v>
      </c>
      <c r="D47" s="49" t="e">
        <f ca="1">SUMIFS([1]!rec.uni[2024-09-01],
INDIRECT("rec.uni[natureza]"),"repasse.cef.obra",
INDIRECT("rec.uni[empresa]"),D$6)</f>
        <v>#REF!</v>
      </c>
      <c r="E47" s="49" t="e">
        <f ca="1">SUMIFS([1]!rec.uni[2024-09-01],
INDIRECT("rec.uni[natureza]"),"repasse.cef.terreno",
INDIRECT("rec.uni[empresa]"),E$6)</f>
        <v>#REF!</v>
      </c>
      <c r="F47" s="49">
        <v>198297.96</v>
      </c>
      <c r="G47" s="49" t="e">
        <f ca="1">SUMIFS([1]!rec.uni[2024-09-01],
INDIRECT("rec.uni[natureza]"),"taxa.extra",
INDIRECT("rec.uni[empresa]"),G$6)</f>
        <v>#REF!</v>
      </c>
      <c r="H47" s="50">
        <v>3739.54</v>
      </c>
      <c r="I47" s="48">
        <f>COUNTIFS(
    [1]!estoque[empresa], I$6,
    [1]!estoque[Data da venda / reserva], "&gt;=" &amp; $A47,
    [1]!estoque[Data da venda / reserva], "&lt;"  &amp; EOMONTH($A47,0) + 1
)</f>
        <v>0</v>
      </c>
      <c r="J47" s="49">
        <f>SUMIFS([1]!in.rec[total],
[1]!in.rec[natureza],"pro.soluto",
[1]!in.rec[empresa],J$6,
[1]!in.rec[data.base],"&gt;="&amp;$A47,
[1]!in.rec[data.base],"&lt;"&amp;EOMONTH($A47,0)
)</f>
        <v>203913.01000000004</v>
      </c>
      <c r="K47" s="49" t="e">
        <f ca="1">SUMIFS([1]!rec.uni[2024-09-01],
INDIRECT("rec.uni[natureza]"),"repasse.cef.obra",
INDIRECT("rec.uni[empresa]"),K$6)</f>
        <v>#REF!</v>
      </c>
      <c r="L47" s="49" t="e">
        <f ca="1">SUMIFS([1]!rec.uni[2024-09-01],
INDIRECT("rec.uni[natureza]"),"repasse.cef.terreno",
INDIRECT("rec.uni[empresa]"),L$6)</f>
        <v>#REF!</v>
      </c>
      <c r="M47" s="49">
        <v>0</v>
      </c>
      <c r="N47" s="49" t="e">
        <f ca="1">SUMIFS([1]!rec.uni[2024-09-01],
INDIRECT("rec.uni[natureza]"),"taxa.extra",
INDIRECT("rec.uni[empresa]"),N$6)</f>
        <v>#REF!</v>
      </c>
      <c r="O47" s="50">
        <v>5983.14</v>
      </c>
      <c r="P47" s="48">
        <f>COUNTIFS(
    [1]!estoque[empresa], P$6,
    [1]!estoque[Data da venda / reserva], "&gt;=" &amp; $A47,
    [1]!estoque[Data da venda / reserva], "&lt;"  &amp; EOMONTH($A47,0) + 1
)</f>
        <v>15</v>
      </c>
      <c r="Q47" s="49">
        <f>SUMIFS([1]!in.rec[total],
[1]!in.rec[natureza],"pro.soluto",
[1]!in.rec[empresa],Q$6,
[1]!in.rec[data.base],"&gt;="&amp;$A47,
[1]!in.rec[data.base],"&lt;"&amp;EOMONTH($A47,0)
)</f>
        <v>257989.51000000007</v>
      </c>
      <c r="R47" s="49" t="e">
        <f ca="1">SUMIFS([1]!rec.uni[2024-09-01],
INDIRECT("rec.uni[natureza]"),"repasse.cef.obra",
INDIRECT("rec.uni[empresa]"),R$6)</f>
        <v>#REF!</v>
      </c>
      <c r="S47" s="49" t="e">
        <f ca="1">SUMIFS([1]!rec.uni[2024-09-01],
INDIRECT("rec.uni[natureza]"),"repasse.cef.terreno",
INDIRECT("rec.uni[empresa]"),S$6)</f>
        <v>#REF!</v>
      </c>
      <c r="T47" s="49">
        <v>0</v>
      </c>
      <c r="U47" s="49" t="e">
        <f ca="1">SUMIFS([1]!rec.uni[2024-09-01],
INDIRECT("rec.uni[natureza]"),"taxa.extra",
INDIRECT("rec.uni[empresa]"),U$6)</f>
        <v>#REF!</v>
      </c>
      <c r="V47" s="50">
        <v>7530.1000000000013</v>
      </c>
      <c r="W47" s="48">
        <f>COUNTIFS(
    [1]!estoque[empresa], W$6,
    [1]!estoque[Data da venda / reserva], "&gt;=" &amp; $A47,
    [1]!estoque[Data da venda / reserva], "&lt;"  &amp; EOMONTH($A47,0) + 1
)</f>
        <v>0</v>
      </c>
      <c r="X47" s="49">
        <f>SUMIFS([1]!in.rec[total],
[1]!in.rec[natureza],"pro.soluto",
[1]!in.rec[empresa],X$6,
[1]!in.rec[data.base],"&gt;="&amp;$A47,
[1]!in.rec[data.base],"&lt;"&amp;EOMONTH($A47,0)
)</f>
        <v>0</v>
      </c>
      <c r="Y47" s="49" t="e">
        <f ca="1">SUMIFS([1]!rec.uni[2024-09-01],
INDIRECT("rec.uni[natureza]"),"taxa.extra",
INDIRECT("rec.uni[empresa]"),Y$6)</f>
        <v>#REF!</v>
      </c>
      <c r="Z47" s="50">
        <v>0</v>
      </c>
      <c r="AA47" s="48">
        <f>COUNTIFS(
    [1]!estoque[empresa], AA$6,
    [1]!estoque[Data da venda / reserva], "&gt;=" &amp; $A47,
    [1]!estoque[Data da venda / reserva], "&lt;"  &amp; EOMONTH($A47,0) + 1
)</f>
        <v>0</v>
      </c>
      <c r="AB47" s="49">
        <f>SUMIFS([1]!in.rec[total],
[1]!in.rec[natureza],"pro.soluto",
[1]!in.rec[empresa],AB$6,
[1]!in.rec[data.base],"&gt;="&amp;$A47,
[1]!in.rec[data.base],"&lt;"&amp;EOMONTH($A47,0)
)</f>
        <v>94171.35</v>
      </c>
      <c r="AC47" s="49">
        <f>IF(
$A47&lt;=$A$1,
SUMIFS([1]!in.rec[total],
   [1]!in.rec[empresa],AC$6,
   [1]!in.rec[ele],"FIN",
   [1]!in.rec[data.pagamento],"&gt;="&amp;$A47,
   [1]!in.rec[data.pagamento],"&lt;"&amp;$A48
),
SUMIFS([1]!in.rec[total],
   [1]!in.rec[empresa],AC$6,
   [1]!in.rec[ele],"FIN",
   [1]!in.rec[data.vencimento],"&gt;="&amp;$A47,
   [1]!in.rec[data.vencimento],"&lt;"&amp;$A48
)
)</f>
        <v>0</v>
      </c>
      <c r="AD47" s="49" t="e">
        <f ca="1">SUMIFS([1]!rec.uni[2024-09-01],
INDIRECT("rec.uni[natureza]"),"taxa.extra",
INDIRECT("rec.uni[empresa]"),AD$6)</f>
        <v>#REF!</v>
      </c>
      <c r="AE47" s="50">
        <v>1546.91</v>
      </c>
      <c r="AF47" s="48">
        <f>COUNTIFS(
    [1]!estoque[empresa], AF$6,
    [1]!estoque[Data da venda / reserva], "&gt;=" &amp; $A47,
    [1]!estoque[Data da venda / reserva], "&lt;"  &amp; EOMONTH($A47,0) + 1
)</f>
        <v>5</v>
      </c>
      <c r="AG47" s="49">
        <f>SUMIFS([1]!in.rec[total],
[1]!in.rec[natureza],"pro.soluto",
[1]!in.rec[empresa],AG$6,
[1]!in.rec[data.base],"&gt;="&amp;$A47,
[1]!in.rec[data.base],"&lt;"&amp;EOMONTH($A47,0)
)</f>
        <v>520934.4499999999</v>
      </c>
      <c r="AH47" s="49" t="e">
        <f ca="1">SUMIFS([1]!rec.uni[2024-09-01],
INDIRECT("rec.uni[natureza]"),"repasse.cef.obra",
INDIRECT("rec.uni[empresa]"),AH$6)</f>
        <v>#REF!</v>
      </c>
      <c r="AI47" s="49" t="e">
        <f ca="1">SUMIFS([1]!rec.uni[2024-09-01],
INDIRECT("rec.uni[natureza]"),"repasse.cef.terreno",
INDIRECT("rec.uni[empresa]"),AI$6)</f>
        <v>#REF!</v>
      </c>
      <c r="AJ47" s="49">
        <v>0</v>
      </c>
      <c r="AK47" s="49" t="e">
        <f ca="1">SUMIFS([1]!rec.uni[2024-09-01],
INDIRECT("rec.uni[natureza]"),"taxa.extra",
INDIRECT("rec.uni[empresa]"),AK$6)</f>
        <v>#REF!</v>
      </c>
      <c r="AL47" s="50">
        <v>20071.919999999998</v>
      </c>
      <c r="AM47" s="48">
        <f>COUNTIFS(
    [1]!estoque[empresa], AM$6,
    [1]!estoque[Data da venda / reserva], "&gt;=" &amp; $A47,
    [1]!estoque[Data da venda / reserva], "&lt;"  &amp; EOMONTH($A47,0) + 1
)</f>
        <v>0</v>
      </c>
      <c r="AN47" s="49">
        <f>SUMIFS([1]!in.rec[total],
[1]!in.rec[natureza],"pro.soluto",
[1]!in.rec[empresa],AN$6,
[1]!in.rec[data.base],"&gt;="&amp;$A47,
[1]!in.rec[data.base],"&lt;"&amp;EOMONTH($A47,0)
)</f>
        <v>0</v>
      </c>
      <c r="AO47" s="49" t="e">
        <f ca="1">SUMIFS([1]!rec.uni[2024-09-01],
INDIRECT("rec.uni[natureza]"),"taxa.extra",
INDIRECT("rec.uni[empresa]"),AO$6)</f>
        <v>#REF!</v>
      </c>
      <c r="AP47" s="50">
        <v>0</v>
      </c>
    </row>
    <row r="48" spans="1:42" x14ac:dyDescent="0.25">
      <c r="A48" s="47">
        <v>45566</v>
      </c>
      <c r="B48" s="48">
        <f>COUNTIFS(
    [1]!estoque[empresa], B$6,
    [1]!estoque[Data da venda / reserva], "&gt;=" &amp; $A48,
    [1]!estoque[Data da venda / reserva], "&lt;"  &amp; EOMONTH($A48,0) + 1
)</f>
        <v>1</v>
      </c>
      <c r="C48" s="49">
        <f>SUMIFS([1]!in.rec[total],
[1]!in.rec[natureza],"pro.soluto",
[1]!in.rec[empresa],C$6,
[1]!in.rec[data.base],"&gt;="&amp;$A48,
[1]!in.rec[data.base],"&lt;"&amp;EOMONTH($A48,0)
)</f>
        <v>342554.47000000003</v>
      </c>
      <c r="D48" s="49" t="e">
        <f ca="1">SUMIFS([1]!rec.uni[2024-10-01],
INDIRECT("rec.uni[natureza]"),"repasse.cef.obra",
INDIRECT("rec.uni[empresa]"),D$6)</f>
        <v>#REF!</v>
      </c>
      <c r="E48" s="49" t="e">
        <f ca="1">SUMIFS([1]!rec.uni[2024-10-01],
INDIRECT("rec.uni[natureza]"),"repasse.cef.terreno",
INDIRECT("rec.uni[empresa]"),E$6)</f>
        <v>#REF!</v>
      </c>
      <c r="F48" s="49">
        <v>473587.72</v>
      </c>
      <c r="G48" s="49" t="e">
        <f ca="1">SUMIFS([1]!rec.uni[2024-10-01],
INDIRECT("rec.uni[natureza]"),"taxa.extra",
INDIRECT("rec.uni[empresa]"),G$6)</f>
        <v>#REF!</v>
      </c>
      <c r="H48" s="50">
        <v>7168.38</v>
      </c>
      <c r="I48" s="48">
        <f>COUNTIFS(
    [1]!estoque[empresa], I$6,
    [1]!estoque[Data da venda / reserva], "&gt;=" &amp; $A48,
    [1]!estoque[Data da venda / reserva], "&lt;"  &amp; EOMONTH($A48,0) + 1
)</f>
        <v>1</v>
      </c>
      <c r="J48" s="49">
        <f>SUMIFS([1]!in.rec[total],
[1]!in.rec[natureza],"pro.soluto",
[1]!in.rec[empresa],J$6,
[1]!in.rec[data.base],"&gt;="&amp;$A48,
[1]!in.rec[data.base],"&lt;"&amp;EOMONTH($A48,0)
)</f>
        <v>557133.26</v>
      </c>
      <c r="K48" s="49" t="e">
        <f ca="1">SUMIFS([1]!rec.uni[2024-10-01],
INDIRECT("rec.uni[natureza]"),"repasse.cef.obra",
INDIRECT("rec.uni[empresa]"),K$6)</f>
        <v>#REF!</v>
      </c>
      <c r="L48" s="49" t="e">
        <f ca="1">SUMIFS([1]!rec.uni[2024-10-01],
INDIRECT("rec.uni[natureza]"),"repasse.cef.terreno",
INDIRECT("rec.uni[empresa]"),L$6)</f>
        <v>#REF!</v>
      </c>
      <c r="M48" s="49">
        <v>0</v>
      </c>
      <c r="N48" s="49" t="e">
        <f ca="1">SUMIFS([1]!rec.uni[2024-10-01],
INDIRECT("rec.uni[natureza]"),"taxa.extra",
INDIRECT("rec.uni[empresa]"),N$6)</f>
        <v>#REF!</v>
      </c>
      <c r="O48" s="50">
        <v>33385.699999999997</v>
      </c>
      <c r="P48" s="48">
        <f>COUNTIFS(
    [1]!estoque[empresa], P$6,
    [1]!estoque[Data da venda / reserva], "&gt;=" &amp; $A48,
    [1]!estoque[Data da venda / reserva], "&lt;"  &amp; EOMONTH($A48,0) + 1
)</f>
        <v>10</v>
      </c>
      <c r="Q48" s="49">
        <f>SUMIFS([1]!in.rec[total],
[1]!in.rec[natureza],"pro.soluto",
[1]!in.rec[empresa],Q$6,
[1]!in.rec[data.base],"&gt;="&amp;$A48,
[1]!in.rec[data.base],"&lt;"&amp;EOMONTH($A48,0)
)</f>
        <v>255444.98999999993</v>
      </c>
      <c r="R48" s="49" t="e">
        <f ca="1">SUMIFS([1]!rec.uni[2024-10-01],
INDIRECT("rec.uni[natureza]"),"repasse.cef.obra",
INDIRECT("rec.uni[empresa]"),R$6)</f>
        <v>#REF!</v>
      </c>
      <c r="S48" s="49" t="e">
        <f ca="1">SUMIFS([1]!rec.uni[2024-10-01],
INDIRECT("rec.uni[natureza]"),"repasse.cef.terreno",
INDIRECT("rec.uni[empresa]"),S$6)</f>
        <v>#REF!</v>
      </c>
      <c r="T48" s="49">
        <v>0</v>
      </c>
      <c r="U48" s="49" t="e">
        <f ca="1">SUMIFS([1]!rec.uni[2024-10-01],
INDIRECT("rec.uni[natureza]"),"taxa.extra",
INDIRECT("rec.uni[empresa]"),U$6)</f>
        <v>#REF!</v>
      </c>
      <c r="V48" s="50">
        <v>21215.03</v>
      </c>
      <c r="W48" s="48">
        <f>COUNTIFS(
    [1]!estoque[empresa], W$6,
    [1]!estoque[Data da venda / reserva], "&gt;=" &amp; $A48,
    [1]!estoque[Data da venda / reserva], "&lt;"  &amp; EOMONTH($A48,0) + 1
)</f>
        <v>0</v>
      </c>
      <c r="X48" s="49">
        <f>SUMIFS([1]!in.rec[total],
[1]!in.rec[natureza],"pro.soluto",
[1]!in.rec[empresa],X$6,
[1]!in.rec[data.base],"&gt;="&amp;$A48,
[1]!in.rec[data.base],"&lt;"&amp;EOMONTH($A48,0)
)</f>
        <v>0</v>
      </c>
      <c r="Y48" s="49" t="e">
        <f ca="1">SUMIFS([1]!rec.uni[2024-10-01],
INDIRECT("rec.uni[natureza]"),"taxa.extra",
INDIRECT("rec.uni[empresa]"),Y$6)</f>
        <v>#REF!</v>
      </c>
      <c r="Z48" s="50">
        <v>0</v>
      </c>
      <c r="AA48" s="48">
        <f>COUNTIFS(
    [1]!estoque[empresa], AA$6,
    [1]!estoque[Data da venda / reserva], "&gt;=" &amp; $A48,
    [1]!estoque[Data da venda / reserva], "&lt;"  &amp; EOMONTH($A48,0) + 1
)</f>
        <v>0</v>
      </c>
      <c r="AB48" s="49">
        <f>SUMIFS([1]!in.rec[total],
[1]!in.rec[natureza],"pro.soluto",
[1]!in.rec[empresa],AB$6,
[1]!in.rec[data.base],"&gt;="&amp;$A48,
[1]!in.rec[data.base],"&lt;"&amp;EOMONTH($A48,0)
)</f>
        <v>116426.94000000005</v>
      </c>
      <c r="AC48" s="49">
        <f>IF(
$A48&lt;=$A$1,
SUMIFS([1]!in.rec[total],
   [1]!in.rec[empresa],AC$6,
   [1]!in.rec[ele],"FIN",
   [1]!in.rec[data.pagamento],"&gt;="&amp;$A48,
   [1]!in.rec[data.pagamento],"&lt;"&amp;$A49
),
SUMIFS([1]!in.rec[total],
   [1]!in.rec[empresa],AC$6,
   [1]!in.rec[ele],"FIN",
   [1]!in.rec[data.vencimento],"&gt;="&amp;$A48,
   [1]!in.rec[data.vencimento],"&lt;"&amp;$A49
)
)</f>
        <v>0</v>
      </c>
      <c r="AD48" s="49" t="e">
        <f ca="1">SUMIFS([1]!rec.uni[2024-10-01],
INDIRECT("rec.uni[natureza]"),"taxa.extra",
INDIRECT("rec.uni[empresa]"),AD$6)</f>
        <v>#REF!</v>
      </c>
      <c r="AE48" s="50">
        <v>1557.74</v>
      </c>
      <c r="AF48" s="48">
        <f>COUNTIFS(
    [1]!estoque[empresa], AF$6,
    [1]!estoque[Data da venda / reserva], "&gt;=" &amp; $A48,
    [1]!estoque[Data da venda / reserva], "&lt;"  &amp; EOMONTH($A48,0) + 1
)</f>
        <v>2</v>
      </c>
      <c r="AG48" s="49">
        <f>SUMIFS([1]!in.rec[total],
[1]!in.rec[natureza],"pro.soluto",
[1]!in.rec[empresa],AG$6,
[1]!in.rec[data.base],"&gt;="&amp;$A48,
[1]!in.rec[data.base],"&lt;"&amp;EOMONTH($A48,0)
)</f>
        <v>561528.77999999968</v>
      </c>
      <c r="AH48" s="49" t="e">
        <f ca="1">SUMIFS([1]!rec.uni[2024-10-01],
INDIRECT("rec.uni[natureza]"),"repasse.cef.obra",
INDIRECT("rec.uni[empresa]"),AH$6)</f>
        <v>#REF!</v>
      </c>
      <c r="AI48" s="49" t="e">
        <f ca="1">SUMIFS([1]!rec.uni[2024-10-01],
INDIRECT("rec.uni[natureza]"),"repasse.cef.terreno",
INDIRECT("rec.uni[empresa]"),AI$6)</f>
        <v>#REF!</v>
      </c>
      <c r="AJ48" s="49">
        <v>0</v>
      </c>
      <c r="AK48" s="49" t="e">
        <f ca="1">SUMIFS([1]!rec.uni[2024-10-01],
INDIRECT("rec.uni[natureza]"),"taxa.extra",
INDIRECT("rec.uni[empresa]"),AK$6)</f>
        <v>#REF!</v>
      </c>
      <c r="AL48" s="50">
        <v>8176.02</v>
      </c>
      <c r="AM48" s="48">
        <f>COUNTIFS(
    [1]!estoque[empresa], AM$6,
    [1]!estoque[Data da venda / reserva], "&gt;=" &amp; $A48,
    [1]!estoque[Data da venda / reserva], "&lt;"  &amp; EOMONTH($A48,0) + 1
)</f>
        <v>0</v>
      </c>
      <c r="AN48" s="49">
        <f>SUMIFS([1]!in.rec[total],
[1]!in.rec[natureza],"pro.soluto",
[1]!in.rec[empresa],AN$6,
[1]!in.rec[data.base],"&gt;="&amp;$A48,
[1]!in.rec[data.base],"&lt;"&amp;EOMONTH($A48,0)
)</f>
        <v>0</v>
      </c>
      <c r="AO48" s="49" t="e">
        <f ca="1">SUMIFS([1]!rec.uni[2024-10-01],
INDIRECT("rec.uni[natureza]"),"taxa.extra",
INDIRECT("rec.uni[empresa]"),AO$6)</f>
        <v>#REF!</v>
      </c>
      <c r="AP48" s="50">
        <v>0</v>
      </c>
    </row>
    <row r="49" spans="1:42" x14ac:dyDescent="0.25">
      <c r="A49" s="47">
        <v>45597</v>
      </c>
      <c r="B49" s="48">
        <f>COUNTIFS(
    [1]!estoque[empresa], B$6,
    [1]!estoque[Data da venda / reserva], "&gt;=" &amp; $A49,
    [1]!estoque[Data da venda / reserva], "&lt;"  &amp; EOMONTH($A49,0) + 1
)</f>
        <v>0</v>
      </c>
      <c r="C49" s="49">
        <f>SUMIFS([1]!in.rec[total],
[1]!in.rec[natureza],"pro.soluto",
[1]!in.rec[empresa],C$6,
[1]!in.rec[data.base],"&gt;="&amp;$A49,
[1]!in.rec[data.base],"&lt;"&amp;EOMONTH($A49,0)
)</f>
        <v>219819.80000000002</v>
      </c>
      <c r="D49" s="49" t="e">
        <f ca="1">SUMIFS([1]!rec.uni[2024-11-01],
INDIRECT("rec.uni[natureza]"),"repasse.cef.obra",
INDIRECT("rec.uni[empresa]"),D$6)</f>
        <v>#REF!</v>
      </c>
      <c r="E49" s="49" t="e">
        <f ca="1">SUMIFS([1]!rec.uni[2024-11-01],
INDIRECT("rec.uni[natureza]"),"repasse.cef.terreno",
INDIRECT("rec.uni[empresa]"),E$6)</f>
        <v>#REF!</v>
      </c>
      <c r="F49" s="49">
        <v>0</v>
      </c>
      <c r="G49" s="49" t="e">
        <f ca="1">SUMIFS([1]!rec.uni[2024-11-01],
INDIRECT("rec.uni[natureza]"),"taxa.extra",
INDIRECT("rec.uni[empresa]"),G$6)</f>
        <v>#REF!</v>
      </c>
      <c r="H49" s="50">
        <v>5003.87</v>
      </c>
      <c r="I49" s="48">
        <f>COUNTIFS(
    [1]!estoque[empresa], I$6,
    [1]!estoque[Data da venda / reserva], "&gt;=" &amp; $A49,
    [1]!estoque[Data da venda / reserva], "&lt;"  &amp; EOMONTH($A49,0) + 1
)</f>
        <v>0</v>
      </c>
      <c r="J49" s="49">
        <f>SUMIFS([1]!in.rec[total],
[1]!in.rec[natureza],"pro.soluto",
[1]!in.rec[empresa],J$6,
[1]!in.rec[data.base],"&gt;="&amp;$A49,
[1]!in.rec[data.base],"&lt;"&amp;EOMONTH($A49,0)
)</f>
        <v>234174.87</v>
      </c>
      <c r="K49" s="49" t="e">
        <f ca="1">SUMIFS([1]!rec.uni[2024-11-01],
INDIRECT("rec.uni[natureza]"),"repasse.cef.obra",
INDIRECT("rec.uni[empresa]"),K$6)</f>
        <v>#REF!</v>
      </c>
      <c r="L49" s="49" t="e">
        <f ca="1">SUMIFS([1]!rec.uni[2024-11-01],
INDIRECT("rec.uni[natureza]"),"repasse.cef.terreno",
INDIRECT("rec.uni[empresa]"),L$6)</f>
        <v>#REF!</v>
      </c>
      <c r="M49" s="49">
        <v>0</v>
      </c>
      <c r="N49" s="49" t="e">
        <f ca="1">SUMIFS([1]!rec.uni[2024-11-01],
INDIRECT("rec.uni[natureza]"),"taxa.extra",
INDIRECT("rec.uni[empresa]"),N$6)</f>
        <v>#REF!</v>
      </c>
      <c r="O49" s="50">
        <v>0</v>
      </c>
      <c r="P49" s="48">
        <f>COUNTIFS(
    [1]!estoque[empresa], P$6,
    [1]!estoque[Data da venda / reserva], "&gt;=" &amp; $A49,
    [1]!estoque[Data da venda / reserva], "&lt;"  &amp; EOMONTH($A49,0) + 1
)</f>
        <v>8</v>
      </c>
      <c r="Q49" s="49">
        <f>SUMIFS([1]!in.rec[total],
[1]!in.rec[natureza],"pro.soluto",
[1]!in.rec[empresa],Q$6,
[1]!in.rec[data.base],"&gt;="&amp;$A49,
[1]!in.rec[data.base],"&lt;"&amp;EOMONTH($A49,0)
)</f>
        <v>132466.91999999998</v>
      </c>
      <c r="R49" s="49" t="e">
        <f ca="1">SUMIFS([1]!rec.uni[2024-11-01],
INDIRECT("rec.uni[natureza]"),"repasse.cef.obra",
INDIRECT("rec.uni[empresa]"),R$6)</f>
        <v>#REF!</v>
      </c>
      <c r="S49" s="49" t="e">
        <f ca="1">SUMIFS([1]!rec.uni[2024-11-01],
INDIRECT("rec.uni[natureza]"),"repasse.cef.terreno",
INDIRECT("rec.uni[empresa]"),S$6)</f>
        <v>#REF!</v>
      </c>
      <c r="T49" s="49">
        <v>0</v>
      </c>
      <c r="U49" s="49" t="e">
        <f ca="1">SUMIFS([1]!rec.uni[2024-11-01],
INDIRECT("rec.uni[natureza]"),"taxa.extra",
INDIRECT("rec.uni[empresa]"),U$6)</f>
        <v>#REF!</v>
      </c>
      <c r="V49" s="50">
        <v>21009.38</v>
      </c>
      <c r="W49" s="48">
        <f>COUNTIFS(
    [1]!estoque[empresa], W$6,
    [1]!estoque[Data da venda / reserva], "&gt;=" &amp; $A49,
    [1]!estoque[Data da venda / reserva], "&lt;"  &amp; EOMONTH($A49,0) + 1
)</f>
        <v>17</v>
      </c>
      <c r="X49" s="49">
        <f>SUMIFS([1]!in.rec[total],
[1]!in.rec[natureza],"pro.soluto",
[1]!in.rec[empresa],X$6,
[1]!in.rec[data.base],"&gt;="&amp;$A49,
[1]!in.rec[data.base],"&lt;"&amp;EOMONTH($A49,0)
)</f>
        <v>0</v>
      </c>
      <c r="Y49" s="49" t="e">
        <f ca="1">SUMIFS([1]!rec.uni[2024-11-01],
INDIRECT("rec.uni[natureza]"),"taxa.extra",
INDIRECT("rec.uni[empresa]"),Y$6)</f>
        <v>#REF!</v>
      </c>
      <c r="Z49" s="50">
        <v>0</v>
      </c>
      <c r="AA49" s="48">
        <f>COUNTIFS(
    [1]!estoque[empresa], AA$6,
    [1]!estoque[Data da venda / reserva], "&gt;=" &amp; $A49,
    [1]!estoque[Data da venda / reserva], "&lt;"  &amp; EOMONTH($A49,0) + 1
)</f>
        <v>0</v>
      </c>
      <c r="AB49" s="49">
        <f>SUMIFS([1]!in.rec[total],
[1]!in.rec[natureza],"pro.soluto",
[1]!in.rec[empresa],AB$6,
[1]!in.rec[data.base],"&gt;="&amp;$A49,
[1]!in.rec[data.base],"&lt;"&amp;EOMONTH($A49,0)
)</f>
        <v>96303.740000000034</v>
      </c>
      <c r="AC49" s="49">
        <f>IF(
$A49&lt;=$A$1,
SUMIFS([1]!in.rec[total],
   [1]!in.rec[empresa],AC$6,
   [1]!in.rec[ele],"FIN",
   [1]!in.rec[data.pagamento],"&gt;="&amp;$A49,
   [1]!in.rec[data.pagamento],"&lt;"&amp;$A50
),
SUMIFS([1]!in.rec[total],
   [1]!in.rec[empresa],AC$6,
   [1]!in.rec[ele],"FIN",
   [1]!in.rec[data.vencimento],"&gt;="&amp;$A49,
   [1]!in.rec[data.vencimento],"&lt;"&amp;$A50
)
)</f>
        <v>0</v>
      </c>
      <c r="AD49" s="49" t="e">
        <f ca="1">SUMIFS([1]!rec.uni[2024-11-01],
INDIRECT("rec.uni[natureza]"),"taxa.extra",
INDIRECT("rec.uni[empresa]"),AD$6)</f>
        <v>#REF!</v>
      </c>
      <c r="AE49" s="50">
        <v>1566.77</v>
      </c>
      <c r="AF49" s="48">
        <f>COUNTIFS(
    [1]!estoque[empresa], AF$6,
    [1]!estoque[Data da venda / reserva], "&gt;=" &amp; $A49,
    [1]!estoque[Data da venda / reserva], "&lt;"  &amp; EOMONTH($A49,0) + 1
)</f>
        <v>3</v>
      </c>
      <c r="AG49" s="49">
        <f>SUMIFS([1]!in.rec[total],
[1]!in.rec[natureza],"pro.soluto",
[1]!in.rec[empresa],AG$6,
[1]!in.rec[data.base],"&gt;="&amp;$A49,
[1]!in.rec[data.base],"&lt;"&amp;EOMONTH($A49,0)
)</f>
        <v>389434.7100000002</v>
      </c>
      <c r="AH49" s="49" t="e">
        <f ca="1">SUMIFS([1]!rec.uni[2024-11-01],
INDIRECT("rec.uni[natureza]"),"repasse.cef.obra",
INDIRECT("rec.uni[empresa]"),AH$6)</f>
        <v>#REF!</v>
      </c>
      <c r="AI49" s="49" t="e">
        <f ca="1">SUMIFS([1]!rec.uni[2024-11-01],
INDIRECT("rec.uni[natureza]"),"repasse.cef.terreno",
INDIRECT("rec.uni[empresa]"),AI$6)</f>
        <v>#REF!</v>
      </c>
      <c r="AJ49" s="49">
        <v>0</v>
      </c>
      <c r="AK49" s="49" t="e">
        <f ca="1">SUMIFS([1]!rec.uni[2024-11-01],
INDIRECT("rec.uni[natureza]"),"taxa.extra",
INDIRECT("rec.uni[empresa]"),AK$6)</f>
        <v>#REF!</v>
      </c>
      <c r="AL49" s="50">
        <v>5734.67</v>
      </c>
      <c r="AM49" s="48">
        <f>COUNTIFS(
    [1]!estoque[empresa], AM$6,
    [1]!estoque[Data da venda / reserva], "&gt;=" &amp; $A49,
    [1]!estoque[Data da venda / reserva], "&lt;"  &amp; EOMONTH($A49,0) + 1
)</f>
        <v>0</v>
      </c>
      <c r="AN49" s="49">
        <f>SUMIFS([1]!in.rec[total],
[1]!in.rec[natureza],"pro.soluto",
[1]!in.rec[empresa],AN$6,
[1]!in.rec[data.base],"&gt;="&amp;$A49,
[1]!in.rec[data.base],"&lt;"&amp;EOMONTH($A49,0)
)</f>
        <v>0</v>
      </c>
      <c r="AO49" s="49" t="e">
        <f ca="1">SUMIFS([1]!rec.uni[2024-11-01],
INDIRECT("rec.uni[natureza]"),"taxa.extra",
INDIRECT("rec.uni[empresa]"),AO$6)</f>
        <v>#REF!</v>
      </c>
      <c r="AP49" s="50">
        <v>0</v>
      </c>
    </row>
    <row r="50" spans="1:42" x14ac:dyDescent="0.25">
      <c r="A50" s="47">
        <v>45627</v>
      </c>
      <c r="B50" s="48">
        <f>COUNTIFS(
    [1]!estoque[empresa], B$6,
    [1]!estoque[Data da venda / reserva], "&gt;=" &amp; $A50,
    [1]!estoque[Data da venda / reserva], "&lt;"  &amp; EOMONTH($A50,0) + 1
)</f>
        <v>0</v>
      </c>
      <c r="C50" s="49">
        <f>SUMIFS([1]!in.rec[total],
[1]!in.rec[natureza],"pro.soluto",
[1]!in.rec[empresa],C$6,
[1]!in.rec[data.base],"&gt;="&amp;$A50,
[1]!in.rec[data.base],"&lt;"&amp;EOMONTH($A50,0)
)</f>
        <v>499938.87000000005</v>
      </c>
      <c r="D50" s="49" t="e">
        <f ca="1">SUMIFS([1]!rec.uni[2024-12-01],
INDIRECT("rec.uni[natureza]"),"repasse.cef.obra",
INDIRECT("rec.uni[empresa]"),D$6)</f>
        <v>#REF!</v>
      </c>
      <c r="E50" s="49" t="e">
        <f ca="1">SUMIFS([1]!rec.uni[2024-12-01],
INDIRECT("rec.uni[natureza]"),"repasse.cef.terreno",
INDIRECT("rec.uni[empresa]"),E$6)</f>
        <v>#REF!</v>
      </c>
      <c r="F50" s="49">
        <v>293595.69</v>
      </c>
      <c r="G50" s="49" t="e">
        <f ca="1">SUMIFS([1]!rec.uni[2024-12-01],
INDIRECT("rec.uni[natureza]"),"taxa.extra",
INDIRECT("rec.uni[empresa]"),G$6)</f>
        <v>#REF!</v>
      </c>
      <c r="H50" s="50">
        <v>13714.58</v>
      </c>
      <c r="I50" s="48">
        <f>COUNTIFS(
    [1]!estoque[empresa], I$6,
    [1]!estoque[Data da venda / reserva], "&gt;=" &amp; $A50,
    [1]!estoque[Data da venda / reserva], "&lt;"  &amp; EOMONTH($A50,0) + 1
)</f>
        <v>0</v>
      </c>
      <c r="J50" s="49">
        <f>SUMIFS([1]!in.rec[total],
[1]!in.rec[natureza],"pro.soluto",
[1]!in.rec[empresa],J$6,
[1]!in.rec[data.base],"&gt;="&amp;$A50,
[1]!in.rec[data.base],"&lt;"&amp;EOMONTH($A50,0)
)</f>
        <v>440250.0199999999</v>
      </c>
      <c r="K50" s="49" t="e">
        <f ca="1">SUMIFS([1]!rec.uni[2024-12-01],
INDIRECT("rec.uni[natureza]"),"repasse.cef.obra",
INDIRECT("rec.uni[empresa]"),K$6)</f>
        <v>#REF!</v>
      </c>
      <c r="L50" s="49" t="e">
        <f ca="1">SUMIFS([1]!rec.uni[2024-12-01],
INDIRECT("rec.uni[natureza]"),"repasse.cef.terreno",
INDIRECT("rec.uni[empresa]"),L$6)</f>
        <v>#REF!</v>
      </c>
      <c r="M50" s="49">
        <v>0</v>
      </c>
      <c r="N50" s="49" t="e">
        <f ca="1">SUMIFS([1]!rec.uni[2024-12-01],
INDIRECT("rec.uni[natureza]"),"taxa.extra",
INDIRECT("rec.uni[empresa]"),N$6)</f>
        <v>#REF!</v>
      </c>
      <c r="O50" s="50">
        <v>0</v>
      </c>
      <c r="P50" s="48">
        <f>COUNTIFS(
    [1]!estoque[empresa], P$6,
    [1]!estoque[Data da venda / reserva], "&gt;=" &amp; $A50,
    [1]!estoque[Data da venda / reserva], "&lt;"  &amp; EOMONTH($A50,0) + 1
)</f>
        <v>6</v>
      </c>
      <c r="Q50" s="49">
        <f>SUMIFS([1]!in.rec[total],
[1]!in.rec[natureza],"pro.soluto",
[1]!in.rec[empresa],Q$6,
[1]!in.rec[data.base],"&gt;="&amp;$A50,
[1]!in.rec[data.base],"&lt;"&amp;EOMONTH($A50,0)
)</f>
        <v>221045.90999999997</v>
      </c>
      <c r="R50" s="49" t="e">
        <f ca="1">SUMIFS([1]!rec.uni[2024-12-01],
INDIRECT("rec.uni[natureza]"),"repasse.cef.obra",
INDIRECT("rec.uni[empresa]"),R$6)</f>
        <v>#REF!</v>
      </c>
      <c r="S50" s="49" t="e">
        <f ca="1">SUMIFS([1]!rec.uni[2024-12-01],
INDIRECT("rec.uni[natureza]"),"repasse.cef.terreno",
INDIRECT("rec.uni[empresa]"),S$6)</f>
        <v>#REF!</v>
      </c>
      <c r="T50" s="49">
        <v>0</v>
      </c>
      <c r="U50" s="49" t="e">
        <f ca="1">SUMIFS([1]!rec.uni[2024-12-01],
INDIRECT("rec.uni[natureza]"),"taxa.extra",
INDIRECT("rec.uni[empresa]"),U$6)</f>
        <v>#REF!</v>
      </c>
      <c r="V50" s="50">
        <v>33367.32</v>
      </c>
      <c r="W50" s="48">
        <f>COUNTIFS(
    [1]!estoque[empresa], W$6,
    [1]!estoque[Data da venda / reserva], "&gt;=" &amp; $A50,
    [1]!estoque[Data da venda / reserva], "&lt;"  &amp; EOMONTH($A50,0) + 1
)</f>
        <v>16</v>
      </c>
      <c r="X50" s="49">
        <f>SUMIFS([1]!in.rec[total],
[1]!in.rec[natureza],"pro.soluto",
[1]!in.rec[empresa],X$6,
[1]!in.rec[data.base],"&gt;="&amp;$A50,
[1]!in.rec[data.base],"&lt;"&amp;EOMONTH($A50,0)
)</f>
        <v>259141</v>
      </c>
      <c r="Y50" s="49" t="e">
        <f ca="1">SUMIFS([1]!rec.uni[2024-12-01],
INDIRECT("rec.uni[natureza]"),"taxa.extra",
INDIRECT("rec.uni[empresa]"),Y$6)</f>
        <v>#REF!</v>
      </c>
      <c r="Z50" s="50">
        <v>9300</v>
      </c>
      <c r="AA50" s="48">
        <f>COUNTIFS(
    [1]!estoque[empresa], AA$6,
    [1]!estoque[Data da venda / reserva], "&gt;=" &amp; $A50,
    [1]!estoque[Data da venda / reserva], "&lt;"  &amp; EOMONTH($A50,0) + 1
)</f>
        <v>0</v>
      </c>
      <c r="AB50" s="49">
        <f>SUMIFS([1]!in.rec[total],
[1]!in.rec[natureza],"pro.soluto",
[1]!in.rec[empresa],AB$6,
[1]!in.rec[data.base],"&gt;="&amp;$A50,
[1]!in.rec[data.base],"&lt;"&amp;EOMONTH($A50,0)
)</f>
        <v>294651.10999999993</v>
      </c>
      <c r="AC50" s="49">
        <f>IF(
$A50&lt;=$A$1,
SUMIFS([1]!in.rec[total],
   [1]!in.rec[empresa],AC$6,
   [1]!in.rec[ele],"FIN",
   [1]!in.rec[data.pagamento],"&gt;="&amp;$A50,
   [1]!in.rec[data.pagamento],"&lt;"&amp;$A51
),
SUMIFS([1]!in.rec[total],
   [1]!in.rec[empresa],AC$6,
   [1]!in.rec[ele],"FIN",
   [1]!in.rec[data.vencimento],"&gt;="&amp;$A50,
   [1]!in.rec[data.vencimento],"&lt;"&amp;$A51
)
)</f>
        <v>0</v>
      </c>
      <c r="AD50" s="49" t="e">
        <f ca="1">SUMIFS([1]!rec.uni[2024-12-01],
INDIRECT("rec.uni[natureza]"),"taxa.extra",
INDIRECT("rec.uni[empresa]"),AD$6)</f>
        <v>#REF!</v>
      </c>
      <c r="AE50" s="50">
        <v>1577.43</v>
      </c>
      <c r="AF50" s="48">
        <f>COUNTIFS(
    [1]!estoque[empresa], AF$6,
    [1]!estoque[Data da venda / reserva], "&gt;=" &amp; $A50,
    [1]!estoque[Data da venda / reserva], "&lt;"  &amp; EOMONTH($A50,0) + 1
)</f>
        <v>2</v>
      </c>
      <c r="AG50" s="49">
        <f>SUMIFS([1]!in.rec[total],
[1]!in.rec[natureza],"pro.soluto",
[1]!in.rec[empresa],AG$6,
[1]!in.rec[data.base],"&gt;="&amp;$A50,
[1]!in.rec[data.base],"&lt;"&amp;EOMONTH($A50,0)
)</f>
        <v>1095060.1499999999</v>
      </c>
      <c r="AH50" s="49" t="e">
        <f ca="1">SUMIFS([1]!rec.uni[2024-12-01],
INDIRECT("rec.uni[natureza]"),"repasse.cef.obra",
INDIRECT("rec.uni[empresa]"),AH$6)</f>
        <v>#REF!</v>
      </c>
      <c r="AI50" s="49" t="e">
        <f ca="1">SUMIFS([1]!rec.uni[2024-12-01],
INDIRECT("rec.uni[natureza]"),"repasse.cef.terreno",
INDIRECT("rec.uni[empresa]"),AI$6)</f>
        <v>#REF!</v>
      </c>
      <c r="AJ50" s="49">
        <v>928463.72</v>
      </c>
      <c r="AK50" s="49" t="e">
        <f ca="1">SUMIFS([1]!rec.uni[2024-12-01],
INDIRECT("rec.uni[natureza]"),"taxa.extra",
INDIRECT("rec.uni[empresa]"),AK$6)</f>
        <v>#REF!</v>
      </c>
      <c r="AL50" s="50">
        <v>23883.850000000006</v>
      </c>
      <c r="AM50" s="48">
        <f>COUNTIFS(
    [1]!estoque[empresa], AM$6,
    [1]!estoque[Data da venda / reserva], "&gt;=" &amp; $A50,
    [1]!estoque[Data da venda / reserva], "&lt;"  &amp; EOMONTH($A50,0) + 1
)</f>
        <v>0</v>
      </c>
      <c r="AN50" s="49">
        <f>SUMIFS([1]!in.rec[total],
[1]!in.rec[natureza],"pro.soluto",
[1]!in.rec[empresa],AN$6,
[1]!in.rec[data.base],"&gt;="&amp;$A50,
[1]!in.rec[data.base],"&lt;"&amp;EOMONTH($A50,0)
)</f>
        <v>0</v>
      </c>
      <c r="AO50" s="49" t="e">
        <f ca="1">SUMIFS([1]!rec.uni[2024-12-01],
INDIRECT("rec.uni[natureza]"),"taxa.extra",
INDIRECT("rec.uni[empresa]"),AO$6)</f>
        <v>#REF!</v>
      </c>
      <c r="AP50" s="50">
        <v>0</v>
      </c>
    </row>
    <row r="51" spans="1:42" x14ac:dyDescent="0.25">
      <c r="A51" s="47">
        <v>45658</v>
      </c>
      <c r="B51" s="48">
        <f>COUNTIFS(
    [1]!estoque[empresa], B$6,
    [1]!estoque[Data da venda / reserva], "&gt;=" &amp; $A51,
    [1]!estoque[Data da venda / reserva], "&lt;"  &amp; EOMONTH($A51,0) + 1
)</f>
        <v>0</v>
      </c>
      <c r="C51" s="49">
        <f>SUMIFS([1]!in.rec[total],
[1]!in.rec[natureza],"pro.soluto",
[1]!in.rec[empresa],C$6,
[1]!in.rec[data.base],"&gt;="&amp;$A51,
[1]!in.rec[data.base],"&lt;"&amp;EOMONTH($A51,0)
)</f>
        <v>175157.22000000006</v>
      </c>
      <c r="D51" s="49" t="e">
        <f ca="1">SUMIFS([1]!rec.uni[2025-01-01],
INDIRECT("rec.uni[natureza]"),"repasse.cef.obra",
INDIRECT("rec.uni[empresa]"),D$6)</f>
        <v>#REF!</v>
      </c>
      <c r="E51" s="49" t="e">
        <f ca="1">SUMIFS([1]!rec.uni[2025-01-01],
INDIRECT("rec.uni[natureza]"),"repasse.cef.terreno",
INDIRECT("rec.uni[empresa]"),E$6)</f>
        <v>#REF!</v>
      </c>
      <c r="F51" s="49">
        <v>489068.85</v>
      </c>
      <c r="G51" s="49" t="e">
        <f ca="1">SUMIFS([1]!rec.uni[2025-01-01],
INDIRECT("rec.uni[natureza]"),"taxa.extra",
INDIRECT("rec.uni[empresa]"),G$6)</f>
        <v>#REF!</v>
      </c>
      <c r="H51" s="50">
        <v>2342.9899999999998</v>
      </c>
      <c r="I51" s="48">
        <f>COUNTIFS(
    [1]!estoque[empresa], I$6,
    [1]!estoque[Data da venda / reserva], "&gt;=" &amp; $A51,
    [1]!estoque[Data da venda / reserva], "&lt;"  &amp; EOMONTH($A51,0) + 1
)</f>
        <v>0</v>
      </c>
      <c r="J51" s="49">
        <f>SUMIFS([1]!in.rec[total],
[1]!in.rec[natureza],"pro.soluto",
[1]!in.rec[empresa],J$6,
[1]!in.rec[data.base],"&gt;="&amp;$A51,
[1]!in.rec[data.base],"&lt;"&amp;EOMONTH($A51,0)
)</f>
        <v>221003.51000000007</v>
      </c>
      <c r="K51" s="49" t="e">
        <f ca="1">SUMIFS([1]!rec.uni[2025-01-01],
INDIRECT("rec.uni[natureza]"),"repasse.cef.obra",
INDIRECT("rec.uni[empresa]"),K$6)</f>
        <v>#REF!</v>
      </c>
      <c r="L51" s="49" t="e">
        <f ca="1">SUMIFS([1]!rec.uni[2025-01-01],
INDIRECT("rec.uni[natureza]"),"repasse.cef.terreno",
INDIRECT("rec.uni[empresa]"),L$6)</f>
        <v>#REF!</v>
      </c>
      <c r="M51" s="49">
        <v>0</v>
      </c>
      <c r="N51" s="49" t="e">
        <f ca="1">SUMIFS([1]!rec.uni[2025-01-01],
INDIRECT("rec.uni[natureza]"),"taxa.extra",
INDIRECT("rec.uni[empresa]"),N$6)</f>
        <v>#REF!</v>
      </c>
      <c r="O51" s="50">
        <v>0</v>
      </c>
      <c r="P51" s="48">
        <f>COUNTIFS(
    [1]!estoque[empresa], P$6,
    [1]!estoque[Data da venda / reserva], "&gt;=" &amp; $A51,
    [1]!estoque[Data da venda / reserva], "&lt;"  &amp; EOMONTH($A51,0) + 1
)</f>
        <v>2</v>
      </c>
      <c r="Q51" s="49">
        <f>SUMIFS([1]!in.rec[total],
[1]!in.rec[natureza],"pro.soluto",
[1]!in.rec[empresa],Q$6,
[1]!in.rec[data.base],"&gt;="&amp;$A51,
[1]!in.rec[data.base],"&lt;"&amp;EOMONTH($A51,0)
)</f>
        <v>159933.97999999998</v>
      </c>
      <c r="R51" s="49" t="e">
        <f ca="1">SUMIFS([1]!rec.uni[2025-01-01],
INDIRECT("rec.uni[natureza]"),"repasse.cef.obra",
INDIRECT("rec.uni[empresa]"),R$6)</f>
        <v>#REF!</v>
      </c>
      <c r="S51" s="49" t="e">
        <f ca="1">SUMIFS([1]!rec.uni[2025-01-01],
INDIRECT("rec.uni[natureza]"),"repasse.cef.terreno",
INDIRECT("rec.uni[empresa]"),S$6)</f>
        <v>#REF!</v>
      </c>
      <c r="T51" s="49">
        <v>0</v>
      </c>
      <c r="U51" s="49" t="e">
        <f ca="1">SUMIFS([1]!rec.uni[2025-01-01],
INDIRECT("rec.uni[natureza]"),"taxa.extra",
INDIRECT("rec.uni[empresa]"),U$6)</f>
        <v>#REF!</v>
      </c>
      <c r="V51" s="50">
        <v>10089.539999999999</v>
      </c>
      <c r="W51" s="48">
        <f>COUNTIFS(
    [1]!estoque[empresa], W$6,
    [1]!estoque[Data da venda / reserva], "&gt;=" &amp; $A51,
    [1]!estoque[Data da venda / reserva], "&lt;"  &amp; EOMONTH($A51,0) + 1
)</f>
        <v>10</v>
      </c>
      <c r="X51" s="49">
        <f>SUMIFS([1]!in.rec[total],
[1]!in.rec[natureza],"pro.soluto",
[1]!in.rec[empresa],X$6,
[1]!in.rec[data.base],"&gt;="&amp;$A51,
[1]!in.rec[data.base],"&lt;"&amp;EOMONTH($A51,0)
)</f>
        <v>144925.68</v>
      </c>
      <c r="Y51" s="49" t="e">
        <f ca="1">SUMIFS([1]!rec.uni[2025-01-01],
INDIRECT("rec.uni[natureza]"),"taxa.extra",
INDIRECT("rec.uni[empresa]"),Y$6)</f>
        <v>#REF!</v>
      </c>
      <c r="Z51" s="50">
        <v>4684.24</v>
      </c>
      <c r="AA51" s="48">
        <f>COUNTIFS(
    [1]!estoque[empresa], AA$6,
    [1]!estoque[Data da venda / reserva], "&gt;=" &amp; $A51,
    [1]!estoque[Data da venda / reserva], "&lt;"  &amp; EOMONTH($A51,0) + 1
)</f>
        <v>0</v>
      </c>
      <c r="AB51" s="49">
        <f>SUMIFS([1]!in.rec[total],
[1]!in.rec[natureza],"pro.soluto",
[1]!in.rec[empresa],AB$6,
[1]!in.rec[data.base],"&gt;="&amp;$A51,
[1]!in.rec[data.base],"&lt;"&amp;EOMONTH($A51,0)
)</f>
        <v>172391.19000000006</v>
      </c>
      <c r="AC51" s="49">
        <f>IF(
$A51&lt;=$A$1,
SUMIFS([1]!in.rec[total],
   [1]!in.rec[empresa],AC$6,
   [1]!in.rec[ele],"FIN",
   [1]!in.rec[data.pagamento],"&gt;="&amp;$A51,
   [1]!in.rec[data.pagamento],"&lt;"&amp;$A52
),
SUMIFS([1]!in.rec[total],
   [1]!in.rec[empresa],AC$6,
   [1]!in.rec[ele],"FIN",
   [1]!in.rec[data.vencimento],"&gt;="&amp;$A51,
   [1]!in.rec[data.vencimento],"&lt;"&amp;$A52
)
)</f>
        <v>0</v>
      </c>
      <c r="AD51" s="49" t="e">
        <f ca="1">SUMIFS([1]!rec.uni[2025-01-01],
INDIRECT("rec.uni[natureza]"),"taxa.extra",
INDIRECT("rec.uni[empresa]"),AD$6)</f>
        <v>#REF!</v>
      </c>
      <c r="AE51" s="50">
        <v>1584.27</v>
      </c>
      <c r="AF51" s="48">
        <f>COUNTIFS(
    [1]!estoque[empresa], AF$6,
    [1]!estoque[Data da venda / reserva], "&gt;=" &amp; $A51,
    [1]!estoque[Data da venda / reserva], "&lt;"  &amp; EOMONTH($A51,0) + 1
)</f>
        <v>8</v>
      </c>
      <c r="AG51" s="49">
        <f>SUMIFS([1]!in.rec[total],
[1]!in.rec[natureza],"pro.soluto",
[1]!in.rec[empresa],AG$6,
[1]!in.rec[data.base],"&gt;="&amp;$A51,
[1]!in.rec[data.base],"&lt;"&amp;EOMONTH($A51,0)
)</f>
        <v>622022.69999999995</v>
      </c>
      <c r="AH51" s="49" t="e">
        <f ca="1">SUMIFS([1]!rec.uni[2025-01-01],
INDIRECT("rec.uni[natureza]"),"repasse.cef.obra",
INDIRECT("rec.uni[empresa]"),AH$6)</f>
        <v>#REF!</v>
      </c>
      <c r="AI51" s="49" t="e">
        <f ca="1">SUMIFS([1]!rec.uni[2025-01-01],
INDIRECT("rec.uni[natureza]"),"repasse.cef.terreno",
INDIRECT("rec.uni[empresa]"),AI$6)</f>
        <v>#REF!</v>
      </c>
      <c r="AJ51" s="49">
        <v>0</v>
      </c>
      <c r="AK51" s="49" t="e">
        <f ca="1">SUMIFS([1]!rec.uni[2025-01-01],
INDIRECT("rec.uni[natureza]"),"taxa.extra",
INDIRECT("rec.uni[empresa]"),AK$6)</f>
        <v>#REF!</v>
      </c>
      <c r="AL51" s="50">
        <v>3387.05</v>
      </c>
      <c r="AM51" s="48">
        <f>COUNTIFS(
    [1]!estoque[empresa], AM$6,
    [1]!estoque[Data da venda / reserva], "&gt;=" &amp; $A51,
    [1]!estoque[Data da venda / reserva], "&lt;"  &amp; EOMONTH($A51,0) + 1
)</f>
        <v>0</v>
      </c>
      <c r="AN51" s="49">
        <f>SUMIFS([1]!in.rec[total],
[1]!in.rec[natureza],"pro.soluto",
[1]!in.rec[empresa],AN$6,
[1]!in.rec[data.base],"&gt;="&amp;$A51,
[1]!in.rec[data.base],"&lt;"&amp;EOMONTH($A51,0)
)</f>
        <v>0</v>
      </c>
      <c r="AO51" s="49" t="e">
        <f ca="1">SUMIFS([1]!rec.uni[2025-01-01],
INDIRECT("rec.uni[natureza]"),"taxa.extra",
INDIRECT("rec.uni[empresa]"),AO$6)</f>
        <v>#REF!</v>
      </c>
      <c r="AP51" s="50">
        <v>0</v>
      </c>
    </row>
    <row r="52" spans="1:42" x14ac:dyDescent="0.25">
      <c r="A52" s="47">
        <v>45689</v>
      </c>
      <c r="B52" s="48">
        <f>COUNTIFS(
    [1]!estoque[empresa], B$6,
    [1]!estoque[Data da venda / reserva], "&gt;=" &amp; $A52,
    [1]!estoque[Data da venda / reserva], "&lt;"  &amp; EOMONTH($A52,0) + 1
)</f>
        <v>1</v>
      </c>
      <c r="C52" s="49">
        <f>SUMIFS([1]!in.rec[total],
[1]!in.rec[natureza],"pro.soluto",
[1]!in.rec[empresa],C$6,
[1]!in.rec[data.base],"&gt;="&amp;$A52,
[1]!in.rec[data.base],"&lt;"&amp;EOMONTH($A52,0)
)</f>
        <v>190388.95000000007</v>
      </c>
      <c r="D52" s="49" t="e">
        <f ca="1">SUMIFS([1]!rec.uni[2025-02-01],
INDIRECT("rec.uni[natureza]"),"repasse.cef.obra",
INDIRECT("rec.uni[empresa]"),D$6)</f>
        <v>#REF!</v>
      </c>
      <c r="E52" s="49" t="e">
        <f ca="1">SUMIFS([1]!rec.uni[2025-02-01],
INDIRECT("rec.uni[natureza]"),"repasse.cef.terreno",
INDIRECT("rec.uni[empresa]"),E$6)</f>
        <v>#REF!</v>
      </c>
      <c r="F52" s="49">
        <v>0</v>
      </c>
      <c r="G52" s="49" t="e">
        <f ca="1">SUMIFS([1]!rec.uni[2025-02-01],
INDIRECT("rec.uni[natureza]"),"taxa.extra",
INDIRECT("rec.uni[empresa]"),G$6)</f>
        <v>#REF!</v>
      </c>
      <c r="H52" s="50">
        <v>5623.76</v>
      </c>
      <c r="I52" s="48">
        <f>COUNTIFS(
    [1]!estoque[empresa], I$6,
    [1]!estoque[Data da venda / reserva], "&gt;=" &amp; $A52,
    [1]!estoque[Data da venda / reserva], "&lt;"  &amp; EOMONTH($A52,0) + 1
)</f>
        <v>1</v>
      </c>
      <c r="J52" s="49">
        <f>SUMIFS([1]!in.rec[total],
[1]!in.rec[natureza],"pro.soluto",
[1]!in.rec[empresa],J$6,
[1]!in.rec[data.base],"&gt;="&amp;$A52,
[1]!in.rec[data.base],"&lt;"&amp;EOMONTH($A52,0)
)</f>
        <v>755269.17000000016</v>
      </c>
      <c r="K52" s="49" t="e">
        <f ca="1">SUMIFS([1]!rec.uni[2025-02-01],
INDIRECT("rec.uni[natureza]"),"repasse.cef.obra",
INDIRECT("rec.uni[empresa]"),K$6)</f>
        <v>#REF!</v>
      </c>
      <c r="L52" s="49" t="e">
        <f ca="1">SUMIFS([1]!rec.uni[2025-02-01],
INDIRECT("rec.uni[natureza]"),"repasse.cef.terreno",
INDIRECT("rec.uni[empresa]"),L$6)</f>
        <v>#REF!</v>
      </c>
      <c r="M52" s="49">
        <v>0</v>
      </c>
      <c r="N52" s="49" t="e">
        <f ca="1">SUMIFS([1]!rec.uni[2025-02-01],
INDIRECT("rec.uni[natureza]"),"taxa.extra",
INDIRECT("rec.uni[empresa]"),N$6)</f>
        <v>#REF!</v>
      </c>
      <c r="O52" s="50">
        <v>0</v>
      </c>
      <c r="P52" s="48">
        <f>COUNTIFS(
    [1]!estoque[empresa], P$6,
    [1]!estoque[Data da venda / reserva], "&gt;=" &amp; $A52,
    [1]!estoque[Data da venda / reserva], "&lt;"  &amp; EOMONTH($A52,0) + 1
)</f>
        <v>1</v>
      </c>
      <c r="Q52" s="49">
        <f>SUMIFS([1]!in.rec[total],
[1]!in.rec[natureza],"pro.soluto",
[1]!in.rec[empresa],Q$6,
[1]!in.rec[data.base],"&gt;="&amp;$A52,
[1]!in.rec[data.base],"&lt;"&amp;EOMONTH($A52,0)
)</f>
        <v>130735.78000000003</v>
      </c>
      <c r="R52" s="49" t="e">
        <f ca="1">SUMIFS([1]!rec.uni[2025-02-01],
INDIRECT("rec.uni[natureza]"),"repasse.cef.obra",
INDIRECT("rec.uni[empresa]"),R$6)</f>
        <v>#REF!</v>
      </c>
      <c r="S52" s="49" t="e">
        <f ca="1">SUMIFS([1]!rec.uni[2025-02-01],
INDIRECT("rec.uni[natureza]"),"repasse.cef.terreno",
INDIRECT("rec.uni[empresa]"),S$6)</f>
        <v>#REF!</v>
      </c>
      <c r="T52" s="49">
        <v>0</v>
      </c>
      <c r="U52" s="49" t="e">
        <f ca="1">SUMIFS([1]!rec.uni[2025-02-01],
INDIRECT("rec.uni[natureza]"),"taxa.extra",
INDIRECT("rec.uni[empresa]"),U$6)</f>
        <v>#REF!</v>
      </c>
      <c r="V52" s="50">
        <v>8696.0999999999985</v>
      </c>
      <c r="W52" s="48">
        <f>COUNTIFS(
    [1]!estoque[empresa], W$6,
    [1]!estoque[Data da venda / reserva], "&gt;=" &amp; $A52,
    [1]!estoque[Data da venda / reserva], "&lt;"  &amp; EOMONTH($A52,0) + 1
)</f>
        <v>13</v>
      </c>
      <c r="X52" s="49">
        <f>SUMIFS([1]!in.rec[total],
[1]!in.rec[natureza],"pro.soluto",
[1]!in.rec[empresa],X$6,
[1]!in.rec[data.base],"&gt;="&amp;$A52,
[1]!in.rec[data.base],"&lt;"&amp;EOMONTH($A52,0)
)</f>
        <v>103890.95000000003</v>
      </c>
      <c r="Y52" s="49" t="e">
        <f ca="1">SUMIFS([1]!rec.uni[2025-02-01],
INDIRECT("rec.uni[natureza]"),"taxa.extra",
INDIRECT("rec.uni[empresa]"),Y$6)</f>
        <v>#REF!</v>
      </c>
      <c r="Z52" s="50">
        <v>8212.86</v>
      </c>
      <c r="AA52" s="48">
        <f>COUNTIFS(
    [1]!estoque[empresa], AA$6,
    [1]!estoque[Data da venda / reserva], "&gt;=" &amp; $A52,
    [1]!estoque[Data da venda / reserva], "&lt;"  &amp; EOMONTH($A52,0) + 1
)</f>
        <v>1</v>
      </c>
      <c r="AB52" s="49">
        <f>SUMIFS([1]!in.rec[total],
[1]!in.rec[natureza],"pro.soluto",
[1]!in.rec[empresa],AB$6,
[1]!in.rec[data.base],"&gt;="&amp;$A52,
[1]!in.rec[data.base],"&lt;"&amp;EOMONTH($A52,0)
)</f>
        <v>104866.88000000003</v>
      </c>
      <c r="AC52" s="49">
        <f>IF(
$A52&lt;=$A$1,
SUMIFS([1]!in.rec[total],
   [1]!in.rec[empresa],AC$6,
   [1]!in.rec[ele],"FIN",
   [1]!in.rec[data.pagamento],"&gt;="&amp;$A52,
   [1]!in.rec[data.pagamento],"&lt;"&amp;$A53
),
SUMIFS([1]!in.rec[total],
   [1]!in.rec[empresa],AC$6,
   [1]!in.rec[ele],"FIN",
   [1]!in.rec[data.vencimento],"&gt;="&amp;$A52,
   [1]!in.rec[data.vencimento],"&lt;"&amp;$A53
)
)</f>
        <v>0</v>
      </c>
      <c r="AD52" s="49" t="e">
        <f ca="1">SUMIFS([1]!rec.uni[2025-02-01],
INDIRECT("rec.uni[natureza]"),"taxa.extra",
INDIRECT("rec.uni[empresa]"),AD$6)</f>
        <v>#REF!</v>
      </c>
      <c r="AE52" s="50">
        <v>1591.66</v>
      </c>
      <c r="AF52" s="48">
        <f>COUNTIFS(
    [1]!estoque[empresa], AF$6,
    [1]!estoque[Data da venda / reserva], "&gt;=" &amp; $A52,
    [1]!estoque[Data da venda / reserva], "&lt;"  &amp; EOMONTH($A52,0) + 1
)</f>
        <v>2</v>
      </c>
      <c r="AG52" s="49">
        <f>SUMIFS([1]!in.rec[total],
[1]!in.rec[natureza],"pro.soluto",
[1]!in.rec[empresa],AG$6,
[1]!in.rec[data.base],"&gt;="&amp;$A52,
[1]!in.rec[data.base],"&lt;"&amp;EOMONTH($A52,0)
)</f>
        <v>313396.53000000009</v>
      </c>
      <c r="AH52" s="49" t="e">
        <f ca="1">SUMIFS([1]!rec.uni[2025-02-01],
INDIRECT("rec.uni[natureza]"),"repasse.cef.obra",
INDIRECT("rec.uni[empresa]"),AH$6)</f>
        <v>#REF!</v>
      </c>
      <c r="AI52" s="49" t="e">
        <f ca="1">SUMIFS([1]!rec.uni[2025-02-01],
INDIRECT("rec.uni[natureza]"),"repasse.cef.terreno",
INDIRECT("rec.uni[empresa]"),AI$6)</f>
        <v>#REF!</v>
      </c>
      <c r="AJ52" s="49">
        <v>0</v>
      </c>
      <c r="AK52" s="49" t="e">
        <f ca="1">SUMIFS([1]!rec.uni[2025-02-01],
INDIRECT("rec.uni[natureza]"),"taxa.extra",
INDIRECT("rec.uni[empresa]"),AK$6)</f>
        <v>#REF!</v>
      </c>
      <c r="AL52" s="50">
        <v>8641.02</v>
      </c>
      <c r="AM52" s="48">
        <f>COUNTIFS(
    [1]!estoque[empresa], AM$6,
    [1]!estoque[Data da venda / reserva], "&gt;=" &amp; $A52,
    [1]!estoque[Data da venda / reserva], "&lt;"  &amp; EOMONTH($A52,0) + 1
)</f>
        <v>0</v>
      </c>
      <c r="AN52" s="49">
        <f>SUMIFS([1]!in.rec[total],
[1]!in.rec[natureza],"pro.soluto",
[1]!in.rec[empresa],AN$6,
[1]!in.rec[data.base],"&gt;="&amp;$A52,
[1]!in.rec[data.base],"&lt;"&amp;EOMONTH($A52,0)
)</f>
        <v>0</v>
      </c>
      <c r="AO52" s="49" t="e">
        <f ca="1">SUMIFS([1]!rec.uni[2025-02-01],
INDIRECT("rec.uni[natureza]"),"taxa.extra",
INDIRECT("rec.uni[empresa]"),AO$6)</f>
        <v>#REF!</v>
      </c>
      <c r="AP52" s="50">
        <v>0</v>
      </c>
    </row>
    <row r="53" spans="1:42" x14ac:dyDescent="0.25">
      <c r="A53" s="47">
        <v>45717</v>
      </c>
      <c r="B53" s="48">
        <f>COUNTIFS(
    [1]!estoque[empresa], B$6,
    [1]!estoque[Data da venda / reserva], "&gt;=" &amp; $A53,
    [1]!estoque[Data da venda / reserva], "&lt;"  &amp; EOMONTH($A53,0) + 1
)</f>
        <v>0</v>
      </c>
      <c r="C53" s="49">
        <f>SUMIFS([1]!in.rec[total],
[1]!in.rec[natureza],"pro.soluto",
[1]!in.rec[empresa],C$6,
[1]!in.rec[data.base],"&gt;="&amp;$A53,
[1]!in.rec[data.base],"&lt;"&amp;EOMONTH($A53,0)
)</f>
        <v>181198.23999999996</v>
      </c>
      <c r="D53" s="49" t="e">
        <f ca="1">SUMIFS([1]!rec.uni[2025-03-01],
INDIRECT("rec.uni[natureza]"),"repasse.cef.obra",
INDIRECT("rec.uni[empresa]"),D$6)</f>
        <v>#REF!</v>
      </c>
      <c r="E53" s="49" t="e">
        <f ca="1">SUMIFS([1]!rec.uni[2025-03-01],
INDIRECT("rec.uni[natureza]"),"repasse.cef.terreno",
INDIRECT("rec.uni[empresa]"),E$6)</f>
        <v>#REF!</v>
      </c>
      <c r="F53" s="49">
        <v>385006.39</v>
      </c>
      <c r="G53" s="49" t="e">
        <f ca="1">SUMIFS([1]!rec.uni[2025-03-01],
INDIRECT("rec.uni[natureza]"),"taxa.extra",
INDIRECT("rec.uni[empresa]"),G$6)</f>
        <v>#REF!</v>
      </c>
      <c r="H53" s="50">
        <v>17543.36</v>
      </c>
      <c r="I53" s="48">
        <f>COUNTIFS(
    [1]!estoque[empresa], I$6,
    [1]!estoque[Data da venda / reserva], "&gt;=" &amp; $A53,
    [1]!estoque[Data da venda / reserva], "&lt;"  &amp; EOMONTH($A53,0) + 1
)</f>
        <v>0</v>
      </c>
      <c r="J53" s="49">
        <f>SUMIFS([1]!in.rec[total],
[1]!in.rec[natureza],"pro.soluto",
[1]!in.rec[empresa],J$6,
[1]!in.rec[data.base],"&gt;="&amp;$A53,
[1]!in.rec[data.base],"&lt;"&amp;EOMONTH($A53,0)
)</f>
        <v>95420.039999999979</v>
      </c>
      <c r="K53" s="49" t="e">
        <f ca="1">SUMIFS([1]!rec.uni[2025-03-01],
INDIRECT("rec.uni[natureza]"),"repasse.cef.obra",
INDIRECT("rec.uni[empresa]"),K$6)</f>
        <v>#REF!</v>
      </c>
      <c r="L53" s="49" t="e">
        <f ca="1">SUMIFS([1]!rec.uni[2025-03-01],
INDIRECT("rec.uni[natureza]"),"repasse.cef.terreno",
INDIRECT("rec.uni[empresa]"),L$6)</f>
        <v>#REF!</v>
      </c>
      <c r="M53" s="49">
        <v>0</v>
      </c>
      <c r="N53" s="49" t="e">
        <f ca="1">SUMIFS([1]!rec.uni[2025-03-01],
INDIRECT("rec.uni[natureza]"),"taxa.extra",
INDIRECT("rec.uni[empresa]"),N$6)</f>
        <v>#REF!</v>
      </c>
      <c r="O53" s="50">
        <v>0</v>
      </c>
      <c r="P53" s="48">
        <f>COUNTIFS(
    [1]!estoque[empresa], P$6,
    [1]!estoque[Data da venda / reserva], "&gt;=" &amp; $A53,
    [1]!estoque[Data da venda / reserva], "&lt;"  &amp; EOMONTH($A53,0) + 1
)</f>
        <v>0</v>
      </c>
      <c r="Q53" s="49">
        <f>SUMIFS([1]!in.rec[total],
[1]!in.rec[natureza],"pro.soluto",
[1]!in.rec[empresa],Q$6,
[1]!in.rec[data.base],"&gt;="&amp;$A53,
[1]!in.rec[data.base],"&lt;"&amp;EOMONTH($A53,0)
)</f>
        <v>127222.8100000001</v>
      </c>
      <c r="R53" s="49" t="e">
        <f ca="1">SUMIFS([1]!rec.uni[2025-03-01],
INDIRECT("rec.uni[natureza]"),"repasse.cef.obra",
INDIRECT("rec.uni[empresa]"),R$6)</f>
        <v>#REF!</v>
      </c>
      <c r="S53" s="49" t="e">
        <f ca="1">SUMIFS([1]!rec.uni[2025-03-01],
INDIRECT("rec.uni[natureza]"),"repasse.cef.terreno",
INDIRECT("rec.uni[empresa]"),S$6)</f>
        <v>#REF!</v>
      </c>
      <c r="T53" s="49">
        <v>0</v>
      </c>
      <c r="U53" s="49" t="e">
        <f ca="1">SUMIFS([1]!rec.uni[2025-03-01],
INDIRECT("rec.uni[natureza]"),"taxa.extra",
INDIRECT("rec.uni[empresa]"),U$6)</f>
        <v>#REF!</v>
      </c>
      <c r="V53" s="50">
        <v>8461.32</v>
      </c>
      <c r="W53" s="48">
        <f>COUNTIFS(
    [1]!estoque[empresa], W$6,
    [1]!estoque[Data da venda / reserva], "&gt;=" &amp; $A53,
    [1]!estoque[Data da venda / reserva], "&lt;"  &amp; EOMONTH($A53,0) + 1
)</f>
        <v>2</v>
      </c>
      <c r="X53" s="49">
        <f>SUMIFS([1]!in.rec[total],
[1]!in.rec[natureza],"pro.soluto",
[1]!in.rec[empresa],X$6,
[1]!in.rec[data.base],"&gt;="&amp;$A53,
[1]!in.rec[data.base],"&lt;"&amp;EOMONTH($A53,0)
)</f>
        <v>58779.909999999996</v>
      </c>
      <c r="Y53" s="49" t="e">
        <f ca="1">SUMIFS([1]!rec.uni[2025-03-01],
INDIRECT("rec.uni[natureza]"),"taxa.extra",
INDIRECT("rec.uni[empresa]"),Y$6)</f>
        <v>#REF!</v>
      </c>
      <c r="Z53" s="50">
        <v>5622.87</v>
      </c>
      <c r="AA53" s="48">
        <f>COUNTIFS(
    [1]!estoque[empresa], AA$6,
    [1]!estoque[Data da venda / reserva], "&gt;=" &amp; $A53,
    [1]!estoque[Data da venda / reserva], "&lt;"  &amp; EOMONTH($A53,0) + 1
)</f>
        <v>0</v>
      </c>
      <c r="AB53" s="49">
        <f>SUMIFS([1]!in.rec[total],
[1]!in.rec[natureza],"pro.soluto",
[1]!in.rec[empresa],AB$6,
[1]!in.rec[data.base],"&gt;="&amp;$A53,
[1]!in.rec[data.base],"&lt;"&amp;EOMONTH($A53,0)
)</f>
        <v>255149.28</v>
      </c>
      <c r="AC53" s="49">
        <f>IF(
$A53&lt;=$A$1,
SUMIFS([1]!in.rec[total],
   [1]!in.rec[empresa],AC$6,
   [1]!in.rec[ele],"FIN",
   [1]!in.rec[data.pagamento],"&gt;="&amp;$A53,
   [1]!in.rec[data.pagamento],"&lt;"&amp;$A54
),
SUMIFS([1]!in.rec[total],
   [1]!in.rec[empresa],AC$6,
   [1]!in.rec[ele],"FIN",
   [1]!in.rec[data.vencimento],"&gt;="&amp;$A53,
   [1]!in.rec[data.vencimento],"&lt;"&amp;$A54
)
)</f>
        <v>0</v>
      </c>
      <c r="AD53" s="49" t="e">
        <f ca="1">SUMIFS([1]!rec.uni[2025-03-01],
INDIRECT("rec.uni[natureza]"),"taxa.extra",
INDIRECT("rec.uni[empresa]"),AD$6)</f>
        <v>#REF!</v>
      </c>
      <c r="AE53" s="50">
        <v>1604.87</v>
      </c>
      <c r="AF53" s="48">
        <f>COUNTIFS(
    [1]!estoque[empresa], AF$6,
    [1]!estoque[Data da venda / reserva], "&gt;=" &amp; $A53,
    [1]!estoque[Data da venda / reserva], "&lt;"  &amp; EOMONTH($A53,0) + 1
)</f>
        <v>0</v>
      </c>
      <c r="AG53" s="49">
        <f>SUMIFS([1]!in.rec[total],
[1]!in.rec[natureza],"pro.soluto",
[1]!in.rec[empresa],AG$6,
[1]!in.rec[data.base],"&gt;="&amp;$A53,
[1]!in.rec[data.base],"&lt;"&amp;EOMONTH($A53,0)
)</f>
        <v>326553.52999999997</v>
      </c>
      <c r="AH53" s="49" t="e">
        <f ca="1">SUMIFS([1]!rec.uni[2025-03-01],
INDIRECT("rec.uni[natureza]"),"repasse.cef.obra",
INDIRECT("rec.uni[empresa]"),AH$6)</f>
        <v>#REF!</v>
      </c>
      <c r="AI53" s="49" t="e">
        <f ca="1">SUMIFS([1]!rec.uni[2025-03-01],
INDIRECT("rec.uni[natureza]"),"repasse.cef.terreno",
INDIRECT("rec.uni[empresa]"),AI$6)</f>
        <v>#REF!</v>
      </c>
      <c r="AJ53" s="49">
        <v>236708.67</v>
      </c>
      <c r="AK53" s="49" t="e">
        <f ca="1">SUMIFS([1]!rec.uni[2025-03-01],
INDIRECT("rec.uni[natureza]"),"taxa.extra",
INDIRECT("rec.uni[empresa]"),AK$6)</f>
        <v>#REF!</v>
      </c>
      <c r="AL53" s="50">
        <v>4066.4500000000003</v>
      </c>
      <c r="AM53" s="48">
        <f>COUNTIFS(
    [1]!estoque[empresa], AM$6,
    [1]!estoque[Data da venda / reserva], "&gt;=" &amp; $A53,
    [1]!estoque[Data da venda / reserva], "&lt;"  &amp; EOMONTH($A53,0) + 1
)</f>
        <v>0</v>
      </c>
      <c r="AN53" s="49">
        <f>SUMIFS([1]!in.rec[total],
[1]!in.rec[natureza],"pro.soluto",
[1]!in.rec[empresa],AN$6,
[1]!in.rec[data.base],"&gt;="&amp;$A53,
[1]!in.rec[data.base],"&lt;"&amp;EOMONTH($A53,0)
)</f>
        <v>0</v>
      </c>
      <c r="AO53" s="49" t="e">
        <f ca="1">SUMIFS([1]!rec.uni[2025-03-01],
INDIRECT("rec.uni[natureza]"),"taxa.extra",
INDIRECT("rec.uni[empresa]"),AO$6)</f>
        <v>#REF!</v>
      </c>
      <c r="AP53" s="50">
        <v>0</v>
      </c>
    </row>
    <row r="54" spans="1:42" x14ac:dyDescent="0.25">
      <c r="A54" s="47">
        <v>45748</v>
      </c>
      <c r="B54" s="48">
        <f>COUNTIFS(
    [1]!estoque[empresa], B$6,
    [1]!estoque[Data da venda / reserva], "&gt;=" &amp; $A54,
    [1]!estoque[Data da venda / reserva], "&lt;"  &amp; EOMONTH($A54,0) + 1
)</f>
        <v>1</v>
      </c>
      <c r="C54" s="49">
        <f>SUMIFS([1]!in.rec[total],
[1]!in.rec[natureza],"pro.soluto",
[1]!in.rec[empresa],C$6,
[1]!in.rec[data.base],"&gt;="&amp;$A54,
[1]!in.rec[data.base],"&lt;"&amp;EOMONTH($A54,0)
)</f>
        <v>171317.11999999994</v>
      </c>
      <c r="D54" s="49" t="e">
        <f ca="1">SUMIFS([1]!rec.uni[2025-04-01],
INDIRECT("rec.uni[natureza]"),"repasse.cef.obra",
INDIRECT("rec.uni[empresa]"),D$6)</f>
        <v>#REF!</v>
      </c>
      <c r="E54" s="49" t="e">
        <f ca="1">SUMIFS([1]!rec.uni[2025-04-01],
INDIRECT("rec.uni[natureza]"),"repasse.cef.terreno",
INDIRECT("rec.uni[empresa]"),E$6)</f>
        <v>#REF!</v>
      </c>
      <c r="F54" s="49">
        <v>223853.73</v>
      </c>
      <c r="G54" s="49" t="e">
        <f ca="1">SUMIFS([1]!rec.uni[2025-04-01],
INDIRECT("rec.uni[natureza]"),"taxa.extra",
INDIRECT("rec.uni[empresa]"),G$6)</f>
        <v>#REF!</v>
      </c>
      <c r="H54" s="50">
        <v>7407.5</v>
      </c>
      <c r="I54" s="48">
        <f>COUNTIFS(
    [1]!estoque[empresa], I$6,
    [1]!estoque[Data da venda / reserva], "&gt;=" &amp; $A54,
    [1]!estoque[Data da venda / reserva], "&lt;"  &amp; EOMONTH($A54,0) + 1
)</f>
        <v>0</v>
      </c>
      <c r="J54" s="49">
        <f>SUMIFS([1]!in.rec[total],
[1]!in.rec[natureza],"pro.soluto",
[1]!in.rec[empresa],J$6,
[1]!in.rec[data.base],"&gt;="&amp;$A54,
[1]!in.rec[data.base],"&lt;"&amp;EOMONTH($A54,0)
)</f>
        <v>70515.040000000008</v>
      </c>
      <c r="K54" s="49" t="e">
        <f ca="1">SUMIFS([1]!rec.uni[2025-04-01],
INDIRECT("rec.uni[natureza]"),"repasse.cef.obra",
INDIRECT("rec.uni[empresa]"),K$6)</f>
        <v>#REF!</v>
      </c>
      <c r="L54" s="49" t="e">
        <f ca="1">SUMIFS([1]!rec.uni[2025-04-01],
INDIRECT("rec.uni[natureza]"),"repasse.cef.terreno",
INDIRECT("rec.uni[empresa]"),L$6)</f>
        <v>#REF!</v>
      </c>
      <c r="M54" s="49">
        <v>0</v>
      </c>
      <c r="N54" s="49" t="e">
        <f ca="1">SUMIFS([1]!rec.uni[2025-04-01],
INDIRECT("rec.uni[natureza]"),"taxa.extra",
INDIRECT("rec.uni[empresa]"),N$6)</f>
        <v>#REF!</v>
      </c>
      <c r="O54" s="50">
        <v>0</v>
      </c>
      <c r="P54" s="48">
        <f>COUNTIFS(
    [1]!estoque[empresa], P$6,
    [1]!estoque[Data da venda / reserva], "&gt;=" &amp; $A54,
    [1]!estoque[Data da venda / reserva], "&lt;"  &amp; EOMONTH($A54,0) + 1
)</f>
        <v>0</v>
      </c>
      <c r="Q54" s="49">
        <f>SUMIFS([1]!in.rec[total],
[1]!in.rec[natureza],"pro.soluto",
[1]!in.rec[empresa],Q$6,
[1]!in.rec[data.base],"&gt;="&amp;$A54,
[1]!in.rec[data.base],"&lt;"&amp;EOMONTH($A54,0)
)</f>
        <v>140662.06999999995</v>
      </c>
      <c r="R54" s="49" t="e">
        <f ca="1">SUMIFS([1]!rec.uni[2025-04-01],
INDIRECT("rec.uni[natureza]"),"repasse.cef.obra",
INDIRECT("rec.uni[empresa]"),R$6)</f>
        <v>#REF!</v>
      </c>
      <c r="S54" s="49" t="e">
        <f ca="1">SUMIFS([1]!rec.uni[2025-04-01],
INDIRECT("rec.uni[natureza]"),"repasse.cef.terreno",
INDIRECT("rec.uni[empresa]"),S$6)</f>
        <v>#REF!</v>
      </c>
      <c r="T54" s="49">
        <v>0</v>
      </c>
      <c r="U54" s="49" t="e">
        <f ca="1">SUMIFS([1]!rec.uni[2025-04-01],
INDIRECT("rec.uni[natureza]"),"taxa.extra",
INDIRECT("rec.uni[empresa]"),U$6)</f>
        <v>#REF!</v>
      </c>
      <c r="V54" s="50">
        <v>7284.98</v>
      </c>
      <c r="W54" s="48">
        <f>COUNTIFS(
    [1]!estoque[empresa], W$6,
    [1]!estoque[Data da venda / reserva], "&gt;=" &amp; $A54,
    [1]!estoque[Data da venda / reserva], "&lt;"  &amp; EOMONTH($A54,0) + 1
)</f>
        <v>5</v>
      </c>
      <c r="X54" s="49">
        <f>SUMIFS([1]!in.rec[total],
[1]!in.rec[natureza],"pro.soluto",
[1]!in.rec[empresa],X$6,
[1]!in.rec[data.base],"&gt;="&amp;$A54,
[1]!in.rec[data.base],"&lt;"&amp;EOMONTH($A54,0)
)</f>
        <v>54710.080000000002</v>
      </c>
      <c r="Y54" s="49" t="e">
        <f ca="1">SUMIFS([1]!rec.uni[2025-04-01],
INDIRECT("rec.uni[natureza]"),"taxa.extra",
INDIRECT("rec.uni[empresa]"),Y$6)</f>
        <v>#REF!</v>
      </c>
      <c r="Z54" s="50">
        <v>3629.2699999999995</v>
      </c>
      <c r="AA54" s="48">
        <f>COUNTIFS(
    [1]!estoque[empresa], AA$6,
    [1]!estoque[Data da venda / reserva], "&gt;=" &amp; $A54,
    [1]!estoque[Data da venda / reserva], "&lt;"  &amp; EOMONTH($A54,0) + 1
)</f>
        <v>0</v>
      </c>
      <c r="AB54" s="49">
        <f>SUMIFS([1]!in.rec[total],
[1]!in.rec[natureza],"pro.soluto",
[1]!in.rec[empresa],AB$6,
[1]!in.rec[data.base],"&gt;="&amp;$A54,
[1]!in.rec[data.base],"&lt;"&amp;EOMONTH($A54,0)
)</f>
        <v>152316.80000000002</v>
      </c>
      <c r="AC54" s="49">
        <f>IF(
$A54&lt;=$A$1,
SUMIFS([1]!in.rec[total],
   [1]!in.rec[empresa],AC$6,
   [1]!in.rec[ele],"FIN",
   [1]!in.rec[data.pagamento],"&gt;="&amp;$A54,
   [1]!in.rec[data.pagamento],"&lt;"&amp;$A55
),
SUMIFS([1]!in.rec[total],
   [1]!in.rec[empresa],AC$6,
   [1]!in.rec[ele],"FIN",
   [1]!in.rec[data.vencimento],"&gt;="&amp;$A54,
   [1]!in.rec[data.vencimento],"&lt;"&amp;$A55
)
)</f>
        <v>0</v>
      </c>
      <c r="AD54" s="49" t="e">
        <f ca="1">SUMIFS([1]!rec.uni[2025-04-01],
INDIRECT("rec.uni[natureza]"),"taxa.extra",
INDIRECT("rec.uni[empresa]"),AD$6)</f>
        <v>#REF!</v>
      </c>
      <c r="AE54" s="50">
        <v>1611.29</v>
      </c>
      <c r="AF54" s="48">
        <f>COUNTIFS(
    [1]!estoque[empresa], AF$6,
    [1]!estoque[Data da venda / reserva], "&gt;=" &amp; $A54,
    [1]!estoque[Data da venda / reserva], "&lt;"  &amp; EOMONTH($A54,0) + 1
)</f>
        <v>4</v>
      </c>
      <c r="AG54" s="49">
        <f>SUMIFS([1]!in.rec[total],
[1]!in.rec[natureza],"pro.soluto",
[1]!in.rec[empresa],AG$6,
[1]!in.rec[data.base],"&gt;="&amp;$A54,
[1]!in.rec[data.base],"&lt;"&amp;EOMONTH($A54,0)
)</f>
        <v>414329.52000000019</v>
      </c>
      <c r="AH54" s="49" t="e">
        <f ca="1">SUMIFS([1]!rec.uni[2025-04-01],
INDIRECT("rec.uni[natureza]"),"repasse.cef.obra",
INDIRECT("rec.uni[empresa]"),AH$6)</f>
        <v>#REF!</v>
      </c>
      <c r="AI54" s="49" t="e">
        <f ca="1">SUMIFS([1]!rec.uni[2025-04-01],
INDIRECT("rec.uni[natureza]"),"repasse.cef.terreno",
INDIRECT("rec.uni[empresa]"),AI$6)</f>
        <v>#REF!</v>
      </c>
      <c r="AJ54" s="49">
        <v>273233.02</v>
      </c>
      <c r="AK54" s="49" t="e">
        <f ca="1">SUMIFS([1]!rec.uni[2025-04-01],
INDIRECT("rec.uni[natureza]"),"taxa.extra",
INDIRECT("rec.uni[empresa]"),AK$6)</f>
        <v>#REF!</v>
      </c>
      <c r="AL54" s="50">
        <v>1705.3799999999999</v>
      </c>
      <c r="AM54" s="48">
        <f>COUNTIFS(
    [1]!estoque[empresa], AM$6,
    [1]!estoque[Data da venda / reserva], "&gt;=" &amp; $A54,
    [1]!estoque[Data da venda / reserva], "&lt;"  &amp; EOMONTH($A54,0) + 1
)</f>
        <v>0</v>
      </c>
      <c r="AN54" s="49">
        <f>SUMIFS([1]!in.rec[total],
[1]!in.rec[natureza],"pro.soluto",
[1]!in.rec[empresa],AN$6,
[1]!in.rec[data.base],"&gt;="&amp;$A54,
[1]!in.rec[data.base],"&lt;"&amp;EOMONTH($A54,0)
)</f>
        <v>0</v>
      </c>
      <c r="AO54" s="49" t="e">
        <f ca="1">SUMIFS([1]!rec.uni[2025-04-01],
INDIRECT("rec.uni[natureza]"),"taxa.extra",
INDIRECT("rec.uni[empresa]"),AO$6)</f>
        <v>#REF!</v>
      </c>
      <c r="AP54" s="50">
        <v>0</v>
      </c>
    </row>
    <row r="55" spans="1:42" x14ac:dyDescent="0.25">
      <c r="A55" s="47">
        <v>45778</v>
      </c>
      <c r="B55" s="48">
        <f>COUNTIFS(
    [1]!estoque[empresa], B$6,
    [1]!estoque[Data da venda / reserva], "&gt;=" &amp; $A55,
    [1]!estoque[Data da venda / reserva], "&lt;"  &amp; EOMONTH($A55,0) + 1
)</f>
        <v>0</v>
      </c>
      <c r="C55" s="49">
        <f>SUMIFS([1]!in.rec[total],
[1]!in.rec[natureza],"pro.soluto",
[1]!in.rec[empresa],C$6,
[1]!in.rec[data.base],"&gt;="&amp;$A55,
[1]!in.rec[data.base],"&lt;"&amp;EOMONTH($A55,0)
)</f>
        <v>178264.6</v>
      </c>
      <c r="D55" s="49" t="e">
        <f ca="1">SUMIFS([1]!rec.uni[2025-05-01],
INDIRECT("rec.uni[natureza]"),"repasse.cef.obra",
INDIRECT("rec.uni[empresa]"),D$6)</f>
        <v>#REF!</v>
      </c>
      <c r="E55" s="49" t="e">
        <f ca="1">SUMIFS([1]!rec.uni[2025-05-01],
INDIRECT("rec.uni[natureza]"),"repasse.cef.terreno",
INDIRECT("rec.uni[empresa]"),E$6)</f>
        <v>#REF!</v>
      </c>
      <c r="F55" s="49">
        <v>134752.4</v>
      </c>
      <c r="G55" s="49" t="e">
        <f ca="1">SUMIFS([1]!rec.uni[2025-05-01],
INDIRECT("rec.uni[natureza]"),"taxa.extra",
INDIRECT("rec.uni[empresa]"),G$6)</f>
        <v>#REF!</v>
      </c>
      <c r="H55" s="50">
        <v>8243.9599999999991</v>
      </c>
      <c r="I55" s="48">
        <f>COUNTIFS(
    [1]!estoque[empresa], I$6,
    [1]!estoque[Data da venda / reserva], "&gt;=" &amp; $A55,
    [1]!estoque[Data da venda / reserva], "&lt;"  &amp; EOMONTH($A55,0) + 1
)</f>
        <v>0</v>
      </c>
      <c r="J55" s="49">
        <f>SUMIFS([1]!in.rec[total],
[1]!in.rec[natureza],"pro.soluto",
[1]!in.rec[empresa],J$6,
[1]!in.rec[data.base],"&gt;="&amp;$A55,
[1]!in.rec[data.base],"&lt;"&amp;EOMONTH($A55,0)
)</f>
        <v>176879.57</v>
      </c>
      <c r="K55" s="49" t="e">
        <f ca="1">SUMIFS([1]!rec.uni[2025-05-01],
INDIRECT("rec.uni[natureza]"),"repasse.cef.obra",
INDIRECT("rec.uni[empresa]"),K$6)</f>
        <v>#REF!</v>
      </c>
      <c r="L55" s="49" t="e">
        <f ca="1">SUMIFS([1]!rec.uni[2025-05-01],
INDIRECT("rec.uni[natureza]"),"repasse.cef.terreno",
INDIRECT("rec.uni[empresa]"),L$6)</f>
        <v>#REF!</v>
      </c>
      <c r="M55" s="49">
        <v>0</v>
      </c>
      <c r="N55" s="49" t="e">
        <f ca="1">SUMIFS([1]!rec.uni[2025-05-01],
INDIRECT("rec.uni[natureza]"),"taxa.extra",
INDIRECT("rec.uni[empresa]"),N$6)</f>
        <v>#REF!</v>
      </c>
      <c r="O55" s="50">
        <v>0</v>
      </c>
      <c r="P55" s="48">
        <f>COUNTIFS(
    [1]!estoque[empresa], P$6,
    [1]!estoque[Data da venda / reserva], "&gt;=" &amp; $A55,
    [1]!estoque[Data da venda / reserva], "&lt;"  &amp; EOMONTH($A55,0) + 1
)</f>
        <v>1</v>
      </c>
      <c r="Q55" s="49">
        <f>SUMIFS([1]!in.rec[total],
[1]!in.rec[natureza],"pro.soluto",
[1]!in.rec[empresa],Q$6,
[1]!in.rec[data.base],"&gt;="&amp;$A55,
[1]!in.rec[data.base],"&lt;"&amp;EOMONTH($A55,0)
)</f>
        <v>195167.81999999998</v>
      </c>
      <c r="R55" s="49" t="e">
        <f ca="1">SUMIFS([1]!rec.uni[2025-05-01],
INDIRECT("rec.uni[natureza]"),"repasse.cef.obra",
INDIRECT("rec.uni[empresa]"),R$6)</f>
        <v>#REF!</v>
      </c>
      <c r="S55" s="49" t="e">
        <f ca="1">SUMIFS([1]!rec.uni[2025-05-01],
INDIRECT("rec.uni[natureza]"),"repasse.cef.terreno",
INDIRECT("rec.uni[empresa]"),S$6)</f>
        <v>#REF!</v>
      </c>
      <c r="T55" s="49">
        <v>0</v>
      </c>
      <c r="U55" s="49" t="e">
        <f ca="1">SUMIFS([1]!rec.uni[2025-05-01],
INDIRECT("rec.uni[natureza]"),"taxa.extra",
INDIRECT("rec.uni[empresa]"),U$6)</f>
        <v>#REF!</v>
      </c>
      <c r="V55" s="50">
        <v>6192.8</v>
      </c>
      <c r="W55" s="48">
        <f>COUNTIFS(
    [1]!estoque[empresa], W$6,
    [1]!estoque[Data da venda / reserva], "&gt;=" &amp; $A55,
    [1]!estoque[Data da venda / reserva], "&lt;"  &amp; EOMONTH($A55,0) + 1
)</f>
        <v>7</v>
      </c>
      <c r="X55" s="49">
        <f>SUMIFS([1]!in.rec[total],
[1]!in.rec[natureza],"pro.soluto",
[1]!in.rec[empresa],X$6,
[1]!in.rec[data.base],"&gt;="&amp;$A55,
[1]!in.rec[data.base],"&lt;"&amp;EOMONTH($A55,0)
)</f>
        <v>66102.699999999968</v>
      </c>
      <c r="Y55" s="49" t="e">
        <f ca="1">SUMIFS([1]!rec.uni[2025-05-01],
INDIRECT("rec.uni[natureza]"),"taxa.extra",
INDIRECT("rec.uni[empresa]"),Y$6)</f>
        <v>#REF!</v>
      </c>
      <c r="Z55" s="50">
        <v>3825.14</v>
      </c>
      <c r="AA55" s="48">
        <f>COUNTIFS(
    [1]!estoque[empresa], AA$6,
    [1]!estoque[Data da venda / reserva], "&gt;=" &amp; $A55,
    [1]!estoque[Data da venda / reserva], "&lt;"  &amp; EOMONTH($A55,0) + 1
)</f>
        <v>0</v>
      </c>
      <c r="AB55" s="49">
        <f>SUMIFS([1]!in.rec[total],
[1]!in.rec[natureza],"pro.soluto",
[1]!in.rec[empresa],AB$6,
[1]!in.rec[data.base],"&gt;="&amp;$A55,
[1]!in.rec[data.base],"&lt;"&amp;EOMONTH($A55,0)
)</f>
        <v>117410.87000000002</v>
      </c>
      <c r="AC55" s="49">
        <f>IF(
$A55&lt;=$A$1,
SUMIFS([1]!in.rec[total],
   [1]!in.rec[empresa],AC$6,
   [1]!in.rec[ele],"FIN",
   [1]!in.rec[data.pagamento],"&gt;="&amp;$A55,
   [1]!in.rec[data.pagamento],"&lt;"&amp;$A56
),
SUMIFS([1]!in.rec[total],
   [1]!in.rec[empresa],AC$6,
   [1]!in.rec[ele],"FIN",
   [1]!in.rec[data.vencimento],"&gt;="&amp;$A55,
   [1]!in.rec[data.vencimento],"&lt;"&amp;$A56
)
)</f>
        <v>0</v>
      </c>
      <c r="AD55" s="49" t="e">
        <f ca="1">SUMIFS([1]!rec.uni[2025-05-01],
INDIRECT("rec.uni[natureza]"),"taxa.extra",
INDIRECT("rec.uni[empresa]"),AD$6)</f>
        <v>#REF!</v>
      </c>
      <c r="AE55" s="50">
        <v>1617.57</v>
      </c>
      <c r="AF55" s="48">
        <f>COUNTIFS(
    [1]!estoque[empresa], AF$6,
    [1]!estoque[Data da venda / reserva], "&gt;=" &amp; $A55,
    [1]!estoque[Data da venda / reserva], "&lt;"  &amp; EOMONTH($A55,0) + 1
)</f>
        <v>1</v>
      </c>
      <c r="AG55" s="49">
        <f>SUMIFS([1]!in.rec[total],
[1]!in.rec[natureza],"pro.soluto",
[1]!in.rec[empresa],AG$6,
[1]!in.rec[data.base],"&gt;="&amp;$A55,
[1]!in.rec[data.base],"&lt;"&amp;EOMONTH($A55,0)
)</f>
        <v>307019.05999999994</v>
      </c>
      <c r="AH55" s="49" t="e">
        <f ca="1">SUMIFS([1]!rec.uni[2025-05-01],
INDIRECT("rec.uni[natureza]"),"repasse.cef.obra",
INDIRECT("rec.uni[empresa]"),AH$6)</f>
        <v>#REF!</v>
      </c>
      <c r="AI55" s="49" t="e">
        <f ca="1">SUMIFS([1]!rec.uni[2025-05-01],
INDIRECT("rec.uni[natureza]"),"repasse.cef.terreno",
INDIRECT("rec.uni[empresa]"),AI$6)</f>
        <v>#REF!</v>
      </c>
      <c r="AJ55" s="49">
        <v>0</v>
      </c>
      <c r="AK55" s="49" t="e">
        <f ca="1">SUMIFS([1]!rec.uni[2025-05-01],
INDIRECT("rec.uni[natureza]"),"taxa.extra",
INDIRECT("rec.uni[empresa]"),AK$6)</f>
        <v>#REF!</v>
      </c>
      <c r="AL55" s="50">
        <v>1356.34</v>
      </c>
      <c r="AM55" s="48">
        <f>COUNTIFS(
    [1]!estoque[empresa], AM$6,
    [1]!estoque[Data da venda / reserva], "&gt;=" &amp; $A55,
    [1]!estoque[Data da venda / reserva], "&lt;"  &amp; EOMONTH($A55,0) + 1
)</f>
        <v>0</v>
      </c>
      <c r="AN55" s="49">
        <f>SUMIFS([1]!in.rec[total],
[1]!in.rec[natureza],"pro.soluto",
[1]!in.rec[empresa],AN$6,
[1]!in.rec[data.base],"&gt;="&amp;$A55,
[1]!in.rec[data.base],"&lt;"&amp;EOMONTH($A55,0)
)</f>
        <v>0</v>
      </c>
      <c r="AO55" s="49" t="e">
        <f ca="1">SUMIFS([1]!rec.uni[2025-05-01],
INDIRECT("rec.uni[natureza]"),"taxa.extra",
INDIRECT("rec.uni[empresa]"),AO$6)</f>
        <v>#REF!</v>
      </c>
      <c r="AP55" s="50">
        <v>0</v>
      </c>
    </row>
    <row r="56" spans="1:42" x14ac:dyDescent="0.25">
      <c r="A56" s="47">
        <v>45809</v>
      </c>
      <c r="B56" s="48">
        <f>COUNTIFS(
    [1]!estoque[empresa], B$6,
    [1]!estoque[Data da venda / reserva], "&gt;=" &amp; $A56,
    [1]!estoque[Data da venda / reserva], "&lt;"  &amp; EOMONTH($A56,0) + 1
)</f>
        <v>0</v>
      </c>
      <c r="C56" s="49">
        <f>SUMIFS([1]!in.rec[total],
[1]!in.rec[natureza],"pro.soluto",
[1]!in.rec[empresa],C$6,
[1]!in.rec[data.base],"&gt;="&amp;$A56,
[1]!in.rec[data.base],"&lt;"&amp;EOMONTH($A56,0)
)</f>
        <v>212298.86999999994</v>
      </c>
      <c r="D56" s="49" t="e">
        <f ca="1">SUMIFS([1]!rec.uni[2025-06-01],
INDIRECT("rec.uni[natureza]"),"repasse.cef.obra",
INDIRECT("rec.uni[empresa]"),D$6)</f>
        <v>#REF!</v>
      </c>
      <c r="E56" s="49" t="e">
        <f ca="1">SUMIFS([1]!rec.uni[2025-06-01],
INDIRECT("rec.uni[natureza]"),"repasse.cef.terreno",
INDIRECT("rec.uni[empresa]"),E$6)</f>
        <v>#REF!</v>
      </c>
      <c r="F56" s="49">
        <v>289304.8</v>
      </c>
      <c r="G56" s="49" t="e">
        <f ca="1">SUMIFS([1]!rec.uni[2025-06-01],
INDIRECT("rec.uni[natureza]"),"taxa.extra",
INDIRECT("rec.uni[empresa]"),G$6)</f>
        <v>#REF!</v>
      </c>
      <c r="H56" s="50">
        <v>3547.13</v>
      </c>
      <c r="I56" s="48">
        <f>COUNTIFS(
    [1]!estoque[empresa], I$6,
    [1]!estoque[Data da venda / reserva], "&gt;=" &amp; $A56,
    [1]!estoque[Data da venda / reserva], "&lt;"  &amp; EOMONTH($A56,0) + 1
)</f>
        <v>0</v>
      </c>
      <c r="J56" s="49">
        <f>SUMIFS([1]!in.rec[total],
[1]!in.rec[natureza],"pro.soluto",
[1]!in.rec[empresa],J$6,
[1]!in.rec[data.base],"&gt;="&amp;$A56,
[1]!in.rec[data.base],"&lt;"&amp;EOMONTH($A56,0)
)</f>
        <v>43286.43</v>
      </c>
      <c r="K56" s="49" t="e">
        <f ca="1">SUMIFS([1]!rec.uni[2025-06-01],
INDIRECT("rec.uni[natureza]"),"repasse.cef.obra",
INDIRECT("rec.uni[empresa]"),K$6)</f>
        <v>#REF!</v>
      </c>
      <c r="L56" s="49" t="e">
        <f ca="1">SUMIFS([1]!rec.uni[2025-06-01],
INDIRECT("rec.uni[natureza]"),"repasse.cef.terreno",
INDIRECT("rec.uni[empresa]"),L$6)</f>
        <v>#REF!</v>
      </c>
      <c r="M56" s="49">
        <v>0</v>
      </c>
      <c r="N56" s="49" t="e">
        <f ca="1">SUMIFS([1]!rec.uni[2025-06-01],
INDIRECT("rec.uni[natureza]"),"taxa.extra",
INDIRECT("rec.uni[empresa]"),N$6)</f>
        <v>#REF!</v>
      </c>
      <c r="O56" s="50">
        <v>466626.72</v>
      </c>
      <c r="P56" s="48">
        <f>COUNTIFS(
    [1]!estoque[empresa], P$6,
    [1]!estoque[Data da venda / reserva], "&gt;=" &amp; $A56,
    [1]!estoque[Data da venda / reserva], "&lt;"  &amp; EOMONTH($A56,0) + 1
)</f>
        <v>1</v>
      </c>
      <c r="Q56" s="49">
        <f>SUMIFS([1]!in.rec[total],
[1]!in.rec[natureza],"pro.soluto",
[1]!in.rec[empresa],Q$6,
[1]!in.rec[data.base],"&gt;="&amp;$A56,
[1]!in.rec[data.base],"&lt;"&amp;EOMONTH($A56,0)
)</f>
        <v>136404.20999999996</v>
      </c>
      <c r="R56" s="49" t="e">
        <f ca="1">SUMIFS([1]!rec.uni[2025-06-01],
INDIRECT("rec.uni[natureza]"),"repasse.cef.obra",
INDIRECT("rec.uni[empresa]"),R$6)</f>
        <v>#REF!</v>
      </c>
      <c r="S56" s="49" t="e">
        <f ca="1">SUMIFS([1]!rec.uni[2025-06-01],
INDIRECT("rec.uni[natureza]"),"repasse.cef.terreno",
INDIRECT("rec.uni[empresa]"),S$6)</f>
        <v>#REF!</v>
      </c>
      <c r="T56" s="49">
        <v>0</v>
      </c>
      <c r="U56" s="49" t="e">
        <f ca="1">SUMIFS([1]!rec.uni[2025-06-01],
INDIRECT("rec.uni[natureza]"),"taxa.extra",
INDIRECT("rec.uni[empresa]"),U$6)</f>
        <v>#REF!</v>
      </c>
      <c r="V56" s="50">
        <v>5340.7900000000009</v>
      </c>
      <c r="W56" s="48">
        <f>COUNTIFS(
    [1]!estoque[empresa], W$6,
    [1]!estoque[Data da venda / reserva], "&gt;=" &amp; $A56,
    [1]!estoque[Data da venda / reserva], "&lt;"  &amp; EOMONTH($A56,0) + 1
)</f>
        <v>10</v>
      </c>
      <c r="X56" s="49">
        <f>SUMIFS([1]!in.rec[total],
[1]!in.rec[natureza],"pro.soluto",
[1]!in.rec[empresa],X$6,
[1]!in.rec[data.base],"&gt;="&amp;$A56,
[1]!in.rec[data.base],"&lt;"&amp;EOMONTH($A56,0)
)</f>
        <v>58502.410000000011</v>
      </c>
      <c r="Y56" s="49" t="e">
        <f ca="1">SUMIFS([1]!rec.uni[2025-06-01],
INDIRECT("rec.uni[natureza]"),"taxa.extra",
INDIRECT("rec.uni[empresa]"),Y$6)</f>
        <v>#REF!</v>
      </c>
      <c r="Z56" s="50">
        <v>3697.2</v>
      </c>
      <c r="AA56" s="48">
        <f>COUNTIFS(
    [1]!estoque[empresa], AA$6,
    [1]!estoque[Data da venda / reserva], "&gt;=" &amp; $A56,
    [1]!estoque[Data da venda / reserva], "&lt;"  &amp; EOMONTH($A56,0) + 1
)</f>
        <v>1</v>
      </c>
      <c r="AB56" s="49">
        <f>SUMIFS([1]!in.rec[total],
[1]!in.rec[natureza],"pro.soluto",
[1]!in.rec[empresa],AB$6,
[1]!in.rec[data.base],"&gt;="&amp;$A56,
[1]!in.rec[data.base],"&lt;"&amp;EOMONTH($A56,0)
)</f>
        <v>656343.76999999955</v>
      </c>
      <c r="AC56" s="49">
        <f>IF(
$A56&lt;=$A$1,
SUMIFS([1]!in.rec[total],
   [1]!in.rec[empresa],AC$6,
   [1]!in.rec[ele],"FIN",
   [1]!in.rec[data.pagamento],"&gt;="&amp;$A56,
   [1]!in.rec[data.pagamento],"&lt;"&amp;$A57
),
SUMIFS([1]!in.rec[total],
   [1]!in.rec[empresa],AC$6,
   [1]!in.rec[ele],"FIN",
   [1]!in.rec[data.vencimento],"&gt;="&amp;$A56,
   [1]!in.rec[data.vencimento],"&lt;"&amp;$A57
)
)</f>
        <v>0</v>
      </c>
      <c r="AD56" s="49" t="e">
        <f ca="1">SUMIFS([1]!rec.uni[2025-06-01],
INDIRECT("rec.uni[natureza]"),"taxa.extra",
INDIRECT("rec.uni[empresa]"),AD$6)</f>
        <v>#REF!</v>
      </c>
      <c r="AE56" s="50">
        <v>1625.98</v>
      </c>
      <c r="AF56" s="48">
        <f>COUNTIFS(
    [1]!estoque[empresa], AF$6,
    [1]!estoque[Data da venda / reserva], "&gt;=" &amp; $A56,
    [1]!estoque[Data da venda / reserva], "&lt;"  &amp; EOMONTH($A56,0) + 1
)</f>
        <v>3</v>
      </c>
      <c r="AG56" s="49">
        <f>SUMIFS([1]!in.rec[total],
[1]!in.rec[natureza],"pro.soluto",
[1]!in.rec[empresa],AG$6,
[1]!in.rec[data.base],"&gt;="&amp;$A56,
[1]!in.rec[data.base],"&lt;"&amp;EOMONTH($A56,0)
)</f>
        <v>395908.73999999987</v>
      </c>
      <c r="AH56" s="49" t="e">
        <f ca="1">SUMIFS([1]!rec.uni[2025-06-01],
INDIRECT("rec.uni[natureza]"),"repasse.cef.obra",
INDIRECT("rec.uni[empresa]"),AH$6)</f>
        <v>#REF!</v>
      </c>
      <c r="AI56" s="49" t="e">
        <f ca="1">SUMIFS([1]!rec.uni[2025-06-01],
INDIRECT("rec.uni[natureza]"),"repasse.cef.terreno",
INDIRECT("rec.uni[empresa]"),AI$6)</f>
        <v>#REF!</v>
      </c>
      <c r="AJ56" s="49">
        <v>0</v>
      </c>
      <c r="AK56" s="49" t="e">
        <f ca="1">SUMIFS([1]!rec.uni[2025-06-01],
INDIRECT("rec.uni[natureza]"),"taxa.extra",
INDIRECT("rec.uni[empresa]"),AK$6)</f>
        <v>#REF!</v>
      </c>
      <c r="AL56" s="50">
        <v>1363.4</v>
      </c>
      <c r="AM56" s="48">
        <f>COUNTIFS(
    [1]!estoque[empresa], AM$6,
    [1]!estoque[Data da venda / reserva], "&gt;=" &amp; $A56,
    [1]!estoque[Data da venda / reserva], "&lt;"  &amp; EOMONTH($A56,0) + 1
)</f>
        <v>0</v>
      </c>
      <c r="AN56" s="49">
        <f>SUMIFS([1]!in.rec[total],
[1]!in.rec[natureza],"pro.soluto",
[1]!in.rec[empresa],AN$6,
[1]!in.rec[data.base],"&gt;="&amp;$A56,
[1]!in.rec[data.base],"&lt;"&amp;EOMONTH($A56,0)
)</f>
        <v>0</v>
      </c>
      <c r="AO56" s="49" t="e">
        <f ca="1">SUMIFS([1]!rec.uni[2025-06-01],
INDIRECT("rec.uni[natureza]"),"taxa.extra",
INDIRECT("rec.uni[empresa]"),AO$6)</f>
        <v>#REF!</v>
      </c>
      <c r="AP56" s="50">
        <v>0</v>
      </c>
    </row>
    <row r="57" spans="1:42" x14ac:dyDescent="0.25">
      <c r="A57" s="47">
        <v>45839</v>
      </c>
      <c r="B57" s="48">
        <f>COUNTIFS(
    [1]!estoque[empresa], B$6,
    [1]!estoque[Data da venda / reserva], "&gt;=" &amp; $A57,
    [1]!estoque[Data da venda / reserva], "&lt;"  &amp; EOMONTH($A57,0) + 1
)</f>
        <v>0</v>
      </c>
      <c r="C57" s="49">
        <f>SUMIFS([1]!in.rec[total],
[1]!in.rec[natureza],"pro.soluto",
[1]!in.rec[empresa],C$6,
[1]!in.rec[data.base],"&gt;="&amp;$A57,
[1]!in.rec[data.base],"&lt;"&amp;EOMONTH($A57,0)
)</f>
        <v>211276.42999999991</v>
      </c>
      <c r="D57" s="49" t="e">
        <f ca="1">SUMIFS([1]!rec.uni[2025-07-01],
INDIRECT("rec.uni[natureza]"),"repasse.cef.obra",
INDIRECT("rec.uni[empresa]"),D$6)</f>
        <v>#REF!</v>
      </c>
      <c r="E57" s="49" t="e">
        <f ca="1">SUMIFS([1]!rec.uni[2025-07-01],
INDIRECT("rec.uni[natureza]"),"repasse.cef.terreno",
INDIRECT("rec.uni[empresa]"),E$6)</f>
        <v>#REF!</v>
      </c>
      <c r="F57" s="49">
        <v>171602.91</v>
      </c>
      <c r="G57" s="49" t="e">
        <f ca="1">SUMIFS([1]!rec.uni[2025-07-01],
INDIRECT("rec.uni[natureza]"),"taxa.extra",
INDIRECT("rec.uni[empresa]"),G$6)</f>
        <v>#REF!</v>
      </c>
      <c r="H57" s="50">
        <v>2791.88</v>
      </c>
      <c r="I57" s="48">
        <f>COUNTIFS(
    [1]!estoque[empresa], I$6,
    [1]!estoque[Data da venda / reserva], "&gt;=" &amp; $A57,
    [1]!estoque[Data da venda / reserva], "&lt;"  &amp; EOMONTH($A57,0) + 1
)</f>
        <v>0</v>
      </c>
      <c r="J57" s="49">
        <f>SUMIFS([1]!in.rec[total],
[1]!in.rec[natureza],"pro.soluto",
[1]!in.rec[empresa],J$6,
[1]!in.rec[data.base],"&gt;="&amp;$A57,
[1]!in.rec[data.base],"&lt;"&amp;EOMONTH($A57,0)
)</f>
        <v>140404.99</v>
      </c>
      <c r="K57" s="49" t="e">
        <f ca="1">SUMIFS([1]!rec.uni[2025-07-01],
INDIRECT("rec.uni[natureza]"),"repasse.cef.obra",
INDIRECT("rec.uni[empresa]"),K$6)</f>
        <v>#REF!</v>
      </c>
      <c r="L57" s="49" t="e">
        <f ca="1">SUMIFS([1]!rec.uni[2025-07-01],
INDIRECT("rec.uni[natureza]"),"repasse.cef.terreno",
INDIRECT("rec.uni[empresa]"),L$6)</f>
        <v>#REF!</v>
      </c>
      <c r="M57" s="49">
        <v>0</v>
      </c>
      <c r="N57" s="49" t="e">
        <f ca="1">SUMIFS([1]!rec.uni[2025-07-01],
INDIRECT("rec.uni[natureza]"),"taxa.extra",
INDIRECT("rec.uni[empresa]"),N$6)</f>
        <v>#REF!</v>
      </c>
      <c r="O57" s="50">
        <v>0</v>
      </c>
      <c r="P57" s="48">
        <f>COUNTIFS(
    [1]!estoque[empresa], P$6,
    [1]!estoque[Data da venda / reserva], "&gt;=" &amp; $A57,
    [1]!estoque[Data da venda / reserva], "&lt;"  &amp; EOMONTH($A57,0) + 1
)</f>
        <v>0</v>
      </c>
      <c r="Q57" s="49">
        <f>SUMIFS([1]!in.rec[total],
[1]!in.rec[natureza],"pro.soluto",
[1]!in.rec[empresa],Q$6,
[1]!in.rec[data.base],"&gt;="&amp;$A57,
[1]!in.rec[data.base],"&lt;"&amp;EOMONTH($A57,0)
)</f>
        <v>341270.03</v>
      </c>
      <c r="R57" s="49" t="e">
        <f ca="1">SUMIFS([1]!rec.uni[2025-07-01],
INDIRECT("rec.uni[natureza]"),"repasse.cef.obra",
INDIRECT("rec.uni[empresa]"),R$6)</f>
        <v>#REF!</v>
      </c>
      <c r="S57" s="49" t="e">
        <f ca="1">SUMIFS([1]!rec.uni[2025-07-01],
INDIRECT("rec.uni[natureza]"),"repasse.cef.terreno",
INDIRECT("rec.uni[empresa]"),S$6)</f>
        <v>#REF!</v>
      </c>
      <c r="T57" s="49">
        <v>493410.63</v>
      </c>
      <c r="U57" s="49" t="e">
        <f ca="1">SUMIFS([1]!rec.uni[2025-07-01],
INDIRECT("rec.uni[natureza]"),"taxa.extra",
INDIRECT("rec.uni[empresa]"),U$6)</f>
        <v>#REF!</v>
      </c>
      <c r="V57" s="50">
        <v>6476.5999999999995</v>
      </c>
      <c r="W57" s="48">
        <f>COUNTIFS(
    [1]!estoque[empresa], W$6,
    [1]!estoque[Data da venda / reserva], "&gt;=" &amp; $A57,
    [1]!estoque[Data da venda / reserva], "&lt;"  &amp; EOMONTH($A57,0) + 1
)</f>
        <v>10</v>
      </c>
      <c r="X57" s="49">
        <f>SUMIFS([1]!in.rec[total],
[1]!in.rec[natureza],"pro.soluto",
[1]!in.rec[empresa],X$6,
[1]!in.rec[data.base],"&gt;="&amp;$A57,
[1]!in.rec[data.base],"&lt;"&amp;EOMONTH($A57,0)
)</f>
        <v>110458.11</v>
      </c>
      <c r="Y57" s="49" t="e">
        <f ca="1">SUMIFS([1]!rec.uni[2025-07-01],
INDIRECT("rec.uni[natureza]"),"taxa.extra",
INDIRECT("rec.uni[empresa]"),Y$6)</f>
        <v>#REF!</v>
      </c>
      <c r="Z57" s="50">
        <v>8001.2599999999993</v>
      </c>
      <c r="AA57" s="48">
        <f>COUNTIFS(
    [1]!estoque[empresa], AA$6,
    [1]!estoque[Data da venda / reserva], "&gt;=" &amp; $A57,
    [1]!estoque[Data da venda / reserva], "&lt;"  &amp; EOMONTH($A57,0) + 1
)</f>
        <v>0</v>
      </c>
      <c r="AB57" s="49">
        <f>SUMIFS([1]!in.rec[total],
[1]!in.rec[natureza],"pro.soluto",
[1]!in.rec[empresa],AB$6,
[1]!in.rec[data.base],"&gt;="&amp;$A57,
[1]!in.rec[data.base],"&lt;"&amp;EOMONTH($A57,0)
)</f>
        <v>112920.56</v>
      </c>
      <c r="AC57" s="49">
        <f>IF(
$A57&lt;=$A$1,
SUMIFS([1]!in.rec[total],
   [1]!in.rec[empresa],AC$6,
   [1]!in.rec[ele],"FIN",
   [1]!in.rec[data.pagamento],"&gt;="&amp;$A57,
   [1]!in.rec[data.pagamento],"&lt;"&amp;$A58
),
SUMIFS([1]!in.rec[total],
   [1]!in.rec[empresa],AC$6,
   [1]!in.rec[ele],"FIN",
   [1]!in.rec[data.vencimento],"&gt;="&amp;$A57,
   [1]!in.rec[data.vencimento],"&lt;"&amp;$A58
)
)</f>
        <v>0</v>
      </c>
      <c r="AD57" s="49" t="e">
        <f ca="1">SUMIFS([1]!rec.uni[2025-07-01],
INDIRECT("rec.uni[natureza]"),"taxa.extra",
INDIRECT("rec.uni[empresa]"),AD$6)</f>
        <v>#REF!</v>
      </c>
      <c r="AE57" s="50">
        <v>1635.41</v>
      </c>
      <c r="AF57" s="48">
        <f>COUNTIFS(
    [1]!estoque[empresa], AF$6,
    [1]!estoque[Data da venda / reserva], "&gt;=" &amp; $A57,
    [1]!estoque[Data da venda / reserva], "&lt;"  &amp; EOMONTH($A57,0) + 1
)</f>
        <v>0</v>
      </c>
      <c r="AG57" s="49">
        <f>SUMIFS([1]!in.rec[total],
[1]!in.rec[natureza],"pro.soluto",
[1]!in.rec[empresa],AG$6,
[1]!in.rec[data.base],"&gt;="&amp;$A57,
[1]!in.rec[data.base],"&lt;"&amp;EOMONTH($A57,0)
)</f>
        <v>356209.10000000009</v>
      </c>
      <c r="AH57" s="49" t="e">
        <f ca="1">SUMIFS([1]!rec.uni[2025-07-01],
INDIRECT("rec.uni[natureza]"),"repasse.cef.obra",
INDIRECT("rec.uni[empresa]"),AH$6)</f>
        <v>#REF!</v>
      </c>
      <c r="AI57" s="49" t="e">
        <f ca="1">SUMIFS([1]!rec.uni[2025-07-01],
INDIRECT("rec.uni[natureza]"),"repasse.cef.terreno",
INDIRECT("rec.uni[empresa]"),AI$6)</f>
        <v>#REF!</v>
      </c>
      <c r="AJ57" s="49">
        <v>504350.63</v>
      </c>
      <c r="AK57" s="49" t="e">
        <f ca="1">SUMIFS([1]!rec.uni[2025-07-01],
INDIRECT("rec.uni[natureza]"),"taxa.extra",
INDIRECT("rec.uni[empresa]"),AK$6)</f>
        <v>#REF!</v>
      </c>
      <c r="AL57" s="50">
        <v>0</v>
      </c>
      <c r="AM57" s="48">
        <f>COUNTIFS(
    [1]!estoque[empresa], AM$6,
    [1]!estoque[Data da venda / reserva], "&gt;=" &amp; $A57,
    [1]!estoque[Data da venda / reserva], "&lt;"  &amp; EOMONTH($A57,0) + 1
)</f>
        <v>191</v>
      </c>
      <c r="AN57" s="49">
        <f>SUMIFS([1]!in.rec[total],
[1]!in.rec[natureza],"pro.soluto",
[1]!in.rec[empresa],AN$6,
[1]!in.rec[data.base],"&gt;="&amp;$A57,
[1]!in.rec[data.base],"&lt;"&amp;EOMONTH($A57,0)
)</f>
        <v>1908221.79</v>
      </c>
      <c r="AO57" s="49" t="e">
        <f ca="1">SUMIFS([1]!rec.uni[2025-07-01],
INDIRECT("rec.uni[natureza]"),"taxa.extra",
INDIRECT("rec.uni[empresa]"),AO$6)</f>
        <v>#REF!</v>
      </c>
      <c r="AP57" s="50">
        <v>1800</v>
      </c>
    </row>
    <row r="58" spans="1:42" x14ac:dyDescent="0.25">
      <c r="A58" s="47">
        <v>45870</v>
      </c>
      <c r="B58" s="48">
        <f>COUNTIFS(
    [1]!estoque[empresa], B$6,
    [1]!estoque[Data da venda / reserva], "&gt;=" &amp; $A58,
    [1]!estoque[Data da venda / reserva], "&lt;"  &amp; EOMONTH($A58,0) + 1
)</f>
        <v>0</v>
      </c>
      <c r="C58" s="49">
        <f>SUMIFS([1]!in.rec[total],
[1]!in.rec[natureza],"pro.soluto",
[1]!in.rec[empresa],C$6,
[1]!in.rec[data.base],"&gt;="&amp;$A58,
[1]!in.rec[data.base],"&lt;"&amp;EOMONTH($A58,0)
)</f>
        <v>170906.08000000005</v>
      </c>
      <c r="D58" s="49" t="e">
        <f ca="1">SUMIFS([1]!rec.uni[2025-08-01],
INDIRECT("rec.uni[natureza]"),"repasse.cef.obra",
INDIRECT("rec.uni[empresa]"),D$6)</f>
        <v>#REF!</v>
      </c>
      <c r="E58" s="49" t="e">
        <f ca="1">SUMIFS([1]!rec.uni[2025-08-01],
INDIRECT("rec.uni[natureza]"),"repasse.cef.terreno",
INDIRECT("rec.uni[empresa]"),E$6)</f>
        <v>#REF!</v>
      </c>
      <c r="F58" s="49">
        <v>366306.04</v>
      </c>
      <c r="G58" s="49" t="e">
        <f ca="1">SUMIFS([1]!rec.uni[2025-08-01],
INDIRECT("rec.uni[natureza]"),"taxa.extra",
INDIRECT("rec.uni[empresa]"),G$6)</f>
        <v>#REF!</v>
      </c>
      <c r="H58" s="50">
        <v>2773.42</v>
      </c>
      <c r="I58" s="48">
        <f>COUNTIFS(
    [1]!estoque[empresa], I$6,
    [1]!estoque[Data da venda / reserva], "&gt;=" &amp; $A58,
    [1]!estoque[Data da venda / reserva], "&lt;"  &amp; EOMONTH($A58,0) + 1
)</f>
        <v>0</v>
      </c>
      <c r="J58" s="49">
        <f>SUMIFS([1]!in.rec[total],
[1]!in.rec[natureza],"pro.soluto",
[1]!in.rec[empresa],J$6,
[1]!in.rec[data.base],"&gt;="&amp;$A58,
[1]!in.rec[data.base],"&lt;"&amp;EOMONTH($A58,0)
)</f>
        <v>65616.77</v>
      </c>
      <c r="K58" s="49" t="e">
        <f ca="1">SUMIFS([1]!rec.uni[2025-08-01],
INDIRECT("rec.uni[natureza]"),"repasse.cef.obra",
INDIRECT("rec.uni[empresa]"),K$6)</f>
        <v>#REF!</v>
      </c>
      <c r="L58" s="49" t="e">
        <f ca="1">SUMIFS([1]!rec.uni[2025-08-01],
INDIRECT("rec.uni[natureza]"),"repasse.cef.terreno",
INDIRECT("rec.uni[empresa]"),L$6)</f>
        <v>#REF!</v>
      </c>
      <c r="M58" s="49">
        <v>0</v>
      </c>
      <c r="N58" s="49" t="e">
        <f ca="1">SUMIFS([1]!rec.uni[2025-08-01],
INDIRECT("rec.uni[natureza]"),"taxa.extra",
INDIRECT("rec.uni[empresa]"),N$6)</f>
        <v>#REF!</v>
      </c>
      <c r="O58" s="50">
        <v>0</v>
      </c>
      <c r="P58" s="48">
        <f>COUNTIFS(
    [1]!estoque[empresa], P$6,
    [1]!estoque[Data da venda / reserva], "&gt;=" &amp; $A58,
    [1]!estoque[Data da venda / reserva], "&lt;"  &amp; EOMONTH($A58,0) + 1
)</f>
        <v>4</v>
      </c>
      <c r="Q58" s="49">
        <f>SUMIFS([1]!in.rec[total],
[1]!in.rec[natureza],"pro.soluto",
[1]!in.rec[empresa],Q$6,
[1]!in.rec[data.base],"&gt;="&amp;$A58,
[1]!in.rec[data.base],"&lt;"&amp;EOMONTH($A58,0)
)</f>
        <v>453587.77</v>
      </c>
      <c r="R58" s="49" t="e">
        <f ca="1">SUMIFS([1]!rec.uni[2025-08-01],
INDIRECT("rec.uni[natureza]"),"repasse.cef.obra",
INDIRECT("rec.uni[empresa]"),R$6)</f>
        <v>#REF!</v>
      </c>
      <c r="S58" s="49" t="e">
        <f ca="1">SUMIFS([1]!rec.uni[2025-08-01],
INDIRECT("rec.uni[natureza]"),"repasse.cef.terreno",
INDIRECT("rec.uni[empresa]"),S$6)</f>
        <v>#REF!</v>
      </c>
      <c r="T58" s="49">
        <v>831222.47</v>
      </c>
      <c r="U58" s="49" t="e">
        <f ca="1">SUMIFS([1]!rec.uni[2025-08-01],
INDIRECT("rec.uni[natureza]"),"taxa.extra",
INDIRECT("rec.uni[empresa]"),U$6)</f>
        <v>#REF!</v>
      </c>
      <c r="V58" s="50">
        <v>241.45</v>
      </c>
      <c r="W58" s="48">
        <f>COUNTIFS(
    [1]!estoque[empresa], W$6,
    [1]!estoque[Data da venda / reserva], "&gt;=" &amp; $A58,
    [1]!estoque[Data da venda / reserva], "&lt;"  &amp; EOMONTH($A58,0) + 1
)</f>
        <v>10</v>
      </c>
      <c r="X58" s="49">
        <f>SUMIFS([1]!in.rec[total],
[1]!in.rec[natureza],"pro.soluto",
[1]!in.rec[empresa],X$6,
[1]!in.rec[data.base],"&gt;="&amp;$A58,
[1]!in.rec[data.base],"&lt;"&amp;EOMONTH($A58,0)
)</f>
        <v>74667.62000000001</v>
      </c>
      <c r="Y58" s="49" t="e">
        <f ca="1">SUMIFS([1]!rec.uni[2025-08-01],
INDIRECT("rec.uni[natureza]"),"taxa.extra",
INDIRECT("rec.uni[empresa]"),Y$6)</f>
        <v>#REF!</v>
      </c>
      <c r="Z58" s="50">
        <v>3676.7500000000005</v>
      </c>
      <c r="AA58" s="48">
        <f>COUNTIFS(
    [1]!estoque[empresa], AA$6,
    [1]!estoque[Data da venda / reserva], "&gt;=" &amp; $A58,
    [1]!estoque[Data da venda / reserva], "&lt;"  &amp; EOMONTH($A58,0) + 1
)</f>
        <v>0</v>
      </c>
      <c r="AB58" s="49">
        <f>SUMIFS([1]!in.rec[total],
[1]!in.rec[natureza],"pro.soluto",
[1]!in.rec[empresa],AB$6,
[1]!in.rec[data.base],"&gt;="&amp;$A58,
[1]!in.rec[data.base],"&lt;"&amp;EOMONTH($A58,0)
)</f>
        <v>123046.53999999998</v>
      </c>
      <c r="AC58" s="49">
        <f>IF(
$A58&lt;=$A$1,
SUMIFS([1]!in.rec[total],
   [1]!in.rec[empresa],AC$6,
   [1]!in.rec[ele],"FIN",
   [1]!in.rec[data.pagamento],"&gt;="&amp;$A58,
   [1]!in.rec[data.pagamento],"&lt;"&amp;$A59
),
SUMIFS([1]!in.rec[total],
   [1]!in.rec[empresa],AC$6,
   [1]!in.rec[ele],"FIN",
   [1]!in.rec[data.vencimento],"&gt;="&amp;$A58,
   [1]!in.rec[data.vencimento],"&lt;"&amp;$A59
)
)</f>
        <v>0</v>
      </c>
      <c r="AD58" s="49" t="e">
        <f ca="1">SUMIFS([1]!rec.uni[2025-08-01],
INDIRECT("rec.uni[natureza]"),"taxa.extra",
INDIRECT("rec.uni[empresa]"),AD$6)</f>
        <v>#REF!</v>
      </c>
      <c r="AE58" s="50">
        <v>1646.7</v>
      </c>
      <c r="AF58" s="48">
        <f>COUNTIFS(
    [1]!estoque[empresa], AF$6,
    [1]!estoque[Data da venda / reserva], "&gt;=" &amp; $A58,
    [1]!estoque[Data da venda / reserva], "&lt;"  &amp; EOMONTH($A58,0) + 1
)</f>
        <v>1</v>
      </c>
      <c r="AG58" s="49">
        <f>SUMIFS([1]!in.rec[total],
[1]!in.rec[natureza],"pro.soluto",
[1]!in.rec[empresa],AG$6,
[1]!in.rec[data.base],"&gt;="&amp;$A58,
[1]!in.rec[data.base],"&lt;"&amp;EOMONTH($A58,0)
)</f>
        <v>406732.64000000025</v>
      </c>
      <c r="AH58" s="49" t="e">
        <f ca="1">SUMIFS([1]!rec.uni[2025-08-01],
INDIRECT("rec.uni[natureza]"),"repasse.cef.obra",
INDIRECT("rec.uni[empresa]"),AH$6)</f>
        <v>#REF!</v>
      </c>
      <c r="AI58" s="49" t="e">
        <f ca="1">SUMIFS([1]!rec.uni[2025-08-01],
INDIRECT("rec.uni[natureza]"),"repasse.cef.terreno",
INDIRECT("rec.uni[empresa]"),AI$6)</f>
        <v>#REF!</v>
      </c>
      <c r="AJ58" s="49">
        <v>249520.85</v>
      </c>
      <c r="AK58" s="49" t="e">
        <f ca="1">SUMIFS([1]!rec.uni[2025-08-01],
INDIRECT("rec.uni[natureza]"),"taxa.extra",
INDIRECT("rec.uni[empresa]"),AK$6)</f>
        <v>#REF!</v>
      </c>
      <c r="AL58" s="50">
        <v>589.72</v>
      </c>
      <c r="AM58" s="48">
        <f>COUNTIFS(
    [1]!estoque[empresa], AM$6,
    [1]!estoque[Data da venda / reserva], "&gt;=" &amp; $A58,
    [1]!estoque[Data da venda / reserva], "&lt;"  &amp; EOMONTH($A58,0) + 1
)</f>
        <v>21</v>
      </c>
      <c r="AN58" s="49">
        <f>SUMIFS([1]!in.rec[total],
[1]!in.rec[natureza],"pro.soluto",
[1]!in.rec[empresa],AN$6,
[1]!in.rec[data.base],"&gt;="&amp;$A58,
[1]!in.rec[data.base],"&lt;"&amp;EOMONTH($A58,0)
)</f>
        <v>890867.6600000005</v>
      </c>
      <c r="AO58" s="49" t="e">
        <f ca="1">SUMIFS([1]!rec.uni[2025-08-01],
INDIRECT("rec.uni[natureza]"),"taxa.extra",
INDIRECT("rec.uni[empresa]"),AO$6)</f>
        <v>#REF!</v>
      </c>
      <c r="AP58" s="50">
        <v>2604.2300000000005</v>
      </c>
    </row>
    <row r="59" spans="1:42" x14ac:dyDescent="0.25">
      <c r="A59" s="47">
        <v>45901</v>
      </c>
      <c r="B59" s="48">
        <f>COUNTIFS(
    [1]!estoque[empresa], B$6,
    [1]!estoque[Data da venda / reserva], "&gt;=" &amp; $A59,
    [1]!estoque[Data da venda / reserva], "&lt;"  &amp; EOMONTH($A59,0) + 1
)</f>
        <v>0</v>
      </c>
      <c r="C59" s="49">
        <f>SUMIFS([1]!in.rec[total],
[1]!in.rec[natureza],"pro.soluto",
[1]!in.rec[empresa],C$6,
[1]!in.rec[data.base],"&gt;="&amp;$A59,
[1]!in.rec[data.base],"&lt;"&amp;EOMONTH($A59,0)
)</f>
        <v>175374.5199999999</v>
      </c>
      <c r="D59" s="49" t="e">
        <f ca="1">SUMIFS([1]!rec.uni[2025-09-01],
INDIRECT("rec.uni[natureza]"),"repasse.cef.obra",
INDIRECT("rec.uni[empresa]"),D$6)</f>
        <v>#REF!</v>
      </c>
      <c r="E59" s="49" t="e">
        <f ca="1">SUMIFS([1]!rec.uni[2025-09-01],
INDIRECT("rec.uni[natureza]"),"repasse.cef.terreno",
INDIRECT("rec.uni[empresa]"),E$6)</f>
        <v>#REF!</v>
      </c>
      <c r="F59" s="49">
        <v>181081.21</v>
      </c>
      <c r="G59" s="49" t="e">
        <f ca="1">SUMIFS([1]!rec.uni[2025-09-01],
INDIRECT("rec.uni[natureza]"),"taxa.extra",
INDIRECT("rec.uni[empresa]"),G$6)</f>
        <v>#REF!</v>
      </c>
      <c r="H59" s="50">
        <v>2798.66</v>
      </c>
      <c r="I59" s="48">
        <f>COUNTIFS(
    [1]!estoque[empresa], I$6,
    [1]!estoque[Data da venda / reserva], "&gt;=" &amp; $A59,
    [1]!estoque[Data da venda / reserva], "&lt;"  &amp; EOMONTH($A59,0) + 1
)</f>
        <v>0</v>
      </c>
      <c r="J59" s="49">
        <f>SUMIFS([1]!in.rec[total],
[1]!in.rec[natureza],"pro.soluto",
[1]!in.rec[empresa],J$6,
[1]!in.rec[data.base],"&gt;="&amp;$A59,
[1]!in.rec[data.base],"&lt;"&amp;EOMONTH($A59,0)
)</f>
        <v>22452.35</v>
      </c>
      <c r="K59" s="49" t="e">
        <f ca="1">SUMIFS([1]!rec.uni[2025-09-01],
INDIRECT("rec.uni[natureza]"),"repasse.cef.obra",
INDIRECT("rec.uni[empresa]"),K$6)</f>
        <v>#REF!</v>
      </c>
      <c r="L59" s="49" t="e">
        <f ca="1">SUMIFS([1]!rec.uni[2025-09-01],
INDIRECT("rec.uni[natureza]"),"repasse.cef.terreno",
INDIRECT("rec.uni[empresa]"),L$6)</f>
        <v>#REF!</v>
      </c>
      <c r="M59" s="49">
        <v>0</v>
      </c>
      <c r="N59" s="49" t="e">
        <f ca="1">SUMIFS([1]!rec.uni[2025-09-01],
INDIRECT("rec.uni[natureza]"),"taxa.extra",
INDIRECT("rec.uni[empresa]"),N$6)</f>
        <v>#REF!</v>
      </c>
      <c r="O59" s="50">
        <v>0</v>
      </c>
      <c r="P59" s="48">
        <f>COUNTIFS(
    [1]!estoque[empresa], P$6,
    [1]!estoque[Data da venda / reserva], "&gt;=" &amp; $A59,
    [1]!estoque[Data da venda / reserva], "&lt;"  &amp; EOMONTH($A59,0) + 1
)</f>
        <v>1</v>
      </c>
      <c r="Q59" s="49">
        <f>SUMIFS([1]!in.rec[total],
[1]!in.rec[natureza],"pro.soluto",
[1]!in.rec[empresa],Q$6,
[1]!in.rec[data.base],"&gt;="&amp;$A59,
[1]!in.rec[data.base],"&lt;"&amp;EOMONTH($A59,0)
)</f>
        <v>298179.0499999997</v>
      </c>
      <c r="R59" s="49" t="e">
        <f ca="1">SUMIFS([1]!rec.uni[2025-09-01],
INDIRECT("rec.uni[natureza]"),"repasse.cef.obra",
INDIRECT("rec.uni[empresa]"),R$6)</f>
        <v>#REF!</v>
      </c>
      <c r="S59" s="49" t="e">
        <f ca="1">SUMIFS([1]!rec.uni[2025-09-01],
INDIRECT("rec.uni[natureza]"),"repasse.cef.terreno",
INDIRECT("rec.uni[empresa]"),S$6)</f>
        <v>#REF!</v>
      </c>
      <c r="T59" s="49">
        <v>229516.7</v>
      </c>
      <c r="U59" s="49" t="e">
        <f ca="1">SUMIFS([1]!rec.uni[2025-09-01],
INDIRECT("rec.uni[natureza]"),"taxa.extra",
INDIRECT("rec.uni[empresa]"),U$6)</f>
        <v>#REF!</v>
      </c>
      <c r="V59" s="50">
        <v>243.64</v>
      </c>
      <c r="W59" s="48">
        <f>COUNTIFS(
    [1]!estoque[empresa], W$6,
    [1]!estoque[Data da venda / reserva], "&gt;=" &amp; $A59,
    [1]!estoque[Data da venda / reserva], "&lt;"  &amp; EOMONTH($A59,0) + 1
)</f>
        <v>9</v>
      </c>
      <c r="X59" s="49">
        <f>SUMIFS([1]!in.rec[total],
[1]!in.rec[natureza],"pro.soluto",
[1]!in.rec[empresa],X$6,
[1]!in.rec[data.base],"&gt;="&amp;$A59,
[1]!in.rec[data.base],"&lt;"&amp;EOMONTH($A59,0)
)</f>
        <v>123305.20999999995</v>
      </c>
      <c r="Y59" s="49" t="e">
        <f ca="1">SUMIFS([1]!rec.uni[2025-09-01],
INDIRECT("rec.uni[natureza]"),"taxa.extra",
INDIRECT("rec.uni[empresa]"),Y$6)</f>
        <v>#REF!</v>
      </c>
      <c r="Z59" s="50">
        <v>1926.57</v>
      </c>
      <c r="AA59" s="48">
        <f>COUNTIFS(
    [1]!estoque[empresa], AA$6,
    [1]!estoque[Data da venda / reserva], "&gt;=" &amp; $A59,
    [1]!estoque[Data da venda / reserva], "&lt;"  &amp; EOMONTH($A59,0) + 1
)</f>
        <v>0</v>
      </c>
      <c r="AB59" s="49">
        <f>SUMIFS([1]!in.rec[total],
[1]!in.rec[natureza],"pro.soluto",
[1]!in.rec[empresa],AB$6,
[1]!in.rec[data.base],"&gt;="&amp;$A59,
[1]!in.rec[data.base],"&lt;"&amp;EOMONTH($A59,0)
)</f>
        <v>108697.63000000003</v>
      </c>
      <c r="AC59" s="49">
        <f>IF(
$A59&lt;=$A$1,
SUMIFS([1]!in.rec[total],
   [1]!in.rec[empresa],AC$6,
   [1]!in.rec[ele],"FIN",
   [1]!in.rec[data.pagamento],"&gt;="&amp;$A59,
   [1]!in.rec[data.pagamento],"&lt;"&amp;$A60
),
SUMIFS([1]!in.rec[total],
   [1]!in.rec[empresa],AC$6,
   [1]!in.rec[ele],"FIN",
   [1]!in.rec[data.vencimento],"&gt;="&amp;$A59,
   [1]!in.rec[data.vencimento],"&lt;"&amp;$A60
)
)</f>
        <v>0</v>
      </c>
      <c r="AD59" s="49" t="e">
        <f ca="1">SUMIFS([1]!rec.uni[2025-09-01],
INDIRECT("rec.uni[natureza]"),"taxa.extra",
INDIRECT("rec.uni[empresa]"),AD$6)</f>
        <v>#REF!</v>
      </c>
      <c r="AE59" s="50">
        <v>1661.68</v>
      </c>
      <c r="AF59" s="48">
        <f>COUNTIFS(
    [1]!estoque[empresa], AF$6,
    [1]!estoque[Data da venda / reserva], "&gt;=" &amp; $A59,
    [1]!estoque[Data da venda / reserva], "&lt;"  &amp; EOMONTH($A59,0) + 1
)</f>
        <v>0</v>
      </c>
      <c r="AG59" s="49">
        <f>SUMIFS([1]!in.rec[total],
[1]!in.rec[natureza],"pro.soluto",
[1]!in.rec[empresa],AG$6,
[1]!in.rec[data.base],"&gt;="&amp;$A59,
[1]!in.rec[data.base],"&lt;"&amp;EOMONTH($A59,0)
)</f>
        <v>335585.35000000009</v>
      </c>
      <c r="AH59" s="49" t="e">
        <f ca="1">SUMIFS([1]!rec.uni[2025-09-01],
INDIRECT("rec.uni[natureza]"),"repasse.cef.obra",
INDIRECT("rec.uni[empresa]"),AH$6)</f>
        <v>#REF!</v>
      </c>
      <c r="AI59" s="49" t="e">
        <f ca="1">SUMIFS([1]!rec.uni[2025-09-01],
INDIRECT("rec.uni[natureza]"),"repasse.cef.terreno",
INDIRECT("rec.uni[empresa]"),AI$6)</f>
        <v>#REF!</v>
      </c>
      <c r="AJ59" s="49">
        <v>315799.90000000002</v>
      </c>
      <c r="AK59" s="49" t="e">
        <f ca="1">SUMIFS([1]!rec.uni[2025-09-01],
INDIRECT("rec.uni[natureza]"),"taxa.extra",
INDIRECT("rec.uni[empresa]"),AK$6)</f>
        <v>#REF!</v>
      </c>
      <c r="AL59" s="50">
        <v>286.52999999999997</v>
      </c>
      <c r="AM59" s="48">
        <f>COUNTIFS(
    [1]!estoque[empresa], AM$6,
    [1]!estoque[Data da venda / reserva], "&gt;=" &amp; $A59,
    [1]!estoque[Data da venda / reserva], "&lt;"  &amp; EOMONTH($A59,0) + 1
)</f>
        <v>23</v>
      </c>
      <c r="AN59" s="49">
        <f>SUMIFS([1]!in.rec[total],
[1]!in.rec[natureza],"pro.soluto",
[1]!in.rec[empresa],AN$6,
[1]!in.rec[data.base],"&gt;="&amp;$A59,
[1]!in.rec[data.base],"&lt;"&amp;EOMONTH($A59,0)
)</f>
        <v>380021.85000000027</v>
      </c>
      <c r="AO59" s="49" t="e">
        <f ca="1">SUMIFS([1]!rec.uni[2025-09-01],
INDIRECT("rec.uni[natureza]"),"taxa.extra",
INDIRECT("rec.uni[empresa]"),AO$6)</f>
        <v>#REF!</v>
      </c>
      <c r="AP59" s="50">
        <v>1371.6599999999999</v>
      </c>
    </row>
    <row r="60" spans="1:42" x14ac:dyDescent="0.25">
      <c r="A60" s="47">
        <v>45931</v>
      </c>
      <c r="B60" s="48">
        <f>COUNTIFS(
    [1]!estoque[empresa], B$6,
    [1]!estoque[Data da venda / reserva], "&gt;=" &amp; $A60,
    [1]!estoque[Data da venda / reserva], "&lt;"  &amp; EOMONTH($A60,0) + 1
)</f>
        <v>0</v>
      </c>
      <c r="C60" s="49">
        <f>SUMIFS([1]!in.rec[total],
[1]!in.rec[natureza],"pro.soluto",
[1]!in.rec[empresa],C$6,
[1]!in.rec[data.base],"&gt;="&amp;$A60,
[1]!in.rec[data.base],"&lt;"&amp;EOMONTH($A60,0)
)</f>
        <v>190987.7699999999</v>
      </c>
      <c r="D60" s="49" t="e">
        <f ca="1">SUMIFS([1]!rec.uni[2025-10-01],
INDIRECT("rec.uni[natureza]"),"repasse.cef.obra",
INDIRECT("rec.uni[empresa]"),D$6)</f>
        <v>#REF!</v>
      </c>
      <c r="E60" s="49" t="e">
        <f ca="1">SUMIFS([1]!rec.uni[2025-10-01],
INDIRECT("rec.uni[natureza]"),"repasse.cef.terreno",
INDIRECT("rec.uni[empresa]"),E$6)</f>
        <v>#REF!</v>
      </c>
      <c r="F60" s="49">
        <v>266613.7</v>
      </c>
      <c r="G60" s="49" t="e">
        <f ca="1">SUMIFS([1]!rec.uni[2025-10-01],
INDIRECT("rec.uni[natureza]"),"taxa.extra",
INDIRECT("rec.uni[empresa]"),G$6)</f>
        <v>#REF!</v>
      </c>
      <c r="H60" s="50">
        <v>1124.5</v>
      </c>
      <c r="I60" s="48">
        <f>COUNTIFS(
    [1]!estoque[empresa], I$6,
    [1]!estoque[Data da venda / reserva], "&gt;=" &amp; $A60,
    [1]!estoque[Data da venda / reserva], "&lt;"  &amp; EOMONTH($A60,0) + 1
)</f>
        <v>0</v>
      </c>
      <c r="J60" s="49">
        <f>SUMIFS([1]!in.rec[total],
[1]!in.rec[natureza],"pro.soluto",
[1]!in.rec[empresa],J$6,
[1]!in.rec[data.base],"&gt;="&amp;$A60,
[1]!in.rec[data.base],"&lt;"&amp;EOMONTH($A60,0)
)</f>
        <v>4656.0999999999995</v>
      </c>
      <c r="K60" s="49" t="e">
        <f ca="1">SUMIFS([1]!rec.uni[2025-10-01],
INDIRECT("rec.uni[natureza]"),"repasse.cef.obra",
INDIRECT("rec.uni[empresa]"),K$6)</f>
        <v>#REF!</v>
      </c>
      <c r="L60" s="49" t="e">
        <f ca="1">SUMIFS([1]!rec.uni[2025-10-01],
INDIRECT("rec.uni[natureza]"),"repasse.cef.terreno",
INDIRECT("rec.uni[empresa]"),L$6)</f>
        <v>#REF!</v>
      </c>
      <c r="M60" s="49">
        <v>0</v>
      </c>
      <c r="N60" s="49" t="e">
        <f ca="1">SUMIFS([1]!rec.uni[2025-10-01],
INDIRECT("rec.uni[natureza]"),"taxa.extra",
INDIRECT("rec.uni[empresa]"),N$6)</f>
        <v>#REF!</v>
      </c>
      <c r="O60" s="50">
        <v>0</v>
      </c>
      <c r="P60" s="48">
        <f>COUNTIFS(
    [1]!estoque[empresa], P$6,
    [1]!estoque[Data da venda / reserva], "&gt;=" &amp; $A60,
    [1]!estoque[Data da venda / reserva], "&lt;"  &amp; EOMONTH($A60,0) + 1
)</f>
        <v>2</v>
      </c>
      <c r="Q60" s="49">
        <f>SUMIFS([1]!in.rec[total],
[1]!in.rec[natureza],"pro.soluto",
[1]!in.rec[empresa],Q$6,
[1]!in.rec[data.base],"&gt;="&amp;$A60,
[1]!in.rec[data.base],"&lt;"&amp;EOMONTH($A60,0)
)</f>
        <v>458340.60000000003</v>
      </c>
      <c r="R60" s="49" t="e">
        <f ca="1">SUMIFS([1]!rec.uni[2025-10-01],
INDIRECT("rec.uni[natureza]"),"repasse.cef.obra",
INDIRECT("rec.uni[empresa]"),R$6)</f>
        <v>#REF!</v>
      </c>
      <c r="S60" s="49" t="e">
        <f ca="1">SUMIFS([1]!rec.uni[2025-10-01],
INDIRECT("rec.uni[natureza]"),"repasse.cef.terreno",
INDIRECT("rec.uni[empresa]"),S$6)</f>
        <v>#REF!</v>
      </c>
      <c r="T60" s="49">
        <v>314892.83</v>
      </c>
      <c r="U60" s="49" t="e">
        <f ca="1">SUMIFS([1]!rec.uni[2025-10-01],
INDIRECT("rec.uni[natureza]"),"taxa.extra",
INDIRECT("rec.uni[empresa]"),U$6)</f>
        <v>#REF!</v>
      </c>
      <c r="V60" s="50">
        <v>244.91</v>
      </c>
      <c r="W60" s="48">
        <f>COUNTIFS(
    [1]!estoque[empresa], W$6,
    [1]!estoque[Data da venda / reserva], "&gt;=" &amp; $A60,
    [1]!estoque[Data da venda / reserva], "&lt;"  &amp; EOMONTH($A60,0) + 1
)</f>
        <v>6</v>
      </c>
      <c r="X60" s="49">
        <f>SUMIFS([1]!in.rec[total],
[1]!in.rec[natureza],"pro.soluto",
[1]!in.rec[empresa],X$6,
[1]!in.rec[data.base],"&gt;="&amp;$A60,
[1]!in.rec[data.base],"&lt;"&amp;EOMONTH($A60,0)
)</f>
        <v>89857.410000000033</v>
      </c>
      <c r="Y60" s="49" t="e">
        <f ca="1">SUMIFS([1]!rec.uni[2025-10-01],
INDIRECT("rec.uni[natureza]"),"taxa.extra",
INDIRECT("rec.uni[empresa]"),Y$6)</f>
        <v>#REF!</v>
      </c>
      <c r="Z60" s="50">
        <v>1490.56</v>
      </c>
      <c r="AA60" s="48">
        <f>COUNTIFS(
    [1]!estoque[empresa], AA$6,
    [1]!estoque[Data da venda / reserva], "&gt;=" &amp; $A60,
    [1]!estoque[Data da venda / reserva], "&lt;"  &amp; EOMONTH($A60,0) + 1
)</f>
        <v>0</v>
      </c>
      <c r="AB60" s="49">
        <f>SUMIFS([1]!in.rec[total],
[1]!in.rec[natureza],"pro.soluto",
[1]!in.rec[empresa],AB$6,
[1]!in.rec[data.base],"&gt;="&amp;$A60,
[1]!in.rec[data.base],"&lt;"&amp;EOMONTH($A60,0)
)</f>
        <v>82271.48</v>
      </c>
      <c r="AC60" s="49">
        <f>IF(
$A60&lt;=$A$1,
SUMIFS([1]!in.rec[total],
   [1]!in.rec[empresa],AC$6,
   [1]!in.rec[ele],"FIN",
   [1]!in.rec[data.pagamento],"&gt;="&amp;$A60,
   [1]!in.rec[data.pagamento],"&lt;"&amp;$A61
),
SUMIFS([1]!in.rec[total],
   [1]!in.rec[empresa],AC$6,
   [1]!in.rec[ele],"FIN",
   [1]!in.rec[data.vencimento],"&gt;="&amp;$A60,
   [1]!in.rec[data.vencimento],"&lt;"&amp;$A61
)
)</f>
        <v>0</v>
      </c>
      <c r="AD60" s="49" t="e">
        <f ca="1">SUMIFS([1]!rec.uni[2025-10-01],
INDIRECT("rec.uni[natureza]"),"taxa.extra",
INDIRECT("rec.uni[empresa]"),AD$6)</f>
        <v>#REF!</v>
      </c>
      <c r="AE60" s="50">
        <v>1671.44</v>
      </c>
      <c r="AF60" s="48">
        <f>COUNTIFS(
    [1]!estoque[empresa], AF$6,
    [1]!estoque[Data da venda / reserva], "&gt;=" &amp; $A60,
    [1]!estoque[Data da venda / reserva], "&lt;"  &amp; EOMONTH($A60,0) + 1
)</f>
        <v>0</v>
      </c>
      <c r="AG60" s="49">
        <f>SUMIFS([1]!in.rec[total],
[1]!in.rec[natureza],"pro.soluto",
[1]!in.rec[empresa],AG$6,
[1]!in.rec[data.base],"&gt;="&amp;$A60,
[1]!in.rec[data.base],"&lt;"&amp;EOMONTH($A60,0)
)</f>
        <v>336535.44999999995</v>
      </c>
      <c r="AH60" s="49" t="e">
        <f ca="1">SUMIFS([1]!rec.uni[2025-10-01],
INDIRECT("rec.uni[natureza]"),"repasse.cef.obra",
INDIRECT("rec.uni[empresa]"),AH$6)</f>
        <v>#REF!</v>
      </c>
      <c r="AI60" s="49" t="e">
        <f ca="1">SUMIFS([1]!rec.uni[2025-10-01],
INDIRECT("rec.uni[natureza]"),"repasse.cef.terreno",
INDIRECT("rec.uni[empresa]"),AI$6)</f>
        <v>#REF!</v>
      </c>
      <c r="AJ60" s="49">
        <v>165252.20000000001</v>
      </c>
      <c r="AK60" s="49" t="e">
        <f ca="1">SUMIFS([1]!rec.uni[2025-10-01],
INDIRECT("rec.uni[natureza]"),"taxa.extra",
INDIRECT("rec.uni[empresa]"),AK$6)</f>
        <v>#REF!</v>
      </c>
      <c r="AL60" s="50">
        <v>288.02</v>
      </c>
      <c r="AM60" s="48">
        <f>COUNTIFS(
    [1]!estoque[empresa], AM$6,
    [1]!estoque[Data da venda / reserva], "&gt;=" &amp; $A60,
    [1]!estoque[Data da venda / reserva], "&lt;"  &amp; EOMONTH($A60,0) + 1
)</f>
        <v>25</v>
      </c>
      <c r="AN60" s="49">
        <f>SUMIFS([1]!in.rec[total],
[1]!in.rec[natureza],"pro.soluto",
[1]!in.rec[empresa],AN$6,
[1]!in.rec[data.base],"&gt;="&amp;$A60,
[1]!in.rec[data.base],"&lt;"&amp;EOMONTH($A60,0)
)</f>
        <v>720599.5700000003</v>
      </c>
      <c r="AO60" s="49" t="e">
        <f ca="1">SUMIFS([1]!rec.uni[2025-10-01],
INDIRECT("rec.uni[natureza]"),"taxa.extra",
INDIRECT("rec.uni[empresa]"),AO$6)</f>
        <v>#REF!</v>
      </c>
      <c r="AP60" s="50">
        <v>1707.48</v>
      </c>
    </row>
    <row r="61" spans="1:42" x14ac:dyDescent="0.25">
      <c r="A61" s="47">
        <v>45962</v>
      </c>
      <c r="B61" s="39">
        <f>COUNTIFS(
    [1]!estoque[empresa], B$6,
    [1]!estoque[Data da venda / reserva], "&gt;=" &amp; $A61,
    [1]!estoque[Data da venda / reserva], "&lt;"  &amp; EOMONTH($A61,0) + 1
)</f>
        <v>2</v>
      </c>
      <c r="C61" s="49">
        <f>SUMIFS([1]!in.rec[total],
[1]!in.rec[natureza],"pro.soluto",
[1]!in.rec[empresa],C$6,
[1]!in.rec[data.base],"&gt;="&amp;$A61,
[1]!in.rec[data.base],"&lt;"&amp;EOMONTH($A61,0)
)</f>
        <v>527721.68000000017</v>
      </c>
      <c r="D61" s="38" t="e">
        <f ca="1">SUMIFS([1]!rec.uni[2025-11-01],
INDIRECT("rec.uni[natureza]"),"repasse.cef.obra",
INDIRECT("rec.uni[empresa]"),D$6)</f>
        <v>#REF!</v>
      </c>
      <c r="E61" s="51" t="e">
        <f ca="1">SUMIFS([1]!rec.uni[2025-11-01],
INDIRECT("rec.uni[natureza]"),"repasse.cef.terreno",
INDIRECT("rec.uni[empresa]"),E$6)</f>
        <v>#REF!</v>
      </c>
      <c r="F61" s="51">
        <v>230479.34</v>
      </c>
      <c r="G61" s="49" t="e">
        <f ca="1">SUMIFS([1]!rec.uni[2025-11-01],
INDIRECT("rec.uni[natureza]"),"taxa.extra",
INDIRECT("rec.uni[empresa]"),G$6)</f>
        <v>#REF!</v>
      </c>
      <c r="H61" s="50">
        <v>1126.4100000000001</v>
      </c>
      <c r="I61" s="48">
        <f>COUNTIFS(
    [1]!estoque[empresa], I$6,
    [1]!estoque[Data da venda / reserva], "&gt;=" &amp; $A61,
    [1]!estoque[Data da venda / reserva], "&lt;"  &amp; EOMONTH($A61,0) + 1
)</f>
        <v>0</v>
      </c>
      <c r="J61" s="49">
        <f>SUMIFS([1]!in.rec[total],
[1]!in.rec[natureza],"pro.soluto",
[1]!in.rec[empresa],J$6,
[1]!in.rec[data.base],"&gt;="&amp;$A61,
[1]!in.rec[data.base],"&lt;"&amp;EOMONTH($A61,0)
)</f>
        <v>3985.42</v>
      </c>
      <c r="K61" s="38" t="e">
        <f ca="1">SUMIFS([1]!rec.uni[2025-11-01],
INDIRECT("rec.uni[natureza]"),"repasse.cef.obra",
INDIRECT("rec.uni[empresa]"),K$6)</f>
        <v>#REF!</v>
      </c>
      <c r="L61" s="51" t="e">
        <f ca="1">SUMIFS([1]!rec.uni[2025-11-01],
INDIRECT("rec.uni[natureza]"),"repasse.cef.terreno",
INDIRECT("rec.uni[empresa]"),L$6)</f>
        <v>#REF!</v>
      </c>
      <c r="M61" s="51">
        <v>0</v>
      </c>
      <c r="N61" s="49" t="e">
        <f ca="1">SUMIFS([1]!rec.uni[2025-11-01],
INDIRECT("rec.uni[natureza]"),"taxa.extra",
INDIRECT("rec.uni[empresa]"),N$6)</f>
        <v>#REF!</v>
      </c>
      <c r="O61" s="50">
        <v>0</v>
      </c>
      <c r="P61" s="48">
        <f>COUNTIFS(
    [1]!estoque[empresa], P$6,
    [1]!estoque[Data da venda / reserva], "&gt;=" &amp; $A61,
    [1]!estoque[Data da venda / reserva], "&lt;"  &amp; EOMONTH($A61,0) + 1
)</f>
        <v>2</v>
      </c>
      <c r="Q61" s="49">
        <f>SUMIFS([1]!in.rec[total],
[1]!in.rec[natureza],"pro.soluto",
[1]!in.rec[empresa],Q$6,
[1]!in.rec[data.base],"&gt;="&amp;$A61,
[1]!in.rec[data.base],"&lt;"&amp;EOMONTH($A61,0)
)</f>
        <v>314168.67</v>
      </c>
      <c r="R61" s="38" t="e">
        <f ca="1">SUMIFS([1]!rec.uni[2025-11-01],
INDIRECT("rec.uni[natureza]"),"repasse.cef.obra",
INDIRECT("rec.uni[empresa]"),R$6)</f>
        <v>#REF!</v>
      </c>
      <c r="S61" s="51" t="e">
        <f ca="1">SUMIFS([1]!rec.uni[2025-11-01],
INDIRECT("rec.uni[natureza]"),"repasse.cef.terreno",
INDIRECT("rec.uni[empresa]"),S$6)</f>
        <v>#REF!</v>
      </c>
      <c r="T61" s="51">
        <v>378061.31</v>
      </c>
      <c r="U61" s="49" t="e">
        <f ca="1">SUMIFS([1]!rec.uni[2025-11-01],
INDIRECT("rec.uni[natureza]"),"taxa.extra",
INDIRECT("rec.uni[empresa]"),U$6)</f>
        <v>#REF!</v>
      </c>
      <c r="V61" s="50">
        <v>0</v>
      </c>
      <c r="W61" s="48">
        <f>COUNTIFS(
    [1]!estoque[empresa], W$6,
    [1]!estoque[Data da venda / reserva], "&gt;=" &amp; $A61,
    [1]!estoque[Data da venda / reserva], "&lt;"  &amp; EOMONTH($A61,0) + 1
)</f>
        <v>4</v>
      </c>
      <c r="X61" s="49">
        <f>SUMIFS([1]!in.rec[total],
[1]!in.rec[natureza],"pro.soluto",
[1]!in.rec[empresa],X$6,
[1]!in.rec[data.base],"&gt;="&amp;$A61,
[1]!in.rec[data.base],"&lt;"&amp;EOMONTH($A61,0)
)</f>
        <v>102068.03000000003</v>
      </c>
      <c r="Y61" s="49" t="e">
        <f ca="1">SUMIFS([1]!rec.uni[2025-11-01],
INDIRECT("rec.uni[natureza]"),"taxa.extra",
INDIRECT("rec.uni[empresa]"),Y$6)</f>
        <v>#REF!</v>
      </c>
      <c r="Z61" s="50">
        <v>802.68000000000006</v>
      </c>
      <c r="AA61" s="48">
        <f>COUNTIFS(
    [1]!estoque[empresa], AA$6,
    [1]!estoque[Data da venda / reserva], "&gt;=" &amp; $A61,
    [1]!estoque[Data da venda / reserva], "&lt;"  &amp; EOMONTH($A61,0) + 1
)</f>
        <v>0</v>
      </c>
      <c r="AB61" s="49">
        <f>SUMIFS([1]!in.rec[total],
[1]!in.rec[natureza],"pro.soluto",
[1]!in.rec[empresa],AB$6,
[1]!in.rec[data.base],"&gt;="&amp;$A61,
[1]!in.rec[data.base],"&lt;"&amp;EOMONTH($A61,0)
)</f>
        <v>106268.76</v>
      </c>
      <c r="AC61" s="51">
        <f>IF(
$A61&lt;=$A$1,
SUMIFS([1]!in.rec[total],
   [1]!in.rec[empresa],AC$6,
   [1]!in.rec[ele],"FIN",
   [1]!in.rec[data.pagamento],"&gt;="&amp;$A61,
   [1]!in.rec[data.pagamento],"&lt;"&amp;$A62
),
SUMIFS([1]!in.rec[total],
   [1]!in.rec[empresa],AC$6,
   [1]!in.rec[ele],"FIN",
   [1]!in.rec[data.vencimento],"&gt;="&amp;$A61,
   [1]!in.rec[data.vencimento],"&lt;"&amp;$A62
)
)</f>
        <v>0</v>
      </c>
      <c r="AD61" s="49" t="e">
        <f ca="1">SUMIFS([1]!rec.uni[2025-11-01],
INDIRECT("rec.uni[natureza]"),"taxa.extra",
INDIRECT("rec.uni[empresa]"),AD$6)</f>
        <v>#REF!</v>
      </c>
      <c r="AE61" s="50">
        <v>1673.16</v>
      </c>
      <c r="AF61" s="48">
        <f>COUNTIFS(
    [1]!estoque[empresa], AF$6,
    [1]!estoque[Data da venda / reserva], "&gt;=" &amp; $A61,
    [1]!estoque[Data da venda / reserva], "&lt;"  &amp; EOMONTH($A61,0) + 1
)</f>
        <v>1</v>
      </c>
      <c r="AG61" s="49">
        <f>SUMIFS([1]!in.rec[total],
[1]!in.rec[natureza],"pro.soluto",
[1]!in.rec[empresa],AG$6,
[1]!in.rec[data.base],"&gt;="&amp;$A61,
[1]!in.rec[data.base],"&lt;"&amp;EOMONTH($A61,0)
)</f>
        <v>384205.80999999965</v>
      </c>
      <c r="AH61" s="38" t="e">
        <f ca="1">SUMIFS([1]!rec.uni[2025-11-01],
INDIRECT("rec.uni[natureza]"),"repasse.cef.obra",
INDIRECT("rec.uni[empresa]"),AH$6)</f>
        <v>#REF!</v>
      </c>
      <c r="AI61" s="51" t="e">
        <f ca="1">SUMIFS([1]!rec.uni[2025-11-01],
INDIRECT("rec.uni[natureza]"),"repasse.cef.terreno",
INDIRECT("rec.uni[empresa]"),AI$6)</f>
        <v>#REF!</v>
      </c>
      <c r="AJ61" s="51">
        <v>200573.37</v>
      </c>
      <c r="AK61" s="49" t="e">
        <f ca="1">SUMIFS([1]!rec.uni[2025-11-01],
INDIRECT("rec.uni[natureza]"),"taxa.extra",
INDIRECT("rec.uni[empresa]"),AK$6)</f>
        <v>#REF!</v>
      </c>
      <c r="AL61" s="50">
        <v>294.38</v>
      </c>
      <c r="AM61" s="48">
        <f>COUNTIFS(
    [1]!estoque[empresa], AM$6,
    [1]!estoque[Data da venda / reserva], "&gt;=" &amp; $A61,
    [1]!estoque[Data da venda / reserva], "&lt;"  &amp; EOMONTH($A61,0) + 1
)</f>
        <v>16</v>
      </c>
      <c r="AN61" s="49">
        <f>SUMIFS([1]!in.rec[total],
[1]!in.rec[natureza],"pro.soluto",
[1]!in.rec[empresa],AN$6,
[1]!in.rec[data.base],"&gt;="&amp;$A61,
[1]!in.rec[data.base],"&lt;"&amp;EOMONTH($A61,0)
)</f>
        <v>276186.96000000014</v>
      </c>
      <c r="AO61" s="49" t="e">
        <f ca="1">SUMIFS([1]!rec.uni[2025-11-01],
INDIRECT("rec.uni[natureza]"),"taxa.extra",
INDIRECT("rec.uni[empresa]"),AO$6)</f>
        <v>#REF!</v>
      </c>
      <c r="AP61" s="50">
        <v>0</v>
      </c>
    </row>
    <row r="62" spans="1:42" x14ac:dyDescent="0.25">
      <c r="A62" s="47">
        <v>45992</v>
      </c>
      <c r="B62" s="39"/>
      <c r="C62" s="49">
        <f>SUMIFS([1]!in.rec[total],
[1]!in.rec[natureza],"pro.soluto",
[1]!in.rec[empresa],C$6,
[1]!in.rec[data.base],"&gt;="&amp;$A62,
[1]!in.rec[data.base],"&lt;"&amp;EOMONTH($A62,0)
)</f>
        <v>563009.86000000022</v>
      </c>
      <c r="D62" s="38"/>
      <c r="E62" s="51"/>
      <c r="F62" s="51"/>
      <c r="G62" s="49" t="e">
        <f ca="1">SUMIFS([1]!rec.uni[2025-12-01],
INDIRECT("rec.uni[natureza]"),"taxa.extra",
INDIRECT("rec.uni[empresa]"),G$6)</f>
        <v>#REF!</v>
      </c>
      <c r="H62" s="51"/>
      <c r="I62" s="39"/>
      <c r="J62" s="49">
        <f>SUMIFS([1]!in.rec[total],
[1]!in.rec[natureza],"pro.soluto",
[1]!in.rec[empresa],J$6,
[1]!in.rec[data.base],"&gt;="&amp;$A62,
[1]!in.rec[data.base],"&lt;"&amp;EOMONTH($A62,0)
)</f>
        <v>9904.5300000000007</v>
      </c>
      <c r="K62" s="38"/>
      <c r="L62" s="51"/>
      <c r="M62" s="51"/>
      <c r="N62" s="49" t="e">
        <f ca="1">SUMIFS([1]!rec.uni[2025-12-01],
INDIRECT("rec.uni[natureza]"),"taxa.extra",
INDIRECT("rec.uni[empresa]"),N$6)</f>
        <v>#REF!</v>
      </c>
      <c r="O62" s="51"/>
      <c r="P62" s="39"/>
      <c r="Q62" s="49">
        <f>SUMIFS([1]!in.rec[total],
[1]!in.rec[natureza],"pro.soluto",
[1]!in.rec[empresa],Q$6,
[1]!in.rec[data.base],"&gt;="&amp;$A62,
[1]!in.rec[data.base],"&lt;"&amp;EOMONTH($A62,0)
)</f>
        <v>554031.94000000018</v>
      </c>
      <c r="R62" s="38"/>
      <c r="S62" s="51"/>
      <c r="T62" s="51"/>
      <c r="U62" s="49" t="e">
        <f ca="1">SUMIFS([1]!rec.uni[2025-12-01],
INDIRECT("rec.uni[natureza]"),"taxa.extra",
INDIRECT("rec.uni[empresa]"),U$6)</f>
        <v>#REF!</v>
      </c>
      <c r="V62" s="51"/>
      <c r="W62" s="39"/>
      <c r="X62" s="49">
        <f>SUMIFS([1]!in.rec[total],
[1]!in.rec[natureza],"pro.soluto",
[1]!in.rec[empresa],X$6,
[1]!in.rec[data.base],"&gt;="&amp;$A62,
[1]!in.rec[data.base],"&lt;"&amp;EOMONTH($A62,0)
)</f>
        <v>567394.24999999977</v>
      </c>
      <c r="Y62" s="49" t="e">
        <f ca="1">SUMIFS([1]!rec.uni[2025-12-01],
INDIRECT("rec.uni[natureza]"),"taxa.extra",
INDIRECT("rec.uni[empresa]"),Y$6)</f>
        <v>#REF!</v>
      </c>
      <c r="Z62" s="51"/>
      <c r="AA62" s="39"/>
      <c r="AB62" s="49">
        <f>SUMIFS([1]!in.rec[total],
[1]!in.rec[natureza],"pro.soluto",
[1]!in.rec[empresa],AB$6,
[1]!in.rec[data.base],"&gt;="&amp;$A62,
[1]!in.rec[data.base],"&lt;"&amp;EOMONTH($A62,0)
)</f>
        <v>395372.49000000011</v>
      </c>
      <c r="AC62" s="51">
        <f>IF(
$A62&lt;=$A$1,
SUMIFS([1]!in.rec[total],
   [1]!in.rec[empresa],AC$6,
   [1]!in.rec[ele],"FIN",
   [1]!in.rec[data.pagamento],"&gt;="&amp;$A62,
   [1]!in.rec[data.pagamento],"&lt;"&amp;$A63
),
SUMIFS([1]!in.rec[total],
   [1]!in.rec[empresa],AC$6,
   [1]!in.rec[ele],"FIN",
   [1]!in.rec[data.vencimento],"&gt;="&amp;$A62,
   [1]!in.rec[data.vencimento],"&lt;"&amp;$A63
)
)</f>
        <v>0</v>
      </c>
      <c r="AD62" s="49" t="e">
        <f ca="1">SUMIFS([1]!rec.uni[2025-12-01],
INDIRECT("rec.uni[natureza]"),"taxa.extra",
INDIRECT("rec.uni[empresa]"),AD$6)</f>
        <v>#REF!</v>
      </c>
      <c r="AE62" s="51"/>
      <c r="AF62" s="48">
        <f>COUNTIFS(
    [1]!estoque[empresa], AF$6,
    [1]!estoque[Data da venda / reserva], "&gt;=" &amp; $A62,
    [1]!estoque[Data da venda / reserva], "&lt;"  &amp; EOMONTH($A62,0) + 1
)</f>
        <v>0</v>
      </c>
      <c r="AG62" s="49">
        <f>SUMIFS([1]!in.rec[total],
[1]!in.rec[natureza],"pro.soluto",
[1]!in.rec[empresa],AG$6,
[1]!in.rec[data.base],"&gt;="&amp;$A62,
[1]!in.rec[data.base],"&lt;"&amp;EOMONTH($A62,0)
)</f>
        <v>1382636.1200000013</v>
      </c>
      <c r="AH62" s="38"/>
      <c r="AI62" s="51"/>
      <c r="AJ62" s="51"/>
      <c r="AK62" s="49" t="e">
        <f ca="1">SUMIFS([1]!rec.uni[2025-12-01],
INDIRECT("rec.uni[natureza]"),"taxa.extra",
INDIRECT("rec.uni[empresa]"),AK$6)</f>
        <v>#REF!</v>
      </c>
      <c r="AL62" s="51"/>
      <c r="AM62" s="39"/>
      <c r="AN62" s="49">
        <f>SUMIFS([1]!in.rec[total],
[1]!in.rec[natureza],"pro.soluto",
[1]!in.rec[empresa],AN$6,
[1]!in.rec[data.base],"&gt;="&amp;$A62,
[1]!in.rec[data.base],"&lt;"&amp;EOMONTH($A62,0)
)</f>
        <v>558766.1</v>
      </c>
      <c r="AO62" s="49" t="e">
        <f ca="1">SUMIFS([1]!rec.uni[2025-12-01],
INDIRECT("rec.uni[natureza]"),"taxa.extra",
INDIRECT("rec.uni[empresa]"),AO$6)</f>
        <v>#REF!</v>
      </c>
      <c r="AP62" s="51"/>
    </row>
    <row r="63" spans="1:42" x14ac:dyDescent="0.25">
      <c r="A63" s="47">
        <v>46023</v>
      </c>
      <c r="B63" s="39"/>
      <c r="C63" s="49">
        <f>SUMIFS([1]!in.rec[total],
[1]!in.rec[natureza],"pro.soluto",
[1]!in.rec[empresa],C$6,
[1]!in.rec[data.base],"&gt;="&amp;$A63,
[1]!in.rec[data.base],"&lt;"&amp;EOMONTH($A63,0)
)</f>
        <v>362390.73000000016</v>
      </c>
      <c r="D63" s="38"/>
      <c r="E63" s="51"/>
      <c r="F63" s="51"/>
      <c r="G63" s="49" t="e">
        <f ca="1">SUMIFS([1]!rec.uni[2026-01-01],
INDIRECT("rec.uni[natureza]"),"taxa.extra",
INDIRECT("rec.uni[empresa]"),G$6)</f>
        <v>#REF!</v>
      </c>
      <c r="H63" s="51"/>
      <c r="I63" s="39"/>
      <c r="J63" s="49">
        <f>SUMIFS([1]!in.rec[total],
[1]!in.rec[natureza],"pro.soluto",
[1]!in.rec[empresa],J$6,
[1]!in.rec[data.base],"&gt;="&amp;$A63,
[1]!in.rec[data.base],"&lt;"&amp;EOMONTH($A63,0)
)</f>
        <v>1793</v>
      </c>
      <c r="K63" s="38"/>
      <c r="L63" s="51"/>
      <c r="M63" s="51"/>
      <c r="N63" s="49" t="e">
        <f ca="1">SUMIFS([1]!rec.uni[2026-01-01],
INDIRECT("rec.uni[natureza]"),"taxa.extra",
INDIRECT("rec.uni[empresa]"),N$6)</f>
        <v>#REF!</v>
      </c>
      <c r="O63" s="51"/>
      <c r="P63" s="39"/>
      <c r="Q63" s="49">
        <f>SUMIFS([1]!in.rec[total],
[1]!in.rec[natureza],"pro.soluto",
[1]!in.rec[empresa],Q$6,
[1]!in.rec[data.base],"&gt;="&amp;$A63,
[1]!in.rec[data.base],"&lt;"&amp;EOMONTH($A63,0)
)</f>
        <v>212393.78</v>
      </c>
      <c r="R63" s="38"/>
      <c r="S63" s="51"/>
      <c r="T63" s="51"/>
      <c r="U63" s="49" t="e">
        <f ca="1">SUMIFS([1]!rec.uni[2026-01-01],
INDIRECT("rec.uni[natureza]"),"taxa.extra",
INDIRECT("rec.uni[empresa]"),U$6)</f>
        <v>#REF!</v>
      </c>
      <c r="V63" s="51"/>
      <c r="W63" s="39"/>
      <c r="X63" s="49">
        <f>SUMIFS([1]!in.rec[total],
[1]!in.rec[natureza],"pro.soluto",
[1]!in.rec[empresa],X$6,
[1]!in.rec[data.base],"&gt;="&amp;$A63,
[1]!in.rec[data.base],"&lt;"&amp;EOMONTH($A63,0)
)</f>
        <v>88400.430000000037</v>
      </c>
      <c r="Y63" s="49" t="e">
        <f ca="1">SUMIFS([1]!rec.uni[2026-01-01],
INDIRECT("rec.uni[natureza]"),"taxa.extra",
INDIRECT("rec.uni[empresa]"),Y$6)</f>
        <v>#REF!</v>
      </c>
      <c r="Z63" s="51"/>
      <c r="AA63" s="39"/>
      <c r="AB63" s="49">
        <f>SUMIFS([1]!in.rec[total],
[1]!in.rec[natureza],"pro.soluto",
[1]!in.rec[empresa],AB$6,
[1]!in.rec[data.base],"&gt;="&amp;$A63,
[1]!in.rec[data.base],"&lt;"&amp;EOMONTH($A63,0)
)</f>
        <v>146233.91</v>
      </c>
      <c r="AC63" s="51">
        <f>IF(
$A63&lt;=$A$1,
SUMIFS([1]!in.rec[total],
   [1]!in.rec[empresa],AC$6,
   [1]!in.rec[ele],"FIN",
   [1]!in.rec[data.pagamento],"&gt;="&amp;$A63,
   [1]!in.rec[data.pagamento],"&lt;"&amp;$A64
),
SUMIFS([1]!in.rec[total],
   [1]!in.rec[empresa],AC$6,
   [1]!in.rec[ele],"FIN",
   [1]!in.rec[data.vencimento],"&gt;="&amp;$A63,
   [1]!in.rec[data.vencimento],"&lt;"&amp;$A64
)
)</f>
        <v>0</v>
      </c>
      <c r="AD63" s="49" t="e">
        <f ca="1">SUMIFS([1]!rec.uni[2026-01-01],
INDIRECT("rec.uni[natureza]"),"taxa.extra",
INDIRECT("rec.uni[empresa]"),AD$6)</f>
        <v>#REF!</v>
      </c>
      <c r="AE63" s="51"/>
      <c r="AF63" s="48">
        <f>COUNTIFS(
    [1]!estoque[empresa], AF$6,
    [1]!estoque[Data da venda / reserva], "&gt;=" &amp; $A63,
    [1]!estoque[Data da venda / reserva], "&lt;"  &amp; EOMONTH($A63,0) + 1
)</f>
        <v>0</v>
      </c>
      <c r="AG63" s="49">
        <f>SUMIFS([1]!in.rec[total],
[1]!in.rec[natureza],"pro.soluto",
[1]!in.rec[empresa],AG$6,
[1]!in.rec[data.base],"&gt;="&amp;$A63,
[1]!in.rec[data.base],"&lt;"&amp;EOMONTH($A63,0)
)</f>
        <v>415727.87999999989</v>
      </c>
      <c r="AH63" s="38"/>
      <c r="AI63" s="51"/>
      <c r="AJ63" s="51"/>
      <c r="AK63" s="49" t="e">
        <f ca="1">SUMIFS([1]!rec.uni[2026-01-01],
INDIRECT("rec.uni[natureza]"),"taxa.extra",
INDIRECT("rec.uni[empresa]"),AK$6)</f>
        <v>#REF!</v>
      </c>
      <c r="AL63" s="51"/>
      <c r="AM63" s="39"/>
      <c r="AN63" s="49">
        <f>SUMIFS([1]!in.rec[total],
[1]!in.rec[natureza],"pro.soluto",
[1]!in.rec[empresa],AN$6,
[1]!in.rec[data.base],"&gt;="&amp;$A63,
[1]!in.rec[data.base],"&lt;"&amp;EOMONTH($A63,0)
)</f>
        <v>233024.95999999996</v>
      </c>
      <c r="AO63" s="49" t="e">
        <f ca="1">SUMIFS([1]!rec.uni[2026-01-01],
INDIRECT("rec.uni[natureza]"),"taxa.extra",
INDIRECT("rec.uni[empresa]"),AO$6)</f>
        <v>#REF!</v>
      </c>
      <c r="AP63" s="51"/>
    </row>
    <row r="64" spans="1:42" x14ac:dyDescent="0.25">
      <c r="A64" s="47">
        <v>46054</v>
      </c>
      <c r="B64" s="39"/>
      <c r="C64" s="49">
        <f>SUMIFS([1]!in.rec[total],
[1]!in.rec[natureza],"pro.soluto",
[1]!in.rec[empresa],C$6,
[1]!in.rec[data.base],"&gt;="&amp;$A64,
[1]!in.rec[data.base],"&lt;"&amp;EOMONTH($A64,0)
)</f>
        <v>163499.38999999998</v>
      </c>
      <c r="D64" s="38"/>
      <c r="E64" s="51"/>
      <c r="F64" s="51"/>
      <c r="G64" s="49" t="e">
        <f ca="1">SUMIFS([1]!rec.uni[2026-02-01],
INDIRECT("rec.uni[natureza]"),"taxa.extra",
INDIRECT("rec.uni[empresa]"),G$6)</f>
        <v>#REF!</v>
      </c>
      <c r="H64" s="51"/>
      <c r="I64" s="39"/>
      <c r="J64" s="49">
        <f>SUMIFS([1]!in.rec[total],
[1]!in.rec[natureza],"pro.soluto",
[1]!in.rec[empresa],J$6,
[1]!in.rec[data.base],"&gt;="&amp;$A64,
[1]!in.rec[data.base],"&lt;"&amp;EOMONTH($A64,0)
)</f>
        <v>1184.01</v>
      </c>
      <c r="K64" s="38"/>
      <c r="L64" s="51"/>
      <c r="M64" s="51"/>
      <c r="N64" s="49" t="e">
        <f ca="1">SUMIFS([1]!rec.uni[2026-02-01],
INDIRECT("rec.uni[natureza]"),"taxa.extra",
INDIRECT("rec.uni[empresa]"),N$6)</f>
        <v>#REF!</v>
      </c>
      <c r="O64" s="51"/>
      <c r="P64" s="39"/>
      <c r="Q64" s="49">
        <f>SUMIFS([1]!in.rec[total],
[1]!in.rec[natureza],"pro.soluto",
[1]!in.rec[empresa],Q$6,
[1]!in.rec[data.base],"&gt;="&amp;$A64,
[1]!in.rec[data.base],"&lt;"&amp;EOMONTH($A64,0)
)</f>
        <v>196285.70999999996</v>
      </c>
      <c r="R64" s="38"/>
      <c r="S64" s="51"/>
      <c r="T64" s="51"/>
      <c r="U64" s="49" t="e">
        <f ca="1">SUMIFS([1]!rec.uni[2026-02-01],
INDIRECT("rec.uni[natureza]"),"taxa.extra",
INDIRECT("rec.uni[empresa]"),U$6)</f>
        <v>#REF!</v>
      </c>
      <c r="V64" s="51"/>
      <c r="W64" s="39"/>
      <c r="X64" s="49">
        <f>SUMIFS([1]!in.rec[total],
[1]!in.rec[natureza],"pro.soluto",
[1]!in.rec[empresa],X$6,
[1]!in.rec[data.base],"&gt;="&amp;$A64,
[1]!in.rec[data.base],"&lt;"&amp;EOMONTH($A64,0)
)</f>
        <v>86253.230000000054</v>
      </c>
      <c r="Y64" s="49" t="e">
        <f ca="1">SUMIFS([1]!rec.uni[2026-02-01],
INDIRECT("rec.uni[natureza]"),"taxa.extra",
INDIRECT("rec.uni[empresa]"),Y$6)</f>
        <v>#REF!</v>
      </c>
      <c r="Z64" s="51"/>
      <c r="AA64" s="39"/>
      <c r="AB64" s="49">
        <f>SUMIFS([1]!in.rec[total],
[1]!in.rec[natureza],"pro.soluto",
[1]!in.rec[empresa],AB$6,
[1]!in.rec[data.base],"&gt;="&amp;$A64,
[1]!in.rec[data.base],"&lt;"&amp;EOMONTH($A64,0)
)</f>
        <v>82323.17</v>
      </c>
      <c r="AC64" s="51">
        <f>IF(
$A64&lt;=$A$1,
SUMIFS([1]!in.rec[total],
   [1]!in.rec[empresa],AC$6,
   [1]!in.rec[ele],"FIN",
   [1]!in.rec[data.pagamento],"&gt;="&amp;$A64,
   [1]!in.rec[data.pagamento],"&lt;"&amp;$A65
),
SUMIFS([1]!in.rec[total],
   [1]!in.rec[empresa],AC$6,
   [1]!in.rec[ele],"FIN",
   [1]!in.rec[data.vencimento],"&gt;="&amp;$A64,
   [1]!in.rec[data.vencimento],"&lt;"&amp;$A65
)
)</f>
        <v>0</v>
      </c>
      <c r="AD64" s="49" t="e">
        <f ca="1">SUMIFS([1]!rec.uni[2026-02-01],
INDIRECT("rec.uni[natureza]"),"taxa.extra",
INDIRECT("rec.uni[empresa]"),AD$6)</f>
        <v>#REF!</v>
      </c>
      <c r="AE64" s="51"/>
      <c r="AF64" s="48">
        <f>COUNTIFS(
    [1]!estoque[empresa], AF$6,
    [1]!estoque[Data da venda / reserva], "&gt;=" &amp; $A64,
    [1]!estoque[Data da venda / reserva], "&lt;"  &amp; EOMONTH($A64,0) + 1
)</f>
        <v>0</v>
      </c>
      <c r="AG64" s="49">
        <f>SUMIFS([1]!in.rec[total],
[1]!in.rec[natureza],"pro.soluto",
[1]!in.rec[empresa],AG$6,
[1]!in.rec[data.base],"&gt;="&amp;$A64,
[1]!in.rec[data.base],"&lt;"&amp;EOMONTH($A64,0)
)</f>
        <v>317341.1999999999</v>
      </c>
      <c r="AH64" s="38"/>
      <c r="AI64" s="51"/>
      <c r="AJ64" s="51"/>
      <c r="AK64" s="49" t="e">
        <f ca="1">SUMIFS([1]!rec.uni[2026-02-01],
INDIRECT("rec.uni[natureza]"),"taxa.extra",
INDIRECT("rec.uni[empresa]"),AK$6)</f>
        <v>#REF!</v>
      </c>
      <c r="AL64" s="51"/>
      <c r="AM64" s="39"/>
      <c r="AN64" s="49">
        <f>SUMIFS([1]!in.rec[total],
[1]!in.rec[natureza],"pro.soluto",
[1]!in.rec[empresa],AN$6,
[1]!in.rec[data.base],"&gt;="&amp;$A64,
[1]!in.rec[data.base],"&lt;"&amp;EOMONTH($A64,0)
)</f>
        <v>240148.80000000002</v>
      </c>
      <c r="AO64" s="49" t="e">
        <f ca="1">SUMIFS([1]!rec.uni[2026-02-01],
INDIRECT("rec.uni[natureza]"),"taxa.extra",
INDIRECT("rec.uni[empresa]"),AO$6)</f>
        <v>#REF!</v>
      </c>
      <c r="AP64" s="51"/>
    </row>
    <row r="65" spans="1:42" x14ac:dyDescent="0.25">
      <c r="A65" s="47">
        <v>46082</v>
      </c>
      <c r="B65" s="39"/>
      <c r="C65" s="49">
        <f>SUMIFS([1]!in.rec[total],
[1]!in.rec[natureza],"pro.soluto",
[1]!in.rec[empresa],C$6,
[1]!in.rec[data.base],"&gt;="&amp;$A65,
[1]!in.rec[data.base],"&lt;"&amp;EOMONTH($A65,0)
)</f>
        <v>21426.240000000002</v>
      </c>
      <c r="D65" s="38"/>
      <c r="E65" s="51"/>
      <c r="F65" s="51"/>
      <c r="G65" s="49" t="e">
        <f ca="1">SUMIFS([1]!rec.uni[2026-03-01],
INDIRECT("rec.uni[natureza]"),"taxa.extra",
INDIRECT("rec.uni[empresa]"),G$6)</f>
        <v>#REF!</v>
      </c>
      <c r="H65" s="51"/>
      <c r="I65" s="39"/>
      <c r="J65" s="49">
        <f>SUMIFS([1]!in.rec[total],
[1]!in.rec[natureza],"pro.soluto",
[1]!in.rec[empresa],J$6,
[1]!in.rec[data.base],"&gt;="&amp;$A65,
[1]!in.rec[data.base],"&lt;"&amp;EOMONTH($A65,0)
)</f>
        <v>2149.89</v>
      </c>
      <c r="K65" s="38"/>
      <c r="L65" s="51"/>
      <c r="M65" s="51"/>
      <c r="N65" s="49" t="e">
        <f ca="1">SUMIFS([1]!rec.uni[2026-03-01],
INDIRECT("rec.uni[natureza]"),"taxa.extra",
INDIRECT("rec.uni[empresa]"),N$6)</f>
        <v>#REF!</v>
      </c>
      <c r="O65" s="51"/>
      <c r="P65" s="39"/>
      <c r="Q65" s="49">
        <f>SUMIFS([1]!in.rec[total],
[1]!in.rec[natureza],"pro.soluto",
[1]!in.rec[empresa],Q$6,
[1]!in.rec[data.base],"&gt;="&amp;$A65,
[1]!in.rec[data.base],"&lt;"&amp;EOMONTH($A65,0)
)</f>
        <v>263489.48</v>
      </c>
      <c r="R65" s="38"/>
      <c r="S65" s="51"/>
      <c r="T65" s="51"/>
      <c r="U65" s="49" t="e">
        <f ca="1">SUMIFS([1]!rec.uni[2026-03-01],
INDIRECT("rec.uni[natureza]"),"taxa.extra",
INDIRECT("rec.uni[empresa]"),U$6)</f>
        <v>#REF!</v>
      </c>
      <c r="V65" s="51"/>
      <c r="W65" s="39"/>
      <c r="X65" s="49">
        <f>SUMIFS([1]!in.rec[total],
[1]!in.rec[natureza],"pro.soluto",
[1]!in.rec[empresa],X$6,
[1]!in.rec[data.base],"&gt;="&amp;$A65,
[1]!in.rec[data.base],"&lt;"&amp;EOMONTH($A65,0)
)</f>
        <v>86632.550000000032</v>
      </c>
      <c r="Y65" s="49" t="e">
        <f ca="1">SUMIFS([1]!rec.uni[2026-03-01],
INDIRECT("rec.uni[natureza]"),"taxa.extra",
INDIRECT("rec.uni[empresa]"),Y$6)</f>
        <v>#REF!</v>
      </c>
      <c r="Z65" s="51"/>
      <c r="AA65" s="39"/>
      <c r="AB65" s="49">
        <f>SUMIFS([1]!in.rec[total],
[1]!in.rec[natureza],"pro.soluto",
[1]!in.rec[empresa],AB$6,
[1]!in.rec[data.base],"&gt;="&amp;$A65,
[1]!in.rec[data.base],"&lt;"&amp;EOMONTH($A65,0)
)</f>
        <v>262187.44</v>
      </c>
      <c r="AC65" s="51">
        <f>IF(
$A65&lt;=$A$1,
SUMIFS([1]!in.rec[total],
   [1]!in.rec[empresa],AC$6,
   [1]!in.rec[ele],"FIN",
   [1]!in.rec[data.pagamento],"&gt;="&amp;$A65,
   [1]!in.rec[data.pagamento],"&lt;"&amp;$A66
),
SUMIFS([1]!in.rec[total],
   [1]!in.rec[empresa],AC$6,
   [1]!in.rec[ele],"FIN",
   [1]!in.rec[data.vencimento],"&gt;="&amp;$A65,
   [1]!in.rec[data.vencimento],"&lt;"&amp;$A66
)
)</f>
        <v>0</v>
      </c>
      <c r="AD65" s="49" t="e">
        <f ca="1">SUMIFS([1]!rec.uni[2026-03-01],
INDIRECT("rec.uni[natureza]"),"taxa.extra",
INDIRECT("rec.uni[empresa]"),AD$6)</f>
        <v>#REF!</v>
      </c>
      <c r="AE65" s="51"/>
      <c r="AF65" s="48">
        <f>COUNTIFS(
    [1]!estoque[empresa], AF$6,
    [1]!estoque[Data da venda / reserva], "&gt;=" &amp; $A65,
    [1]!estoque[Data da venda / reserva], "&lt;"  &amp; EOMONTH($A65,0) + 1
)</f>
        <v>0</v>
      </c>
      <c r="AG65" s="49">
        <f>SUMIFS([1]!in.rec[total],
[1]!in.rec[natureza],"pro.soluto",
[1]!in.rec[empresa],AG$6,
[1]!in.rec[data.base],"&gt;="&amp;$A65,
[1]!in.rec[data.base],"&lt;"&amp;EOMONTH($A65,0)
)</f>
        <v>419877.64999999985</v>
      </c>
      <c r="AH65" s="38"/>
      <c r="AI65" s="51"/>
      <c r="AJ65" s="51"/>
      <c r="AK65" s="49" t="e">
        <f ca="1">SUMIFS([1]!rec.uni[2026-03-01],
INDIRECT("rec.uni[natureza]"),"taxa.extra",
INDIRECT("rec.uni[empresa]"),AK$6)</f>
        <v>#REF!</v>
      </c>
      <c r="AL65" s="51"/>
      <c r="AM65" s="39"/>
      <c r="AN65" s="49">
        <f>SUMIFS([1]!in.rec[total],
[1]!in.rec[natureza],"pro.soluto",
[1]!in.rec[empresa],AN$6,
[1]!in.rec[data.base],"&gt;="&amp;$A65,
[1]!in.rec[data.base],"&lt;"&amp;EOMONTH($A65,0)
)</f>
        <v>241753.92</v>
      </c>
      <c r="AO65" s="49" t="e">
        <f ca="1">SUMIFS([1]!rec.uni[2026-03-01],
INDIRECT("rec.uni[natureza]"),"taxa.extra",
INDIRECT("rec.uni[empresa]"),AO$6)</f>
        <v>#REF!</v>
      </c>
      <c r="AP65" s="51"/>
    </row>
    <row r="66" spans="1:42" x14ac:dyDescent="0.25">
      <c r="A66" s="47">
        <v>46113</v>
      </c>
      <c r="B66" s="39"/>
      <c r="C66" s="49">
        <f>SUMIFS([1]!in.rec[total],
[1]!in.rec[natureza],"pro.soluto",
[1]!in.rec[empresa],C$6,
[1]!in.rec[data.base],"&gt;="&amp;$A66,
[1]!in.rec[data.base],"&lt;"&amp;EOMONTH($A66,0)
)</f>
        <v>29009.62000000001</v>
      </c>
      <c r="D66" s="38"/>
      <c r="E66" s="51"/>
      <c r="F66" s="51"/>
      <c r="G66" s="49" t="e">
        <f ca="1">SUMIFS([1]!rec.uni[2026-04-01],
INDIRECT("rec.uni[natureza]"),"taxa.extra",
INDIRECT("rec.uni[empresa]"),G$6)</f>
        <v>#REF!</v>
      </c>
      <c r="H66" s="51"/>
      <c r="I66" s="39"/>
      <c r="J66" s="49">
        <f>SUMIFS([1]!in.rec[total],
[1]!in.rec[natureza],"pro.soluto",
[1]!in.rec[empresa],J$6,
[1]!in.rec[data.base],"&gt;="&amp;$A66,
[1]!in.rec[data.base],"&lt;"&amp;EOMONTH($A66,0)
)</f>
        <v>920.68</v>
      </c>
      <c r="K66" s="38"/>
      <c r="L66" s="51"/>
      <c r="M66" s="51"/>
      <c r="N66" s="49" t="e">
        <f ca="1">SUMIFS([1]!rec.uni[2026-04-01],
INDIRECT("rec.uni[natureza]"),"taxa.extra",
INDIRECT("rec.uni[empresa]"),N$6)</f>
        <v>#REF!</v>
      </c>
      <c r="O66" s="51"/>
      <c r="P66" s="39"/>
      <c r="Q66" s="49">
        <f>SUMIFS([1]!in.rec[total],
[1]!in.rec[natureza],"pro.soluto",
[1]!in.rec[empresa],Q$6,
[1]!in.rec[data.base],"&gt;="&amp;$A66,
[1]!in.rec[data.base],"&lt;"&amp;EOMONTH($A66,0)
)</f>
        <v>210022.67</v>
      </c>
      <c r="R66" s="38"/>
      <c r="S66" s="51"/>
      <c r="T66" s="51"/>
      <c r="U66" s="49" t="e">
        <f ca="1">SUMIFS([1]!rec.uni[2026-04-01],
INDIRECT("rec.uni[natureza]"),"taxa.extra",
INDIRECT("rec.uni[empresa]"),U$6)</f>
        <v>#REF!</v>
      </c>
      <c r="V66" s="51"/>
      <c r="W66" s="39"/>
      <c r="X66" s="49">
        <f>SUMIFS([1]!in.rec[total],
[1]!in.rec[natureza],"pro.soluto",
[1]!in.rec[empresa],X$6,
[1]!in.rec[data.base],"&gt;="&amp;$A66,
[1]!in.rec[data.base],"&lt;"&amp;EOMONTH($A66,0)
)</f>
        <v>87309.970000000045</v>
      </c>
      <c r="Y66" s="49" t="e">
        <f ca="1">SUMIFS([1]!rec.uni[2026-04-01],
INDIRECT("rec.uni[natureza]"),"taxa.extra",
INDIRECT("rec.uni[empresa]"),Y$6)</f>
        <v>#REF!</v>
      </c>
      <c r="Z66" s="51"/>
      <c r="AA66" s="39"/>
      <c r="AB66" s="49">
        <f>SUMIFS([1]!in.rec[total],
[1]!in.rec[natureza],"pro.soluto",
[1]!in.rec[empresa],AB$6,
[1]!in.rec[data.base],"&gt;="&amp;$A66,
[1]!in.rec[data.base],"&lt;"&amp;EOMONTH($A66,0)
)</f>
        <v>177643.25000000003</v>
      </c>
      <c r="AC66" s="51">
        <f>IF(
$A66&lt;=$A$1,
SUMIFS([1]!in.rec[total],
   [1]!in.rec[empresa],AC$6,
   [1]!in.rec[ele],"FIN",
   [1]!in.rec[data.pagamento],"&gt;="&amp;$A66,
   [1]!in.rec[data.pagamento],"&lt;"&amp;$A67
),
SUMIFS([1]!in.rec[total],
   [1]!in.rec[empresa],AC$6,
   [1]!in.rec[ele],"FIN",
   [1]!in.rec[data.vencimento],"&gt;="&amp;$A66,
   [1]!in.rec[data.vencimento],"&lt;"&amp;$A67
)
)</f>
        <v>0</v>
      </c>
      <c r="AD66" s="49" t="e">
        <f ca="1">SUMIFS([1]!rec.uni[2026-04-01],
INDIRECT("rec.uni[natureza]"),"taxa.extra",
INDIRECT("rec.uni[empresa]"),AD$6)</f>
        <v>#REF!</v>
      </c>
      <c r="AE66" s="51"/>
      <c r="AF66" s="48">
        <f>COUNTIFS(
    [1]!estoque[empresa], AF$6,
    [1]!estoque[Data da venda / reserva], "&gt;=" &amp; $A66,
    [1]!estoque[Data da venda / reserva], "&lt;"  &amp; EOMONTH($A66,0) + 1
)</f>
        <v>0</v>
      </c>
      <c r="AG66" s="49">
        <f>SUMIFS([1]!in.rec[total],
[1]!in.rec[natureza],"pro.soluto",
[1]!in.rec[empresa],AG$6,
[1]!in.rec[data.base],"&gt;="&amp;$A66,
[1]!in.rec[data.base],"&lt;"&amp;EOMONTH($A66,0)
)</f>
        <v>336858.92999999988</v>
      </c>
      <c r="AH66" s="38"/>
      <c r="AI66" s="51"/>
      <c r="AJ66" s="51"/>
      <c r="AK66" s="49" t="e">
        <f ca="1">SUMIFS([1]!rec.uni[2026-04-01],
INDIRECT("rec.uni[natureza]"),"taxa.extra",
INDIRECT("rec.uni[empresa]"),AK$6)</f>
        <v>#REF!</v>
      </c>
      <c r="AL66" s="51"/>
      <c r="AM66" s="39"/>
      <c r="AN66" s="49">
        <f>SUMIFS([1]!in.rec[total],
[1]!in.rec[natureza],"pro.soluto",
[1]!in.rec[empresa],AN$6,
[1]!in.rec[data.base],"&gt;="&amp;$A66,
[1]!in.rec[data.base],"&lt;"&amp;EOMONTH($A66,0)
)</f>
        <v>233586.20000000004</v>
      </c>
      <c r="AO66" s="49" t="e">
        <f ca="1">SUMIFS([1]!rec.uni[2026-04-01],
INDIRECT("rec.uni[natureza]"),"taxa.extra",
INDIRECT("rec.uni[empresa]"),AO$6)</f>
        <v>#REF!</v>
      </c>
      <c r="AP66" s="51"/>
    </row>
    <row r="67" spans="1:42" x14ac:dyDescent="0.25">
      <c r="A67" s="47">
        <v>46143</v>
      </c>
      <c r="B67" s="39"/>
      <c r="C67" s="49">
        <f>SUMIFS([1]!in.rec[total],
[1]!in.rec[natureza],"pro.soluto",
[1]!in.rec[empresa],C$6,
[1]!in.rec[data.base],"&gt;="&amp;$A67,
[1]!in.rec[data.base],"&lt;"&amp;EOMONTH($A67,0)
)</f>
        <v>9524.720000000003</v>
      </c>
      <c r="D67" s="38"/>
      <c r="E67" s="51"/>
      <c r="F67" s="51"/>
      <c r="G67" s="49" t="e">
        <f ca="1">SUMIFS([1]!rec.uni[2026-05-01],
INDIRECT("rec.uni[natureza]"),"taxa.extra",
INDIRECT("rec.uni[empresa]"),G$6)</f>
        <v>#REF!</v>
      </c>
      <c r="H67" s="51"/>
      <c r="I67" s="39"/>
      <c r="J67" s="49">
        <f>SUMIFS([1]!in.rec[total],
[1]!in.rec[natureza],"pro.soluto",
[1]!in.rec[empresa],J$6,
[1]!in.rec[data.base],"&gt;="&amp;$A67,
[1]!in.rec[data.base],"&lt;"&amp;EOMONTH($A67,0)
)</f>
        <v>1793</v>
      </c>
      <c r="K67" s="38"/>
      <c r="L67" s="51"/>
      <c r="M67" s="51"/>
      <c r="N67" s="49" t="e">
        <f ca="1">SUMIFS([1]!rec.uni[2026-05-01],
INDIRECT("rec.uni[natureza]"),"taxa.extra",
INDIRECT("rec.uni[empresa]"),N$6)</f>
        <v>#REF!</v>
      </c>
      <c r="O67" s="51"/>
      <c r="P67" s="39"/>
      <c r="Q67" s="49">
        <f>SUMIFS([1]!in.rec[total],
[1]!in.rec[natureza],"pro.soluto",
[1]!in.rec[empresa],Q$6,
[1]!in.rec[data.base],"&gt;="&amp;$A67,
[1]!in.rec[data.base],"&lt;"&amp;EOMONTH($A67,0)
)</f>
        <v>225264.29</v>
      </c>
      <c r="R67" s="38"/>
      <c r="S67" s="51"/>
      <c r="T67" s="51"/>
      <c r="U67" s="49" t="e">
        <f ca="1">SUMIFS([1]!rec.uni[2026-05-01],
INDIRECT("rec.uni[natureza]"),"taxa.extra",
INDIRECT("rec.uni[empresa]"),U$6)</f>
        <v>#REF!</v>
      </c>
      <c r="V67" s="51"/>
      <c r="W67" s="39"/>
      <c r="X67" s="49">
        <f>SUMIFS([1]!in.rec[total],
[1]!in.rec[natureza],"pro.soluto",
[1]!in.rec[empresa],X$6,
[1]!in.rec[data.base],"&gt;="&amp;$A67,
[1]!in.rec[data.base],"&lt;"&amp;EOMONTH($A67,0)
)</f>
        <v>88803.470000000045</v>
      </c>
      <c r="Y67" s="49" t="e">
        <f ca="1">SUMIFS([1]!rec.uni[2026-05-01],
INDIRECT("rec.uni[natureza]"),"taxa.extra",
INDIRECT("rec.uni[empresa]"),Y$6)</f>
        <v>#REF!</v>
      </c>
      <c r="Z67" s="51"/>
      <c r="AA67" s="39"/>
      <c r="AB67" s="49">
        <f>SUMIFS([1]!in.rec[total],
[1]!in.rec[natureza],"pro.soluto",
[1]!in.rec[empresa],AB$6,
[1]!in.rec[data.base],"&gt;="&amp;$A67,
[1]!in.rec[data.base],"&lt;"&amp;EOMONTH($A67,0)
)</f>
        <v>90372.77</v>
      </c>
      <c r="AC67" s="51">
        <f>IF(
$A67&lt;=$A$1,
SUMIFS([1]!in.rec[total],
   [1]!in.rec[empresa],AC$6,
   [1]!in.rec[ele],"FIN",
   [1]!in.rec[data.pagamento],"&gt;="&amp;$A67,
   [1]!in.rec[data.pagamento],"&lt;"&amp;$A68
),
SUMIFS([1]!in.rec[total],
   [1]!in.rec[empresa],AC$6,
   [1]!in.rec[ele],"FIN",
   [1]!in.rec[data.vencimento],"&gt;="&amp;$A67,
   [1]!in.rec[data.vencimento],"&lt;"&amp;$A68
)
)</f>
        <v>0</v>
      </c>
      <c r="AD67" s="49" t="e">
        <f ca="1">SUMIFS([1]!rec.uni[2026-05-01],
INDIRECT("rec.uni[natureza]"),"taxa.extra",
INDIRECT("rec.uni[empresa]"),AD$6)</f>
        <v>#REF!</v>
      </c>
      <c r="AE67" s="51"/>
      <c r="AF67" s="48">
        <f>COUNTIFS(
    [1]!estoque[empresa], AF$6,
    [1]!estoque[Data da venda / reserva], "&gt;=" &amp; $A67,
    [1]!estoque[Data da venda / reserva], "&lt;"  &amp; EOMONTH($A67,0) + 1
)</f>
        <v>0</v>
      </c>
      <c r="AG67" s="49">
        <f>SUMIFS([1]!in.rec[total],
[1]!in.rec[natureza],"pro.soluto",
[1]!in.rec[empresa],AG$6,
[1]!in.rec[data.base],"&gt;="&amp;$A67,
[1]!in.rec[data.base],"&lt;"&amp;EOMONTH($A67,0)
)</f>
        <v>295673.31999999989</v>
      </c>
      <c r="AH67" s="38"/>
      <c r="AI67" s="51"/>
      <c r="AJ67" s="51"/>
      <c r="AK67" s="49" t="e">
        <f ca="1">SUMIFS([1]!rec.uni[2026-05-01],
INDIRECT("rec.uni[natureza]"),"taxa.extra",
INDIRECT("rec.uni[empresa]"),AK$6)</f>
        <v>#REF!</v>
      </c>
      <c r="AL67" s="51"/>
      <c r="AM67" s="39"/>
      <c r="AN67" s="49">
        <f>SUMIFS([1]!in.rec[total],
[1]!in.rec[natureza],"pro.soluto",
[1]!in.rec[empresa],AN$6,
[1]!in.rec[data.base],"&gt;="&amp;$A67,
[1]!in.rec[data.base],"&lt;"&amp;EOMONTH($A67,0)
)</f>
        <v>440196.55999999965</v>
      </c>
      <c r="AO67" s="49" t="e">
        <f ca="1">SUMIFS([1]!rec.uni[2026-05-01],
INDIRECT("rec.uni[natureza]"),"taxa.extra",
INDIRECT("rec.uni[empresa]"),AO$6)</f>
        <v>#REF!</v>
      </c>
      <c r="AP67" s="51"/>
    </row>
    <row r="68" spans="1:42" x14ac:dyDescent="0.25">
      <c r="A68" s="47">
        <v>46174</v>
      </c>
      <c r="B68" s="39"/>
      <c r="C68" s="49">
        <f>SUMIFS([1]!in.rec[total],
[1]!in.rec[natureza],"pro.soluto",
[1]!in.rec[empresa],C$6,
[1]!in.rec[data.base],"&gt;="&amp;$A68,
[1]!in.rec[data.base],"&lt;"&amp;EOMONTH($A68,0)
)</f>
        <v>11211.599999999999</v>
      </c>
      <c r="D68" s="38"/>
      <c r="E68" s="51"/>
      <c r="F68" s="51"/>
      <c r="G68" s="49" t="e">
        <f ca="1">SUMIFS([1]!rec.uni[2026-06-01],
INDIRECT("rec.uni[natureza]"),"taxa.extra",
INDIRECT("rec.uni[empresa]"),G$6)</f>
        <v>#REF!</v>
      </c>
      <c r="H68" s="51"/>
      <c r="I68" s="39"/>
      <c r="J68" s="49">
        <f>SUMIFS([1]!in.rec[total],
[1]!in.rec[natureza],"pro.soluto",
[1]!in.rec[empresa],J$6,
[1]!in.rec[data.base],"&gt;="&amp;$A68,
[1]!in.rec[data.base],"&lt;"&amp;EOMONTH($A68,0)
)</f>
        <v>920.68</v>
      </c>
      <c r="K68" s="38"/>
      <c r="L68" s="51"/>
      <c r="M68" s="51"/>
      <c r="N68" s="49" t="e">
        <f ca="1">SUMIFS([1]!rec.uni[2026-06-01],
INDIRECT("rec.uni[natureza]"),"taxa.extra",
INDIRECT("rec.uni[empresa]"),N$6)</f>
        <v>#REF!</v>
      </c>
      <c r="O68" s="51"/>
      <c r="P68" s="39"/>
      <c r="Q68" s="49">
        <f>SUMIFS([1]!in.rec[total],
[1]!in.rec[natureza],"pro.soluto",
[1]!in.rec[empresa],Q$6,
[1]!in.rec[data.base],"&gt;="&amp;$A68,
[1]!in.rec[data.base],"&lt;"&amp;EOMONTH($A68,0)
)</f>
        <v>228593.00999999998</v>
      </c>
      <c r="R68" s="38"/>
      <c r="S68" s="51"/>
      <c r="T68" s="51"/>
      <c r="U68" s="49" t="e">
        <f ca="1">SUMIFS([1]!rec.uni[2026-06-01],
INDIRECT("rec.uni[natureza]"),"taxa.extra",
INDIRECT("rec.uni[empresa]"),U$6)</f>
        <v>#REF!</v>
      </c>
      <c r="V68" s="51"/>
      <c r="W68" s="39"/>
      <c r="X68" s="49">
        <f>SUMIFS([1]!in.rec[total],
[1]!in.rec[natureza],"pro.soluto",
[1]!in.rec[empresa],X$6,
[1]!in.rec[data.base],"&gt;="&amp;$A68,
[1]!in.rec[data.base],"&lt;"&amp;EOMONTH($A68,0)
)</f>
        <v>105558.34000000004</v>
      </c>
      <c r="Y68" s="49" t="e">
        <f ca="1">SUMIFS([1]!rec.uni[2026-06-01],
INDIRECT("rec.uni[natureza]"),"taxa.extra",
INDIRECT("rec.uni[empresa]"),Y$6)</f>
        <v>#REF!</v>
      </c>
      <c r="Z68" s="51"/>
      <c r="AA68" s="39"/>
      <c r="AB68" s="49">
        <f>SUMIFS([1]!in.rec[total],
[1]!in.rec[natureza],"pro.soluto",
[1]!in.rec[empresa],AB$6,
[1]!in.rec[data.base],"&gt;="&amp;$A68,
[1]!in.rec[data.base],"&lt;"&amp;EOMONTH($A68,0)
)</f>
        <v>124506.08000000002</v>
      </c>
      <c r="AC68" s="51">
        <f>IF(
$A68&lt;=$A$1,
SUMIFS([1]!in.rec[total],
   [1]!in.rec[empresa],AC$6,
   [1]!in.rec[ele],"FIN",
   [1]!in.rec[data.pagamento],"&gt;="&amp;$A68,
   [1]!in.rec[data.pagamento],"&lt;"&amp;$A69
),
SUMIFS([1]!in.rec[total],
   [1]!in.rec[empresa],AC$6,
   [1]!in.rec[ele],"FIN",
   [1]!in.rec[data.vencimento],"&gt;="&amp;$A68,
   [1]!in.rec[data.vencimento],"&lt;"&amp;$A69
)
)</f>
        <v>0</v>
      </c>
      <c r="AD68" s="49" t="e">
        <f ca="1">SUMIFS([1]!rec.uni[2026-06-01],
INDIRECT("rec.uni[natureza]"),"taxa.extra",
INDIRECT("rec.uni[empresa]"),AD$6)</f>
        <v>#REF!</v>
      </c>
      <c r="AE68" s="51"/>
      <c r="AF68" s="48">
        <f>COUNTIFS(
    [1]!estoque[empresa], AF$6,
    [1]!estoque[Data da venda / reserva], "&gt;=" &amp; $A68,
    [1]!estoque[Data da venda / reserva], "&lt;"  &amp; EOMONTH($A68,0) + 1
)</f>
        <v>0</v>
      </c>
      <c r="AG68" s="49">
        <f>SUMIFS([1]!in.rec[total],
[1]!in.rec[natureza],"pro.soluto",
[1]!in.rec[empresa],AG$6,
[1]!in.rec[data.base],"&gt;="&amp;$A68,
[1]!in.rec[data.base],"&lt;"&amp;EOMONTH($A68,0)
)</f>
        <v>360838.79999999993</v>
      </c>
      <c r="AH68" s="38"/>
      <c r="AI68" s="51"/>
      <c r="AJ68" s="51"/>
      <c r="AK68" s="49" t="e">
        <f ca="1">SUMIFS([1]!rec.uni[2026-06-01],
INDIRECT("rec.uni[natureza]"),"taxa.extra",
INDIRECT("rec.uni[empresa]"),AK$6)</f>
        <v>#REF!</v>
      </c>
      <c r="AL68" s="51"/>
      <c r="AM68" s="39"/>
      <c r="AN68" s="49">
        <f>SUMIFS([1]!in.rec[total],
[1]!in.rec[natureza],"pro.soluto",
[1]!in.rec[empresa],AN$6,
[1]!in.rec[data.base],"&gt;="&amp;$A68,
[1]!in.rec[data.base],"&lt;"&amp;EOMONTH($A68,0)
)</f>
        <v>407702.56999999995</v>
      </c>
      <c r="AO68" s="49" t="e">
        <f ca="1">SUMIFS([1]!rec.uni[2026-06-01],
INDIRECT("rec.uni[natureza]"),"taxa.extra",
INDIRECT("rec.uni[empresa]"),AO$6)</f>
        <v>#REF!</v>
      </c>
      <c r="AP68" s="51"/>
    </row>
    <row r="69" spans="1:42" x14ac:dyDescent="0.25">
      <c r="A69" s="47">
        <v>46204</v>
      </c>
      <c r="B69" s="39"/>
      <c r="C69" s="49">
        <f>SUMIFS([1]!in.rec[total],
[1]!in.rec[natureza],"pro.soluto",
[1]!in.rec[empresa],C$6,
[1]!in.rec[data.base],"&gt;="&amp;$A69,
[1]!in.rec[data.base],"&lt;"&amp;EOMONTH($A69,0)
)</f>
        <v>18467.939999999999</v>
      </c>
      <c r="D69" s="38"/>
      <c r="E69" s="51"/>
      <c r="F69" s="51"/>
      <c r="G69" s="49" t="e">
        <f ca="1">SUMIFS([1]!rec.uni[2026-07-01],
INDIRECT("rec.uni[natureza]"),"taxa.extra",
INDIRECT("rec.uni[empresa]"),G$6)</f>
        <v>#REF!</v>
      </c>
      <c r="H69" s="51"/>
      <c r="I69" s="39"/>
      <c r="J69" s="49">
        <f>SUMIFS([1]!in.rec[total],
[1]!in.rec[natureza],"pro.soluto",
[1]!in.rec[empresa],J$6,
[1]!in.rec[data.base],"&gt;="&amp;$A69,
[1]!in.rec[data.base],"&lt;"&amp;EOMONTH($A69,0)
)</f>
        <v>1793</v>
      </c>
      <c r="K69" s="38"/>
      <c r="L69" s="51"/>
      <c r="M69" s="51"/>
      <c r="N69" s="49" t="e">
        <f ca="1">SUMIFS([1]!rec.uni[2026-07-01],
INDIRECT("rec.uni[natureza]"),"taxa.extra",
INDIRECT("rec.uni[empresa]"),N$6)</f>
        <v>#REF!</v>
      </c>
      <c r="O69" s="51"/>
      <c r="P69" s="39"/>
      <c r="Q69" s="49">
        <f>SUMIFS([1]!in.rec[total],
[1]!in.rec[natureza],"pro.soluto",
[1]!in.rec[empresa],Q$6,
[1]!in.rec[data.base],"&gt;="&amp;$A69,
[1]!in.rec[data.base],"&lt;"&amp;EOMONTH($A69,0)
)</f>
        <v>581558.48999999987</v>
      </c>
      <c r="R69" s="38"/>
      <c r="S69" s="51"/>
      <c r="T69" s="51"/>
      <c r="U69" s="49" t="e">
        <f ca="1">SUMIFS([1]!rec.uni[2026-07-01],
INDIRECT("rec.uni[natureza]"),"taxa.extra",
INDIRECT("rec.uni[empresa]"),U$6)</f>
        <v>#REF!</v>
      </c>
      <c r="V69" s="51"/>
      <c r="W69" s="39"/>
      <c r="X69" s="49">
        <f>SUMIFS([1]!in.rec[total],
[1]!in.rec[natureza],"pro.soluto",
[1]!in.rec[empresa],X$6,
[1]!in.rec[data.base],"&gt;="&amp;$A69,
[1]!in.rec[data.base],"&lt;"&amp;EOMONTH($A69,0)
)</f>
        <v>93994.410000000018</v>
      </c>
      <c r="Y69" s="49" t="e">
        <f ca="1">SUMIFS([1]!rec.uni[2026-07-01],
INDIRECT("rec.uni[natureza]"),"taxa.extra",
INDIRECT("rec.uni[empresa]"),Y$6)</f>
        <v>#REF!</v>
      </c>
      <c r="Z69" s="51"/>
      <c r="AA69" s="39"/>
      <c r="AB69" s="49">
        <f>SUMIFS([1]!in.rec[total],
[1]!in.rec[natureza],"pro.soluto",
[1]!in.rec[empresa],AB$6,
[1]!in.rec[data.base],"&gt;="&amp;$A69,
[1]!in.rec[data.base],"&lt;"&amp;EOMONTH($A69,0)
)</f>
        <v>101497.92</v>
      </c>
      <c r="AC69" s="51">
        <f>IF(
$A69&lt;=$A$1,
SUMIFS([1]!in.rec[total],
   [1]!in.rec[empresa],AC$6,
   [1]!in.rec[ele],"FIN",
   [1]!in.rec[data.pagamento],"&gt;="&amp;$A69,
   [1]!in.rec[data.pagamento],"&lt;"&amp;$A70
),
SUMIFS([1]!in.rec[total],
   [1]!in.rec[empresa],AC$6,
   [1]!in.rec[ele],"FIN",
   [1]!in.rec[data.vencimento],"&gt;="&amp;$A69,
   [1]!in.rec[data.vencimento],"&lt;"&amp;$A70
)
)</f>
        <v>0</v>
      </c>
      <c r="AD69" s="49" t="e">
        <f ca="1">SUMIFS([1]!rec.uni[2026-07-01],
INDIRECT("rec.uni[natureza]"),"taxa.extra",
INDIRECT("rec.uni[empresa]"),AD$6)</f>
        <v>#REF!</v>
      </c>
      <c r="AE69" s="51"/>
      <c r="AF69" s="48">
        <f>COUNTIFS(
    [1]!estoque[empresa], AF$6,
    [1]!estoque[Data da venda / reserva], "&gt;=" &amp; $A69,
    [1]!estoque[Data da venda / reserva], "&lt;"  &amp; EOMONTH($A69,0) + 1
)</f>
        <v>0</v>
      </c>
      <c r="AG69" s="49">
        <f>SUMIFS([1]!in.rec[total],
[1]!in.rec[natureza],"pro.soluto",
[1]!in.rec[empresa],AG$6,
[1]!in.rec[data.base],"&gt;="&amp;$A69,
[1]!in.rec[data.base],"&lt;"&amp;EOMONTH($A69,0)
)</f>
        <v>382298.2799999998</v>
      </c>
      <c r="AH69" s="38"/>
      <c r="AI69" s="51"/>
      <c r="AJ69" s="51"/>
      <c r="AK69" s="49" t="e">
        <f ca="1">SUMIFS([1]!rec.uni[2026-07-01],
INDIRECT("rec.uni[natureza]"),"taxa.extra",
INDIRECT("rec.uni[empresa]"),AK$6)</f>
        <v>#REF!</v>
      </c>
      <c r="AL69" s="51"/>
      <c r="AM69" s="39"/>
      <c r="AN69" s="49">
        <f>SUMIFS([1]!in.rec[total],
[1]!in.rec[natureza],"pro.soluto",
[1]!in.rec[empresa],AN$6,
[1]!in.rec[data.base],"&gt;="&amp;$A69,
[1]!in.rec[data.base],"&lt;"&amp;EOMONTH($A69,0)
)</f>
        <v>755793.48000000021</v>
      </c>
      <c r="AO69" s="49" t="e">
        <f ca="1">SUMIFS([1]!rec.uni[2026-07-01],
INDIRECT("rec.uni[natureza]"),"taxa.extra",
INDIRECT("rec.uni[empresa]"),AO$6)</f>
        <v>#REF!</v>
      </c>
      <c r="AP69" s="51"/>
    </row>
    <row r="70" spans="1:42" x14ac:dyDescent="0.25">
      <c r="A70" s="47">
        <v>46235</v>
      </c>
      <c r="B70" s="39"/>
      <c r="C70" s="49">
        <f>SUMIFS([1]!in.rec[total],
[1]!in.rec[natureza],"pro.soluto",
[1]!in.rec[empresa],C$6,
[1]!in.rec[data.base],"&gt;="&amp;$A70,
[1]!in.rec[data.base],"&lt;"&amp;EOMONTH($A70,0)
)</f>
        <v>8644.66</v>
      </c>
      <c r="D70" s="38"/>
      <c r="E70" s="51"/>
      <c r="F70" s="51"/>
      <c r="G70" s="49" t="e">
        <f ca="1">SUMIFS([1]!rec.uni[2026-08-01],
INDIRECT("rec.uni[natureza]"),"taxa.extra",
INDIRECT("rec.uni[empresa]"),G$6)</f>
        <v>#REF!</v>
      </c>
      <c r="H70" s="51"/>
      <c r="I70" s="39"/>
      <c r="J70" s="49">
        <f>SUMIFS([1]!in.rec[total],
[1]!in.rec[natureza],"pro.soluto",
[1]!in.rec[empresa],J$6,
[1]!in.rec[data.base],"&gt;="&amp;$A70,
[1]!in.rec[data.base],"&lt;"&amp;EOMONTH($A70,0)
)</f>
        <v>1793</v>
      </c>
      <c r="K70" s="38"/>
      <c r="L70" s="51"/>
      <c r="M70" s="51"/>
      <c r="N70" s="49" t="e">
        <f ca="1">SUMIFS([1]!rec.uni[2026-08-01],
INDIRECT("rec.uni[natureza]"),"taxa.extra",
INDIRECT("rec.uni[empresa]"),N$6)</f>
        <v>#REF!</v>
      </c>
      <c r="O70" s="51"/>
      <c r="P70" s="39"/>
      <c r="Q70" s="49">
        <f>SUMIFS([1]!in.rec[total],
[1]!in.rec[natureza],"pro.soluto",
[1]!in.rec[empresa],Q$6,
[1]!in.rec[data.base],"&gt;="&amp;$A70,
[1]!in.rec[data.base],"&lt;"&amp;EOMONTH($A70,0)
)</f>
        <v>324488.25999999989</v>
      </c>
      <c r="R70" s="38"/>
      <c r="S70" s="51"/>
      <c r="T70" s="51"/>
      <c r="U70" s="49" t="e">
        <f ca="1">SUMIFS([1]!rec.uni[2026-08-01],
INDIRECT("rec.uni[natureza]"),"taxa.extra",
INDIRECT("rec.uni[empresa]"),U$6)</f>
        <v>#REF!</v>
      </c>
      <c r="V70" s="51"/>
      <c r="W70" s="39"/>
      <c r="X70" s="49">
        <f>SUMIFS([1]!in.rec[total],
[1]!in.rec[natureza],"pro.soluto",
[1]!in.rec[empresa],X$6,
[1]!in.rec[data.base],"&gt;="&amp;$A70,
[1]!in.rec[data.base],"&lt;"&amp;EOMONTH($A70,0)
)</f>
        <v>96275.73000000001</v>
      </c>
      <c r="Y70" s="49" t="e">
        <f ca="1">SUMIFS([1]!rec.uni[2026-08-01],
INDIRECT("rec.uni[natureza]"),"taxa.extra",
INDIRECT("rec.uni[empresa]"),Y$6)</f>
        <v>#REF!</v>
      </c>
      <c r="Z70" s="51"/>
      <c r="AA70" s="39"/>
      <c r="AB70" s="49">
        <f>SUMIFS([1]!in.rec[total],
[1]!in.rec[natureza],"pro.soluto",
[1]!in.rec[empresa],AB$6,
[1]!in.rec[data.base],"&gt;="&amp;$A70,
[1]!in.rec[data.base],"&lt;"&amp;EOMONTH($A70,0)
)</f>
        <v>82323.17</v>
      </c>
      <c r="AC70" s="51">
        <f>IF(
$A70&lt;=$A$1,
SUMIFS([1]!in.rec[total],
   [1]!in.rec[empresa],AC$6,
   [1]!in.rec[ele],"FIN",
   [1]!in.rec[data.pagamento],"&gt;="&amp;$A70,
   [1]!in.rec[data.pagamento],"&lt;"&amp;$A71
),
SUMIFS([1]!in.rec[total],
   [1]!in.rec[empresa],AC$6,
   [1]!in.rec[ele],"FIN",
   [1]!in.rec[data.vencimento],"&gt;="&amp;$A70,
   [1]!in.rec[data.vencimento],"&lt;"&amp;$A71
)
)</f>
        <v>0</v>
      </c>
      <c r="AD70" s="49" t="e">
        <f ca="1">SUMIFS([1]!rec.uni[2026-08-01],
INDIRECT("rec.uni[natureza]"),"taxa.extra",
INDIRECT("rec.uni[empresa]"),AD$6)</f>
        <v>#REF!</v>
      </c>
      <c r="AE70" s="51"/>
      <c r="AF70" s="48">
        <f>COUNTIFS(
    [1]!estoque[empresa], AF$6,
    [1]!estoque[Data da venda / reserva], "&gt;=" &amp; $A70,
    [1]!estoque[Data da venda / reserva], "&lt;"  &amp; EOMONTH($A70,0) + 1
)</f>
        <v>0</v>
      </c>
      <c r="AG70" s="49">
        <f>SUMIFS([1]!in.rec[total],
[1]!in.rec[natureza],"pro.soluto",
[1]!in.rec[empresa],AG$6,
[1]!in.rec[data.base],"&gt;="&amp;$A70,
[1]!in.rec[data.base],"&lt;"&amp;EOMONTH($A70,0)
)</f>
        <v>303146.89999999985</v>
      </c>
      <c r="AH70" s="38"/>
      <c r="AI70" s="51"/>
      <c r="AJ70" s="51"/>
      <c r="AK70" s="49" t="e">
        <f ca="1">SUMIFS([1]!rec.uni[2026-08-01],
INDIRECT("rec.uni[natureza]"),"taxa.extra",
INDIRECT("rec.uni[empresa]"),AK$6)</f>
        <v>#REF!</v>
      </c>
      <c r="AL70" s="51"/>
      <c r="AM70" s="39"/>
      <c r="AN70" s="49">
        <f>SUMIFS([1]!in.rec[total],
[1]!in.rec[natureza],"pro.soluto",
[1]!in.rec[empresa],AN$6,
[1]!in.rec[data.base],"&gt;="&amp;$A70,
[1]!in.rec[data.base],"&lt;"&amp;EOMONTH($A70,0)
)</f>
        <v>312867.92</v>
      </c>
      <c r="AO70" s="49" t="e">
        <f ca="1">SUMIFS([1]!rec.uni[2026-08-01],
INDIRECT("rec.uni[natureza]"),"taxa.extra",
INDIRECT("rec.uni[empresa]"),AO$6)</f>
        <v>#REF!</v>
      </c>
      <c r="AP70" s="51"/>
    </row>
    <row r="71" spans="1:42" x14ac:dyDescent="0.25">
      <c r="A71" s="47">
        <v>46266</v>
      </c>
      <c r="B71" s="39"/>
      <c r="C71" s="49">
        <f>SUMIFS([1]!in.rec[total],
[1]!in.rec[natureza],"pro.soluto",
[1]!in.rec[empresa],C$6,
[1]!in.rec[data.base],"&gt;="&amp;$A71,
[1]!in.rec[data.base],"&lt;"&amp;EOMONTH($A71,0)
)</f>
        <v>9047.01</v>
      </c>
      <c r="D71" s="38"/>
      <c r="E71" s="51"/>
      <c r="F71" s="51"/>
      <c r="G71" s="49" t="e">
        <f ca="1">SUMIFS([1]!rec.uni[2026-09-01],
INDIRECT("rec.uni[natureza]"),"taxa.extra",
INDIRECT("rec.uni[empresa]"),G$6)</f>
        <v>#REF!</v>
      </c>
      <c r="H71" s="51"/>
      <c r="I71" s="39"/>
      <c r="J71" s="49">
        <f>SUMIFS([1]!in.rec[total],
[1]!in.rec[natureza],"pro.soluto",
[1]!in.rec[empresa],J$6,
[1]!in.rec[data.base],"&gt;="&amp;$A71,
[1]!in.rec[data.base],"&lt;"&amp;EOMONTH($A71,0)
)</f>
        <v>920.68</v>
      </c>
      <c r="K71" s="38"/>
      <c r="L71" s="51"/>
      <c r="M71" s="51"/>
      <c r="N71" s="49" t="e">
        <f ca="1">SUMIFS([1]!rec.uni[2026-09-01],
INDIRECT("rec.uni[natureza]"),"taxa.extra",
INDIRECT("rec.uni[empresa]"),N$6)</f>
        <v>#REF!</v>
      </c>
      <c r="O71" s="51"/>
      <c r="P71" s="39"/>
      <c r="Q71" s="49">
        <f>SUMIFS([1]!in.rec[total],
[1]!in.rec[natureza],"pro.soluto",
[1]!in.rec[empresa],Q$6,
[1]!in.rec[data.base],"&gt;="&amp;$A71,
[1]!in.rec[data.base],"&lt;"&amp;EOMONTH($A71,0)
)</f>
        <v>210017.54999999996</v>
      </c>
      <c r="R71" s="38"/>
      <c r="S71" s="51"/>
      <c r="T71" s="51"/>
      <c r="U71" s="49" t="e">
        <f ca="1">SUMIFS([1]!rec.uni[2026-09-01],
INDIRECT("rec.uni[natureza]"),"taxa.extra",
INDIRECT("rec.uni[empresa]"),U$6)</f>
        <v>#REF!</v>
      </c>
      <c r="V71" s="51"/>
      <c r="W71" s="39"/>
      <c r="X71" s="49">
        <f>SUMIFS([1]!in.rec[total],
[1]!in.rec[natureza],"pro.soluto",
[1]!in.rec[empresa],X$6,
[1]!in.rec[data.base],"&gt;="&amp;$A71,
[1]!in.rec[data.base],"&lt;"&amp;EOMONTH($A71,0)
)</f>
        <v>97246.170000000013</v>
      </c>
      <c r="Y71" s="49" t="e">
        <f ca="1">SUMIFS([1]!rec.uni[2026-09-01],
INDIRECT("rec.uni[natureza]"),"taxa.extra",
INDIRECT("rec.uni[empresa]"),Y$6)</f>
        <v>#REF!</v>
      </c>
      <c r="Z71" s="51"/>
      <c r="AA71" s="39"/>
      <c r="AB71" s="49">
        <f>SUMIFS([1]!in.rec[total],
[1]!in.rec[natureza],"pro.soluto",
[1]!in.rec[empresa],AB$6,
[1]!in.rec[data.base],"&gt;="&amp;$A71,
[1]!in.rec[data.base],"&lt;"&amp;EOMONTH($A71,0)
)</f>
        <v>82323.17</v>
      </c>
      <c r="AC71" s="51">
        <f>IF(
$A71&lt;=$A$1,
SUMIFS([1]!in.rec[total],
   [1]!in.rec[empresa],AC$6,
   [1]!in.rec[ele],"FIN",
   [1]!in.rec[data.pagamento],"&gt;="&amp;$A71,
   [1]!in.rec[data.pagamento],"&lt;"&amp;$A72
),
SUMIFS([1]!in.rec[total],
   [1]!in.rec[empresa],AC$6,
   [1]!in.rec[ele],"FIN",
   [1]!in.rec[data.vencimento],"&gt;="&amp;$A71,
   [1]!in.rec[data.vencimento],"&lt;"&amp;$A72
)
)</f>
        <v>0</v>
      </c>
      <c r="AD71" s="49" t="e">
        <f ca="1">SUMIFS([1]!rec.uni[2026-09-01],
INDIRECT("rec.uni[natureza]"),"taxa.extra",
INDIRECT("rec.uni[empresa]"),AD$6)</f>
        <v>#REF!</v>
      </c>
      <c r="AE71" s="51"/>
      <c r="AF71" s="48">
        <f>COUNTIFS(
    [1]!estoque[empresa], AF$6,
    [1]!estoque[Data da venda / reserva], "&gt;=" &amp; $A71,
    [1]!estoque[Data da venda / reserva], "&lt;"  &amp; EOMONTH($A71,0) + 1
)</f>
        <v>0</v>
      </c>
      <c r="AG71" s="49">
        <f>SUMIFS([1]!in.rec[total],
[1]!in.rec[natureza],"pro.soluto",
[1]!in.rec[empresa],AG$6,
[1]!in.rec[data.base],"&gt;="&amp;$A71,
[1]!in.rec[data.base],"&lt;"&amp;EOMONTH($A71,0)
)</f>
        <v>277059.26999999984</v>
      </c>
      <c r="AH71" s="38"/>
      <c r="AI71" s="51"/>
      <c r="AJ71" s="51"/>
      <c r="AK71" s="49" t="e">
        <f ca="1">SUMIFS([1]!rec.uni[2026-09-01],
INDIRECT("rec.uni[natureza]"),"taxa.extra",
INDIRECT("rec.uni[empresa]"),AK$6)</f>
        <v>#REF!</v>
      </c>
      <c r="AL71" s="51"/>
      <c r="AM71" s="39"/>
      <c r="AN71" s="49">
        <f>SUMIFS([1]!in.rec[total],
[1]!in.rec[natureza],"pro.soluto",
[1]!in.rec[empresa],AN$6,
[1]!in.rec[data.base],"&gt;="&amp;$A71,
[1]!in.rec[data.base],"&lt;"&amp;EOMONTH($A71,0)
)</f>
        <v>314483.78999999992</v>
      </c>
      <c r="AO71" s="49" t="e">
        <f ca="1">SUMIFS([1]!rec.uni[2026-09-01],
INDIRECT("rec.uni[natureza]"),"taxa.extra",
INDIRECT("rec.uni[empresa]"),AO$6)</f>
        <v>#REF!</v>
      </c>
      <c r="AP71" s="51"/>
    </row>
    <row r="72" spans="1:42" x14ac:dyDescent="0.25">
      <c r="A72" s="47">
        <v>46296</v>
      </c>
      <c r="B72" s="39"/>
      <c r="C72" s="49">
        <f>SUMIFS([1]!in.rec[total],
[1]!in.rec[natureza],"pro.soluto",
[1]!in.rec[empresa],C$6,
[1]!in.rec[data.base],"&gt;="&amp;$A72,
[1]!in.rec[data.base],"&lt;"&amp;EOMONTH($A72,0)
)</f>
        <v>14280.849999999999</v>
      </c>
      <c r="D72" s="38"/>
      <c r="E72" s="51"/>
      <c r="F72" s="51"/>
      <c r="G72" s="49" t="e">
        <f ca="1">SUMIFS([1]!rec.uni[2026-10-01],
INDIRECT("rec.uni[natureza]"),"taxa.extra",
INDIRECT("rec.uni[empresa]"),G$6)</f>
        <v>#REF!</v>
      </c>
      <c r="H72" s="51"/>
      <c r="I72" s="39"/>
      <c r="J72" s="49">
        <f>SUMIFS([1]!in.rec[total],
[1]!in.rec[natureza],"pro.soluto",
[1]!in.rec[empresa],J$6,
[1]!in.rec[data.base],"&gt;="&amp;$A72,
[1]!in.rec[data.base],"&lt;"&amp;EOMONTH($A72,0)
)</f>
        <v>1793</v>
      </c>
      <c r="K72" s="38"/>
      <c r="L72" s="51"/>
      <c r="M72" s="51"/>
      <c r="N72" s="49" t="e">
        <f ca="1">SUMIFS([1]!rec.uni[2026-10-01],
INDIRECT("rec.uni[natureza]"),"taxa.extra",
INDIRECT("rec.uni[empresa]"),N$6)</f>
        <v>#REF!</v>
      </c>
      <c r="O72" s="51"/>
      <c r="P72" s="39"/>
      <c r="Q72" s="49">
        <f>SUMIFS([1]!in.rec[total],
[1]!in.rec[natureza],"pro.soluto",
[1]!in.rec[empresa],Q$6,
[1]!in.rec[data.base],"&gt;="&amp;$A72,
[1]!in.rec[data.base],"&lt;"&amp;EOMONTH($A72,0)
)</f>
        <v>205193.85999999996</v>
      </c>
      <c r="R72" s="38"/>
      <c r="S72" s="51"/>
      <c r="T72" s="51"/>
      <c r="U72" s="49" t="e">
        <f ca="1">SUMIFS([1]!rec.uni[2026-10-01],
INDIRECT("rec.uni[natureza]"),"taxa.extra",
INDIRECT("rec.uni[empresa]"),U$6)</f>
        <v>#REF!</v>
      </c>
      <c r="V72" s="51"/>
      <c r="W72" s="39"/>
      <c r="X72" s="49">
        <f>SUMIFS([1]!in.rec[total],
[1]!in.rec[natureza],"pro.soluto",
[1]!in.rec[empresa],X$6,
[1]!in.rec[data.base],"&gt;="&amp;$A72,
[1]!in.rec[data.base],"&lt;"&amp;EOMONTH($A72,0)
)</f>
        <v>97915.430000000022</v>
      </c>
      <c r="Y72" s="49" t="e">
        <f ca="1">SUMIFS([1]!rec.uni[2026-10-01],
INDIRECT("rec.uni[natureza]"),"taxa.extra",
INDIRECT("rec.uni[empresa]"),Y$6)</f>
        <v>#REF!</v>
      </c>
      <c r="Z72" s="51"/>
      <c r="AA72" s="39"/>
      <c r="AB72" s="49">
        <f>SUMIFS([1]!in.rec[total],
[1]!in.rec[natureza],"pro.soluto",
[1]!in.rec[empresa],AB$6,
[1]!in.rec[data.base],"&gt;="&amp;$A72,
[1]!in.rec[data.base],"&lt;"&amp;EOMONTH($A72,0)
)</f>
        <v>82323.17</v>
      </c>
      <c r="AC72" s="51">
        <f>IF(
$A72&lt;=$A$1,
SUMIFS([1]!in.rec[total],
   [1]!in.rec[empresa],AC$6,
   [1]!in.rec[ele],"FIN",
   [1]!in.rec[data.pagamento],"&gt;="&amp;$A72,
   [1]!in.rec[data.pagamento],"&lt;"&amp;$A73
),
SUMIFS([1]!in.rec[total],
   [1]!in.rec[empresa],AC$6,
   [1]!in.rec[ele],"FIN",
   [1]!in.rec[data.vencimento],"&gt;="&amp;$A72,
   [1]!in.rec[data.vencimento],"&lt;"&amp;$A73
)
)</f>
        <v>0</v>
      </c>
      <c r="AD72" s="49" t="e">
        <f ca="1">SUMIFS([1]!rec.uni[2026-10-01],
INDIRECT("rec.uni[natureza]"),"taxa.extra",
INDIRECT("rec.uni[empresa]"),AD$6)</f>
        <v>#REF!</v>
      </c>
      <c r="AE72" s="51"/>
      <c r="AF72" s="48">
        <f>COUNTIFS(
    [1]!estoque[empresa], AF$6,
    [1]!estoque[Data da venda / reserva], "&gt;=" &amp; $A72,
    [1]!estoque[Data da venda / reserva], "&lt;"  &amp; EOMONTH($A72,0) + 1
)</f>
        <v>0</v>
      </c>
      <c r="AG72" s="49">
        <f>SUMIFS([1]!in.rec[total],
[1]!in.rec[natureza],"pro.soluto",
[1]!in.rec[empresa],AG$6,
[1]!in.rec[data.base],"&gt;="&amp;$A72,
[1]!in.rec[data.base],"&lt;"&amp;EOMONTH($A72,0)
)</f>
        <v>1406819.1</v>
      </c>
      <c r="AH72" s="38"/>
      <c r="AI72" s="51"/>
      <c r="AJ72" s="51"/>
      <c r="AK72" s="49" t="e">
        <f ca="1">SUMIFS([1]!rec.uni[2026-10-01],
INDIRECT("rec.uni[natureza]"),"taxa.extra",
INDIRECT("rec.uni[empresa]"),AK$6)</f>
        <v>#REF!</v>
      </c>
      <c r="AL72" s="51"/>
      <c r="AM72" s="39"/>
      <c r="AN72" s="49">
        <f>SUMIFS([1]!in.rec[total],
[1]!in.rec[natureza],"pro.soluto",
[1]!in.rec[empresa],AN$6,
[1]!in.rec[data.base],"&gt;="&amp;$A72,
[1]!in.rec[data.base],"&lt;"&amp;EOMONTH($A72,0)
)</f>
        <v>291212.37</v>
      </c>
      <c r="AO72" s="49" t="e">
        <f ca="1">SUMIFS([1]!rec.uni[2026-10-01],
INDIRECT("rec.uni[natureza]"),"taxa.extra",
INDIRECT("rec.uni[empresa]"),AO$6)</f>
        <v>#REF!</v>
      </c>
      <c r="AP72" s="51"/>
    </row>
    <row r="73" spans="1:42" x14ac:dyDescent="0.25">
      <c r="A73" s="47">
        <v>46327</v>
      </c>
      <c r="B73" s="39"/>
      <c r="C73" s="49">
        <f>SUMIFS([1]!in.rec[total],
[1]!in.rec[natureza],"pro.soluto",
[1]!in.rec[empresa],C$6,
[1]!in.rec[data.base],"&gt;="&amp;$A73,
[1]!in.rec[data.base],"&lt;"&amp;EOMONTH($A73,0)
)</f>
        <v>5467.18</v>
      </c>
      <c r="D73" s="38"/>
      <c r="E73" s="51"/>
      <c r="F73" s="51"/>
      <c r="G73" s="49" t="e">
        <f ca="1">SUMIFS([1]!rec.uni[2026-11-01],
INDIRECT("rec.uni[natureza]"),"taxa.extra",
INDIRECT("rec.uni[empresa]"),G$6)</f>
        <v>#REF!</v>
      </c>
      <c r="H73" s="51"/>
      <c r="I73" s="39"/>
      <c r="J73" s="49">
        <f>SUMIFS([1]!in.rec[total],
[1]!in.rec[natureza],"pro.soluto",
[1]!in.rec[empresa],J$6,
[1]!in.rec[data.base],"&gt;="&amp;$A73,
[1]!in.rec[data.base],"&lt;"&amp;EOMONTH($A73,0)
)</f>
        <v>920.68</v>
      </c>
      <c r="K73" s="38"/>
      <c r="L73" s="51"/>
      <c r="M73" s="51"/>
      <c r="N73" s="49" t="e">
        <f ca="1">SUMIFS([1]!rec.uni[2026-11-01],
INDIRECT("rec.uni[natureza]"),"taxa.extra",
INDIRECT("rec.uni[empresa]"),N$6)</f>
        <v>#REF!</v>
      </c>
      <c r="O73" s="51"/>
      <c r="P73" s="39"/>
      <c r="Q73" s="49">
        <f>SUMIFS([1]!in.rec[total],
[1]!in.rec[natureza],"pro.soluto",
[1]!in.rec[empresa],Q$6,
[1]!in.rec[data.base],"&gt;="&amp;$A73,
[1]!in.rec[data.base],"&lt;"&amp;EOMONTH($A73,0)
)</f>
        <v>215872.87999999998</v>
      </c>
      <c r="R73" s="38"/>
      <c r="S73" s="51"/>
      <c r="T73" s="51"/>
      <c r="U73" s="49" t="e">
        <f ca="1">SUMIFS([1]!rec.uni[2026-11-01],
INDIRECT("rec.uni[natureza]"),"taxa.extra",
INDIRECT("rec.uni[empresa]"),U$6)</f>
        <v>#REF!</v>
      </c>
      <c r="V73" s="51"/>
      <c r="W73" s="39"/>
      <c r="X73" s="49">
        <f>SUMIFS([1]!in.rec[total],
[1]!in.rec[natureza],"pro.soluto",
[1]!in.rec[empresa],X$6,
[1]!in.rec[data.base],"&gt;="&amp;$A73,
[1]!in.rec[data.base],"&lt;"&amp;EOMONTH($A73,0)
)</f>
        <v>99246.110000000015</v>
      </c>
      <c r="Y73" s="49" t="e">
        <f ca="1">SUMIFS([1]!rec.uni[2026-11-01],
INDIRECT("rec.uni[natureza]"),"taxa.extra",
INDIRECT("rec.uni[empresa]"),Y$6)</f>
        <v>#REF!</v>
      </c>
      <c r="Z73" s="51"/>
      <c r="AA73" s="39"/>
      <c r="AB73" s="49">
        <f>SUMIFS([1]!in.rec[total],
[1]!in.rec[natureza],"pro.soluto",
[1]!in.rec[empresa],AB$6,
[1]!in.rec[data.base],"&gt;="&amp;$A73,
[1]!in.rec[data.base],"&lt;"&amp;EOMONTH($A73,0)
)</f>
        <v>78419.12999999999</v>
      </c>
      <c r="AC73" s="51">
        <f>IF(
$A73&lt;=$A$1,
SUMIFS([1]!in.rec[total],
   [1]!in.rec[empresa],AC$6,
   [1]!in.rec[ele],"FIN",
   [1]!in.rec[data.pagamento],"&gt;="&amp;$A73,
   [1]!in.rec[data.pagamento],"&lt;"&amp;$A74
),
SUMIFS([1]!in.rec[total],
   [1]!in.rec[empresa],AC$6,
   [1]!in.rec[ele],"FIN",
   [1]!in.rec[data.vencimento],"&gt;="&amp;$A73,
   [1]!in.rec[data.vencimento],"&lt;"&amp;$A74
)
)</f>
        <v>0</v>
      </c>
      <c r="AD73" s="49" t="e">
        <f ca="1">SUMIFS([1]!rec.uni[2026-11-01],
INDIRECT("rec.uni[natureza]"),"taxa.extra",
INDIRECT("rec.uni[empresa]"),AD$6)</f>
        <v>#REF!</v>
      </c>
      <c r="AE73" s="51"/>
      <c r="AF73" s="48">
        <f>COUNTIFS(
    [1]!estoque[empresa], AF$6,
    [1]!estoque[Data da venda / reserva], "&gt;=" &amp; $A73,
    [1]!estoque[Data da venda / reserva], "&lt;"  &amp; EOMONTH($A73,0) + 1
)</f>
        <v>0</v>
      </c>
      <c r="AG73" s="49">
        <f>SUMIFS([1]!in.rec[total],
[1]!in.rec[natureza],"pro.soluto",
[1]!in.rec[empresa],AG$6,
[1]!in.rec[data.base],"&gt;="&amp;$A73,
[1]!in.rec[data.base],"&lt;"&amp;EOMONTH($A73,0)
)</f>
        <v>309072.15999999997</v>
      </c>
      <c r="AH73" s="38"/>
      <c r="AI73" s="51"/>
      <c r="AJ73" s="51"/>
      <c r="AK73" s="49" t="e">
        <f ca="1">SUMIFS([1]!rec.uni[2026-11-01],
INDIRECT("rec.uni[natureza]"),"taxa.extra",
INDIRECT("rec.uni[empresa]"),AK$6)</f>
        <v>#REF!</v>
      </c>
      <c r="AL73" s="51"/>
      <c r="AM73" s="39"/>
      <c r="AN73" s="49">
        <f>SUMIFS([1]!in.rec[total],
[1]!in.rec[natureza],"pro.soluto",
[1]!in.rec[empresa],AN$6,
[1]!in.rec[data.base],"&gt;="&amp;$A73,
[1]!in.rec[data.base],"&lt;"&amp;EOMONTH($A73,0)
)</f>
        <v>272369.81</v>
      </c>
      <c r="AO73" s="49" t="e">
        <f ca="1">SUMIFS([1]!rec.uni[2026-11-01],
INDIRECT("rec.uni[natureza]"),"taxa.extra",
INDIRECT("rec.uni[empresa]"),AO$6)</f>
        <v>#REF!</v>
      </c>
      <c r="AP73" s="51"/>
    </row>
    <row r="74" spans="1:42" x14ac:dyDescent="0.25">
      <c r="A74" s="47">
        <v>46357</v>
      </c>
      <c r="B74" s="39"/>
      <c r="C74" s="49">
        <f>SUMIFS([1]!in.rec[total],
[1]!in.rec[natureza],"pro.soluto",
[1]!in.rec[empresa],C$6,
[1]!in.rec[data.base],"&gt;="&amp;$A74,
[1]!in.rec[data.base],"&lt;"&amp;EOMONTH($A74,0)
)</f>
        <v>5353.57</v>
      </c>
      <c r="D74" s="38"/>
      <c r="E74" s="51"/>
      <c r="F74" s="51"/>
      <c r="G74" s="49" t="e">
        <f ca="1">SUMIFS([1]!rec.uni[2026-12-01],
INDIRECT("rec.uni[natureza]"),"taxa.extra",
INDIRECT("rec.uni[empresa]"),G$6)</f>
        <v>#REF!</v>
      </c>
      <c r="H74" s="51"/>
      <c r="I74" s="39"/>
      <c r="J74" s="49">
        <f>SUMIFS([1]!in.rec[total],
[1]!in.rec[natureza],"pro.soluto",
[1]!in.rec[empresa],J$6,
[1]!in.rec[data.base],"&gt;="&amp;$A74,
[1]!in.rec[data.base],"&lt;"&amp;EOMONTH($A74,0)
)</f>
        <v>1905.6399999999999</v>
      </c>
      <c r="K74" s="38"/>
      <c r="L74" s="51"/>
      <c r="M74" s="51"/>
      <c r="N74" s="49" t="e">
        <f ca="1">SUMIFS([1]!rec.uni[2026-12-01],
INDIRECT("rec.uni[natureza]"),"taxa.extra",
INDIRECT("rec.uni[empresa]"),N$6)</f>
        <v>#REF!</v>
      </c>
      <c r="O74" s="51"/>
      <c r="P74" s="39"/>
      <c r="Q74" s="49">
        <f>SUMIFS([1]!in.rec[total],
[1]!in.rec[natureza],"pro.soluto",
[1]!in.rec[empresa],Q$6,
[1]!in.rec[data.base],"&gt;="&amp;$A74,
[1]!in.rec[data.base],"&lt;"&amp;EOMONTH($A74,0)
)</f>
        <v>685849.54999999981</v>
      </c>
      <c r="R74" s="38"/>
      <c r="S74" s="51"/>
      <c r="T74" s="51"/>
      <c r="U74" s="49" t="e">
        <f ca="1">SUMIFS([1]!rec.uni[2026-12-01],
INDIRECT("rec.uni[natureza]"),"taxa.extra",
INDIRECT("rec.uni[empresa]"),U$6)</f>
        <v>#REF!</v>
      </c>
      <c r="V74" s="51"/>
      <c r="W74" s="39"/>
      <c r="X74" s="49">
        <f>SUMIFS([1]!in.rec[total],
[1]!in.rec[natureza],"pro.soluto",
[1]!in.rec[empresa],X$6,
[1]!in.rec[data.base],"&gt;="&amp;$A74,
[1]!in.rec[data.base],"&lt;"&amp;EOMONTH($A74,0)
)</f>
        <v>727201.93000000017</v>
      </c>
      <c r="Y74" s="49" t="e">
        <f ca="1">SUMIFS([1]!rec.uni[2026-12-01],
INDIRECT("rec.uni[natureza]"),"taxa.extra",
INDIRECT("rec.uni[empresa]"),Y$6)</f>
        <v>#REF!</v>
      </c>
      <c r="Z74" s="51"/>
      <c r="AA74" s="39"/>
      <c r="AB74" s="49">
        <f>SUMIFS([1]!in.rec[total],
[1]!in.rec[natureza],"pro.soluto",
[1]!in.rec[empresa],AB$6,
[1]!in.rec[data.base],"&gt;="&amp;$A74,
[1]!in.rec[data.base],"&lt;"&amp;EOMONTH($A74,0)
)</f>
        <v>207595.69</v>
      </c>
      <c r="AC74" s="51">
        <f>IF(
$A74&lt;=$A$1,
SUMIFS([1]!in.rec[total],
   [1]!in.rec[empresa],AC$6,
   [1]!in.rec[ele],"FIN",
   [1]!in.rec[data.pagamento],"&gt;="&amp;$A74,
   [1]!in.rec[data.pagamento],"&lt;"&amp;$A75
),
SUMIFS([1]!in.rec[total],
   [1]!in.rec[empresa],AC$6,
   [1]!in.rec[ele],"FIN",
   [1]!in.rec[data.vencimento],"&gt;="&amp;$A74,
   [1]!in.rec[data.vencimento],"&lt;"&amp;$A75
)
)</f>
        <v>0</v>
      </c>
      <c r="AD74" s="49" t="e">
        <f ca="1">SUMIFS([1]!rec.uni[2026-12-01],
INDIRECT("rec.uni[natureza]"),"taxa.extra",
INDIRECT("rec.uni[empresa]"),AD$6)</f>
        <v>#REF!</v>
      </c>
      <c r="AE74" s="51"/>
      <c r="AF74" s="48">
        <f>COUNTIFS(
    [1]!estoque[empresa], AF$6,
    [1]!estoque[Data da venda / reserva], "&gt;=" &amp; $A74,
    [1]!estoque[Data da venda / reserva], "&lt;"  &amp; EOMONTH($A74,0) + 1
)</f>
        <v>0</v>
      </c>
      <c r="AG74" s="49">
        <f>SUMIFS([1]!in.rec[total],
[1]!in.rec[natureza],"pro.soluto",
[1]!in.rec[empresa],AG$6,
[1]!in.rec[data.base],"&gt;="&amp;$A74,
[1]!in.rec[data.base],"&lt;"&amp;EOMONTH($A74,0)
)</f>
        <v>453618.99999999942</v>
      </c>
      <c r="AH74" s="38"/>
      <c r="AI74" s="51"/>
      <c r="AJ74" s="51"/>
      <c r="AK74" s="49" t="e">
        <f ca="1">SUMIFS([1]!rec.uni[2026-12-01],
INDIRECT("rec.uni[natureza]"),"taxa.extra",
INDIRECT("rec.uni[empresa]"),AK$6)</f>
        <v>#REF!</v>
      </c>
      <c r="AL74" s="51"/>
      <c r="AM74" s="39"/>
      <c r="AN74" s="49">
        <f>SUMIFS([1]!in.rec[total],
[1]!in.rec[natureza],"pro.soluto",
[1]!in.rec[empresa],AN$6,
[1]!in.rec[data.base],"&gt;="&amp;$A74,
[1]!in.rec[data.base],"&lt;"&amp;EOMONTH($A74,0)
)</f>
        <v>827347.76</v>
      </c>
      <c r="AO74" s="49" t="e">
        <f ca="1">SUMIFS([1]!rec.uni[2026-12-01],
INDIRECT("rec.uni[natureza]"),"taxa.extra",
INDIRECT("rec.uni[empresa]"),AO$6)</f>
        <v>#REF!</v>
      </c>
      <c r="AP74" s="51"/>
    </row>
    <row r="75" spans="1:42" x14ac:dyDescent="0.25">
      <c r="A75" s="47">
        <v>46388</v>
      </c>
      <c r="B75" s="39"/>
      <c r="C75" s="49">
        <f>SUMIFS([1]!in.rec[total],
[1]!in.rec[natureza],"pro.soluto",
[1]!in.rec[empresa],C$6,
[1]!in.rec[data.base],"&gt;="&amp;$A75,
[1]!in.rec[data.base],"&lt;"&amp;EOMONTH($A75,0)
)</f>
        <v>5240.9599999999991</v>
      </c>
      <c r="D75" s="38"/>
      <c r="E75" s="51"/>
      <c r="F75" s="51"/>
      <c r="G75" s="49" t="e">
        <f ca="1">SUMIFS([1]!rec.uni[2027-01-01],
INDIRECT("rec.uni[natureza]"),"taxa.extra",
INDIRECT("rec.uni[empresa]"),G$6)</f>
        <v>#REF!</v>
      </c>
      <c r="H75" s="51"/>
      <c r="I75" s="39"/>
      <c r="J75" s="49">
        <f>SUMIFS([1]!in.rec[total],
[1]!in.rec[natureza],"pro.soluto",
[1]!in.rec[empresa],J$6,
[1]!in.rec[data.base],"&gt;="&amp;$A75,
[1]!in.rec[data.base],"&lt;"&amp;EOMONTH($A75,0)
)</f>
        <v>1793</v>
      </c>
      <c r="K75" s="38"/>
      <c r="L75" s="51"/>
      <c r="M75" s="51"/>
      <c r="N75" s="49" t="e">
        <f ca="1">SUMIFS([1]!rec.uni[2027-01-01],
INDIRECT("rec.uni[natureza]"),"taxa.extra",
INDIRECT("rec.uni[empresa]"),N$6)</f>
        <v>#REF!</v>
      </c>
      <c r="O75" s="51"/>
      <c r="P75" s="39"/>
      <c r="Q75" s="49">
        <f>SUMIFS([1]!in.rec[total],
[1]!in.rec[natureza],"pro.soluto",
[1]!in.rec[empresa],Q$6,
[1]!in.rec[data.base],"&gt;="&amp;$A75,
[1]!in.rec[data.base],"&lt;"&amp;EOMONTH($A75,0)
)</f>
        <v>219406.60999999993</v>
      </c>
      <c r="R75" s="38"/>
      <c r="S75" s="51"/>
      <c r="T75" s="51"/>
      <c r="U75" s="49" t="e">
        <f ca="1">SUMIFS([1]!rec.uni[2027-01-01],
INDIRECT("rec.uni[natureza]"),"taxa.extra",
INDIRECT("rec.uni[empresa]"),U$6)</f>
        <v>#REF!</v>
      </c>
      <c r="V75" s="51"/>
      <c r="W75" s="39"/>
      <c r="X75" s="49">
        <f>SUMIFS([1]!in.rec[total],
[1]!in.rec[natureza],"pro.soluto",
[1]!in.rec[empresa],X$6,
[1]!in.rec[data.base],"&gt;="&amp;$A75,
[1]!in.rec[data.base],"&lt;"&amp;EOMONTH($A75,0)
)</f>
        <v>104489.73000000001</v>
      </c>
      <c r="Y75" s="49" t="e">
        <f ca="1">SUMIFS([1]!rec.uni[2027-01-01],
INDIRECT("rec.uni[natureza]"),"taxa.extra",
INDIRECT("rec.uni[empresa]"),Y$6)</f>
        <v>#REF!</v>
      </c>
      <c r="Z75" s="51"/>
      <c r="AA75" s="39"/>
      <c r="AB75" s="49">
        <f>SUMIFS([1]!in.rec[total],
[1]!in.rec[natureza],"pro.soluto",
[1]!in.rec[empresa],AB$6,
[1]!in.rec[data.base],"&gt;="&amp;$A75,
[1]!in.rec[data.base],"&lt;"&amp;EOMONTH($A75,0)
)</f>
        <v>109162.75</v>
      </c>
      <c r="AC75" s="51">
        <f>IF(
$A75&lt;=$A$1,
SUMIFS([1]!in.rec[total],
   [1]!in.rec[empresa],AC$6,
   [1]!in.rec[ele],"FIN",
   [1]!in.rec[data.pagamento],"&gt;="&amp;$A75,
   [1]!in.rec[data.pagamento],"&lt;"&amp;$A76
),
SUMIFS([1]!in.rec[total],
   [1]!in.rec[empresa],AC$6,
   [1]!in.rec[ele],"FIN",
   [1]!in.rec[data.vencimento],"&gt;="&amp;$A75,
   [1]!in.rec[data.vencimento],"&lt;"&amp;$A76
)
)</f>
        <v>0</v>
      </c>
      <c r="AD75" s="49" t="e">
        <f ca="1">SUMIFS([1]!rec.uni[2027-01-01],
INDIRECT("rec.uni[natureza]"),"taxa.extra",
INDIRECT("rec.uni[empresa]"),AD$6)</f>
        <v>#REF!</v>
      </c>
      <c r="AE75" s="51"/>
      <c r="AF75" s="48">
        <f>COUNTIFS(
    [1]!estoque[empresa], AF$6,
    [1]!estoque[Data da venda / reserva], "&gt;=" &amp; $A75,
    [1]!estoque[Data da venda / reserva], "&lt;"  &amp; EOMONTH($A75,0) + 1
)</f>
        <v>0</v>
      </c>
      <c r="AG75" s="49">
        <f>SUMIFS([1]!in.rec[total],
[1]!in.rec[natureza],"pro.soluto",
[1]!in.rec[empresa],AG$6,
[1]!in.rec[data.base],"&gt;="&amp;$A75,
[1]!in.rec[data.base],"&lt;"&amp;EOMONTH($A75,0)
)</f>
        <v>51518.479999999974</v>
      </c>
      <c r="AH75" s="38"/>
      <c r="AI75" s="51"/>
      <c r="AJ75" s="51"/>
      <c r="AK75" s="49" t="e">
        <f ca="1">SUMIFS([1]!rec.uni[2027-01-01],
INDIRECT("rec.uni[natureza]"),"taxa.extra",
INDIRECT("rec.uni[empresa]"),AK$6)</f>
        <v>#REF!</v>
      </c>
      <c r="AL75" s="51"/>
      <c r="AM75" s="39"/>
      <c r="AN75" s="49">
        <f>SUMIFS([1]!in.rec[total],
[1]!in.rec[natureza],"pro.soluto",
[1]!in.rec[empresa],AN$6,
[1]!in.rec[data.base],"&gt;="&amp;$A75,
[1]!in.rec[data.base],"&lt;"&amp;EOMONTH($A75,0)
)</f>
        <v>302076.22000000009</v>
      </c>
      <c r="AO75" s="49" t="e">
        <f ca="1">SUMIFS([1]!rec.uni[2027-01-01],
INDIRECT("rec.uni[natureza]"),"taxa.extra",
INDIRECT("rec.uni[empresa]"),AO$6)</f>
        <v>#REF!</v>
      </c>
      <c r="AP75" s="51"/>
    </row>
    <row r="76" spans="1:42" x14ac:dyDescent="0.25">
      <c r="A76" s="47">
        <v>46419</v>
      </c>
      <c r="B76" s="39"/>
      <c r="C76" s="49">
        <f>SUMIFS([1]!in.rec[total],
[1]!in.rec[natureza],"pro.soluto",
[1]!in.rec[empresa],C$6,
[1]!in.rec[data.base],"&gt;="&amp;$A76,
[1]!in.rec[data.base],"&lt;"&amp;EOMONTH($A76,0)
)</f>
        <v>4980.96</v>
      </c>
      <c r="D76" s="38"/>
      <c r="E76" s="51"/>
      <c r="F76" s="51"/>
      <c r="G76" s="49" t="e">
        <f ca="1">SUMIFS([1]!rec.uni[2027-02-01],
INDIRECT("rec.uni[natureza]"),"taxa.extra",
INDIRECT("rec.uni[empresa]"),G$6)</f>
        <v>#REF!</v>
      </c>
      <c r="H76" s="51"/>
      <c r="I76" s="39"/>
      <c r="J76" s="49">
        <f>SUMIFS([1]!in.rec[total],
[1]!in.rec[natureza],"pro.soluto",
[1]!in.rec[empresa],J$6,
[1]!in.rec[data.base],"&gt;="&amp;$A76,
[1]!in.rec[data.base],"&lt;"&amp;EOMONTH($A76,0)
)</f>
        <v>920.68</v>
      </c>
      <c r="K76" s="38"/>
      <c r="L76" s="51"/>
      <c r="M76" s="51"/>
      <c r="N76" s="49" t="e">
        <f ca="1">SUMIFS([1]!rec.uni[2027-02-01],
INDIRECT("rec.uni[natureza]"),"taxa.extra",
INDIRECT("rec.uni[empresa]"),N$6)</f>
        <v>#REF!</v>
      </c>
      <c r="O76" s="51"/>
      <c r="P76" s="39"/>
      <c r="Q76" s="49">
        <f>SUMIFS([1]!in.rec[total],
[1]!in.rec[natureza],"pro.soluto",
[1]!in.rec[empresa],Q$6,
[1]!in.rec[data.base],"&gt;="&amp;$A76,
[1]!in.rec[data.base],"&lt;"&amp;EOMONTH($A76,0)
)</f>
        <v>205206.85999999993</v>
      </c>
      <c r="R76" s="38"/>
      <c r="S76" s="51"/>
      <c r="T76" s="51"/>
      <c r="U76" s="49" t="e">
        <f ca="1">SUMIFS([1]!rec.uni[2027-02-01],
INDIRECT("rec.uni[natureza]"),"taxa.extra",
INDIRECT("rec.uni[empresa]"),U$6)</f>
        <v>#REF!</v>
      </c>
      <c r="V76" s="51"/>
      <c r="W76" s="39"/>
      <c r="X76" s="49">
        <f>SUMIFS([1]!in.rec[total],
[1]!in.rec[natureza],"pro.soluto",
[1]!in.rec[empresa],X$6,
[1]!in.rec[data.base],"&gt;="&amp;$A76,
[1]!in.rec[data.base],"&lt;"&amp;EOMONTH($A76,0)
)</f>
        <v>103996</v>
      </c>
      <c r="Y76" s="49" t="e">
        <f ca="1">SUMIFS([1]!rec.uni[2027-02-01],
INDIRECT("rec.uni[natureza]"),"taxa.extra",
INDIRECT("rec.uni[empresa]"),Y$6)</f>
        <v>#REF!</v>
      </c>
      <c r="Z76" s="51"/>
      <c r="AA76" s="39"/>
      <c r="AB76" s="49">
        <f>SUMIFS([1]!in.rec[total],
[1]!in.rec[natureza],"pro.soluto",
[1]!in.rec[empresa],AB$6,
[1]!in.rec[data.base],"&gt;="&amp;$A76,
[1]!in.rec[data.base],"&lt;"&amp;EOMONTH($A76,0)
)</f>
        <v>1268298.6100000001</v>
      </c>
      <c r="AC76" s="51">
        <f>IF(
$A76&lt;=$A$1,
SUMIFS([1]!in.rec[total],
   [1]!in.rec[empresa],AC$6,
   [1]!in.rec[ele],"FIN",
   [1]!in.rec[data.pagamento],"&gt;="&amp;$A76,
   [1]!in.rec[data.pagamento],"&lt;"&amp;$A77
),
SUMIFS([1]!in.rec[total],
   [1]!in.rec[empresa],AC$6,
   [1]!in.rec[ele],"FIN",
   [1]!in.rec[data.vencimento],"&gt;="&amp;$A76,
   [1]!in.rec[data.vencimento],"&lt;"&amp;$A77
)
)</f>
        <v>0</v>
      </c>
      <c r="AD76" s="49" t="e">
        <f ca="1">SUMIFS([1]!rec.uni[2027-02-01],
INDIRECT("rec.uni[natureza]"),"taxa.extra",
INDIRECT("rec.uni[empresa]"),AD$6)</f>
        <v>#REF!</v>
      </c>
      <c r="AE76" s="51"/>
      <c r="AF76" s="48">
        <f>COUNTIFS(
    [1]!estoque[empresa], AF$6,
    [1]!estoque[Data da venda / reserva], "&gt;=" &amp; $A76,
    [1]!estoque[Data da venda / reserva], "&lt;"  &amp; EOMONTH($A76,0) + 1
)</f>
        <v>0</v>
      </c>
      <c r="AG76" s="49">
        <f>SUMIFS([1]!in.rec[total],
[1]!in.rec[natureza],"pro.soluto",
[1]!in.rec[empresa],AG$6,
[1]!in.rec[data.base],"&gt;="&amp;$A76,
[1]!in.rec[data.base],"&lt;"&amp;EOMONTH($A76,0)
)</f>
        <v>67937.01999999999</v>
      </c>
      <c r="AH76" s="38"/>
      <c r="AI76" s="51"/>
      <c r="AJ76" s="51"/>
      <c r="AK76" s="49" t="e">
        <f ca="1">SUMIFS([1]!rec.uni[2027-02-01],
INDIRECT("rec.uni[natureza]"),"taxa.extra",
INDIRECT("rec.uni[empresa]"),AK$6)</f>
        <v>#REF!</v>
      </c>
      <c r="AL76" s="51"/>
      <c r="AM76" s="39"/>
      <c r="AN76" s="49">
        <f>SUMIFS([1]!in.rec[total],
[1]!in.rec[natureza],"pro.soluto",
[1]!in.rec[empresa],AN$6,
[1]!in.rec[data.base],"&gt;="&amp;$A76,
[1]!in.rec[data.base],"&lt;"&amp;EOMONTH($A76,0)
)</f>
        <v>283089.85000000009</v>
      </c>
      <c r="AO76" s="49" t="e">
        <f ca="1">SUMIFS([1]!rec.uni[2027-02-01],
INDIRECT("rec.uni[natureza]"),"taxa.extra",
INDIRECT("rec.uni[empresa]"),AO$6)</f>
        <v>#REF!</v>
      </c>
      <c r="AP76" s="51"/>
    </row>
    <row r="77" spans="1:42" x14ac:dyDescent="0.25">
      <c r="A77" s="47">
        <v>46447</v>
      </c>
      <c r="B77" s="39"/>
      <c r="C77" s="49">
        <f>SUMIFS([1]!in.rec[total],
[1]!in.rec[natureza],"pro.soluto",
[1]!in.rec[empresa],C$6,
[1]!in.rec[data.base],"&gt;="&amp;$A77,
[1]!in.rec[data.base],"&lt;"&amp;EOMONTH($A77,0)
)</f>
        <v>5118.3500000000004</v>
      </c>
      <c r="D77" s="38"/>
      <c r="E77" s="51"/>
      <c r="F77" s="51"/>
      <c r="G77" s="49" t="e">
        <f ca="1">SUMIFS([1]!rec.uni[2027-03-01],
INDIRECT("rec.uni[natureza]"),"taxa.extra",
INDIRECT("rec.uni[empresa]"),G$6)</f>
        <v>#REF!</v>
      </c>
      <c r="H77" s="51"/>
      <c r="I77" s="39"/>
      <c r="J77" s="49">
        <f>SUMIFS([1]!in.rec[total],
[1]!in.rec[natureza],"pro.soluto",
[1]!in.rec[empresa],J$6,
[1]!in.rec[data.base],"&gt;="&amp;$A77,
[1]!in.rec[data.base],"&lt;"&amp;EOMONTH($A77,0)
)</f>
        <v>2207.42</v>
      </c>
      <c r="K77" s="38"/>
      <c r="L77" s="51"/>
      <c r="M77" s="51"/>
      <c r="N77" s="49" t="e">
        <f ca="1">SUMIFS([1]!rec.uni[2027-03-01],
INDIRECT("rec.uni[natureza]"),"taxa.extra",
INDIRECT("rec.uni[empresa]"),N$6)</f>
        <v>#REF!</v>
      </c>
      <c r="O77" s="51"/>
      <c r="P77" s="39"/>
      <c r="Q77" s="49">
        <f>SUMIFS([1]!in.rec[total],
[1]!in.rec[natureza],"pro.soluto",
[1]!in.rec[empresa],Q$6,
[1]!in.rec[data.base],"&gt;="&amp;$A77,
[1]!in.rec[data.base],"&lt;"&amp;EOMONTH($A77,0)
)</f>
        <v>223933.79999999993</v>
      </c>
      <c r="R77" s="38"/>
      <c r="S77" s="51"/>
      <c r="T77" s="51"/>
      <c r="U77" s="49" t="e">
        <f ca="1">SUMIFS([1]!rec.uni[2027-03-01],
INDIRECT("rec.uni[natureza]"),"taxa.extra",
INDIRECT("rec.uni[empresa]"),U$6)</f>
        <v>#REF!</v>
      </c>
      <c r="V77" s="51"/>
      <c r="W77" s="39"/>
      <c r="X77" s="49">
        <f>SUMIFS([1]!in.rec[total],
[1]!in.rec[natureza],"pro.soluto",
[1]!in.rec[empresa],X$6,
[1]!in.rec[data.base],"&gt;="&amp;$A77,
[1]!in.rec[data.base],"&lt;"&amp;EOMONTH($A77,0)
)</f>
        <v>105804.82</v>
      </c>
      <c r="Y77" s="49" t="e">
        <f ca="1">SUMIFS([1]!rec.uni[2027-03-01],
INDIRECT("rec.uni[natureza]"),"taxa.extra",
INDIRECT("rec.uni[empresa]"),Y$6)</f>
        <v>#REF!</v>
      </c>
      <c r="Z77" s="51"/>
      <c r="AA77" s="39"/>
      <c r="AB77" s="49">
        <f>SUMIFS([1]!in.rec[total],
[1]!in.rec[natureza],"pro.soluto",
[1]!in.rec[empresa],AB$6,
[1]!in.rec[data.base],"&gt;="&amp;$A77,
[1]!in.rec[data.base],"&lt;"&amp;EOMONTH($A77,0)
)</f>
        <v>13590670.390000004</v>
      </c>
      <c r="AC77" s="51">
        <f>IF(
$A77&lt;=$A$1,
SUMIFS([1]!in.rec[total],
   [1]!in.rec[empresa],AC$6,
   [1]!in.rec[ele],"FIN",
   [1]!in.rec[data.pagamento],"&gt;="&amp;$A77,
   [1]!in.rec[data.pagamento],"&lt;"&amp;$A78
),
SUMIFS([1]!in.rec[total],
   [1]!in.rec[empresa],AC$6,
   [1]!in.rec[ele],"FIN",
   [1]!in.rec[data.vencimento],"&gt;="&amp;$A77,
   [1]!in.rec[data.vencimento],"&lt;"&amp;$A78
)
)</f>
        <v>13499338.830000002</v>
      </c>
      <c r="AD77" s="49" t="e">
        <f ca="1">SUMIFS([1]!rec.uni[2027-03-01],
INDIRECT("rec.uni[natureza]"),"taxa.extra",
INDIRECT("rec.uni[empresa]"),AD$6)</f>
        <v>#REF!</v>
      </c>
      <c r="AE77" s="51"/>
      <c r="AF77" s="48">
        <f>COUNTIFS(
    [1]!estoque[empresa], AF$6,
    [1]!estoque[Data da venda / reserva], "&gt;=" &amp; $A77,
    [1]!estoque[Data da venda / reserva], "&lt;"  &amp; EOMONTH($A77,0) + 1
)</f>
        <v>0</v>
      </c>
      <c r="AG77" s="49">
        <f>SUMIFS([1]!in.rec[total],
[1]!in.rec[natureza],"pro.soluto",
[1]!in.rec[empresa],AG$6,
[1]!in.rec[data.base],"&gt;="&amp;$A77,
[1]!in.rec[data.base],"&lt;"&amp;EOMONTH($A77,0)
)</f>
        <v>32603.640000000003</v>
      </c>
      <c r="AH77" s="38"/>
      <c r="AI77" s="51"/>
      <c r="AJ77" s="51"/>
      <c r="AK77" s="49" t="e">
        <f ca="1">SUMIFS([1]!rec.uni[2027-03-01],
INDIRECT("rec.uni[natureza]"),"taxa.extra",
INDIRECT("rec.uni[empresa]"),AK$6)</f>
        <v>#REF!</v>
      </c>
      <c r="AL77" s="51"/>
      <c r="AM77" s="39"/>
      <c r="AN77" s="49">
        <f>SUMIFS([1]!in.rec[total],
[1]!in.rec[natureza],"pro.soluto",
[1]!in.rec[empresa],AN$6,
[1]!in.rec[data.base],"&gt;="&amp;$A77,
[1]!in.rec[data.base],"&lt;"&amp;EOMONTH($A77,0)
)</f>
        <v>299686.94000000012</v>
      </c>
      <c r="AO77" s="49" t="e">
        <f ca="1">SUMIFS([1]!rec.uni[2027-03-01],
INDIRECT("rec.uni[natureza]"),"taxa.extra",
INDIRECT("rec.uni[empresa]"),AO$6)</f>
        <v>#REF!</v>
      </c>
      <c r="AP77" s="51"/>
    </row>
    <row r="78" spans="1:42" x14ac:dyDescent="0.25">
      <c r="A78" s="47">
        <v>46478</v>
      </c>
      <c r="B78" s="39"/>
      <c r="C78" s="49">
        <f>SUMIFS([1]!in.rec[total],
[1]!in.rec[natureza],"pro.soluto",
[1]!in.rec[empresa],C$6,
[1]!in.rec[data.base],"&gt;="&amp;$A78,
[1]!in.rec[data.base],"&lt;"&amp;EOMONTH($A78,0)
)</f>
        <v>4454.18</v>
      </c>
      <c r="D78" s="38"/>
      <c r="E78" s="51"/>
      <c r="F78" s="51"/>
      <c r="G78" s="49" t="e">
        <f ca="1">SUMIFS([1]!rec.uni[2027-04-01],
INDIRECT("rec.uni[natureza]"),"taxa.extra",
INDIRECT("rec.uni[empresa]"),G$6)</f>
        <v>#REF!</v>
      </c>
      <c r="H78" s="51"/>
      <c r="I78" s="39"/>
      <c r="J78" s="49">
        <f>SUMIFS([1]!in.rec[total],
[1]!in.rec[natureza],"pro.soluto",
[1]!in.rec[empresa],J$6,
[1]!in.rec[data.base],"&gt;="&amp;$A78,
[1]!in.rec[data.base],"&lt;"&amp;EOMONTH($A78,0)
)</f>
        <v>920.68</v>
      </c>
      <c r="K78" s="38"/>
      <c r="L78" s="51"/>
      <c r="M78" s="51"/>
      <c r="N78" s="49" t="e">
        <f ca="1">SUMIFS([1]!rec.uni[2027-04-01],
INDIRECT("rec.uni[natureza]"),"taxa.extra",
INDIRECT("rec.uni[empresa]"),N$6)</f>
        <v>#REF!</v>
      </c>
      <c r="O78" s="51"/>
      <c r="P78" s="39"/>
      <c r="Q78" s="49">
        <f>SUMIFS([1]!in.rec[total],
[1]!in.rec[natureza],"pro.soluto",
[1]!in.rec[empresa],Q$6,
[1]!in.rec[data.base],"&gt;="&amp;$A78,
[1]!in.rec[data.base],"&lt;"&amp;EOMONTH($A78,0)
)</f>
        <v>208421.28</v>
      </c>
      <c r="R78" s="38"/>
      <c r="S78" s="51"/>
      <c r="T78" s="51"/>
      <c r="U78" s="49" t="e">
        <f ca="1">SUMIFS([1]!rec.uni[2027-04-01],
INDIRECT("rec.uni[natureza]"),"taxa.extra",
INDIRECT("rec.uni[empresa]"),U$6)</f>
        <v>#REF!</v>
      </c>
      <c r="V78" s="51"/>
      <c r="W78" s="39"/>
      <c r="X78" s="49">
        <f>SUMIFS([1]!in.rec[total],
[1]!in.rec[natureza],"pro.soluto",
[1]!in.rec[empresa],X$6,
[1]!in.rec[data.base],"&gt;="&amp;$A78,
[1]!in.rec[data.base],"&lt;"&amp;EOMONTH($A78,0)
)</f>
        <v>107262.99</v>
      </c>
      <c r="Y78" s="49" t="e">
        <f ca="1">SUMIFS([1]!rec.uni[2027-04-01],
INDIRECT("rec.uni[natureza]"),"taxa.extra",
INDIRECT("rec.uni[empresa]"),Y$6)</f>
        <v>#REF!</v>
      </c>
      <c r="Z78" s="51"/>
      <c r="AA78" s="39"/>
      <c r="AB78" s="49">
        <f>SUMIFS([1]!in.rec[total],
[1]!in.rec[natureza],"pro.soluto",
[1]!in.rec[empresa],AB$6,
[1]!in.rec[data.base],"&gt;="&amp;$A78,
[1]!in.rec[data.base],"&lt;"&amp;EOMONTH($A78,0)
)</f>
        <v>16384.160000000003</v>
      </c>
      <c r="AC78" s="51">
        <f>IF(
$A78&lt;=$A$1,
SUMIFS([1]!in.rec[total],
   [1]!in.rec[empresa],AC$6,
   [1]!in.rec[ele],"FIN",
   [1]!in.rec[data.pagamento],"&gt;="&amp;$A78,
   [1]!in.rec[data.pagamento],"&lt;"&amp;$A79
),
SUMIFS([1]!in.rec[total],
   [1]!in.rec[empresa],AC$6,
   [1]!in.rec[ele],"FIN",
   [1]!in.rec[data.vencimento],"&gt;="&amp;$A78,
   [1]!in.rec[data.vencimento],"&lt;"&amp;$A79
)
)</f>
        <v>0</v>
      </c>
      <c r="AD78" s="49" t="e">
        <f ca="1">SUMIFS([1]!rec.uni[2027-04-01],
INDIRECT("rec.uni[natureza]"),"taxa.extra",
INDIRECT("rec.uni[empresa]"),AD$6)</f>
        <v>#REF!</v>
      </c>
      <c r="AE78" s="51"/>
      <c r="AF78" s="48">
        <f>COUNTIFS(
    [1]!estoque[empresa], AF$6,
    [1]!estoque[Data da venda / reserva], "&gt;=" &amp; $A78,
    [1]!estoque[Data da venda / reserva], "&lt;"  &amp; EOMONTH($A78,0) + 1
)</f>
        <v>0</v>
      </c>
      <c r="AG78" s="49">
        <f>SUMIFS([1]!in.rec[total],
[1]!in.rec[natureza],"pro.soluto",
[1]!in.rec[empresa],AG$6,
[1]!in.rec[data.base],"&gt;="&amp;$A78,
[1]!in.rec[data.base],"&lt;"&amp;EOMONTH($A78,0)
)</f>
        <v>29892.450000000004</v>
      </c>
      <c r="AH78" s="38"/>
      <c r="AI78" s="51"/>
      <c r="AJ78" s="51"/>
      <c r="AK78" s="49" t="e">
        <f ca="1">SUMIFS([1]!rec.uni[2027-04-01],
INDIRECT("rec.uni[natureza]"),"taxa.extra",
INDIRECT("rec.uni[empresa]"),AK$6)</f>
        <v>#REF!</v>
      </c>
      <c r="AL78" s="51"/>
      <c r="AM78" s="39"/>
      <c r="AN78" s="49">
        <f>SUMIFS([1]!in.rec[total],
[1]!in.rec[natureza],"pro.soluto",
[1]!in.rec[empresa],AN$6,
[1]!in.rec[data.base],"&gt;="&amp;$A78,
[1]!in.rec[data.base],"&lt;"&amp;EOMONTH($A78,0)
)</f>
        <v>299437.39000000007</v>
      </c>
      <c r="AO78" s="49" t="e">
        <f ca="1">SUMIFS([1]!rec.uni[2027-04-01],
INDIRECT("rec.uni[natureza]"),"taxa.extra",
INDIRECT("rec.uni[empresa]"),AO$6)</f>
        <v>#REF!</v>
      </c>
      <c r="AP78" s="51"/>
    </row>
    <row r="79" spans="1:42" x14ac:dyDescent="0.25">
      <c r="A79" s="47">
        <v>46508</v>
      </c>
      <c r="B79" s="39"/>
      <c r="C79" s="49">
        <f>SUMIFS([1]!in.rec[total],
[1]!in.rec[natureza],"pro.soluto",
[1]!in.rec[empresa],C$6,
[1]!in.rec[data.base],"&gt;="&amp;$A79,
[1]!in.rec[data.base],"&lt;"&amp;EOMONTH($A79,0)
)</f>
        <v>5295.4</v>
      </c>
      <c r="D79" s="38"/>
      <c r="E79" s="51"/>
      <c r="F79" s="51"/>
      <c r="G79" s="49" t="e">
        <f ca="1">SUMIFS([1]!rec.uni[2027-05-01],
INDIRECT("rec.uni[natureza]"),"taxa.extra",
INDIRECT("rec.uni[empresa]"),G$6)</f>
        <v>#REF!</v>
      </c>
      <c r="H79" s="51"/>
      <c r="I79" s="39"/>
      <c r="J79" s="49">
        <f>SUMIFS([1]!in.rec[total],
[1]!in.rec[natureza],"pro.soluto",
[1]!in.rec[empresa],J$6,
[1]!in.rec[data.base],"&gt;="&amp;$A79,
[1]!in.rec[data.base],"&lt;"&amp;EOMONTH($A79,0)
)</f>
        <v>920.68</v>
      </c>
      <c r="K79" s="38"/>
      <c r="L79" s="51"/>
      <c r="M79" s="51"/>
      <c r="N79" s="49" t="e">
        <f ca="1">SUMIFS([1]!rec.uni[2027-05-01],
INDIRECT("rec.uni[natureza]"),"taxa.extra",
INDIRECT("rec.uni[empresa]"),N$6)</f>
        <v>#REF!</v>
      </c>
      <c r="O79" s="51"/>
      <c r="P79" s="39"/>
      <c r="Q79" s="49">
        <f>SUMIFS([1]!in.rec[total],
[1]!in.rec[natureza],"pro.soluto",
[1]!in.rec[empresa],Q$6,
[1]!in.rec[data.base],"&gt;="&amp;$A79,
[1]!in.rec[data.base],"&lt;"&amp;EOMONTH($A79,0)
)</f>
        <v>203606.13999999996</v>
      </c>
      <c r="R79" s="38"/>
      <c r="S79" s="51"/>
      <c r="T79" s="51"/>
      <c r="U79" s="49" t="e">
        <f ca="1">SUMIFS([1]!rec.uni[2027-05-01],
INDIRECT("rec.uni[natureza]"),"taxa.extra",
INDIRECT("rec.uni[empresa]"),U$6)</f>
        <v>#REF!</v>
      </c>
      <c r="V79" s="51"/>
      <c r="W79" s="39"/>
      <c r="X79" s="49">
        <f>SUMIFS([1]!in.rec[total],
[1]!in.rec[natureza],"pro.soluto",
[1]!in.rec[empresa],X$6,
[1]!in.rec[data.base],"&gt;="&amp;$A79,
[1]!in.rec[data.base],"&lt;"&amp;EOMONTH($A79,0)
)</f>
        <v>106775.62</v>
      </c>
      <c r="Y79" s="49" t="e">
        <f ca="1">SUMIFS([1]!rec.uni[2027-05-01],
INDIRECT("rec.uni[natureza]"),"taxa.extra",
INDIRECT("rec.uni[empresa]"),Y$6)</f>
        <v>#REF!</v>
      </c>
      <c r="Z79" s="51"/>
      <c r="AA79" s="39"/>
      <c r="AB79" s="49">
        <f>SUMIFS([1]!in.rec[total],
[1]!in.rec[natureza],"pro.soluto",
[1]!in.rec[empresa],AB$6,
[1]!in.rec[data.base],"&gt;="&amp;$A79,
[1]!in.rec[data.base],"&lt;"&amp;EOMONTH($A79,0)
)</f>
        <v>39245.450000000004</v>
      </c>
      <c r="AC79" s="51">
        <f>IF(
$A79&lt;=$A$1,
SUMIFS([1]!in.rec[total],
   [1]!in.rec[empresa],AC$6,
   [1]!in.rec[ele],"FIN",
   [1]!in.rec[data.pagamento],"&gt;="&amp;$A79,
   [1]!in.rec[data.pagamento],"&lt;"&amp;$A80
),
SUMIFS([1]!in.rec[total],
   [1]!in.rec[empresa],AC$6,
   [1]!in.rec[ele],"FIN",
   [1]!in.rec[data.vencimento],"&gt;="&amp;$A79,
   [1]!in.rec[data.vencimento],"&lt;"&amp;$A80
)
)</f>
        <v>0</v>
      </c>
      <c r="AD79" s="49" t="e">
        <f ca="1">SUMIFS([1]!rec.uni[2027-05-01],
INDIRECT("rec.uni[natureza]"),"taxa.extra",
INDIRECT("rec.uni[empresa]"),AD$6)</f>
        <v>#REF!</v>
      </c>
      <c r="AE79" s="51"/>
      <c r="AF79" s="48">
        <f>COUNTIFS(
    [1]!estoque[empresa], AF$6,
    [1]!estoque[Data da venda / reserva], "&gt;=" &amp; $A79,
    [1]!estoque[Data da venda / reserva], "&lt;"  &amp; EOMONTH($A79,0) + 1
)</f>
        <v>0</v>
      </c>
      <c r="AG79" s="49">
        <f>SUMIFS([1]!in.rec[total],
[1]!in.rec[natureza],"pro.soluto",
[1]!in.rec[empresa],AG$6,
[1]!in.rec[data.base],"&gt;="&amp;$A79,
[1]!in.rec[data.base],"&lt;"&amp;EOMONTH($A79,0)
)</f>
        <v>21600.290000000005</v>
      </c>
      <c r="AH79" s="38"/>
      <c r="AI79" s="51"/>
      <c r="AJ79" s="51"/>
      <c r="AK79" s="49" t="e">
        <f ca="1">SUMIFS([1]!rec.uni[2027-05-01],
INDIRECT("rec.uni[natureza]"),"taxa.extra",
INDIRECT("rec.uni[empresa]"),AK$6)</f>
        <v>#REF!</v>
      </c>
      <c r="AL79" s="51"/>
      <c r="AM79" s="39"/>
      <c r="AN79" s="49">
        <f>SUMIFS([1]!in.rec[total],
[1]!in.rec[natureza],"pro.soluto",
[1]!in.rec[empresa],AN$6,
[1]!in.rec[data.base],"&gt;="&amp;$A79,
[1]!in.rec[data.base],"&lt;"&amp;EOMONTH($A79,0)
)</f>
        <v>505550.49999999971</v>
      </c>
      <c r="AO79" s="49" t="e">
        <f ca="1">SUMIFS([1]!rec.uni[2027-05-01],
INDIRECT("rec.uni[natureza]"),"taxa.extra",
INDIRECT("rec.uni[empresa]"),AO$6)</f>
        <v>#REF!</v>
      </c>
      <c r="AP79" s="51"/>
    </row>
    <row r="80" spans="1:42" x14ac:dyDescent="0.25">
      <c r="A80" s="47">
        <v>46539</v>
      </c>
      <c r="B80" s="39"/>
      <c r="C80" s="49">
        <f>SUMIFS([1]!in.rec[total],
[1]!in.rec[natureza],"pro.soluto",
[1]!in.rec[empresa],C$6,
[1]!in.rec[data.base],"&gt;="&amp;$A80,
[1]!in.rec[data.base],"&lt;"&amp;EOMONTH($A80,0)
)</f>
        <v>4676.6399999999994</v>
      </c>
      <c r="D80" s="38"/>
      <c r="E80" s="51"/>
      <c r="F80" s="51"/>
      <c r="G80" s="49" t="e">
        <f ca="1">SUMIFS([1]!rec.uni[2027-06-01],
INDIRECT("rec.uni[natureza]"),"taxa.extra",
INDIRECT("rec.uni[empresa]"),G$6)</f>
        <v>#REF!</v>
      </c>
      <c r="H80" s="51"/>
      <c r="I80" s="39"/>
      <c r="J80" s="49">
        <f>SUMIFS([1]!in.rec[total],
[1]!in.rec[natureza],"pro.soluto",
[1]!in.rec[empresa],J$6,
[1]!in.rec[data.base],"&gt;="&amp;$A80,
[1]!in.rec[data.base],"&lt;"&amp;EOMONTH($A80,0)
)</f>
        <v>920.68</v>
      </c>
      <c r="K80" s="38"/>
      <c r="L80" s="51"/>
      <c r="M80" s="51"/>
      <c r="N80" s="49" t="e">
        <f ca="1">SUMIFS([1]!rec.uni[2027-06-01],
INDIRECT("rec.uni[natureza]"),"taxa.extra",
INDIRECT("rec.uni[empresa]"),N$6)</f>
        <v>#REF!</v>
      </c>
      <c r="O80" s="51"/>
      <c r="P80" s="39"/>
      <c r="Q80" s="49">
        <f>SUMIFS([1]!in.rec[total],
[1]!in.rec[natureza],"pro.soluto",
[1]!in.rec[empresa],Q$6,
[1]!in.rec[data.base],"&gt;="&amp;$A80,
[1]!in.rec[data.base],"&lt;"&amp;EOMONTH($A80,0)
)</f>
        <v>371031.48</v>
      </c>
      <c r="R80" s="38"/>
      <c r="S80" s="51"/>
      <c r="T80" s="51"/>
      <c r="U80" s="49" t="e">
        <f ca="1">SUMIFS([1]!rec.uni[2027-06-01],
INDIRECT("rec.uni[natureza]"),"taxa.extra",
INDIRECT("rec.uni[empresa]"),U$6)</f>
        <v>#REF!</v>
      </c>
      <c r="V80" s="51"/>
      <c r="W80" s="39"/>
      <c r="X80" s="49">
        <f>SUMIFS([1]!in.rec[total],
[1]!in.rec[natureza],"pro.soluto",
[1]!in.rec[empresa],X$6,
[1]!in.rec[data.base],"&gt;="&amp;$A80,
[1]!in.rec[data.base],"&lt;"&amp;EOMONTH($A80,0)
)</f>
        <v>128876.23999999999</v>
      </c>
      <c r="Y80" s="49" t="e">
        <f ca="1">SUMIFS([1]!rec.uni[2027-06-01],
INDIRECT("rec.uni[natureza]"),"taxa.extra",
INDIRECT("rec.uni[empresa]"),Y$6)</f>
        <v>#REF!</v>
      </c>
      <c r="Z80" s="51"/>
      <c r="AA80" s="39"/>
      <c r="AB80" s="49">
        <f>SUMIFS([1]!in.rec[total],
[1]!in.rec[natureza],"pro.soluto",
[1]!in.rec[empresa],AB$6,
[1]!in.rec[data.base],"&gt;="&amp;$A80,
[1]!in.rec[data.base],"&lt;"&amp;EOMONTH($A80,0)
)</f>
        <v>4851.58</v>
      </c>
      <c r="AC80" s="51">
        <f>IF(
$A80&lt;=$A$1,
SUMIFS([1]!in.rec[total],
   [1]!in.rec[empresa],AC$6,
   [1]!in.rec[ele],"FIN",
   [1]!in.rec[data.pagamento],"&gt;="&amp;$A80,
   [1]!in.rec[data.pagamento],"&lt;"&amp;$A81
),
SUMIFS([1]!in.rec[total],
   [1]!in.rec[empresa],AC$6,
   [1]!in.rec[ele],"FIN",
   [1]!in.rec[data.vencimento],"&gt;="&amp;$A80,
   [1]!in.rec[data.vencimento],"&lt;"&amp;$A81
)
)</f>
        <v>0</v>
      </c>
      <c r="AD80" s="49" t="e">
        <f ca="1">SUMIFS([1]!rec.uni[2027-06-01],
INDIRECT("rec.uni[natureza]"),"taxa.extra",
INDIRECT("rec.uni[empresa]"),AD$6)</f>
        <v>#REF!</v>
      </c>
      <c r="AE80" s="51"/>
      <c r="AF80" s="48">
        <f>COUNTIFS(
    [1]!estoque[empresa], AF$6,
    [1]!estoque[Data da venda / reserva], "&gt;=" &amp; $A80,
    [1]!estoque[Data da venda / reserva], "&lt;"  &amp; EOMONTH($A80,0) + 1
)</f>
        <v>0</v>
      </c>
      <c r="AG80" s="49">
        <f>SUMIFS([1]!in.rec[total],
[1]!in.rec[natureza],"pro.soluto",
[1]!in.rec[empresa],AG$6,
[1]!in.rec[data.base],"&gt;="&amp;$A80,
[1]!in.rec[data.base],"&lt;"&amp;EOMONTH($A80,0)
)</f>
        <v>19174.73</v>
      </c>
      <c r="AH80" s="38"/>
      <c r="AI80" s="51"/>
      <c r="AJ80" s="51"/>
      <c r="AK80" s="49" t="e">
        <f ca="1">SUMIFS([1]!rec.uni[2027-06-01],
INDIRECT("rec.uni[natureza]"),"taxa.extra",
INDIRECT("rec.uni[empresa]"),AK$6)</f>
        <v>#REF!</v>
      </c>
      <c r="AL80" s="51"/>
      <c r="AM80" s="39"/>
      <c r="AN80" s="49">
        <f>SUMIFS([1]!in.rec[total],
[1]!in.rec[natureza],"pro.soluto",
[1]!in.rec[empresa],AN$6,
[1]!in.rec[data.base],"&gt;="&amp;$A80,
[1]!in.rec[data.base],"&lt;"&amp;EOMONTH($A80,0)
)</f>
        <v>371468.07999999984</v>
      </c>
      <c r="AO80" s="49" t="e">
        <f ca="1">SUMIFS([1]!rec.uni[2027-06-01],
INDIRECT("rec.uni[natureza]"),"taxa.extra",
INDIRECT("rec.uni[empresa]"),AO$6)</f>
        <v>#REF!</v>
      </c>
      <c r="AP80" s="51"/>
    </row>
    <row r="81" spans="1:42" x14ac:dyDescent="0.25">
      <c r="A81" s="47">
        <v>46569</v>
      </c>
      <c r="B81" s="39"/>
      <c r="C81" s="49">
        <f>SUMIFS([1]!in.rec[total],
[1]!in.rec[natureza],"pro.soluto",
[1]!in.rec[empresa],C$6,
[1]!in.rec[data.base],"&gt;="&amp;$A81,
[1]!in.rec[data.base],"&lt;"&amp;EOMONTH($A81,0)
)</f>
        <v>10493.039999999999</v>
      </c>
      <c r="D81" s="38"/>
      <c r="E81" s="51"/>
      <c r="F81" s="51"/>
      <c r="G81" s="49" t="e">
        <f ca="1">SUMIFS([1]!rec.uni[2027-07-01],
INDIRECT("rec.uni[natureza]"),"taxa.extra",
INDIRECT("rec.uni[empresa]"),G$6)</f>
        <v>#REF!</v>
      </c>
      <c r="H81" s="51"/>
      <c r="I81" s="39"/>
      <c r="J81" s="49">
        <f>SUMIFS([1]!in.rec[total],
[1]!in.rec[natureza],"pro.soluto",
[1]!in.rec[empresa],J$6,
[1]!in.rec[data.base],"&gt;="&amp;$A81,
[1]!in.rec[data.base],"&lt;"&amp;EOMONTH($A81,0)
)</f>
        <v>920.68</v>
      </c>
      <c r="K81" s="38"/>
      <c r="L81" s="51"/>
      <c r="M81" s="51"/>
      <c r="N81" s="49" t="e">
        <f ca="1">SUMIFS([1]!rec.uni[2027-07-01],
INDIRECT("rec.uni[natureza]"),"taxa.extra",
INDIRECT("rec.uni[empresa]"),N$6)</f>
        <v>#REF!</v>
      </c>
      <c r="O81" s="51"/>
      <c r="P81" s="39"/>
      <c r="Q81" s="49">
        <f>SUMIFS([1]!in.rec[total],
[1]!in.rec[natureza],"pro.soluto",
[1]!in.rec[empresa],Q$6,
[1]!in.rec[data.base],"&gt;="&amp;$A81,
[1]!in.rec[data.base],"&lt;"&amp;EOMONTH($A81,0)
)</f>
        <v>1315021.8499999996</v>
      </c>
      <c r="R81" s="38"/>
      <c r="S81" s="51"/>
      <c r="T81" s="51"/>
      <c r="U81" s="49" t="e">
        <f ca="1">SUMIFS([1]!rec.uni[2027-07-01],
INDIRECT("rec.uni[natureza]"),"taxa.extra",
INDIRECT("rec.uni[empresa]"),U$6)</f>
        <v>#REF!</v>
      </c>
      <c r="V81" s="51"/>
      <c r="W81" s="39"/>
      <c r="X81" s="49">
        <f>SUMIFS([1]!in.rec[total],
[1]!in.rec[natureza],"pro.soluto",
[1]!in.rec[empresa],X$6,
[1]!in.rec[data.base],"&gt;="&amp;$A81,
[1]!in.rec[data.base],"&lt;"&amp;EOMONTH($A81,0)
)</f>
        <v>108273.33</v>
      </c>
      <c r="Y81" s="49" t="e">
        <f ca="1">SUMIFS([1]!rec.uni[2027-07-01],
INDIRECT("rec.uni[natureza]"),"taxa.extra",
INDIRECT("rec.uni[empresa]"),Y$6)</f>
        <v>#REF!</v>
      </c>
      <c r="Z81" s="51"/>
      <c r="AA81" s="39"/>
      <c r="AB81" s="49">
        <f>SUMIFS([1]!in.rec[total],
[1]!in.rec[natureza],"pro.soluto",
[1]!in.rec[empresa],AB$6,
[1]!in.rec[data.base],"&gt;="&amp;$A81,
[1]!in.rec[data.base],"&lt;"&amp;EOMONTH($A81,0)
)</f>
        <v>4851.55</v>
      </c>
      <c r="AC81" s="51">
        <f>IF(
$A81&lt;=$A$1,
SUMIFS([1]!in.rec[total],
   [1]!in.rec[empresa],AC$6,
   [1]!in.rec[ele],"FIN",
   [1]!in.rec[data.pagamento],"&gt;="&amp;$A81,
   [1]!in.rec[data.pagamento],"&lt;"&amp;$A82
),
SUMIFS([1]!in.rec[total],
   [1]!in.rec[empresa],AC$6,
   [1]!in.rec[ele],"FIN",
   [1]!in.rec[data.vencimento],"&gt;="&amp;$A81,
   [1]!in.rec[data.vencimento],"&lt;"&amp;$A82
)
)</f>
        <v>0</v>
      </c>
      <c r="AD81" s="49" t="e">
        <f ca="1">SUMIFS([1]!rec.uni[2027-07-01],
INDIRECT("rec.uni[natureza]"),"taxa.extra",
INDIRECT("rec.uni[empresa]"),AD$6)</f>
        <v>#REF!</v>
      </c>
      <c r="AE81" s="51"/>
      <c r="AF81" s="48">
        <f>COUNTIFS(
    [1]!estoque[empresa], AF$6,
    [1]!estoque[Data da venda / reserva], "&gt;=" &amp; $A81,
    [1]!estoque[Data da venda / reserva], "&lt;"  &amp; EOMONTH($A81,0) + 1
)</f>
        <v>0</v>
      </c>
      <c r="AG81" s="49">
        <f>SUMIFS([1]!in.rec[total],
[1]!in.rec[natureza],"pro.soluto",
[1]!in.rec[empresa],AG$6,
[1]!in.rec[data.base],"&gt;="&amp;$A81,
[1]!in.rec[data.base],"&lt;"&amp;EOMONTH($A81,0)
)</f>
        <v>5023.2500000000009</v>
      </c>
      <c r="AH81" s="38"/>
      <c r="AI81" s="51"/>
      <c r="AJ81" s="51"/>
      <c r="AK81" s="49" t="e">
        <f ca="1">SUMIFS([1]!rec.uni[2027-07-01],
INDIRECT("rec.uni[natureza]"),"taxa.extra",
INDIRECT("rec.uni[empresa]"),AK$6)</f>
        <v>#REF!</v>
      </c>
      <c r="AL81" s="51"/>
      <c r="AM81" s="39"/>
      <c r="AN81" s="49">
        <f>SUMIFS([1]!in.rec[total],
[1]!in.rec[natureza],"pro.soluto",
[1]!in.rec[empresa],AN$6,
[1]!in.rec[data.base],"&gt;="&amp;$A81,
[1]!in.rec[data.base],"&lt;"&amp;EOMONTH($A81,0)
)</f>
        <v>839308.12999999931</v>
      </c>
      <c r="AO81" s="49" t="e">
        <f ca="1">SUMIFS([1]!rec.uni[2027-07-01],
INDIRECT("rec.uni[natureza]"),"taxa.extra",
INDIRECT("rec.uni[empresa]"),AO$6)</f>
        <v>#REF!</v>
      </c>
      <c r="AP81" s="51"/>
    </row>
    <row r="82" spans="1:42" x14ac:dyDescent="0.25">
      <c r="A82" s="47">
        <v>46600</v>
      </c>
      <c r="B82" s="39"/>
      <c r="C82" s="49">
        <f>SUMIFS([1]!in.rec[total],
[1]!in.rec[natureza],"pro.soluto",
[1]!in.rec[empresa],C$6,
[1]!in.rec[data.base],"&gt;="&amp;$A82,
[1]!in.rec[data.base],"&lt;"&amp;EOMONTH($A82,0)
)</f>
        <v>4250.1900000000005</v>
      </c>
      <c r="D82" s="38"/>
      <c r="E82" s="51"/>
      <c r="F82" s="51"/>
      <c r="G82" s="49" t="e">
        <f ca="1">SUMIFS([1]!rec.uni[2027-08-01],
INDIRECT("rec.uni[natureza]"),"taxa.extra",
INDIRECT("rec.uni[empresa]"),G$6)</f>
        <v>#REF!</v>
      </c>
      <c r="H82" s="51"/>
      <c r="I82" s="39"/>
      <c r="J82" s="49">
        <f>SUMIFS([1]!in.rec[total],
[1]!in.rec[natureza],"pro.soluto",
[1]!in.rec[empresa],J$6,
[1]!in.rec[data.base],"&gt;="&amp;$A82,
[1]!in.rec[data.base],"&lt;"&amp;EOMONTH($A82,0)
)</f>
        <v>1220.5999999999999</v>
      </c>
      <c r="K82" s="38"/>
      <c r="L82" s="51"/>
      <c r="M82" s="51"/>
      <c r="N82" s="49" t="e">
        <f ca="1">SUMIFS([1]!rec.uni[2027-08-01],
INDIRECT("rec.uni[natureza]"),"taxa.extra",
INDIRECT("rec.uni[empresa]"),N$6)</f>
        <v>#REF!</v>
      </c>
      <c r="O82" s="51"/>
      <c r="P82" s="39"/>
      <c r="Q82" s="49">
        <f>SUMIFS([1]!in.rec[total],
[1]!in.rec[natureza],"pro.soluto",
[1]!in.rec[empresa],Q$6,
[1]!in.rec[data.base],"&gt;="&amp;$A82,
[1]!in.rec[data.base],"&lt;"&amp;EOMONTH($A82,0)
)</f>
        <v>82774.290000000023</v>
      </c>
      <c r="R82" s="38"/>
      <c r="S82" s="51"/>
      <c r="T82" s="51"/>
      <c r="U82" s="49" t="e">
        <f ca="1">SUMIFS([1]!rec.uni[2027-08-01],
INDIRECT("rec.uni[natureza]"),"taxa.extra",
INDIRECT("rec.uni[empresa]"),U$6)</f>
        <v>#REF!</v>
      </c>
      <c r="V82" s="51"/>
      <c r="W82" s="39"/>
      <c r="X82" s="49">
        <f>SUMIFS([1]!in.rec[total],
[1]!in.rec[natureza],"pro.soluto",
[1]!in.rec[empresa],X$6,
[1]!in.rec[data.base],"&gt;="&amp;$A82,
[1]!in.rec[data.base],"&lt;"&amp;EOMONTH($A82,0)
)</f>
        <v>109134.32999999999</v>
      </c>
      <c r="Y82" s="49" t="e">
        <f ca="1">SUMIFS([1]!rec.uni[2027-08-01],
INDIRECT("rec.uni[natureza]"),"taxa.extra",
INDIRECT("rec.uni[empresa]"),Y$6)</f>
        <v>#REF!</v>
      </c>
      <c r="Z82" s="51"/>
      <c r="AA82" s="39"/>
      <c r="AB82" s="49">
        <f>SUMIFS([1]!in.rec[total],
[1]!in.rec[natureza],"pro.soluto",
[1]!in.rec[empresa],AB$6,
[1]!in.rec[data.base],"&gt;="&amp;$A82,
[1]!in.rec[data.base],"&lt;"&amp;EOMONTH($A82,0)
)</f>
        <v>0</v>
      </c>
      <c r="AC82" s="51">
        <f>IF(
$A82&lt;=$A$1,
SUMIFS([1]!in.rec[total],
   [1]!in.rec[empresa],AC$6,
   [1]!in.rec[ele],"FIN",
   [1]!in.rec[data.pagamento],"&gt;="&amp;$A82,
   [1]!in.rec[data.pagamento],"&lt;"&amp;$A83
),
SUMIFS([1]!in.rec[total],
   [1]!in.rec[empresa],AC$6,
   [1]!in.rec[ele],"FIN",
   [1]!in.rec[data.vencimento],"&gt;="&amp;$A82,
   [1]!in.rec[data.vencimento],"&lt;"&amp;$A83
)
)</f>
        <v>0</v>
      </c>
      <c r="AD82" s="49" t="e">
        <f ca="1">SUMIFS([1]!rec.uni[2027-08-01],
INDIRECT("rec.uni[natureza]"),"taxa.extra",
INDIRECT("rec.uni[empresa]"),AD$6)</f>
        <v>#REF!</v>
      </c>
      <c r="AE82" s="51"/>
      <c r="AF82" s="48">
        <f>COUNTIFS(
    [1]!estoque[empresa], AF$6,
    [1]!estoque[Data da venda / reserva], "&gt;=" &amp; $A82,
    [1]!estoque[Data da venda / reserva], "&lt;"  &amp; EOMONTH($A82,0) + 1
)</f>
        <v>0</v>
      </c>
      <c r="AG82" s="49">
        <f>SUMIFS([1]!in.rec[total],
[1]!in.rec[natureza],"pro.soluto",
[1]!in.rec[empresa],AG$6,
[1]!in.rec[data.base],"&gt;="&amp;$A82,
[1]!in.rec[data.base],"&lt;"&amp;EOMONTH($A82,0)
)</f>
        <v>1640.73</v>
      </c>
      <c r="AH82" s="38"/>
      <c r="AI82" s="51"/>
      <c r="AJ82" s="51"/>
      <c r="AK82" s="49" t="e">
        <f ca="1">SUMIFS([1]!rec.uni[2027-08-01],
INDIRECT("rec.uni[natureza]"),"taxa.extra",
INDIRECT("rec.uni[empresa]"),AK$6)</f>
        <v>#REF!</v>
      </c>
      <c r="AL82" s="51"/>
      <c r="AM82" s="39"/>
      <c r="AN82" s="49">
        <f>SUMIFS([1]!in.rec[total],
[1]!in.rec[natureza],"pro.soluto",
[1]!in.rec[empresa],AN$6,
[1]!in.rec[data.base],"&gt;="&amp;$A82,
[1]!in.rec[data.base],"&lt;"&amp;EOMONTH($A82,0)
)</f>
        <v>297811.06000000011</v>
      </c>
      <c r="AO82" s="49" t="e">
        <f ca="1">SUMIFS([1]!rec.uni[2027-08-01],
INDIRECT("rec.uni[natureza]"),"taxa.extra",
INDIRECT("rec.uni[empresa]"),AO$6)</f>
        <v>#REF!</v>
      </c>
      <c r="AP82" s="51"/>
    </row>
    <row r="83" spans="1:42" x14ac:dyDescent="0.25">
      <c r="A83" s="47">
        <v>46631</v>
      </c>
      <c r="B83" s="39"/>
      <c r="C83" s="49">
        <f>SUMIFS([1]!in.rec[total],
[1]!in.rec[natureza],"pro.soluto",
[1]!in.rec[empresa],C$6,
[1]!in.rec[data.base],"&gt;="&amp;$A83,
[1]!in.rec[data.base],"&lt;"&amp;EOMONTH($A83,0)
)</f>
        <v>4764</v>
      </c>
      <c r="D83" s="38"/>
      <c r="E83" s="51"/>
      <c r="F83" s="51"/>
      <c r="G83" s="49" t="e">
        <f ca="1">SUMIFS([1]!rec.uni[2027-09-01],
INDIRECT("rec.uni[natureza]"),"taxa.extra",
INDIRECT("rec.uni[empresa]"),G$6)</f>
        <v>#REF!</v>
      </c>
      <c r="H83" s="51"/>
      <c r="I83" s="39"/>
      <c r="J83" s="49">
        <f>SUMIFS([1]!in.rec[total],
[1]!in.rec[natureza],"pro.soluto",
[1]!in.rec[empresa],J$6,
[1]!in.rec[data.base],"&gt;="&amp;$A83,
[1]!in.rec[data.base],"&lt;"&amp;EOMONTH($A83,0)
)</f>
        <v>112.34</v>
      </c>
      <c r="K83" s="38"/>
      <c r="L83" s="51"/>
      <c r="M83" s="51"/>
      <c r="N83" s="49" t="e">
        <f ca="1">SUMIFS([1]!rec.uni[2027-09-01],
INDIRECT("rec.uni[natureza]"),"taxa.extra",
INDIRECT("rec.uni[empresa]"),N$6)</f>
        <v>#REF!</v>
      </c>
      <c r="O83" s="51"/>
      <c r="P83" s="39"/>
      <c r="Q83" s="49">
        <f>SUMIFS([1]!in.rec[total],
[1]!in.rec[natureza],"pro.soluto",
[1]!in.rec[empresa],Q$6,
[1]!in.rec[data.base],"&gt;="&amp;$A83,
[1]!in.rec[data.base],"&lt;"&amp;EOMONTH($A83,0)
)</f>
        <v>63669.770000000011</v>
      </c>
      <c r="R83" s="38"/>
      <c r="S83" s="51"/>
      <c r="T83" s="51"/>
      <c r="U83" s="49" t="e">
        <f ca="1">SUMIFS([1]!rec.uni[2027-09-01],
INDIRECT("rec.uni[natureza]"),"taxa.extra",
INDIRECT("rec.uni[empresa]"),U$6)</f>
        <v>#REF!</v>
      </c>
      <c r="V83" s="51"/>
      <c r="W83" s="39"/>
      <c r="X83" s="49">
        <f>SUMIFS([1]!in.rec[total],
[1]!in.rec[natureza],"pro.soluto",
[1]!in.rec[empresa],X$6,
[1]!in.rec[data.base],"&gt;="&amp;$A83,
[1]!in.rec[data.base],"&lt;"&amp;EOMONTH($A83,0)
)</f>
        <v>109671.54999999999</v>
      </c>
      <c r="Y83" s="49" t="e">
        <f ca="1">SUMIFS([1]!rec.uni[2027-09-01],
INDIRECT("rec.uni[natureza]"),"taxa.extra",
INDIRECT("rec.uni[empresa]"),Y$6)</f>
        <v>#REF!</v>
      </c>
      <c r="Z83" s="51"/>
      <c r="AA83" s="39"/>
      <c r="AB83" s="49">
        <f>SUMIFS([1]!in.rec[total],
[1]!in.rec[natureza],"pro.soluto",
[1]!in.rec[empresa],AB$6,
[1]!in.rec[data.base],"&gt;="&amp;$A83,
[1]!in.rec[data.base],"&lt;"&amp;EOMONTH($A83,0)
)</f>
        <v>0</v>
      </c>
      <c r="AC83" s="51">
        <f>IF(
$A83&lt;=$A$1,
SUMIFS([1]!in.rec[total],
   [1]!in.rec[empresa],AC$6,
   [1]!in.rec[ele],"FIN",
   [1]!in.rec[data.pagamento],"&gt;="&amp;$A83,
   [1]!in.rec[data.pagamento],"&lt;"&amp;$A84
),
SUMIFS([1]!in.rec[total],
   [1]!in.rec[empresa],AC$6,
   [1]!in.rec[ele],"FIN",
   [1]!in.rec[data.vencimento],"&gt;="&amp;$A83,
   [1]!in.rec[data.vencimento],"&lt;"&amp;$A84
)
)</f>
        <v>0</v>
      </c>
      <c r="AD83" s="49" t="e">
        <f ca="1">SUMIFS([1]!rec.uni[2027-09-01],
INDIRECT("rec.uni[natureza]"),"taxa.extra",
INDIRECT("rec.uni[empresa]"),AD$6)</f>
        <v>#REF!</v>
      </c>
      <c r="AE83" s="51"/>
      <c r="AF83" s="48">
        <f>COUNTIFS(
    [1]!estoque[empresa], AF$6,
    [1]!estoque[Data da venda / reserva], "&gt;=" &amp; $A83,
    [1]!estoque[Data da venda / reserva], "&lt;"  &amp; EOMONTH($A83,0) + 1
)</f>
        <v>0</v>
      </c>
      <c r="AG83" s="49">
        <f>SUMIFS([1]!in.rec[total],
[1]!in.rec[natureza],"pro.soluto",
[1]!in.rec[empresa],AG$6,
[1]!in.rec[data.base],"&gt;="&amp;$A83,
[1]!in.rec[data.base],"&lt;"&amp;EOMONTH($A83,0)
)</f>
        <v>442.47</v>
      </c>
      <c r="AH83" s="38"/>
      <c r="AI83" s="51"/>
      <c r="AJ83" s="51"/>
      <c r="AK83" s="49" t="e">
        <f ca="1">SUMIFS([1]!rec.uni[2027-09-01],
INDIRECT("rec.uni[natureza]"),"taxa.extra",
INDIRECT("rec.uni[empresa]"),AK$6)</f>
        <v>#REF!</v>
      </c>
      <c r="AL83" s="51"/>
      <c r="AM83" s="39"/>
      <c r="AN83" s="49">
        <f>SUMIFS([1]!in.rec[total],
[1]!in.rec[natureza],"pro.soluto",
[1]!in.rec[empresa],AN$6,
[1]!in.rec[data.base],"&gt;="&amp;$A83,
[1]!in.rec[data.base],"&lt;"&amp;EOMONTH($A83,0)
)</f>
        <v>343064.3499999998</v>
      </c>
      <c r="AO83" s="49" t="e">
        <f ca="1">SUMIFS([1]!rec.uni[2027-09-01],
INDIRECT("rec.uni[natureza]"),"taxa.extra",
INDIRECT("rec.uni[empresa]"),AO$6)</f>
        <v>#REF!</v>
      </c>
      <c r="AP83" s="51"/>
    </row>
    <row r="84" spans="1:42" x14ac:dyDescent="0.25">
      <c r="A84" s="47">
        <v>46661</v>
      </c>
      <c r="B84" s="39"/>
      <c r="C84" s="49">
        <f>SUMIFS([1]!in.rec[total],
[1]!in.rec[natureza],"pro.soluto",
[1]!in.rec[empresa],C$6,
[1]!in.rec[data.base],"&gt;="&amp;$A84,
[1]!in.rec[data.base],"&lt;"&amp;EOMONTH($A84,0)
)</f>
        <v>4009.39</v>
      </c>
      <c r="D84" s="38"/>
      <c r="E84" s="51"/>
      <c r="F84" s="51"/>
      <c r="G84" s="49" t="e">
        <f ca="1">SUMIFS([1]!rec.uni[2027-10-01],
INDIRECT("rec.uni[natureza]"),"taxa.extra",
INDIRECT("rec.uni[empresa]"),G$6)</f>
        <v>#REF!</v>
      </c>
      <c r="H84" s="51"/>
      <c r="I84" s="39"/>
      <c r="J84" s="49">
        <f>SUMIFS([1]!in.rec[total],
[1]!in.rec[natureza],"pro.soluto",
[1]!in.rec[empresa],J$6,
[1]!in.rec[data.base],"&gt;="&amp;$A84,
[1]!in.rec[data.base],"&lt;"&amp;EOMONTH($A84,0)
)</f>
        <v>0</v>
      </c>
      <c r="K84" s="38"/>
      <c r="L84" s="51"/>
      <c r="M84" s="51"/>
      <c r="N84" s="49" t="e">
        <f ca="1">SUMIFS([1]!rec.uni[2027-10-01],
INDIRECT("rec.uni[natureza]"),"taxa.extra",
INDIRECT("rec.uni[empresa]"),N$6)</f>
        <v>#REF!</v>
      </c>
      <c r="O84" s="51"/>
      <c r="P84" s="39"/>
      <c r="Q84" s="49">
        <f>SUMIFS([1]!in.rec[total],
[1]!in.rec[natureza],"pro.soluto",
[1]!in.rec[empresa],Q$6,
[1]!in.rec[data.base],"&gt;="&amp;$A84,
[1]!in.rec[data.base],"&lt;"&amp;EOMONTH($A84,0)
)</f>
        <v>41267.259999999995</v>
      </c>
      <c r="R84" s="38"/>
      <c r="S84" s="51"/>
      <c r="T84" s="51"/>
      <c r="U84" s="49" t="e">
        <f ca="1">SUMIFS([1]!rec.uni[2027-10-01],
INDIRECT("rec.uni[natureza]"),"taxa.extra",
INDIRECT("rec.uni[empresa]"),U$6)</f>
        <v>#REF!</v>
      </c>
      <c r="V84" s="51"/>
      <c r="W84" s="39"/>
      <c r="X84" s="49">
        <f>SUMIFS([1]!in.rec[total],
[1]!in.rec[natureza],"pro.soluto",
[1]!in.rec[empresa],X$6,
[1]!in.rec[data.base],"&gt;="&amp;$A84,
[1]!in.rec[data.base],"&lt;"&amp;EOMONTH($A84,0)
)</f>
        <v>109166.28</v>
      </c>
      <c r="Y84" s="49" t="e">
        <f ca="1">SUMIFS([1]!rec.uni[2027-10-01],
INDIRECT("rec.uni[natureza]"),"taxa.extra",
INDIRECT("rec.uni[empresa]"),Y$6)</f>
        <v>#REF!</v>
      </c>
      <c r="Z84" s="51"/>
      <c r="AA84" s="39"/>
      <c r="AB84" s="49">
        <f>SUMIFS([1]!in.rec[total],
[1]!in.rec[natureza],"pro.soluto",
[1]!in.rec[empresa],AB$6,
[1]!in.rec[data.base],"&gt;="&amp;$A84,
[1]!in.rec[data.base],"&lt;"&amp;EOMONTH($A84,0)
)</f>
        <v>0</v>
      </c>
      <c r="AC84" s="51">
        <f>IF(
$A84&lt;=$A$1,
SUMIFS([1]!in.rec[total],
   [1]!in.rec[empresa],AC$6,
   [1]!in.rec[ele],"FIN",
   [1]!in.rec[data.pagamento],"&gt;="&amp;$A84,
   [1]!in.rec[data.pagamento],"&lt;"&amp;$A85
),
SUMIFS([1]!in.rec[total],
   [1]!in.rec[empresa],AC$6,
   [1]!in.rec[ele],"FIN",
   [1]!in.rec[data.vencimento],"&gt;="&amp;$A84,
   [1]!in.rec[data.vencimento],"&lt;"&amp;$A85
)
)</f>
        <v>0</v>
      </c>
      <c r="AD84" s="49" t="e">
        <f ca="1">SUMIFS([1]!rec.uni[2027-10-01],
INDIRECT("rec.uni[natureza]"),"taxa.extra",
INDIRECT("rec.uni[empresa]"),AD$6)</f>
        <v>#REF!</v>
      </c>
      <c r="AE84" s="51"/>
      <c r="AF84" s="48">
        <f>COUNTIFS(
    [1]!estoque[empresa], AF$6,
    [1]!estoque[Data da venda / reserva], "&gt;=" &amp; $A84,
    [1]!estoque[Data da venda / reserva], "&lt;"  &amp; EOMONTH($A84,0) + 1
)</f>
        <v>0</v>
      </c>
      <c r="AG84" s="49">
        <f>SUMIFS([1]!in.rec[total],
[1]!in.rec[natureza],"pro.soluto",
[1]!in.rec[empresa],AG$6,
[1]!in.rec[data.base],"&gt;="&amp;$A84,
[1]!in.rec[data.base],"&lt;"&amp;EOMONTH($A84,0)
)</f>
        <v>508.53000000000003</v>
      </c>
      <c r="AH84" s="38"/>
      <c r="AI84" s="51"/>
      <c r="AJ84" s="51"/>
      <c r="AK84" s="49" t="e">
        <f ca="1">SUMIFS([1]!rec.uni[2027-10-01],
INDIRECT("rec.uni[natureza]"),"taxa.extra",
INDIRECT("rec.uni[empresa]"),AK$6)</f>
        <v>#REF!</v>
      </c>
      <c r="AL84" s="51"/>
      <c r="AM84" s="39"/>
      <c r="AN84" s="49">
        <f>SUMIFS([1]!in.rec[total],
[1]!in.rec[natureza],"pro.soluto",
[1]!in.rec[empresa],AN$6,
[1]!in.rec[data.base],"&gt;="&amp;$A84,
[1]!in.rec[data.base],"&lt;"&amp;EOMONTH($A84,0)
)</f>
        <v>319879.70999999996</v>
      </c>
      <c r="AO84" s="49" t="e">
        <f ca="1">SUMIFS([1]!rec.uni[2027-10-01],
INDIRECT("rec.uni[natureza]"),"taxa.extra",
INDIRECT("rec.uni[empresa]"),AO$6)</f>
        <v>#REF!</v>
      </c>
      <c r="AP84" s="51"/>
    </row>
    <row r="85" spans="1:42" x14ac:dyDescent="0.25">
      <c r="A85" s="47">
        <v>46692</v>
      </c>
      <c r="B85" s="39"/>
      <c r="C85" s="49">
        <f>SUMIFS([1]!in.rec[total],
[1]!in.rec[natureza],"pro.soluto",
[1]!in.rec[empresa],C$6,
[1]!in.rec[data.base],"&gt;="&amp;$A85,
[1]!in.rec[data.base],"&lt;"&amp;EOMONTH($A85,0)
)</f>
        <v>4116.7999999999993</v>
      </c>
      <c r="D85" s="38"/>
      <c r="E85" s="51"/>
      <c r="F85" s="51"/>
      <c r="G85" s="49" t="e">
        <f ca="1">SUMIFS([1]!rec.uni[2027-11-01],
INDIRECT("rec.uni[natureza]"),"taxa.extra",
INDIRECT("rec.uni[empresa]"),G$6)</f>
        <v>#REF!</v>
      </c>
      <c r="H85" s="51"/>
      <c r="I85" s="39"/>
      <c r="J85" s="49">
        <f>SUMIFS([1]!in.rec[total],
[1]!in.rec[natureza],"pro.soluto",
[1]!in.rec[empresa],J$6,
[1]!in.rec[data.base],"&gt;="&amp;$A85,
[1]!in.rec[data.base],"&lt;"&amp;EOMONTH($A85,0)
)</f>
        <v>0</v>
      </c>
      <c r="K85" s="38"/>
      <c r="L85" s="51"/>
      <c r="M85" s="51"/>
      <c r="N85" s="49" t="e">
        <f ca="1">SUMIFS([1]!rec.uni[2027-11-01],
INDIRECT("rec.uni[natureza]"),"taxa.extra",
INDIRECT("rec.uni[empresa]"),N$6)</f>
        <v>#REF!</v>
      </c>
      <c r="O85" s="51"/>
      <c r="P85" s="39"/>
      <c r="Q85" s="49">
        <f>SUMIFS([1]!in.rec[total],
[1]!in.rec[natureza],"pro.soluto",
[1]!in.rec[empresa],Q$6,
[1]!in.rec[data.base],"&gt;="&amp;$A85,
[1]!in.rec[data.base],"&lt;"&amp;EOMONTH($A85,0)
)</f>
        <v>3688.0599999999995</v>
      </c>
      <c r="R85" s="38"/>
      <c r="S85" s="51"/>
      <c r="T85" s="51"/>
      <c r="U85" s="49" t="e">
        <f ca="1">SUMIFS([1]!rec.uni[2027-11-01],
INDIRECT("rec.uni[natureza]"),"taxa.extra",
INDIRECT("rec.uni[empresa]"),U$6)</f>
        <v>#REF!</v>
      </c>
      <c r="V85" s="51"/>
      <c r="W85" s="39"/>
      <c r="X85" s="49">
        <f>SUMIFS([1]!in.rec[total],
[1]!in.rec[natureza],"pro.soluto",
[1]!in.rec[empresa],X$6,
[1]!in.rec[data.base],"&gt;="&amp;$A85,
[1]!in.rec[data.base],"&lt;"&amp;EOMONTH($A85,0)
)</f>
        <v>109145.4</v>
      </c>
      <c r="Y85" s="49" t="e">
        <f ca="1">SUMIFS([1]!rec.uni[2027-11-01],
INDIRECT("rec.uni[natureza]"),"taxa.extra",
INDIRECT("rec.uni[empresa]"),Y$6)</f>
        <v>#REF!</v>
      </c>
      <c r="Z85" s="51"/>
      <c r="AA85" s="39"/>
      <c r="AB85" s="49">
        <f>SUMIFS([1]!in.rec[total],
[1]!in.rec[natureza],"pro.soluto",
[1]!in.rec[empresa],AB$6,
[1]!in.rec[data.base],"&gt;="&amp;$A85,
[1]!in.rec[data.base],"&lt;"&amp;EOMONTH($A85,0)
)</f>
        <v>0</v>
      </c>
      <c r="AC85" s="51">
        <f>IF(
$A85&lt;=$A$1,
SUMIFS([1]!in.rec[total],
   [1]!in.rec[empresa],AC$6,
   [1]!in.rec[ele],"FIN",
   [1]!in.rec[data.pagamento],"&gt;="&amp;$A85,
   [1]!in.rec[data.pagamento],"&lt;"&amp;$A86
),
SUMIFS([1]!in.rec[total],
   [1]!in.rec[empresa],AC$6,
   [1]!in.rec[ele],"FIN",
   [1]!in.rec[data.vencimento],"&gt;="&amp;$A85,
   [1]!in.rec[data.vencimento],"&lt;"&amp;$A86
)
)</f>
        <v>0</v>
      </c>
      <c r="AD85" s="49" t="e">
        <f ca="1">SUMIFS([1]!rec.uni[2027-11-01],
INDIRECT("rec.uni[natureza]"),"taxa.extra",
INDIRECT("rec.uni[empresa]"),AD$6)</f>
        <v>#REF!</v>
      </c>
      <c r="AE85" s="51"/>
      <c r="AF85" s="48">
        <f>COUNTIFS(
    [1]!estoque[empresa], AF$6,
    [1]!estoque[Data da venda / reserva], "&gt;=" &amp; $A85,
    [1]!estoque[Data da venda / reserva], "&lt;"  &amp; EOMONTH($A85,0) + 1
)</f>
        <v>0</v>
      </c>
      <c r="AG85" s="49">
        <f>SUMIFS([1]!in.rec[total],
[1]!in.rec[natureza],"pro.soluto",
[1]!in.rec[empresa],AG$6,
[1]!in.rec[data.base],"&gt;="&amp;$A85,
[1]!in.rec[data.base],"&lt;"&amp;EOMONTH($A85,0)
)</f>
        <v>106.07</v>
      </c>
      <c r="AH85" s="38"/>
      <c r="AI85" s="51"/>
      <c r="AJ85" s="51"/>
      <c r="AK85" s="49" t="e">
        <f ca="1">SUMIFS([1]!rec.uni[2027-11-01],
INDIRECT("rec.uni[natureza]"),"taxa.extra",
INDIRECT("rec.uni[empresa]"),AK$6)</f>
        <v>#REF!</v>
      </c>
      <c r="AL85" s="51"/>
      <c r="AM85" s="39"/>
      <c r="AN85" s="49">
        <f>SUMIFS([1]!in.rec[total],
[1]!in.rec[natureza],"pro.soluto",
[1]!in.rec[empresa],AN$6,
[1]!in.rec[data.base],"&gt;="&amp;$A85,
[1]!in.rec[data.base],"&lt;"&amp;EOMONTH($A85,0)
)</f>
        <v>305481.82000000012</v>
      </c>
      <c r="AO85" s="49" t="e">
        <f ca="1">SUMIFS([1]!rec.uni[2027-11-01],
INDIRECT("rec.uni[natureza]"),"taxa.extra",
INDIRECT("rec.uni[empresa]"),AO$6)</f>
        <v>#REF!</v>
      </c>
      <c r="AP85" s="51"/>
    </row>
    <row r="86" spans="1:42" x14ac:dyDescent="0.25">
      <c r="A86" s="47">
        <v>46722</v>
      </c>
      <c r="B86" s="39"/>
      <c r="C86" s="49">
        <f>SUMIFS([1]!in.rec[total],
[1]!in.rec[natureza],"pro.soluto",
[1]!in.rec[empresa],C$6,
[1]!in.rec[data.base],"&gt;="&amp;$A86,
[1]!in.rec[data.base],"&lt;"&amp;EOMONTH($A86,0)
)</f>
        <v>4009.39</v>
      </c>
      <c r="D86" s="38"/>
      <c r="E86" s="51"/>
      <c r="F86" s="51"/>
      <c r="G86" s="49" t="e">
        <f ca="1">SUMIFS([1]!rec.uni[2027-12-01],
INDIRECT("rec.uni[natureza]"),"taxa.extra",
INDIRECT("rec.uni[empresa]"),G$6)</f>
        <v>#REF!</v>
      </c>
      <c r="H86" s="51"/>
      <c r="I86" s="39"/>
      <c r="J86" s="49">
        <f>SUMIFS([1]!in.rec[total],
[1]!in.rec[natureza],"pro.soluto",
[1]!in.rec[empresa],J$6,
[1]!in.rec[data.base],"&gt;="&amp;$A86,
[1]!in.rec[data.base],"&lt;"&amp;EOMONTH($A86,0)
)</f>
        <v>0</v>
      </c>
      <c r="K86" s="38"/>
      <c r="L86" s="51"/>
      <c r="M86" s="51"/>
      <c r="N86" s="49" t="e">
        <f ca="1">SUMIFS([1]!rec.uni[2027-12-01],
INDIRECT("rec.uni[natureza]"),"taxa.extra",
INDIRECT("rec.uni[empresa]"),N$6)</f>
        <v>#REF!</v>
      </c>
      <c r="O86" s="51"/>
      <c r="P86" s="39"/>
      <c r="Q86" s="49">
        <f>SUMIFS([1]!in.rec[total],
[1]!in.rec[natureza],"pro.soluto",
[1]!in.rec[empresa],Q$6,
[1]!in.rec[data.base],"&gt;="&amp;$A86,
[1]!in.rec[data.base],"&lt;"&amp;EOMONTH($A86,0)
)</f>
        <v>3376.49</v>
      </c>
      <c r="R86" s="38"/>
      <c r="S86" s="51"/>
      <c r="T86" s="51"/>
      <c r="U86" s="49" t="e">
        <f ca="1">SUMIFS([1]!rec.uni[2027-12-01],
INDIRECT("rec.uni[natureza]"),"taxa.extra",
INDIRECT("rec.uni[empresa]"),U$6)</f>
        <v>#REF!</v>
      </c>
      <c r="V86" s="51"/>
      <c r="W86" s="39"/>
      <c r="X86" s="49">
        <f>SUMIFS([1]!in.rec[total],
[1]!in.rec[natureza],"pro.soluto",
[1]!in.rec[empresa],X$6,
[1]!in.rec[data.base],"&gt;="&amp;$A86,
[1]!in.rec[data.base],"&lt;"&amp;EOMONTH($A86,0)
)</f>
        <v>719690.41000000027</v>
      </c>
      <c r="Y86" s="49" t="e">
        <f ca="1">SUMIFS([1]!rec.uni[2027-12-01],
INDIRECT("rec.uni[natureza]"),"taxa.extra",
INDIRECT("rec.uni[empresa]"),Y$6)</f>
        <v>#REF!</v>
      </c>
      <c r="Z86" s="51"/>
      <c r="AA86" s="39"/>
      <c r="AB86" s="49">
        <f>SUMIFS([1]!in.rec[total],
[1]!in.rec[natureza],"pro.soluto",
[1]!in.rec[empresa],AB$6,
[1]!in.rec[data.base],"&gt;="&amp;$A86,
[1]!in.rec[data.base],"&lt;"&amp;EOMONTH($A86,0)
)</f>
        <v>105.12</v>
      </c>
      <c r="AC86" s="51">
        <f>IF(
$A86&lt;=$A$1,
SUMIFS([1]!in.rec[total],
   [1]!in.rec[empresa],AC$6,
   [1]!in.rec[ele],"FIN",
   [1]!in.rec[data.pagamento],"&gt;="&amp;$A86,
   [1]!in.rec[data.pagamento],"&lt;"&amp;$A87
),
SUMIFS([1]!in.rec[total],
   [1]!in.rec[empresa],AC$6,
   [1]!in.rec[ele],"FIN",
   [1]!in.rec[data.vencimento],"&gt;="&amp;$A86,
   [1]!in.rec[data.vencimento],"&lt;"&amp;$A87
)
)</f>
        <v>0</v>
      </c>
      <c r="AD86" s="49" t="e">
        <f ca="1">SUMIFS([1]!rec.uni[2027-12-01],
INDIRECT("rec.uni[natureza]"),"taxa.extra",
INDIRECT("rec.uni[empresa]"),AD$6)</f>
        <v>#REF!</v>
      </c>
      <c r="AE86" s="51"/>
      <c r="AF86" s="48">
        <f>COUNTIFS(
    [1]!estoque[empresa], AF$6,
    [1]!estoque[Data da venda / reserva], "&gt;=" &amp; $A86,
    [1]!estoque[Data da venda / reserva], "&lt;"  &amp; EOMONTH($A86,0) + 1
)</f>
        <v>0</v>
      </c>
      <c r="AG86" s="49">
        <f>SUMIFS([1]!in.rec[total],
[1]!in.rec[natureza],"pro.soluto",
[1]!in.rec[empresa],AG$6,
[1]!in.rec[data.base],"&gt;="&amp;$A86,
[1]!in.rec[data.base],"&lt;"&amp;EOMONTH($A86,0)
)</f>
        <v>1366.46</v>
      </c>
      <c r="AH86" s="38"/>
      <c r="AI86" s="51"/>
      <c r="AJ86" s="51"/>
      <c r="AK86" s="49" t="e">
        <f ca="1">SUMIFS([1]!rec.uni[2027-12-01],
INDIRECT("rec.uni[natureza]"),"taxa.extra",
INDIRECT("rec.uni[empresa]"),AK$6)</f>
        <v>#REF!</v>
      </c>
      <c r="AL86" s="51"/>
      <c r="AM86" s="39"/>
      <c r="AN86" s="49">
        <f>SUMIFS([1]!in.rec[total],
[1]!in.rec[natureza],"pro.soluto",
[1]!in.rec[empresa],AN$6,
[1]!in.rec[data.base],"&gt;="&amp;$A86,
[1]!in.rec[data.base],"&lt;"&amp;EOMONTH($A86,0)
)</f>
        <v>922665.96999999986</v>
      </c>
      <c r="AO86" s="49" t="e">
        <f ca="1">SUMIFS([1]!rec.uni[2027-12-01],
INDIRECT("rec.uni[natureza]"),"taxa.extra",
INDIRECT("rec.uni[empresa]"),AO$6)</f>
        <v>#REF!</v>
      </c>
      <c r="AP86" s="51"/>
    </row>
    <row r="87" spans="1:42" x14ac:dyDescent="0.25">
      <c r="A87" s="47">
        <v>46753</v>
      </c>
      <c r="B87" s="39"/>
      <c r="C87" s="49">
        <f>SUMIFS([1]!in.rec[total],
[1]!in.rec[natureza],"pro.soluto",
[1]!in.rec[empresa],C$6,
[1]!in.rec[data.base],"&gt;="&amp;$A87,
[1]!in.rec[data.base],"&lt;"&amp;EOMONTH($A87,0)
)</f>
        <v>4009.39</v>
      </c>
      <c r="D87" s="38"/>
      <c r="E87" s="51"/>
      <c r="F87" s="51"/>
      <c r="G87" s="49" t="e">
        <f ca="1">SUMIFS([1]!rec.uni[2028-01-01],
INDIRECT("rec.uni[natureza]"),"taxa.extra",
INDIRECT("rec.uni[empresa]"),G$6)</f>
        <v>#REF!</v>
      </c>
      <c r="H87" s="51"/>
      <c r="I87" s="39"/>
      <c r="J87" s="49">
        <f>SUMIFS([1]!in.rec[total],
[1]!in.rec[natureza],"pro.soluto",
[1]!in.rec[empresa],J$6,
[1]!in.rec[data.base],"&gt;="&amp;$A87,
[1]!in.rec[data.base],"&lt;"&amp;EOMONTH($A87,0)
)</f>
        <v>0</v>
      </c>
      <c r="K87" s="38"/>
      <c r="L87" s="51"/>
      <c r="M87" s="51"/>
      <c r="N87" s="49" t="e">
        <f ca="1">SUMIFS([1]!rec.uni[2028-01-01],
INDIRECT("rec.uni[natureza]"),"taxa.extra",
INDIRECT("rec.uni[empresa]"),N$6)</f>
        <v>#REF!</v>
      </c>
      <c r="O87" s="51"/>
      <c r="P87" s="39"/>
      <c r="Q87" s="49">
        <f>SUMIFS([1]!in.rec[total],
[1]!in.rec[natureza],"pro.soluto",
[1]!in.rec[empresa],Q$6,
[1]!in.rec[data.base],"&gt;="&amp;$A87,
[1]!in.rec[data.base],"&lt;"&amp;EOMONTH($A87,0)
)</f>
        <v>2593.8500000000004</v>
      </c>
      <c r="R87" s="38"/>
      <c r="S87" s="51"/>
      <c r="T87" s="51"/>
      <c r="U87" s="49" t="e">
        <f ca="1">SUMIFS([1]!rec.uni[2028-01-01],
INDIRECT("rec.uni[natureza]"),"taxa.extra",
INDIRECT("rec.uni[empresa]"),U$6)</f>
        <v>#REF!</v>
      </c>
      <c r="V87" s="51"/>
      <c r="W87" s="39"/>
      <c r="X87" s="49">
        <f>SUMIFS([1]!in.rec[total],
[1]!in.rec[natureza],"pro.soluto",
[1]!in.rec[empresa],X$6,
[1]!in.rec[data.base],"&gt;="&amp;$A87,
[1]!in.rec[data.base],"&lt;"&amp;EOMONTH($A87,0)
)</f>
        <v>100243.44000000002</v>
      </c>
      <c r="Y87" s="49" t="e">
        <f ca="1">SUMIFS([1]!rec.uni[2028-01-01],
INDIRECT("rec.uni[natureza]"),"taxa.extra",
INDIRECT("rec.uni[empresa]"),Y$6)</f>
        <v>#REF!</v>
      </c>
      <c r="Z87" s="51"/>
      <c r="AA87" s="39"/>
      <c r="AB87" s="49">
        <f>SUMIFS([1]!in.rec[total],
[1]!in.rec[natureza],"pro.soluto",
[1]!in.rec[empresa],AB$6,
[1]!in.rec[data.base],"&gt;="&amp;$A87,
[1]!in.rec[data.base],"&lt;"&amp;EOMONTH($A87,0)
)</f>
        <v>0</v>
      </c>
      <c r="AC87" s="51">
        <f>IF(
$A87&lt;=$A$1,
SUMIFS([1]!in.rec[total],
   [1]!in.rec[empresa],AC$6,
   [1]!in.rec[ele],"FIN",
   [1]!in.rec[data.pagamento],"&gt;="&amp;$A87,
   [1]!in.rec[data.pagamento],"&lt;"&amp;$A88
),
SUMIFS([1]!in.rec[total],
   [1]!in.rec[empresa],AC$6,
   [1]!in.rec[ele],"FIN",
   [1]!in.rec[data.vencimento],"&gt;="&amp;$A87,
   [1]!in.rec[data.vencimento],"&lt;"&amp;$A88
)
)</f>
        <v>0</v>
      </c>
      <c r="AD87" s="49" t="e">
        <f ca="1">SUMIFS([1]!rec.uni[2028-01-01],
INDIRECT("rec.uni[natureza]"),"taxa.extra",
INDIRECT("rec.uni[empresa]"),AD$6)</f>
        <v>#REF!</v>
      </c>
      <c r="AE87" s="51"/>
      <c r="AF87" s="48">
        <f>COUNTIFS(
    [1]!estoque[empresa], AF$6,
    [1]!estoque[Data da venda / reserva], "&gt;=" &amp; $A87,
    [1]!estoque[Data da venda / reserva], "&lt;"  &amp; EOMONTH($A87,0) + 1
)</f>
        <v>0</v>
      </c>
      <c r="AG87" s="49">
        <f>SUMIFS([1]!in.rec[total],
[1]!in.rec[natureza],"pro.soluto",
[1]!in.rec[empresa],AG$6,
[1]!in.rec[data.base],"&gt;="&amp;$A87,
[1]!in.rec[data.base],"&lt;"&amp;EOMONTH($A87,0)
)</f>
        <v>358.46000000000004</v>
      </c>
      <c r="AH87" s="38"/>
      <c r="AI87" s="51"/>
      <c r="AJ87" s="51"/>
      <c r="AK87" s="49" t="e">
        <f ca="1">SUMIFS([1]!rec.uni[2028-01-01],
INDIRECT("rec.uni[natureza]"),"taxa.extra",
INDIRECT("rec.uni[empresa]"),AK$6)</f>
        <v>#REF!</v>
      </c>
      <c r="AL87" s="51"/>
      <c r="AM87" s="39"/>
      <c r="AN87" s="49">
        <f>SUMIFS([1]!in.rec[total],
[1]!in.rec[natureza],"pro.soluto",
[1]!in.rec[empresa],AN$6,
[1]!in.rec[data.base],"&gt;="&amp;$A87,
[1]!in.rec[data.base],"&lt;"&amp;EOMONTH($A87,0)
)</f>
        <v>294651.31000000017</v>
      </c>
      <c r="AO87" s="49" t="e">
        <f ca="1">SUMIFS([1]!rec.uni[2028-01-01],
INDIRECT("rec.uni[natureza]"),"taxa.extra",
INDIRECT("rec.uni[empresa]"),AO$6)</f>
        <v>#REF!</v>
      </c>
      <c r="AP87" s="51"/>
    </row>
    <row r="88" spans="1:42" x14ac:dyDescent="0.25">
      <c r="A88" s="47">
        <v>46784</v>
      </c>
      <c r="B88" s="39"/>
      <c r="C88" s="49">
        <f>SUMIFS([1]!in.rec[total],
[1]!in.rec[natureza],"pro.soluto",
[1]!in.rec[empresa],C$6,
[1]!in.rec[data.base],"&gt;="&amp;$A88,
[1]!in.rec[data.base],"&lt;"&amp;EOMONTH($A88,0)
)</f>
        <v>4009.39</v>
      </c>
      <c r="D88" s="38"/>
      <c r="E88" s="51"/>
      <c r="F88" s="51"/>
      <c r="G88" s="49" t="e">
        <f ca="1">SUMIFS([1]!rec.uni[2028-02-01],
INDIRECT("rec.uni[natureza]"),"taxa.extra",
INDIRECT("rec.uni[empresa]"),G$6)</f>
        <v>#REF!</v>
      </c>
      <c r="H88" s="51"/>
      <c r="I88" s="39"/>
      <c r="J88" s="49">
        <f>SUMIFS([1]!in.rec[total],
[1]!in.rec[natureza],"pro.soluto",
[1]!in.rec[empresa],J$6,
[1]!in.rec[data.base],"&gt;="&amp;$A88,
[1]!in.rec[data.base],"&lt;"&amp;EOMONTH($A88,0)
)</f>
        <v>0</v>
      </c>
      <c r="K88" s="38"/>
      <c r="L88" s="51"/>
      <c r="M88" s="51"/>
      <c r="N88" s="49" t="e">
        <f ca="1">SUMIFS([1]!rec.uni[2028-02-01],
INDIRECT("rec.uni[natureza]"),"taxa.extra",
INDIRECT("rec.uni[empresa]"),N$6)</f>
        <v>#REF!</v>
      </c>
      <c r="O88" s="51"/>
      <c r="P88" s="39"/>
      <c r="Q88" s="49">
        <f>SUMIFS([1]!in.rec[total],
[1]!in.rec[natureza],"pro.soluto",
[1]!in.rec[empresa],Q$6,
[1]!in.rec[data.base],"&gt;="&amp;$A88,
[1]!in.rec[data.base],"&lt;"&amp;EOMONTH($A88,0)
)</f>
        <v>589.49</v>
      </c>
      <c r="R88" s="38"/>
      <c r="S88" s="51"/>
      <c r="T88" s="51"/>
      <c r="U88" s="49" t="e">
        <f ca="1">SUMIFS([1]!rec.uni[2028-02-01],
INDIRECT("rec.uni[natureza]"),"taxa.extra",
INDIRECT("rec.uni[empresa]"),U$6)</f>
        <v>#REF!</v>
      </c>
      <c r="V88" s="51"/>
      <c r="W88" s="39"/>
      <c r="X88" s="49">
        <f>SUMIFS([1]!in.rec[total],
[1]!in.rec[natureza],"pro.soluto",
[1]!in.rec[empresa],X$6,
[1]!in.rec[data.base],"&gt;="&amp;$A88,
[1]!in.rec[data.base],"&lt;"&amp;EOMONTH($A88,0)
)</f>
        <v>98857.460000000021</v>
      </c>
      <c r="Y88" s="49" t="e">
        <f ca="1">SUMIFS([1]!rec.uni[2028-02-01],
INDIRECT("rec.uni[natureza]"),"taxa.extra",
INDIRECT("rec.uni[empresa]"),Y$6)</f>
        <v>#REF!</v>
      </c>
      <c r="Z88" s="51"/>
      <c r="AA88" s="39"/>
      <c r="AB88" s="49">
        <f>SUMIFS([1]!in.rec[total],
[1]!in.rec[natureza],"pro.soluto",
[1]!in.rec[empresa],AB$6,
[1]!in.rec[data.base],"&gt;="&amp;$A88,
[1]!in.rec[data.base],"&lt;"&amp;EOMONTH($A88,0)
)</f>
        <v>0</v>
      </c>
      <c r="AC88" s="51">
        <f>IF(
$A88&lt;=$A$1,
SUMIFS([1]!in.rec[total],
   [1]!in.rec[empresa],AC$6,
   [1]!in.rec[ele],"FIN",
   [1]!in.rec[data.pagamento],"&gt;="&amp;$A88,
   [1]!in.rec[data.pagamento],"&lt;"&amp;$A89
),
SUMIFS([1]!in.rec[total],
   [1]!in.rec[empresa],AC$6,
   [1]!in.rec[ele],"FIN",
   [1]!in.rec[data.vencimento],"&gt;="&amp;$A88,
   [1]!in.rec[data.vencimento],"&lt;"&amp;$A89
)
)</f>
        <v>0</v>
      </c>
      <c r="AD88" s="49" t="e">
        <f ca="1">SUMIFS([1]!rec.uni[2028-02-01],
INDIRECT("rec.uni[natureza]"),"taxa.extra",
INDIRECT("rec.uni[empresa]"),AD$6)</f>
        <v>#REF!</v>
      </c>
      <c r="AE88" s="51"/>
      <c r="AF88" s="48">
        <f>COUNTIFS(
    [1]!estoque[empresa], AF$6,
    [1]!estoque[Data da venda / reserva], "&gt;=" &amp; $A88,
    [1]!estoque[Data da venda / reserva], "&lt;"  &amp; EOMONTH($A88,0) + 1
)</f>
        <v>0</v>
      </c>
      <c r="AG88" s="49">
        <f>SUMIFS([1]!in.rec[total],
[1]!in.rec[natureza],"pro.soluto",
[1]!in.rec[empresa],AG$6,
[1]!in.rec[data.base],"&gt;="&amp;$A88,
[1]!in.rec[data.base],"&lt;"&amp;EOMONTH($A88,0)
)</f>
        <v>0</v>
      </c>
      <c r="AH88" s="38"/>
      <c r="AI88" s="51"/>
      <c r="AJ88" s="51"/>
      <c r="AK88" s="49" t="e">
        <f ca="1">SUMIFS([1]!rec.uni[2028-02-01],
INDIRECT("rec.uni[natureza]"),"taxa.extra",
INDIRECT("rec.uni[empresa]"),AK$6)</f>
        <v>#REF!</v>
      </c>
      <c r="AL88" s="51"/>
      <c r="AM88" s="39"/>
      <c r="AN88" s="49">
        <f>SUMIFS([1]!in.rec[total],
[1]!in.rec[natureza],"pro.soluto",
[1]!in.rec[empresa],AN$6,
[1]!in.rec[data.base],"&gt;="&amp;$A88,
[1]!in.rec[data.base],"&lt;"&amp;EOMONTH($A88,0)
)</f>
        <v>290744.63000000012</v>
      </c>
      <c r="AO88" s="49" t="e">
        <f ca="1">SUMIFS([1]!rec.uni[2028-02-01],
INDIRECT("rec.uni[natureza]"),"taxa.extra",
INDIRECT("rec.uni[empresa]"),AO$6)</f>
        <v>#REF!</v>
      </c>
      <c r="AP88" s="51"/>
    </row>
    <row r="89" spans="1:42" x14ac:dyDescent="0.25">
      <c r="A89" s="47">
        <v>46813</v>
      </c>
      <c r="B89" s="39"/>
      <c r="C89" s="49">
        <f>SUMIFS([1]!in.rec[total],
[1]!in.rec[natureza],"pro.soluto",
[1]!in.rec[empresa],C$6,
[1]!in.rec[data.base],"&gt;="&amp;$A89,
[1]!in.rec[data.base],"&lt;"&amp;EOMONTH($A89,0)
)</f>
        <v>4114.51</v>
      </c>
      <c r="D89" s="38"/>
      <c r="E89" s="51"/>
      <c r="F89" s="51"/>
      <c r="G89" s="49" t="e">
        <f ca="1">SUMIFS([1]!rec.uni[2028-03-01],
INDIRECT("rec.uni[natureza]"),"taxa.extra",
INDIRECT("rec.uni[empresa]"),G$6)</f>
        <v>#REF!</v>
      </c>
      <c r="H89" s="51"/>
      <c r="I89" s="39"/>
      <c r="J89" s="49">
        <f>SUMIFS([1]!in.rec[total],
[1]!in.rec[natureza],"pro.soluto",
[1]!in.rec[empresa],J$6,
[1]!in.rec[data.base],"&gt;="&amp;$A89,
[1]!in.rec[data.base],"&lt;"&amp;EOMONTH($A89,0)
)</f>
        <v>0</v>
      </c>
      <c r="K89" s="38"/>
      <c r="L89" s="51"/>
      <c r="M89" s="51"/>
      <c r="N89" s="49" t="e">
        <f ca="1">SUMIFS([1]!rec.uni[2028-03-01],
INDIRECT("rec.uni[natureza]"),"taxa.extra",
INDIRECT("rec.uni[empresa]"),N$6)</f>
        <v>#REF!</v>
      </c>
      <c r="O89" s="51"/>
      <c r="P89" s="39"/>
      <c r="Q89" s="49">
        <f>SUMIFS([1]!in.rec[total],
[1]!in.rec[natureza],"pro.soluto",
[1]!in.rec[empresa],Q$6,
[1]!in.rec[data.base],"&gt;="&amp;$A89,
[1]!in.rec[data.base],"&lt;"&amp;EOMONTH($A89,0)
)</f>
        <v>217.19</v>
      </c>
      <c r="R89" s="38"/>
      <c r="S89" s="51"/>
      <c r="T89" s="51"/>
      <c r="U89" s="49" t="e">
        <f ca="1">SUMIFS([1]!rec.uni[2028-03-01],
INDIRECT("rec.uni[natureza]"),"taxa.extra",
INDIRECT("rec.uni[empresa]"),U$6)</f>
        <v>#REF!</v>
      </c>
      <c r="V89" s="51"/>
      <c r="W89" s="39"/>
      <c r="X89" s="49">
        <f>SUMIFS([1]!in.rec[total],
[1]!in.rec[natureza],"pro.soluto",
[1]!in.rec[empresa],X$6,
[1]!in.rec[data.base],"&gt;="&amp;$A89,
[1]!in.rec[data.base],"&lt;"&amp;EOMONTH($A89,0)
)</f>
        <v>181201.33999999997</v>
      </c>
      <c r="Y89" s="49" t="e">
        <f ca="1">SUMIFS([1]!rec.uni[2028-03-01],
INDIRECT("rec.uni[natureza]"),"taxa.extra",
INDIRECT("rec.uni[empresa]"),Y$6)</f>
        <v>#REF!</v>
      </c>
      <c r="Z89" s="51"/>
      <c r="AA89" s="39"/>
      <c r="AB89" s="49">
        <f>SUMIFS([1]!in.rec[total],
[1]!in.rec[natureza],"pro.soluto",
[1]!in.rec[empresa],AB$6,
[1]!in.rec[data.base],"&gt;="&amp;$A89,
[1]!in.rec[data.base],"&lt;"&amp;EOMONTH($A89,0)
)</f>
        <v>0</v>
      </c>
      <c r="AC89" s="51">
        <f>IF(
$A89&lt;=$A$1,
SUMIFS([1]!in.rec[total],
   [1]!in.rec[empresa],AC$6,
   [1]!in.rec[ele],"FIN",
   [1]!in.rec[data.pagamento],"&gt;="&amp;$A89,
   [1]!in.rec[data.pagamento],"&lt;"&amp;$A90
),
SUMIFS([1]!in.rec[total],
   [1]!in.rec[empresa],AC$6,
   [1]!in.rec[ele],"FIN",
   [1]!in.rec[data.vencimento],"&gt;="&amp;$A89,
   [1]!in.rec[data.vencimento],"&lt;"&amp;$A90
)
)</f>
        <v>0</v>
      </c>
      <c r="AD89" s="49" t="e">
        <f ca="1">SUMIFS([1]!rec.uni[2028-03-01],
INDIRECT("rec.uni[natureza]"),"taxa.extra",
INDIRECT("rec.uni[empresa]"),AD$6)</f>
        <v>#REF!</v>
      </c>
      <c r="AE89" s="51"/>
      <c r="AF89" s="48">
        <f>COUNTIFS(
    [1]!estoque[empresa], AF$6,
    [1]!estoque[Data da venda / reserva], "&gt;=" &amp; $A89,
    [1]!estoque[Data da venda / reserva], "&lt;"  &amp; EOMONTH($A89,0) + 1
)</f>
        <v>0</v>
      </c>
      <c r="AG89" s="49">
        <f>SUMIFS([1]!in.rec[total],
[1]!in.rec[natureza],"pro.soluto",
[1]!in.rec[empresa],AG$6,
[1]!in.rec[data.base],"&gt;="&amp;$A89,
[1]!in.rec[data.base],"&lt;"&amp;EOMONTH($A89,0)
)</f>
        <v>714.22</v>
      </c>
      <c r="AH89" s="38"/>
      <c r="AI89" s="51"/>
      <c r="AJ89" s="51"/>
      <c r="AK89" s="49" t="e">
        <f ca="1">SUMIFS([1]!rec.uni[2028-03-01],
INDIRECT("rec.uni[natureza]"),"taxa.extra",
INDIRECT("rec.uni[empresa]"),AK$6)</f>
        <v>#REF!</v>
      </c>
      <c r="AL89" s="51"/>
      <c r="AM89" s="39"/>
      <c r="AN89" s="49">
        <f>SUMIFS([1]!in.rec[total],
[1]!in.rec[natureza],"pro.soluto",
[1]!in.rec[empresa],AN$6,
[1]!in.rec[data.base],"&gt;="&amp;$A89,
[1]!in.rec[data.base],"&lt;"&amp;EOMONTH($A89,0)
)</f>
        <v>306866.09000000003</v>
      </c>
      <c r="AO89" s="49" t="e">
        <f ca="1">SUMIFS([1]!rec.uni[2028-03-01],
INDIRECT("rec.uni[natureza]"),"taxa.extra",
INDIRECT("rec.uni[empresa]"),AO$6)</f>
        <v>#REF!</v>
      </c>
      <c r="AP89" s="51"/>
    </row>
    <row r="90" spans="1:42" x14ac:dyDescent="0.25">
      <c r="A90" s="47">
        <v>46844</v>
      </c>
      <c r="B90" s="39"/>
      <c r="C90" s="49">
        <f>SUMIFS([1]!in.rec[total],
[1]!in.rec[natureza],"pro.soluto",
[1]!in.rec[empresa],C$6,
[1]!in.rec[data.base],"&gt;="&amp;$A90,
[1]!in.rec[data.base],"&lt;"&amp;EOMONTH($A90,0)
)</f>
        <v>4009.39</v>
      </c>
      <c r="D90" s="38"/>
      <c r="E90" s="51"/>
      <c r="F90" s="51"/>
      <c r="G90" s="49" t="e">
        <f ca="1">SUMIFS([1]!rec.uni[2028-04-01],
INDIRECT("rec.uni[natureza]"),"taxa.extra",
INDIRECT("rec.uni[empresa]"),G$6)</f>
        <v>#REF!</v>
      </c>
      <c r="H90" s="51"/>
      <c r="I90" s="39"/>
      <c r="J90" s="49">
        <f>SUMIFS([1]!in.rec[total],
[1]!in.rec[natureza],"pro.soluto",
[1]!in.rec[empresa],J$6,
[1]!in.rec[data.base],"&gt;="&amp;$A90,
[1]!in.rec[data.base],"&lt;"&amp;EOMONTH($A90,0)
)</f>
        <v>0</v>
      </c>
      <c r="K90" s="38"/>
      <c r="L90" s="51"/>
      <c r="M90" s="51"/>
      <c r="N90" s="49" t="e">
        <f ca="1">SUMIFS([1]!rec.uni[2028-04-01],
INDIRECT("rec.uni[natureza]"),"taxa.extra",
INDIRECT("rec.uni[empresa]"),N$6)</f>
        <v>#REF!</v>
      </c>
      <c r="O90" s="51"/>
      <c r="P90" s="39"/>
      <c r="Q90" s="49">
        <f>SUMIFS([1]!in.rec[total],
[1]!in.rec[natureza],"pro.soluto",
[1]!in.rec[empresa],Q$6,
[1]!in.rec[data.base],"&gt;="&amp;$A90,
[1]!in.rec[data.base],"&lt;"&amp;EOMONTH($A90,0)
)</f>
        <v>112.07</v>
      </c>
      <c r="R90" s="38"/>
      <c r="S90" s="51"/>
      <c r="T90" s="51"/>
      <c r="U90" s="49" t="e">
        <f ca="1">SUMIFS([1]!rec.uni[2028-04-01],
INDIRECT("rec.uni[natureza]"),"taxa.extra",
INDIRECT("rec.uni[empresa]"),U$6)</f>
        <v>#REF!</v>
      </c>
      <c r="V90" s="51"/>
      <c r="W90" s="39"/>
      <c r="X90" s="49">
        <f>SUMIFS([1]!in.rec[total],
[1]!in.rec[natureza],"pro.soluto",
[1]!in.rec[empresa],X$6,
[1]!in.rec[data.base],"&gt;="&amp;$A90,
[1]!in.rec[data.base],"&lt;"&amp;EOMONTH($A90,0)
)</f>
        <v>70245.819999999992</v>
      </c>
      <c r="Y90" s="49" t="e">
        <f ca="1">SUMIFS([1]!rec.uni[2028-04-01],
INDIRECT("rec.uni[natureza]"),"taxa.extra",
INDIRECT("rec.uni[empresa]"),Y$6)</f>
        <v>#REF!</v>
      </c>
      <c r="Z90" s="51"/>
      <c r="AA90" s="39"/>
      <c r="AB90" s="49">
        <f>SUMIFS([1]!in.rec[total],
[1]!in.rec[natureza],"pro.soluto",
[1]!in.rec[empresa],AB$6,
[1]!in.rec[data.base],"&gt;="&amp;$A90,
[1]!in.rec[data.base],"&lt;"&amp;EOMONTH($A90,0)
)</f>
        <v>0</v>
      </c>
      <c r="AC90" s="51">
        <f>IF(
$A90&lt;=$A$1,
SUMIFS([1]!in.rec[total],
   [1]!in.rec[empresa],AC$6,
   [1]!in.rec[ele],"FIN",
   [1]!in.rec[data.pagamento],"&gt;="&amp;$A90,
   [1]!in.rec[data.pagamento],"&lt;"&amp;$A91
),
SUMIFS([1]!in.rec[total],
   [1]!in.rec[empresa],AC$6,
   [1]!in.rec[ele],"FIN",
   [1]!in.rec[data.vencimento],"&gt;="&amp;$A90,
   [1]!in.rec[data.vencimento],"&lt;"&amp;$A91
)
)</f>
        <v>0</v>
      </c>
      <c r="AD90" s="49" t="e">
        <f ca="1">SUMIFS([1]!rec.uni[2028-04-01],
INDIRECT("rec.uni[natureza]"),"taxa.extra",
INDIRECT("rec.uni[empresa]"),AD$6)</f>
        <v>#REF!</v>
      </c>
      <c r="AE90" s="51"/>
      <c r="AF90" s="48">
        <f>COUNTIFS(
    [1]!estoque[empresa], AF$6,
    [1]!estoque[Data da venda / reserva], "&gt;=" &amp; $A90,
    [1]!estoque[Data da venda / reserva], "&lt;"  &amp; EOMONTH($A90,0) + 1
)</f>
        <v>0</v>
      </c>
      <c r="AG90" s="49">
        <f>SUMIFS([1]!in.rec[total],
[1]!in.rec[natureza],"pro.soluto",
[1]!in.rec[empresa],AG$6,
[1]!in.rec[data.base],"&gt;="&amp;$A90,
[1]!in.rec[data.base],"&lt;"&amp;EOMONTH($A90,0)
)</f>
        <v>0</v>
      </c>
      <c r="AH90" s="38"/>
      <c r="AI90" s="51"/>
      <c r="AJ90" s="51"/>
      <c r="AK90" s="49" t="e">
        <f ca="1">SUMIFS([1]!rec.uni[2028-04-01],
INDIRECT("rec.uni[natureza]"),"taxa.extra",
INDIRECT("rec.uni[empresa]"),AK$6)</f>
        <v>#REF!</v>
      </c>
      <c r="AL90" s="51"/>
      <c r="AM90" s="39"/>
      <c r="AN90" s="49">
        <f>SUMIFS([1]!in.rec[total],
[1]!in.rec[natureza],"pro.soluto",
[1]!in.rec[empresa],AN$6,
[1]!in.rec[data.base],"&gt;="&amp;$A90,
[1]!in.rec[data.base],"&lt;"&amp;EOMONTH($A90,0)
)</f>
        <v>291953.56000000011</v>
      </c>
      <c r="AO90" s="49" t="e">
        <f ca="1">SUMIFS([1]!rec.uni[2028-04-01],
INDIRECT("rec.uni[natureza]"),"taxa.extra",
INDIRECT("rec.uni[empresa]"),AO$6)</f>
        <v>#REF!</v>
      </c>
      <c r="AP90" s="51"/>
    </row>
    <row r="91" spans="1:42" x14ac:dyDescent="0.25">
      <c r="A91" s="47">
        <v>46874</v>
      </c>
      <c r="B91" s="39"/>
      <c r="C91" s="49">
        <f>SUMIFS([1]!in.rec[total],
[1]!in.rec[natureza],"pro.soluto",
[1]!in.rec[empresa],C$6,
[1]!in.rec[data.base],"&gt;="&amp;$A91,
[1]!in.rec[data.base],"&lt;"&amp;EOMONTH($A91,0)
)</f>
        <v>4353.3899999999994</v>
      </c>
      <c r="D91" s="38"/>
      <c r="E91" s="51"/>
      <c r="F91" s="51"/>
      <c r="G91" s="49" t="e">
        <f ca="1">SUMIFS([1]!rec.uni[2028-05-01],
INDIRECT("rec.uni[natureza]"),"taxa.extra",
INDIRECT("rec.uni[empresa]"),G$6)</f>
        <v>#REF!</v>
      </c>
      <c r="H91" s="51"/>
      <c r="I91" s="39"/>
      <c r="J91" s="49">
        <f>SUMIFS([1]!in.rec[total],
[1]!in.rec[natureza],"pro.soluto",
[1]!in.rec[empresa],J$6,
[1]!in.rec[data.base],"&gt;="&amp;$A91,
[1]!in.rec[data.base],"&lt;"&amp;EOMONTH($A91,0)
)</f>
        <v>0</v>
      </c>
      <c r="K91" s="38"/>
      <c r="L91" s="51"/>
      <c r="M91" s="51"/>
      <c r="N91" s="49" t="e">
        <f ca="1">SUMIFS([1]!rec.uni[2028-05-01],
INDIRECT("rec.uni[natureza]"),"taxa.extra",
INDIRECT("rec.uni[empresa]"),N$6)</f>
        <v>#REF!</v>
      </c>
      <c r="O91" s="51"/>
      <c r="P91" s="39"/>
      <c r="Q91" s="49">
        <f>SUMIFS([1]!in.rec[total],
[1]!in.rec[natureza],"pro.soluto",
[1]!in.rec[empresa],Q$6,
[1]!in.rec[data.base],"&gt;="&amp;$A91,
[1]!in.rec[data.base],"&lt;"&amp;EOMONTH($A91,0)
)</f>
        <v>112.01</v>
      </c>
      <c r="R91" s="38"/>
      <c r="S91" s="51"/>
      <c r="T91" s="51"/>
      <c r="U91" s="49" t="e">
        <f ca="1">SUMIFS([1]!rec.uni[2028-05-01],
INDIRECT("rec.uni[natureza]"),"taxa.extra",
INDIRECT("rec.uni[empresa]"),U$6)</f>
        <v>#REF!</v>
      </c>
      <c r="V91" s="51"/>
      <c r="W91" s="39"/>
      <c r="X91" s="49">
        <f>SUMIFS([1]!in.rec[total],
[1]!in.rec[natureza],"pro.soluto",
[1]!in.rec[empresa],X$6,
[1]!in.rec[data.base],"&gt;="&amp;$A91,
[1]!in.rec[data.base],"&lt;"&amp;EOMONTH($A91,0)
)</f>
        <v>18090.830000000002</v>
      </c>
      <c r="Y91" s="49" t="e">
        <f ca="1">SUMIFS([1]!rec.uni[2028-05-01],
INDIRECT("rec.uni[natureza]"),"taxa.extra",
INDIRECT("rec.uni[empresa]"),Y$6)</f>
        <v>#REF!</v>
      </c>
      <c r="Z91" s="51"/>
      <c r="AA91" s="39"/>
      <c r="AB91" s="49">
        <f>SUMIFS([1]!in.rec[total],
[1]!in.rec[natureza],"pro.soluto",
[1]!in.rec[empresa],AB$6,
[1]!in.rec[data.base],"&gt;="&amp;$A91,
[1]!in.rec[data.base],"&lt;"&amp;EOMONTH($A91,0)
)</f>
        <v>0</v>
      </c>
      <c r="AC91" s="51">
        <f>IF(
$A91&lt;=$A$1,
SUMIFS([1]!in.rec[total],
   [1]!in.rec[empresa],AC$6,
   [1]!in.rec[ele],"FIN",
   [1]!in.rec[data.pagamento],"&gt;="&amp;$A91,
   [1]!in.rec[data.pagamento],"&lt;"&amp;$A92
),
SUMIFS([1]!in.rec[total],
   [1]!in.rec[empresa],AC$6,
   [1]!in.rec[ele],"FIN",
   [1]!in.rec[data.vencimento],"&gt;="&amp;$A91,
   [1]!in.rec[data.vencimento],"&lt;"&amp;$A92
)
)</f>
        <v>0</v>
      </c>
      <c r="AD91" s="49" t="e">
        <f ca="1">SUMIFS([1]!rec.uni[2028-05-01],
INDIRECT("rec.uni[natureza]"),"taxa.extra",
INDIRECT("rec.uni[empresa]"),AD$6)</f>
        <v>#REF!</v>
      </c>
      <c r="AE91" s="51"/>
      <c r="AF91" s="48">
        <f>COUNTIFS(
    [1]!estoque[empresa], AF$6,
    [1]!estoque[Data da venda / reserva], "&gt;=" &amp; $A91,
    [1]!estoque[Data da venda / reserva], "&lt;"  &amp; EOMONTH($A91,0) + 1
)</f>
        <v>0</v>
      </c>
      <c r="AG91" s="49">
        <f>SUMIFS([1]!in.rec[total],
[1]!in.rec[natureza],"pro.soluto",
[1]!in.rec[empresa],AG$6,
[1]!in.rec[data.base],"&gt;="&amp;$A91,
[1]!in.rec[data.base],"&lt;"&amp;EOMONTH($A91,0)
)</f>
        <v>205.8</v>
      </c>
      <c r="AH91" s="38"/>
      <c r="AI91" s="51"/>
      <c r="AJ91" s="51"/>
      <c r="AK91" s="49" t="e">
        <f ca="1">SUMIFS([1]!rec.uni[2028-05-01],
INDIRECT("rec.uni[natureza]"),"taxa.extra",
INDIRECT("rec.uni[empresa]"),AK$6)</f>
        <v>#REF!</v>
      </c>
      <c r="AL91" s="51"/>
      <c r="AM91" s="39"/>
      <c r="AN91" s="49">
        <f>SUMIFS([1]!in.rec[total],
[1]!in.rec[natureza],"pro.soluto",
[1]!in.rec[empresa],AN$6,
[1]!in.rec[data.base],"&gt;="&amp;$A91,
[1]!in.rec[data.base],"&lt;"&amp;EOMONTH($A91,0)
)</f>
        <v>671841.6599999998</v>
      </c>
      <c r="AO91" s="49" t="e">
        <f ca="1">SUMIFS([1]!rec.uni[2028-05-01],
INDIRECT("rec.uni[natureza]"),"taxa.extra",
INDIRECT("rec.uni[empresa]"),AO$6)</f>
        <v>#REF!</v>
      </c>
      <c r="AP91" s="51"/>
    </row>
    <row r="92" spans="1:42" x14ac:dyDescent="0.25">
      <c r="A92" s="47">
        <v>46905</v>
      </c>
      <c r="B92" s="39"/>
      <c r="C92" s="49">
        <f>SUMIFS([1]!in.rec[total],
[1]!in.rec[natureza],"pro.soluto",
[1]!in.rec[empresa],C$6,
[1]!in.rec[data.base],"&gt;="&amp;$A92,
[1]!in.rec[data.base],"&lt;"&amp;EOMONTH($A92,0)
)</f>
        <v>4009.39</v>
      </c>
      <c r="D92" s="38"/>
      <c r="E92" s="51"/>
      <c r="F92" s="51"/>
      <c r="G92" s="49" t="e">
        <f ca="1">SUMIFS([1]!rec.uni[2028-06-01],
INDIRECT("rec.uni[natureza]"),"taxa.extra",
INDIRECT("rec.uni[empresa]"),G$6)</f>
        <v>#REF!</v>
      </c>
      <c r="H92" s="51"/>
      <c r="I92" s="39"/>
      <c r="J92" s="49">
        <f>SUMIFS([1]!in.rec[total],
[1]!in.rec[natureza],"pro.soluto",
[1]!in.rec[empresa],J$6,
[1]!in.rec[data.base],"&gt;="&amp;$A92,
[1]!in.rec[data.base],"&lt;"&amp;EOMONTH($A92,0)
)</f>
        <v>0</v>
      </c>
      <c r="K92" s="38"/>
      <c r="L92" s="51"/>
      <c r="M92" s="51"/>
      <c r="N92" s="49" t="e">
        <f ca="1">SUMIFS([1]!rec.uni[2028-06-01],
INDIRECT("rec.uni[natureza]"),"taxa.extra",
INDIRECT("rec.uni[empresa]"),N$6)</f>
        <v>#REF!</v>
      </c>
      <c r="O92" s="51"/>
      <c r="P92" s="39"/>
      <c r="Q92" s="49">
        <f>SUMIFS([1]!in.rec[total],
[1]!in.rec[natureza],"pro.soluto",
[1]!in.rec[empresa],Q$6,
[1]!in.rec[data.base],"&gt;="&amp;$A92,
[1]!in.rec[data.base],"&lt;"&amp;EOMONTH($A92,0)
)</f>
        <v>1237.1699999999998</v>
      </c>
      <c r="R92" s="38"/>
      <c r="S92" s="51"/>
      <c r="T92" s="51"/>
      <c r="U92" s="49" t="e">
        <f ca="1">SUMIFS([1]!rec.uni[2028-06-01],
INDIRECT("rec.uni[natureza]"),"taxa.extra",
INDIRECT("rec.uni[empresa]"),U$6)</f>
        <v>#REF!</v>
      </c>
      <c r="V92" s="51"/>
      <c r="W92" s="39"/>
      <c r="X92" s="49">
        <f>SUMIFS([1]!in.rec[total],
[1]!in.rec[natureza],"pro.soluto",
[1]!in.rec[empresa],X$6,
[1]!in.rec[data.base],"&gt;="&amp;$A92,
[1]!in.rec[data.base],"&lt;"&amp;EOMONTH($A92,0)
)</f>
        <v>70653.61</v>
      </c>
      <c r="Y92" s="49" t="e">
        <f ca="1">SUMIFS([1]!rec.uni[2028-06-01],
INDIRECT("rec.uni[natureza]"),"taxa.extra",
INDIRECT("rec.uni[empresa]"),Y$6)</f>
        <v>#REF!</v>
      </c>
      <c r="Z92" s="51"/>
      <c r="AA92" s="39"/>
      <c r="AB92" s="49">
        <f>SUMIFS([1]!in.rec[total],
[1]!in.rec[natureza],"pro.soluto",
[1]!in.rec[empresa],AB$6,
[1]!in.rec[data.base],"&gt;="&amp;$A92,
[1]!in.rec[data.base],"&lt;"&amp;EOMONTH($A92,0)
)</f>
        <v>0</v>
      </c>
      <c r="AC92" s="51">
        <f>IF(
$A92&lt;=$A$1,
SUMIFS([1]!in.rec[total],
   [1]!in.rec[empresa],AC$6,
   [1]!in.rec[ele],"FIN",
   [1]!in.rec[data.pagamento],"&gt;="&amp;$A92,
   [1]!in.rec[data.pagamento],"&lt;"&amp;$A93
),
SUMIFS([1]!in.rec[total],
   [1]!in.rec[empresa],AC$6,
   [1]!in.rec[ele],"FIN",
   [1]!in.rec[data.vencimento],"&gt;="&amp;$A92,
   [1]!in.rec[data.vencimento],"&lt;"&amp;$A93
)
)</f>
        <v>0</v>
      </c>
      <c r="AD92" s="49" t="e">
        <f ca="1">SUMIFS([1]!rec.uni[2028-06-01],
INDIRECT("rec.uni[natureza]"),"taxa.extra",
INDIRECT("rec.uni[empresa]"),AD$6)</f>
        <v>#REF!</v>
      </c>
      <c r="AE92" s="51"/>
      <c r="AF92" s="48">
        <f>COUNTIFS(
    [1]!estoque[empresa], AF$6,
    [1]!estoque[Data da venda / reserva], "&gt;=" &amp; $A92,
    [1]!estoque[Data da venda / reserva], "&lt;"  &amp; EOMONTH($A92,0) + 1
)</f>
        <v>0</v>
      </c>
      <c r="AG92" s="49">
        <f>SUMIFS([1]!in.rec[total],
[1]!in.rec[natureza],"pro.soluto",
[1]!in.rec[empresa],AG$6,
[1]!in.rec[data.base],"&gt;="&amp;$A92,
[1]!in.rec[data.base],"&lt;"&amp;EOMONTH($A92,0)
)</f>
        <v>0</v>
      </c>
      <c r="AH92" s="38"/>
      <c r="AI92" s="51"/>
      <c r="AJ92" s="51"/>
      <c r="AK92" s="49" t="e">
        <f ca="1">SUMIFS([1]!rec.uni[2028-06-01],
INDIRECT("rec.uni[natureza]"),"taxa.extra",
INDIRECT("rec.uni[empresa]"),AK$6)</f>
        <v>#REF!</v>
      </c>
      <c r="AL92" s="51"/>
      <c r="AM92" s="39"/>
      <c r="AN92" s="49">
        <f>SUMIFS([1]!in.rec[total],
[1]!in.rec[natureza],"pro.soluto",
[1]!in.rec[empresa],AN$6,
[1]!in.rec[data.base],"&gt;="&amp;$A92,
[1]!in.rec[data.base],"&lt;"&amp;EOMONTH($A92,0)
)</f>
        <v>402520.93999999959</v>
      </c>
      <c r="AO92" s="49" t="e">
        <f ca="1">SUMIFS([1]!rec.uni[2028-06-01],
INDIRECT("rec.uni[natureza]"),"taxa.extra",
INDIRECT("rec.uni[empresa]"),AO$6)</f>
        <v>#REF!</v>
      </c>
      <c r="AP92" s="51"/>
    </row>
    <row r="93" spans="1:42" x14ac:dyDescent="0.25">
      <c r="A93" s="47">
        <v>46935</v>
      </c>
      <c r="B93" s="39"/>
      <c r="C93" s="49">
        <f>SUMIFS([1]!in.rec[total],
[1]!in.rec[natureza],"pro.soluto",
[1]!in.rec[empresa],C$6,
[1]!in.rec[data.base],"&gt;="&amp;$A93,
[1]!in.rec[data.base],"&lt;"&amp;EOMONTH($A93,0)
)</f>
        <v>4009.39</v>
      </c>
      <c r="D93" s="38"/>
      <c r="E93" s="51"/>
      <c r="F93" s="51"/>
      <c r="G93" s="49" t="e">
        <f ca="1">SUMIFS([1]!rec.uni[2028-07-01],
INDIRECT("rec.uni[natureza]"),"taxa.extra",
INDIRECT("rec.uni[empresa]"),G$6)</f>
        <v>#REF!</v>
      </c>
      <c r="H93" s="51"/>
      <c r="I93" s="39"/>
      <c r="J93" s="49">
        <f>SUMIFS([1]!in.rec[total],
[1]!in.rec[natureza],"pro.soluto",
[1]!in.rec[empresa],J$6,
[1]!in.rec[data.base],"&gt;="&amp;$A93,
[1]!in.rec[data.base],"&lt;"&amp;EOMONTH($A93,0)
)</f>
        <v>0</v>
      </c>
      <c r="K93" s="38"/>
      <c r="L93" s="51"/>
      <c r="M93" s="51"/>
      <c r="N93" s="49" t="e">
        <f ca="1">SUMIFS([1]!rec.uni[2028-07-01],
INDIRECT("rec.uni[natureza]"),"taxa.extra",
INDIRECT("rec.uni[empresa]"),N$6)</f>
        <v>#REF!</v>
      </c>
      <c r="O93" s="51"/>
      <c r="P93" s="39"/>
      <c r="Q93" s="49">
        <f>SUMIFS([1]!in.rec[total],
[1]!in.rec[natureza],"pro.soluto",
[1]!in.rec[empresa],Q$6,
[1]!in.rec[data.base],"&gt;="&amp;$A93,
[1]!in.rec[data.base],"&lt;"&amp;EOMONTH($A93,0)
)</f>
        <v>1078.98</v>
      </c>
      <c r="R93" s="38"/>
      <c r="S93" s="51"/>
      <c r="T93" s="51"/>
      <c r="U93" s="49" t="e">
        <f ca="1">SUMIFS([1]!rec.uni[2028-07-01],
INDIRECT("rec.uni[natureza]"),"taxa.extra",
INDIRECT("rec.uni[empresa]"),U$6)</f>
        <v>#REF!</v>
      </c>
      <c r="V93" s="51"/>
      <c r="W93" s="39"/>
      <c r="X93" s="49">
        <f>SUMIFS([1]!in.rec[total],
[1]!in.rec[natureza],"pro.soluto",
[1]!in.rec[empresa],X$6,
[1]!in.rec[data.base],"&gt;="&amp;$A93,
[1]!in.rec[data.base],"&lt;"&amp;EOMONTH($A93,0)
)</f>
        <v>119336.9999999999</v>
      </c>
      <c r="Y93" s="49" t="e">
        <f ca="1">SUMIFS([1]!rec.uni[2028-07-01],
INDIRECT("rec.uni[natureza]"),"taxa.extra",
INDIRECT("rec.uni[empresa]"),Y$6)</f>
        <v>#REF!</v>
      </c>
      <c r="Z93" s="51"/>
      <c r="AA93" s="39"/>
      <c r="AB93" s="49">
        <f>SUMIFS([1]!in.rec[total],
[1]!in.rec[natureza],"pro.soluto",
[1]!in.rec[empresa],AB$6,
[1]!in.rec[data.base],"&gt;="&amp;$A93,
[1]!in.rec[data.base],"&lt;"&amp;EOMONTH($A93,0)
)</f>
        <v>0</v>
      </c>
      <c r="AC93" s="51">
        <f>IF(
$A93&lt;=$A$1,
SUMIFS([1]!in.rec[total],
   [1]!in.rec[empresa],AC$6,
   [1]!in.rec[ele],"FIN",
   [1]!in.rec[data.pagamento],"&gt;="&amp;$A93,
   [1]!in.rec[data.pagamento],"&lt;"&amp;$A94
),
SUMIFS([1]!in.rec[total],
   [1]!in.rec[empresa],AC$6,
   [1]!in.rec[ele],"FIN",
   [1]!in.rec[data.vencimento],"&gt;="&amp;$A93,
   [1]!in.rec[data.vencimento],"&lt;"&amp;$A94
)
)</f>
        <v>0</v>
      </c>
      <c r="AD93" s="49" t="e">
        <f ca="1">SUMIFS([1]!rec.uni[2028-07-01],
INDIRECT("rec.uni[natureza]"),"taxa.extra",
INDIRECT("rec.uni[empresa]"),AD$6)</f>
        <v>#REF!</v>
      </c>
      <c r="AE93" s="51"/>
      <c r="AF93" s="48">
        <f>COUNTIFS(
    [1]!estoque[empresa], AF$6,
    [1]!estoque[Data da venda / reserva], "&gt;=" &amp; $A93,
    [1]!estoque[Data da venda / reserva], "&lt;"  &amp; EOMONTH($A93,0) + 1
)</f>
        <v>0</v>
      </c>
      <c r="AG93" s="49">
        <f>SUMIFS([1]!in.rec[total],
[1]!in.rec[natureza],"pro.soluto",
[1]!in.rec[empresa],AG$6,
[1]!in.rec[data.base],"&gt;="&amp;$A93,
[1]!in.rec[data.base],"&lt;"&amp;EOMONTH($A93,0)
)</f>
        <v>0</v>
      </c>
      <c r="AH93" s="38"/>
      <c r="AI93" s="51"/>
      <c r="AJ93" s="51"/>
      <c r="AK93" s="49" t="e">
        <f ca="1">SUMIFS([1]!rec.uni[2028-07-01],
INDIRECT("rec.uni[natureza]"),"taxa.extra",
INDIRECT("rec.uni[empresa]"),AK$6)</f>
        <v>#REF!</v>
      </c>
      <c r="AL93" s="51"/>
      <c r="AM93" s="39"/>
      <c r="AN93" s="49">
        <f>SUMIFS([1]!in.rec[total],
[1]!in.rec[natureza],"pro.soluto",
[1]!in.rec[empresa],AN$6,
[1]!in.rec[data.base],"&gt;="&amp;$A93,
[1]!in.rec[data.base],"&lt;"&amp;EOMONTH($A93,0)
)</f>
        <v>826465.13999999966</v>
      </c>
      <c r="AO93" s="49" t="e">
        <f ca="1">SUMIFS([1]!rec.uni[2028-07-01],
INDIRECT("rec.uni[natureza]"),"taxa.extra",
INDIRECT("rec.uni[empresa]"),AO$6)</f>
        <v>#REF!</v>
      </c>
      <c r="AP93" s="51"/>
    </row>
    <row r="94" spans="1:42" x14ac:dyDescent="0.25">
      <c r="A94" s="47">
        <v>46966</v>
      </c>
      <c r="B94" s="39"/>
      <c r="C94" s="49">
        <f>SUMIFS([1]!in.rec[total],
[1]!in.rec[natureza],"pro.soluto",
[1]!in.rec[empresa],C$6,
[1]!in.rec[data.base],"&gt;="&amp;$A94,
[1]!in.rec[data.base],"&lt;"&amp;EOMONTH($A94,0)
)</f>
        <v>4009.39</v>
      </c>
      <c r="D94" s="38"/>
      <c r="E94" s="51"/>
      <c r="F94" s="51"/>
      <c r="G94" s="49" t="e">
        <f ca="1">SUMIFS([1]!rec.uni[2028-08-01],
INDIRECT("rec.uni[natureza]"),"taxa.extra",
INDIRECT("rec.uni[empresa]"),G$6)</f>
        <v>#REF!</v>
      </c>
      <c r="H94" s="51"/>
      <c r="I94" s="39"/>
      <c r="J94" s="49">
        <f>SUMIFS([1]!in.rec[total],
[1]!in.rec[natureza],"pro.soluto",
[1]!in.rec[empresa],J$6,
[1]!in.rec[data.base],"&gt;="&amp;$A94,
[1]!in.rec[data.base],"&lt;"&amp;EOMONTH($A94,0)
)</f>
        <v>0</v>
      </c>
      <c r="K94" s="38"/>
      <c r="L94" s="51"/>
      <c r="M94" s="51"/>
      <c r="N94" s="49" t="e">
        <f ca="1">SUMIFS([1]!rec.uni[2028-08-01],
INDIRECT("rec.uni[natureza]"),"taxa.extra",
INDIRECT("rec.uni[empresa]"),N$6)</f>
        <v>#REF!</v>
      </c>
      <c r="O94" s="51"/>
      <c r="P94" s="39"/>
      <c r="Q94" s="49">
        <f>SUMIFS([1]!in.rec[total],
[1]!in.rec[natureza],"pro.soluto",
[1]!in.rec[empresa],Q$6,
[1]!in.rec[data.base],"&gt;="&amp;$A94,
[1]!in.rec[data.base],"&lt;"&amp;EOMONTH($A94,0)
)</f>
        <v>0</v>
      </c>
      <c r="R94" s="38"/>
      <c r="S94" s="51"/>
      <c r="T94" s="51"/>
      <c r="U94" s="49" t="e">
        <f ca="1">SUMIFS([1]!rec.uni[2028-08-01],
INDIRECT("rec.uni[natureza]"),"taxa.extra",
INDIRECT("rec.uni[empresa]"),U$6)</f>
        <v>#REF!</v>
      </c>
      <c r="V94" s="51"/>
      <c r="W94" s="39"/>
      <c r="X94" s="49">
        <f>SUMIFS([1]!in.rec[total],
[1]!in.rec[natureza],"pro.soluto",
[1]!in.rec[empresa],X$6,
[1]!in.rec[data.base],"&gt;="&amp;$A94,
[1]!in.rec[data.base],"&lt;"&amp;EOMONTH($A94,0)
)</f>
        <v>13564.69</v>
      </c>
      <c r="Y94" s="49" t="e">
        <f ca="1">SUMIFS([1]!rec.uni[2028-08-01],
INDIRECT("rec.uni[natureza]"),"taxa.extra",
INDIRECT("rec.uni[empresa]"),Y$6)</f>
        <v>#REF!</v>
      </c>
      <c r="Z94" s="51"/>
      <c r="AA94" s="39"/>
      <c r="AB94" s="49">
        <f>SUMIFS([1]!in.rec[total],
[1]!in.rec[natureza],"pro.soluto",
[1]!in.rec[empresa],AB$6,
[1]!in.rec[data.base],"&gt;="&amp;$A94,
[1]!in.rec[data.base],"&lt;"&amp;EOMONTH($A94,0)
)</f>
        <v>0</v>
      </c>
      <c r="AC94" s="51">
        <f>IF(
$A94&lt;=$A$1,
SUMIFS([1]!in.rec[total],
   [1]!in.rec[empresa],AC$6,
   [1]!in.rec[ele],"FIN",
   [1]!in.rec[data.pagamento],"&gt;="&amp;$A94,
   [1]!in.rec[data.pagamento],"&lt;"&amp;$A95
),
SUMIFS([1]!in.rec[total],
   [1]!in.rec[empresa],AC$6,
   [1]!in.rec[ele],"FIN",
   [1]!in.rec[data.vencimento],"&gt;="&amp;$A94,
   [1]!in.rec[data.vencimento],"&lt;"&amp;$A95
)
)</f>
        <v>0</v>
      </c>
      <c r="AD94" s="49" t="e">
        <f ca="1">SUMIFS([1]!rec.uni[2028-08-01],
INDIRECT("rec.uni[natureza]"),"taxa.extra",
INDIRECT("rec.uni[empresa]"),AD$6)</f>
        <v>#REF!</v>
      </c>
      <c r="AE94" s="51"/>
      <c r="AF94" s="48">
        <f>COUNTIFS(
    [1]!estoque[empresa], AF$6,
    [1]!estoque[Data da venda / reserva], "&gt;=" &amp; $A94,
    [1]!estoque[Data da venda / reserva], "&lt;"  &amp; EOMONTH($A94,0) + 1
)</f>
        <v>0</v>
      </c>
      <c r="AG94" s="49">
        <f>SUMIFS([1]!in.rec[total],
[1]!in.rec[natureza],"pro.soluto",
[1]!in.rec[empresa],AG$6,
[1]!in.rec[data.base],"&gt;="&amp;$A94,
[1]!in.rec[data.base],"&lt;"&amp;EOMONTH($A94,0)
)</f>
        <v>0</v>
      </c>
      <c r="AH94" s="38"/>
      <c r="AI94" s="51"/>
      <c r="AJ94" s="51"/>
      <c r="AK94" s="49" t="e">
        <f ca="1">SUMIFS([1]!rec.uni[2028-08-01],
INDIRECT("rec.uni[natureza]"),"taxa.extra",
INDIRECT("rec.uni[empresa]"),AK$6)</f>
        <v>#REF!</v>
      </c>
      <c r="AL94" s="51"/>
      <c r="AM94" s="39"/>
      <c r="AN94" s="49">
        <f>SUMIFS([1]!in.rec[total],
[1]!in.rec[natureza],"pro.soluto",
[1]!in.rec[empresa],AN$6,
[1]!in.rec[data.base],"&gt;="&amp;$A94,
[1]!in.rec[data.base],"&lt;"&amp;EOMONTH($A94,0)
)</f>
        <v>287188.9600000002</v>
      </c>
      <c r="AO94" s="49" t="e">
        <f ca="1">SUMIFS([1]!rec.uni[2028-08-01],
INDIRECT("rec.uni[natureza]"),"taxa.extra",
INDIRECT("rec.uni[empresa]"),AO$6)</f>
        <v>#REF!</v>
      </c>
      <c r="AP94" s="51"/>
    </row>
    <row r="95" spans="1:42" x14ac:dyDescent="0.25">
      <c r="A95" s="47">
        <v>46997</v>
      </c>
      <c r="B95" s="39"/>
      <c r="C95" s="49">
        <f>SUMIFS([1]!in.rec[total],
[1]!in.rec[natureza],"pro.soluto",
[1]!in.rec[empresa],C$6,
[1]!in.rec[data.base],"&gt;="&amp;$A95,
[1]!in.rec[data.base],"&lt;"&amp;EOMONTH($A95,0)
)</f>
        <v>4009.39</v>
      </c>
      <c r="D95" s="38"/>
      <c r="E95" s="51"/>
      <c r="F95" s="51"/>
      <c r="G95" s="49" t="e">
        <f ca="1">SUMIFS([1]!rec.uni[2028-09-01],
INDIRECT("rec.uni[natureza]"),"taxa.extra",
INDIRECT("rec.uni[empresa]"),G$6)</f>
        <v>#REF!</v>
      </c>
      <c r="H95" s="51"/>
      <c r="I95" s="39"/>
      <c r="J95" s="49">
        <f>SUMIFS([1]!in.rec[total],
[1]!in.rec[natureza],"pro.soluto",
[1]!in.rec[empresa],J$6,
[1]!in.rec[data.base],"&gt;="&amp;$A95,
[1]!in.rec[data.base],"&lt;"&amp;EOMONTH($A95,0)
)</f>
        <v>0</v>
      </c>
      <c r="K95" s="38"/>
      <c r="L95" s="51"/>
      <c r="M95" s="51"/>
      <c r="N95" s="49" t="e">
        <f ca="1">SUMIFS([1]!rec.uni[2028-09-01],
INDIRECT("rec.uni[natureza]"),"taxa.extra",
INDIRECT("rec.uni[empresa]"),N$6)</f>
        <v>#REF!</v>
      </c>
      <c r="O95" s="51"/>
      <c r="P95" s="39"/>
      <c r="Q95" s="49">
        <f>SUMIFS([1]!in.rec[total],
[1]!in.rec[natureza],"pro.soluto",
[1]!in.rec[empresa],Q$6,
[1]!in.rec[data.base],"&gt;="&amp;$A95,
[1]!in.rec[data.base],"&lt;"&amp;EOMONTH($A95,0)
)</f>
        <v>679.75</v>
      </c>
      <c r="R95" s="38"/>
      <c r="S95" s="51"/>
      <c r="T95" s="51"/>
      <c r="U95" s="49" t="e">
        <f ca="1">SUMIFS([1]!rec.uni[2028-09-01],
INDIRECT("rec.uni[natureza]"),"taxa.extra",
INDIRECT("rec.uni[empresa]"),U$6)</f>
        <v>#REF!</v>
      </c>
      <c r="V95" s="51"/>
      <c r="W95" s="39"/>
      <c r="X95" s="49">
        <f>SUMIFS([1]!in.rec[total],
[1]!in.rec[natureza],"pro.soluto",
[1]!in.rec[empresa],X$6,
[1]!in.rec[data.base],"&gt;="&amp;$A95,
[1]!in.rec[data.base],"&lt;"&amp;EOMONTH($A95,0)
)</f>
        <v>12668.15</v>
      </c>
      <c r="Y95" s="49" t="e">
        <f ca="1">SUMIFS([1]!rec.uni[2028-09-01],
INDIRECT("rec.uni[natureza]"),"taxa.extra",
INDIRECT("rec.uni[empresa]"),Y$6)</f>
        <v>#REF!</v>
      </c>
      <c r="Z95" s="51"/>
      <c r="AA95" s="39"/>
      <c r="AB95" s="49">
        <f>SUMIFS([1]!in.rec[total],
[1]!in.rec[natureza],"pro.soluto",
[1]!in.rec[empresa],AB$6,
[1]!in.rec[data.base],"&gt;="&amp;$A95,
[1]!in.rec[data.base],"&lt;"&amp;EOMONTH($A95,0)
)</f>
        <v>0</v>
      </c>
      <c r="AC95" s="51">
        <f>IF(
$A95&lt;=$A$1,
SUMIFS([1]!in.rec[total],
   [1]!in.rec[empresa],AC$6,
   [1]!in.rec[ele],"FIN",
   [1]!in.rec[data.pagamento],"&gt;="&amp;$A95,
   [1]!in.rec[data.pagamento],"&lt;"&amp;$A96
),
SUMIFS([1]!in.rec[total],
   [1]!in.rec[empresa],AC$6,
   [1]!in.rec[ele],"FIN",
   [1]!in.rec[data.vencimento],"&gt;="&amp;$A95,
   [1]!in.rec[data.vencimento],"&lt;"&amp;$A96
)
)</f>
        <v>0</v>
      </c>
      <c r="AD95" s="49" t="e">
        <f ca="1">SUMIFS([1]!rec.uni[2028-09-01],
INDIRECT("rec.uni[natureza]"),"taxa.extra",
INDIRECT("rec.uni[empresa]"),AD$6)</f>
        <v>#REF!</v>
      </c>
      <c r="AE95" s="51"/>
      <c r="AF95" s="48">
        <f>COUNTIFS(
    [1]!estoque[empresa], AF$6,
    [1]!estoque[Data da venda / reserva], "&gt;=" &amp; $A95,
    [1]!estoque[Data da venda / reserva], "&lt;"  &amp; EOMONTH($A95,0) + 1
)</f>
        <v>0</v>
      </c>
      <c r="AG95" s="49">
        <f>SUMIFS([1]!in.rec[total],
[1]!in.rec[natureza],"pro.soluto",
[1]!in.rec[empresa],AG$6,
[1]!in.rec[data.base],"&gt;="&amp;$A95,
[1]!in.rec[data.base],"&lt;"&amp;EOMONTH($A95,0)
)</f>
        <v>0</v>
      </c>
      <c r="AH95" s="38"/>
      <c r="AI95" s="51"/>
      <c r="AJ95" s="51"/>
      <c r="AK95" s="49" t="e">
        <f ca="1">SUMIFS([1]!rec.uni[2028-09-01],
INDIRECT("rec.uni[natureza]"),"taxa.extra",
INDIRECT("rec.uni[empresa]"),AK$6)</f>
        <v>#REF!</v>
      </c>
      <c r="AL95" s="51"/>
      <c r="AM95" s="39"/>
      <c r="AN95" s="49">
        <f>SUMIFS([1]!in.rec[total],
[1]!in.rec[natureza],"pro.soluto",
[1]!in.rec[empresa],AN$6,
[1]!in.rec[data.base],"&gt;="&amp;$A95,
[1]!in.rec[data.base],"&lt;"&amp;EOMONTH($A95,0)
)</f>
        <v>284387.82000000024</v>
      </c>
      <c r="AO95" s="49" t="e">
        <f ca="1">SUMIFS([1]!rec.uni[2028-09-01],
INDIRECT("rec.uni[natureza]"),"taxa.extra",
INDIRECT("rec.uni[empresa]"),AO$6)</f>
        <v>#REF!</v>
      </c>
      <c r="AP95" s="51"/>
    </row>
    <row r="96" spans="1:42" x14ac:dyDescent="0.25">
      <c r="A96" s="47">
        <v>47027</v>
      </c>
      <c r="B96" s="39"/>
      <c r="C96" s="49">
        <f>SUMIFS([1]!in.rec[total],
[1]!in.rec[natureza],"pro.soluto",
[1]!in.rec[empresa],C$6,
[1]!in.rec[data.base],"&gt;="&amp;$A96,
[1]!in.rec[data.base],"&lt;"&amp;EOMONTH($A96,0)
)</f>
        <v>4009.39</v>
      </c>
      <c r="D96" s="38"/>
      <c r="E96" s="51"/>
      <c r="F96" s="51"/>
      <c r="G96" s="49" t="e">
        <f ca="1">SUMIFS([1]!rec.uni[2028-10-01],
INDIRECT("rec.uni[natureza]"),"taxa.extra",
INDIRECT("rec.uni[empresa]"),G$6)</f>
        <v>#REF!</v>
      </c>
      <c r="H96" s="51"/>
      <c r="I96" s="39"/>
      <c r="J96" s="49">
        <f>SUMIFS([1]!in.rec[total],
[1]!in.rec[natureza],"pro.soluto",
[1]!in.rec[empresa],J$6,
[1]!in.rec[data.base],"&gt;="&amp;$A96,
[1]!in.rec[data.base],"&lt;"&amp;EOMONTH($A96,0)
)</f>
        <v>0</v>
      </c>
      <c r="K96" s="38"/>
      <c r="L96" s="51"/>
      <c r="M96" s="51"/>
      <c r="N96" s="49" t="e">
        <f ca="1">SUMIFS([1]!rec.uni[2028-10-01],
INDIRECT("rec.uni[natureza]"),"taxa.extra",
INDIRECT("rec.uni[empresa]"),N$6)</f>
        <v>#REF!</v>
      </c>
      <c r="O96" s="51"/>
      <c r="P96" s="39"/>
      <c r="Q96" s="49">
        <f>SUMIFS([1]!in.rec[total],
[1]!in.rec[natureza],"pro.soluto",
[1]!in.rec[empresa],Q$6,
[1]!in.rec[data.base],"&gt;="&amp;$A96,
[1]!in.rec[data.base],"&lt;"&amp;EOMONTH($A96,0)
)</f>
        <v>100.69</v>
      </c>
      <c r="R96" s="38"/>
      <c r="S96" s="51"/>
      <c r="T96" s="51"/>
      <c r="U96" s="49" t="e">
        <f ca="1">SUMIFS([1]!rec.uni[2028-10-01],
INDIRECT("rec.uni[natureza]"),"taxa.extra",
INDIRECT("rec.uni[empresa]"),U$6)</f>
        <v>#REF!</v>
      </c>
      <c r="V96" s="51"/>
      <c r="W96" s="39"/>
      <c r="X96" s="49">
        <f>SUMIFS([1]!in.rec[total],
[1]!in.rec[natureza],"pro.soluto",
[1]!in.rec[empresa],X$6,
[1]!in.rec[data.base],"&gt;="&amp;$A96,
[1]!in.rec[data.base],"&lt;"&amp;EOMONTH($A96,0)
)</f>
        <v>13573.68</v>
      </c>
      <c r="Y96" s="49" t="e">
        <f ca="1">SUMIFS([1]!rec.uni[2028-10-01],
INDIRECT("rec.uni[natureza]"),"taxa.extra",
INDIRECT("rec.uni[empresa]"),Y$6)</f>
        <v>#REF!</v>
      </c>
      <c r="Z96" s="51"/>
      <c r="AA96" s="39"/>
      <c r="AB96" s="49">
        <f>SUMIFS([1]!in.rec[total],
[1]!in.rec[natureza],"pro.soluto",
[1]!in.rec[empresa],AB$6,
[1]!in.rec[data.base],"&gt;="&amp;$A96,
[1]!in.rec[data.base],"&lt;"&amp;EOMONTH($A96,0)
)</f>
        <v>0</v>
      </c>
      <c r="AC96" s="51">
        <f>IF(
$A96&lt;=$A$1,
SUMIFS([1]!in.rec[total],
   [1]!in.rec[empresa],AC$6,
   [1]!in.rec[ele],"FIN",
   [1]!in.rec[data.pagamento],"&gt;="&amp;$A96,
   [1]!in.rec[data.pagamento],"&lt;"&amp;$A97
),
SUMIFS([1]!in.rec[total],
   [1]!in.rec[empresa],AC$6,
   [1]!in.rec[ele],"FIN",
   [1]!in.rec[data.vencimento],"&gt;="&amp;$A96,
   [1]!in.rec[data.vencimento],"&lt;"&amp;$A97
)
)</f>
        <v>0</v>
      </c>
      <c r="AD96" s="49" t="e">
        <f ca="1">SUMIFS([1]!rec.uni[2028-10-01],
INDIRECT("rec.uni[natureza]"),"taxa.extra",
INDIRECT("rec.uni[empresa]"),AD$6)</f>
        <v>#REF!</v>
      </c>
      <c r="AE96" s="51"/>
      <c r="AF96" s="48">
        <f>COUNTIFS(
    [1]!estoque[empresa], AF$6,
    [1]!estoque[Data da venda / reserva], "&gt;=" &amp; $A96,
    [1]!estoque[Data da venda / reserva], "&lt;"  &amp; EOMONTH($A96,0) + 1
)</f>
        <v>0</v>
      </c>
      <c r="AG96" s="49">
        <f>SUMIFS([1]!in.rec[total],
[1]!in.rec[natureza],"pro.soluto",
[1]!in.rec[empresa],AG$6,
[1]!in.rec[data.base],"&gt;="&amp;$A96,
[1]!in.rec[data.base],"&lt;"&amp;EOMONTH($A96,0)
)</f>
        <v>0</v>
      </c>
      <c r="AH96" s="38"/>
      <c r="AI96" s="51"/>
      <c r="AJ96" s="51"/>
      <c r="AK96" s="49" t="e">
        <f ca="1">SUMIFS([1]!rec.uni[2028-10-01],
INDIRECT("rec.uni[natureza]"),"taxa.extra",
INDIRECT("rec.uni[empresa]"),AK$6)</f>
        <v>#REF!</v>
      </c>
      <c r="AL96" s="51"/>
      <c r="AM96" s="39"/>
      <c r="AN96" s="49">
        <f>SUMIFS([1]!in.rec[total],
[1]!in.rec[natureza],"pro.soluto",
[1]!in.rec[empresa],AN$6,
[1]!in.rec[data.base],"&gt;="&amp;$A96,
[1]!in.rec[data.base],"&lt;"&amp;EOMONTH($A96,0)
)</f>
        <v>304504.89999999997</v>
      </c>
      <c r="AO96" s="49" t="e">
        <f ca="1">SUMIFS([1]!rec.uni[2028-10-01],
INDIRECT("rec.uni[natureza]"),"taxa.extra",
INDIRECT("rec.uni[empresa]"),AO$6)</f>
        <v>#REF!</v>
      </c>
      <c r="AP96" s="51"/>
    </row>
    <row r="97" spans="1:42" x14ac:dyDescent="0.25">
      <c r="A97" s="47">
        <v>47058</v>
      </c>
      <c r="B97" s="39"/>
      <c r="C97" s="49">
        <f>SUMIFS([1]!in.rec[total],
[1]!in.rec[natureza],"pro.soluto",
[1]!in.rec[empresa],C$6,
[1]!in.rec[data.base],"&gt;="&amp;$A97,
[1]!in.rec[data.base],"&lt;"&amp;EOMONTH($A97,0)
)</f>
        <v>3867.21</v>
      </c>
      <c r="D97" s="38"/>
      <c r="E97" s="51"/>
      <c r="F97" s="51"/>
      <c r="G97" s="49" t="e">
        <f ca="1">SUMIFS([1]!rec.uni[2028-11-01],
INDIRECT("rec.uni[natureza]"),"taxa.extra",
INDIRECT("rec.uni[empresa]"),G$6)</f>
        <v>#REF!</v>
      </c>
      <c r="H97" s="51"/>
      <c r="I97" s="39"/>
      <c r="J97" s="49">
        <f>SUMIFS([1]!in.rec[total],
[1]!in.rec[natureza],"pro.soluto",
[1]!in.rec[empresa],J$6,
[1]!in.rec[data.base],"&gt;="&amp;$A97,
[1]!in.rec[data.base],"&lt;"&amp;EOMONTH($A97,0)
)</f>
        <v>0</v>
      </c>
      <c r="K97" s="38"/>
      <c r="L97" s="51"/>
      <c r="M97" s="51"/>
      <c r="N97" s="49" t="e">
        <f ca="1">SUMIFS([1]!rec.uni[2028-11-01],
INDIRECT("rec.uni[natureza]"),"taxa.extra",
INDIRECT("rec.uni[empresa]"),N$6)</f>
        <v>#REF!</v>
      </c>
      <c r="O97" s="51"/>
      <c r="P97" s="39"/>
      <c r="Q97" s="49">
        <f>SUMIFS([1]!in.rec[total],
[1]!in.rec[natureza],"pro.soluto",
[1]!in.rec[empresa],Q$6,
[1]!in.rec[data.base],"&gt;="&amp;$A97,
[1]!in.rec[data.base],"&lt;"&amp;EOMONTH($A97,0)
)</f>
        <v>300.51</v>
      </c>
      <c r="R97" s="38"/>
      <c r="S97" s="51"/>
      <c r="T97" s="51"/>
      <c r="U97" s="49" t="e">
        <f ca="1">SUMIFS([1]!rec.uni[2028-11-01],
INDIRECT("rec.uni[natureza]"),"taxa.extra",
INDIRECT("rec.uni[empresa]"),U$6)</f>
        <v>#REF!</v>
      </c>
      <c r="V97" s="51"/>
      <c r="W97" s="39"/>
      <c r="X97" s="49">
        <f>SUMIFS([1]!in.rec[total],
[1]!in.rec[natureza],"pro.soluto",
[1]!in.rec[empresa],X$6,
[1]!in.rec[data.base],"&gt;="&amp;$A97,
[1]!in.rec[data.base],"&lt;"&amp;EOMONTH($A97,0)
)</f>
        <v>12873.94</v>
      </c>
      <c r="Y97" s="49" t="e">
        <f ca="1">SUMIFS([1]!rec.uni[2028-11-01],
INDIRECT("rec.uni[natureza]"),"taxa.extra",
INDIRECT("rec.uni[empresa]"),Y$6)</f>
        <v>#REF!</v>
      </c>
      <c r="Z97" s="51"/>
      <c r="AA97" s="39"/>
      <c r="AB97" s="49">
        <f>SUMIFS([1]!in.rec[total],
[1]!in.rec[natureza],"pro.soluto",
[1]!in.rec[empresa],AB$6,
[1]!in.rec[data.base],"&gt;="&amp;$A97,
[1]!in.rec[data.base],"&lt;"&amp;EOMONTH($A97,0)
)</f>
        <v>0</v>
      </c>
      <c r="AC97" s="51">
        <f>IF(
$A97&lt;=$A$1,
SUMIFS([1]!in.rec[total],
   [1]!in.rec[empresa],AC$6,
   [1]!in.rec[ele],"FIN",
   [1]!in.rec[data.pagamento],"&gt;="&amp;$A97,
   [1]!in.rec[data.pagamento],"&lt;"&amp;$A98
),
SUMIFS([1]!in.rec[total],
   [1]!in.rec[empresa],AC$6,
   [1]!in.rec[ele],"FIN",
   [1]!in.rec[data.vencimento],"&gt;="&amp;$A97,
   [1]!in.rec[data.vencimento],"&lt;"&amp;$A98
)
)</f>
        <v>0</v>
      </c>
      <c r="AD97" s="49" t="e">
        <f ca="1">SUMIFS([1]!rec.uni[2028-11-01],
INDIRECT("rec.uni[natureza]"),"taxa.extra",
INDIRECT("rec.uni[empresa]"),AD$6)</f>
        <v>#REF!</v>
      </c>
      <c r="AE97" s="51"/>
      <c r="AF97" s="48">
        <f>COUNTIFS(
    [1]!estoque[empresa], AF$6,
    [1]!estoque[Data da venda / reserva], "&gt;=" &amp; $A97,
    [1]!estoque[Data da venda / reserva], "&lt;"  &amp; EOMONTH($A97,0) + 1
)</f>
        <v>0</v>
      </c>
      <c r="AG97" s="49">
        <f>SUMIFS([1]!in.rec[total],
[1]!in.rec[natureza],"pro.soluto",
[1]!in.rec[empresa],AG$6,
[1]!in.rec[data.base],"&gt;="&amp;$A97,
[1]!in.rec[data.base],"&lt;"&amp;EOMONTH($A97,0)
)</f>
        <v>0</v>
      </c>
      <c r="AH97" s="38"/>
      <c r="AI97" s="51"/>
      <c r="AJ97" s="51"/>
      <c r="AK97" s="49" t="e">
        <f ca="1">SUMIFS([1]!rec.uni[2028-11-01],
INDIRECT("rec.uni[natureza]"),"taxa.extra",
INDIRECT("rec.uni[empresa]"),AK$6)</f>
        <v>#REF!</v>
      </c>
      <c r="AL97" s="51"/>
      <c r="AM97" s="39"/>
      <c r="AN97" s="49">
        <f>SUMIFS([1]!in.rec[total],
[1]!in.rec[natureza],"pro.soluto",
[1]!in.rec[empresa],AN$6,
[1]!in.rec[data.base],"&gt;="&amp;$A97,
[1]!in.rec[data.base],"&lt;"&amp;EOMONTH($A97,0)
)</f>
        <v>295344.82000000024</v>
      </c>
      <c r="AO97" s="49" t="e">
        <f ca="1">SUMIFS([1]!rec.uni[2028-11-01],
INDIRECT("rec.uni[natureza]"),"taxa.extra",
INDIRECT("rec.uni[empresa]"),AO$6)</f>
        <v>#REF!</v>
      </c>
      <c r="AP97" s="51"/>
    </row>
    <row r="98" spans="1:42" x14ac:dyDescent="0.25">
      <c r="A98" s="47">
        <v>47088</v>
      </c>
      <c r="B98" s="39"/>
      <c r="C98" s="49">
        <f>SUMIFS([1]!in.rec[total],
[1]!in.rec[natureza],"pro.soluto",
[1]!in.rec[empresa],C$6,
[1]!in.rec[data.base],"&gt;="&amp;$A98,
[1]!in.rec[data.base],"&lt;"&amp;EOMONTH($A98,0)
)</f>
        <v>4009.39</v>
      </c>
      <c r="D98" s="38"/>
      <c r="E98" s="51"/>
      <c r="F98" s="51"/>
      <c r="G98" s="49" t="e">
        <f ca="1">SUMIFS([1]!rec.uni[2028-12-01],
INDIRECT("rec.uni[natureza]"),"taxa.extra",
INDIRECT("rec.uni[empresa]"),G$6)</f>
        <v>#REF!</v>
      </c>
      <c r="H98" s="51"/>
      <c r="I98" s="39"/>
      <c r="J98" s="49">
        <f>SUMIFS([1]!in.rec[total],
[1]!in.rec[natureza],"pro.soluto",
[1]!in.rec[empresa],J$6,
[1]!in.rec[data.base],"&gt;="&amp;$A98,
[1]!in.rec[data.base],"&lt;"&amp;EOMONTH($A98,0)
)</f>
        <v>0</v>
      </c>
      <c r="K98" s="38"/>
      <c r="L98" s="51"/>
      <c r="M98" s="51"/>
      <c r="N98" s="49" t="e">
        <f ca="1">SUMIFS([1]!rec.uni[2028-12-01],
INDIRECT("rec.uni[natureza]"),"taxa.extra",
INDIRECT("rec.uni[empresa]"),N$6)</f>
        <v>#REF!</v>
      </c>
      <c r="O98" s="51"/>
      <c r="P98" s="39"/>
      <c r="Q98" s="49">
        <f>SUMIFS([1]!in.rec[total],
[1]!in.rec[natureza],"pro.soluto",
[1]!in.rec[empresa],Q$6,
[1]!in.rec[data.base],"&gt;="&amp;$A98,
[1]!in.rec[data.base],"&lt;"&amp;EOMONTH($A98,0)
)</f>
        <v>395.8</v>
      </c>
      <c r="R98" s="38"/>
      <c r="S98" s="51"/>
      <c r="T98" s="51"/>
      <c r="U98" s="49" t="e">
        <f ca="1">SUMIFS([1]!rec.uni[2028-12-01],
INDIRECT("rec.uni[natureza]"),"taxa.extra",
INDIRECT("rec.uni[empresa]"),U$6)</f>
        <v>#REF!</v>
      </c>
      <c r="V98" s="51"/>
      <c r="W98" s="39"/>
      <c r="X98" s="49">
        <f>SUMIFS([1]!in.rec[total],
[1]!in.rec[natureza],"pro.soluto",
[1]!in.rec[empresa],X$6,
[1]!in.rec[data.base],"&gt;="&amp;$A98,
[1]!in.rec[data.base],"&lt;"&amp;EOMONTH($A98,0)
)</f>
        <v>65836.47</v>
      </c>
      <c r="Y98" s="49" t="e">
        <f ca="1">SUMIFS([1]!rec.uni[2028-12-01],
INDIRECT("rec.uni[natureza]"),"taxa.extra",
INDIRECT("rec.uni[empresa]"),Y$6)</f>
        <v>#REF!</v>
      </c>
      <c r="Z98" s="51"/>
      <c r="AA98" s="39"/>
      <c r="AB98" s="49">
        <f>SUMIFS([1]!in.rec[total],
[1]!in.rec[natureza],"pro.soluto",
[1]!in.rec[empresa],AB$6,
[1]!in.rec[data.base],"&gt;="&amp;$A98,
[1]!in.rec[data.base],"&lt;"&amp;EOMONTH($A98,0)
)</f>
        <v>0</v>
      </c>
      <c r="AC98" s="51">
        <f>IF(
$A98&lt;=$A$1,
SUMIFS([1]!in.rec[total],
   [1]!in.rec[empresa],AC$6,
   [1]!in.rec[ele],"FIN",
   [1]!in.rec[data.pagamento],"&gt;="&amp;$A98,
   [1]!in.rec[data.pagamento],"&lt;"&amp;$A99
),
SUMIFS([1]!in.rec[total],
   [1]!in.rec[empresa],AC$6,
   [1]!in.rec[ele],"FIN",
   [1]!in.rec[data.vencimento],"&gt;="&amp;$A98,
   [1]!in.rec[data.vencimento],"&lt;"&amp;$A99
)
)</f>
        <v>0</v>
      </c>
      <c r="AD98" s="49" t="e">
        <f ca="1">SUMIFS([1]!rec.uni[2028-12-01],
INDIRECT("rec.uni[natureza]"),"taxa.extra",
INDIRECT("rec.uni[empresa]"),AD$6)</f>
        <v>#REF!</v>
      </c>
      <c r="AE98" s="51"/>
      <c r="AF98" s="48">
        <f>COUNTIFS(
    [1]!estoque[empresa], AF$6,
    [1]!estoque[Data da venda / reserva], "&gt;=" &amp; $A98,
    [1]!estoque[Data da venda / reserva], "&lt;"  &amp; EOMONTH($A98,0) + 1
)</f>
        <v>0</v>
      </c>
      <c r="AG98" s="49">
        <f>SUMIFS([1]!in.rec[total],
[1]!in.rec[natureza],"pro.soluto",
[1]!in.rec[empresa],AG$6,
[1]!in.rec[data.base],"&gt;="&amp;$A98,
[1]!in.rec[data.base],"&lt;"&amp;EOMONTH($A98,0)
)</f>
        <v>0</v>
      </c>
      <c r="AH98" s="38"/>
      <c r="AI98" s="51"/>
      <c r="AJ98" s="51"/>
      <c r="AK98" s="49" t="e">
        <f ca="1">SUMIFS([1]!rec.uni[2028-12-01],
INDIRECT("rec.uni[natureza]"),"taxa.extra",
INDIRECT("rec.uni[empresa]"),AK$6)</f>
        <v>#REF!</v>
      </c>
      <c r="AL98" s="51"/>
      <c r="AM98" s="39"/>
      <c r="AN98" s="49">
        <f>SUMIFS([1]!in.rec[total],
[1]!in.rec[natureza],"pro.soluto",
[1]!in.rec[empresa],AN$6,
[1]!in.rec[data.base],"&gt;="&amp;$A98,
[1]!in.rec[data.base],"&lt;"&amp;EOMONTH($A98,0)
)</f>
        <v>1032392.8800000004</v>
      </c>
      <c r="AO98" s="49" t="e">
        <f ca="1">SUMIFS([1]!rec.uni[2028-12-01],
INDIRECT("rec.uni[natureza]"),"taxa.extra",
INDIRECT("rec.uni[empresa]"),AO$6)</f>
        <v>#REF!</v>
      </c>
      <c r="AP98" s="51"/>
    </row>
    <row r="99" spans="1:42" x14ac:dyDescent="0.25">
      <c r="A99" s="47">
        <v>47119</v>
      </c>
      <c r="B99" s="39"/>
      <c r="C99" s="49">
        <f>SUMIFS([1]!in.rec[total],
[1]!in.rec[natureza],"pro.soluto",
[1]!in.rec[empresa],C$6,
[1]!in.rec[data.base],"&gt;="&amp;$A99,
[1]!in.rec[data.base],"&lt;"&amp;EOMONTH($A99,0)
)</f>
        <v>4009.1</v>
      </c>
      <c r="D99" s="38"/>
      <c r="E99" s="51"/>
      <c r="F99" s="51"/>
      <c r="G99" s="49" t="e">
        <f ca="1">SUMIFS([1]!rec.uni[2029-01-01],
INDIRECT("rec.uni[natureza]"),"taxa.extra",
INDIRECT("rec.uni[empresa]"),G$6)</f>
        <v>#REF!</v>
      </c>
      <c r="H99" s="51"/>
      <c r="I99" s="39"/>
      <c r="J99" s="49">
        <f>SUMIFS([1]!in.rec[total],
[1]!in.rec[natureza],"pro.soluto",
[1]!in.rec[empresa],J$6,
[1]!in.rec[data.base],"&gt;="&amp;$A99,
[1]!in.rec[data.base],"&lt;"&amp;EOMONTH($A99,0)
)</f>
        <v>0</v>
      </c>
      <c r="K99" s="38"/>
      <c r="L99" s="51"/>
      <c r="M99" s="51"/>
      <c r="N99" s="49" t="e">
        <f ca="1">SUMIFS([1]!rec.uni[2029-01-01],
INDIRECT("rec.uni[natureza]"),"taxa.extra",
INDIRECT("rec.uni[empresa]"),N$6)</f>
        <v>#REF!</v>
      </c>
      <c r="O99" s="51"/>
      <c r="P99" s="39"/>
      <c r="Q99" s="49">
        <f>SUMIFS([1]!in.rec[total],
[1]!in.rec[natureza],"pro.soluto",
[1]!in.rec[empresa],Q$6,
[1]!in.rec[data.base],"&gt;="&amp;$A99,
[1]!in.rec[data.base],"&lt;"&amp;EOMONTH($A99,0)
)</f>
        <v>0</v>
      </c>
      <c r="R99" s="38"/>
      <c r="S99" s="51"/>
      <c r="T99" s="51"/>
      <c r="U99" s="49" t="e">
        <f ca="1">SUMIFS([1]!rec.uni[2029-01-01],
INDIRECT("rec.uni[natureza]"),"taxa.extra",
INDIRECT("rec.uni[empresa]"),U$6)</f>
        <v>#REF!</v>
      </c>
      <c r="V99" s="51"/>
      <c r="W99" s="39"/>
      <c r="X99" s="49">
        <f>SUMIFS([1]!in.rec[total],
[1]!in.rec[natureza],"pro.soluto",
[1]!in.rec[empresa],X$6,
[1]!in.rec[data.base],"&gt;="&amp;$A99,
[1]!in.rec[data.base],"&lt;"&amp;EOMONTH($A99,0)
)</f>
        <v>12267.47</v>
      </c>
      <c r="Y99" s="49" t="e">
        <f ca="1">SUMIFS([1]!rec.uni[2029-01-01],
INDIRECT("rec.uni[natureza]"),"taxa.extra",
INDIRECT("rec.uni[empresa]"),Y$6)</f>
        <v>#REF!</v>
      </c>
      <c r="Z99" s="51"/>
      <c r="AA99" s="39"/>
      <c r="AB99" s="49">
        <f>SUMIFS([1]!in.rec[total],
[1]!in.rec[natureza],"pro.soluto",
[1]!in.rec[empresa],AB$6,
[1]!in.rec[data.base],"&gt;="&amp;$A99,
[1]!in.rec[data.base],"&lt;"&amp;EOMONTH($A99,0)
)</f>
        <v>0</v>
      </c>
      <c r="AC99" s="51">
        <f>IF(
$A99&lt;=$A$1,
SUMIFS([1]!in.rec[total],
   [1]!in.rec[empresa],AC$6,
   [1]!in.rec[ele],"FIN",
   [1]!in.rec[data.pagamento],"&gt;="&amp;$A99,
   [1]!in.rec[data.pagamento],"&lt;"&amp;$A100
),
SUMIFS([1]!in.rec[total],
   [1]!in.rec[empresa],AC$6,
   [1]!in.rec[ele],"FIN",
   [1]!in.rec[data.vencimento],"&gt;="&amp;$A99,
   [1]!in.rec[data.vencimento],"&lt;"&amp;$A100
)
)</f>
        <v>0</v>
      </c>
      <c r="AD99" s="49" t="e">
        <f ca="1">SUMIFS([1]!rec.uni[2029-01-01],
INDIRECT("rec.uni[natureza]"),"taxa.extra",
INDIRECT("rec.uni[empresa]"),AD$6)</f>
        <v>#REF!</v>
      </c>
      <c r="AE99" s="51"/>
      <c r="AF99" s="48">
        <f>COUNTIFS(
    [1]!estoque[empresa], AF$6,
    [1]!estoque[Data da venda / reserva], "&gt;=" &amp; $A99,
    [1]!estoque[Data da venda / reserva], "&lt;"  &amp; EOMONTH($A99,0) + 1
)</f>
        <v>0</v>
      </c>
      <c r="AG99" s="49">
        <f>SUMIFS([1]!in.rec[total],
[1]!in.rec[natureza],"pro.soluto",
[1]!in.rec[empresa],AG$6,
[1]!in.rec[data.base],"&gt;="&amp;$A99,
[1]!in.rec[data.base],"&lt;"&amp;EOMONTH($A99,0)
)</f>
        <v>0</v>
      </c>
      <c r="AH99" s="38"/>
      <c r="AI99" s="51"/>
      <c r="AJ99" s="51"/>
      <c r="AK99" s="49" t="e">
        <f ca="1">SUMIFS([1]!rec.uni[2029-01-01],
INDIRECT("rec.uni[natureza]"),"taxa.extra",
INDIRECT("rec.uni[empresa]"),AK$6)</f>
        <v>#REF!</v>
      </c>
      <c r="AL99" s="51"/>
      <c r="AM99" s="39"/>
      <c r="AN99" s="49">
        <f>SUMIFS([1]!in.rec[total],
[1]!in.rec[natureza],"pro.soluto",
[1]!in.rec[empresa],AN$6,
[1]!in.rec[data.base],"&gt;="&amp;$A99,
[1]!in.rec[data.base],"&lt;"&amp;EOMONTH($A99,0)
)</f>
        <v>22201.89</v>
      </c>
      <c r="AO99" s="49" t="e">
        <f ca="1">SUMIFS([1]!rec.uni[2029-01-01],
INDIRECT("rec.uni[natureza]"),"taxa.extra",
INDIRECT("rec.uni[empresa]"),AO$6)</f>
        <v>#REF!</v>
      </c>
      <c r="AP99" s="51"/>
    </row>
    <row r="100" spans="1:42" x14ac:dyDescent="0.25">
      <c r="A100" s="47">
        <v>47150</v>
      </c>
      <c r="B100" s="39"/>
      <c r="C100" s="49">
        <f>SUMIFS([1]!in.rec[total],
[1]!in.rec[natureza],"pro.soluto",
[1]!in.rec[empresa],C$6,
[1]!in.rec[data.base],"&gt;="&amp;$A100,
[1]!in.rec[data.base],"&lt;"&amp;EOMONTH($A100,0)
)</f>
        <v>992.83</v>
      </c>
      <c r="D100" s="38"/>
      <c r="E100" s="51"/>
      <c r="F100" s="51"/>
      <c r="G100" s="49" t="e">
        <f ca="1">SUMIFS([1]!rec.uni[2029-02-01],
INDIRECT("rec.uni[natureza]"),"taxa.extra",
INDIRECT("rec.uni[empresa]"),G$6)</f>
        <v>#REF!</v>
      </c>
      <c r="H100" s="51"/>
      <c r="I100" s="39"/>
      <c r="J100" s="49">
        <f>SUMIFS([1]!in.rec[total],
[1]!in.rec[natureza],"pro.soluto",
[1]!in.rec[empresa],J$6,
[1]!in.rec[data.base],"&gt;="&amp;$A100,
[1]!in.rec[data.base],"&lt;"&amp;EOMONTH($A100,0)
)</f>
        <v>0</v>
      </c>
      <c r="K100" s="38"/>
      <c r="L100" s="51"/>
      <c r="M100" s="51"/>
      <c r="N100" s="49" t="e">
        <f ca="1">SUMIFS([1]!rec.uni[2029-02-01],
INDIRECT("rec.uni[natureza]"),"taxa.extra",
INDIRECT("rec.uni[empresa]"),N$6)</f>
        <v>#REF!</v>
      </c>
      <c r="O100" s="51"/>
      <c r="P100" s="39"/>
      <c r="Q100" s="49">
        <f>SUMIFS([1]!in.rec[total],
[1]!in.rec[natureza],"pro.soluto",
[1]!in.rec[empresa],Q$6,
[1]!in.rec[data.base],"&gt;="&amp;$A100,
[1]!in.rec[data.base],"&lt;"&amp;EOMONTH($A100,0)
)</f>
        <v>0</v>
      </c>
      <c r="R100" s="38"/>
      <c r="S100" s="51"/>
      <c r="T100" s="51"/>
      <c r="U100" s="49" t="e">
        <f ca="1">SUMIFS([1]!rec.uni[2029-02-01],
INDIRECT("rec.uni[natureza]"),"taxa.extra",
INDIRECT("rec.uni[empresa]"),U$6)</f>
        <v>#REF!</v>
      </c>
      <c r="V100" s="51"/>
      <c r="W100" s="39"/>
      <c r="X100" s="49">
        <f>SUMIFS([1]!in.rec[total],
[1]!in.rec[natureza],"pro.soluto",
[1]!in.rec[empresa],X$6,
[1]!in.rec[data.base],"&gt;="&amp;$A100,
[1]!in.rec[data.base],"&lt;"&amp;EOMONTH($A100,0)
)</f>
        <v>12267.47</v>
      </c>
      <c r="Y100" s="49" t="e">
        <f ca="1">SUMIFS([1]!rec.uni[2029-02-01],
INDIRECT("rec.uni[natureza]"),"taxa.extra",
INDIRECT("rec.uni[empresa]"),Y$6)</f>
        <v>#REF!</v>
      </c>
      <c r="Z100" s="51"/>
      <c r="AA100" s="39"/>
      <c r="AB100" s="49">
        <f>SUMIFS([1]!in.rec[total],
[1]!in.rec[natureza],"pro.soluto",
[1]!in.rec[empresa],AB$6,
[1]!in.rec[data.base],"&gt;="&amp;$A100,
[1]!in.rec[data.base],"&lt;"&amp;EOMONTH($A100,0)
)</f>
        <v>0</v>
      </c>
      <c r="AC100" s="51">
        <f>IF(
$A100&lt;=$A$1,
SUMIFS([1]!in.rec[total],
   [1]!in.rec[empresa],AC$6,
   [1]!in.rec[ele],"FIN",
   [1]!in.rec[data.pagamento],"&gt;="&amp;$A100,
   [1]!in.rec[data.pagamento],"&lt;"&amp;$A101
),
SUMIFS([1]!in.rec[total],
   [1]!in.rec[empresa],AC$6,
   [1]!in.rec[ele],"FIN",
   [1]!in.rec[data.vencimento],"&gt;="&amp;$A100,
   [1]!in.rec[data.vencimento],"&lt;"&amp;$A101
)
)</f>
        <v>0</v>
      </c>
      <c r="AD100" s="49" t="e">
        <f ca="1">SUMIFS([1]!rec.uni[2029-02-01],
INDIRECT("rec.uni[natureza]"),"taxa.extra",
INDIRECT("rec.uni[empresa]"),AD$6)</f>
        <v>#REF!</v>
      </c>
      <c r="AE100" s="51"/>
      <c r="AF100" s="48">
        <f>COUNTIFS(
    [1]!estoque[empresa], AF$6,
    [1]!estoque[Data da venda / reserva], "&gt;=" &amp; $A100,
    [1]!estoque[Data da venda / reserva], "&lt;"  &amp; EOMONTH($A100,0) + 1
)</f>
        <v>0</v>
      </c>
      <c r="AG100" s="49">
        <f>SUMIFS([1]!in.rec[total],
[1]!in.rec[natureza],"pro.soluto",
[1]!in.rec[empresa],AG$6,
[1]!in.rec[data.base],"&gt;="&amp;$A100,
[1]!in.rec[data.base],"&lt;"&amp;EOMONTH($A100,0)
)</f>
        <v>0</v>
      </c>
      <c r="AH100" s="38"/>
      <c r="AI100" s="51"/>
      <c r="AJ100" s="51"/>
      <c r="AK100" s="49" t="e">
        <f ca="1">SUMIFS([1]!rec.uni[2029-02-01],
INDIRECT("rec.uni[natureza]"),"taxa.extra",
INDIRECT("rec.uni[empresa]"),AK$6)</f>
        <v>#REF!</v>
      </c>
      <c r="AL100" s="51"/>
      <c r="AM100" s="39"/>
      <c r="AN100" s="49">
        <f>SUMIFS([1]!in.rec[total],
[1]!in.rec[natureza],"pro.soluto",
[1]!in.rec[empresa],AN$6,
[1]!in.rec[data.base],"&gt;="&amp;$A100,
[1]!in.rec[data.base],"&lt;"&amp;EOMONTH($A100,0)
)</f>
        <v>8275.32</v>
      </c>
      <c r="AO100" s="49" t="e">
        <f ca="1">SUMIFS([1]!rec.uni[2029-02-01],
INDIRECT("rec.uni[natureza]"),"taxa.extra",
INDIRECT("rec.uni[empresa]"),AO$6)</f>
        <v>#REF!</v>
      </c>
      <c r="AP100" s="51"/>
    </row>
    <row r="101" spans="1:42" x14ac:dyDescent="0.25">
      <c r="A101" s="47">
        <v>47178</v>
      </c>
      <c r="B101" s="39"/>
      <c r="C101" s="49">
        <f>SUMIFS([1]!in.rec[total],
[1]!in.rec[natureza],"pro.soluto",
[1]!in.rec[empresa],C$6,
[1]!in.rec[data.base],"&gt;="&amp;$A101,
[1]!in.rec[data.base],"&lt;"&amp;EOMONTH($A101,0)
)</f>
        <v>992.85</v>
      </c>
      <c r="D101" s="38"/>
      <c r="E101" s="51"/>
      <c r="F101" s="51"/>
      <c r="G101" s="49" t="e">
        <f ca="1">SUMIFS([1]!rec.uni[2029-03-01],
INDIRECT("rec.uni[natureza]"),"taxa.extra",
INDIRECT("rec.uni[empresa]"),G$6)</f>
        <v>#REF!</v>
      </c>
      <c r="H101" s="51"/>
      <c r="I101" s="39"/>
      <c r="J101" s="49">
        <f>SUMIFS([1]!in.rec[total],
[1]!in.rec[natureza],"pro.soluto",
[1]!in.rec[empresa],J$6,
[1]!in.rec[data.base],"&gt;="&amp;$A101,
[1]!in.rec[data.base],"&lt;"&amp;EOMONTH($A101,0)
)</f>
        <v>0</v>
      </c>
      <c r="K101" s="38"/>
      <c r="L101" s="51"/>
      <c r="M101" s="51"/>
      <c r="N101" s="49" t="e">
        <f ca="1">SUMIFS([1]!rec.uni[2029-03-01],
INDIRECT("rec.uni[natureza]"),"taxa.extra",
INDIRECT("rec.uni[empresa]"),N$6)</f>
        <v>#REF!</v>
      </c>
      <c r="O101" s="51"/>
      <c r="P101" s="39"/>
      <c r="Q101" s="49">
        <f>SUMIFS([1]!in.rec[total],
[1]!in.rec[natureza],"pro.soluto",
[1]!in.rec[empresa],Q$6,
[1]!in.rec[data.base],"&gt;="&amp;$A101,
[1]!in.rec[data.base],"&lt;"&amp;EOMONTH($A101,0)
)</f>
        <v>0</v>
      </c>
      <c r="R101" s="38"/>
      <c r="S101" s="51"/>
      <c r="T101" s="51"/>
      <c r="U101" s="49" t="e">
        <f ca="1">SUMIFS([1]!rec.uni[2029-03-01],
INDIRECT("rec.uni[natureza]"),"taxa.extra",
INDIRECT("rec.uni[empresa]"),U$6)</f>
        <v>#REF!</v>
      </c>
      <c r="V101" s="51"/>
      <c r="W101" s="39"/>
      <c r="X101" s="49">
        <f>SUMIFS([1]!in.rec[total],
[1]!in.rec[natureza],"pro.soluto",
[1]!in.rec[empresa],X$6,
[1]!in.rec[data.base],"&gt;="&amp;$A101,
[1]!in.rec[data.base],"&lt;"&amp;EOMONTH($A101,0)
)</f>
        <v>12267.47</v>
      </c>
      <c r="Y101" s="49" t="e">
        <f ca="1">SUMIFS([1]!rec.uni[2029-03-01],
INDIRECT("rec.uni[natureza]"),"taxa.extra",
INDIRECT("rec.uni[empresa]"),Y$6)</f>
        <v>#REF!</v>
      </c>
      <c r="Z101" s="51"/>
      <c r="AA101" s="39"/>
      <c r="AB101" s="49">
        <f>SUMIFS([1]!in.rec[total],
[1]!in.rec[natureza],"pro.soluto",
[1]!in.rec[empresa],AB$6,
[1]!in.rec[data.base],"&gt;="&amp;$A101,
[1]!in.rec[data.base],"&lt;"&amp;EOMONTH($A101,0)
)</f>
        <v>0</v>
      </c>
      <c r="AC101" s="51">
        <f>IF(
$A101&lt;=$A$1,
SUMIFS([1]!in.rec[total],
   [1]!in.rec[empresa],AC$6,
   [1]!in.rec[ele],"FIN",
   [1]!in.rec[data.pagamento],"&gt;="&amp;$A101,
   [1]!in.rec[data.pagamento],"&lt;"&amp;$A102
),
SUMIFS([1]!in.rec[total],
   [1]!in.rec[empresa],AC$6,
   [1]!in.rec[ele],"FIN",
   [1]!in.rec[data.vencimento],"&gt;="&amp;$A101,
   [1]!in.rec[data.vencimento],"&lt;"&amp;$A102
)
)</f>
        <v>0</v>
      </c>
      <c r="AD101" s="49" t="e">
        <f ca="1">SUMIFS([1]!rec.uni[2029-03-01],
INDIRECT("rec.uni[natureza]"),"taxa.extra",
INDIRECT("rec.uni[empresa]"),AD$6)</f>
        <v>#REF!</v>
      </c>
      <c r="AE101" s="51"/>
      <c r="AF101" s="48">
        <f>COUNTIFS(
    [1]!estoque[empresa], AF$6,
    [1]!estoque[Data da venda / reserva], "&gt;=" &amp; $A101,
    [1]!estoque[Data da venda / reserva], "&lt;"  &amp; EOMONTH($A101,0) + 1
)</f>
        <v>0</v>
      </c>
      <c r="AG101" s="49">
        <f>SUMIFS([1]!in.rec[total],
[1]!in.rec[natureza],"pro.soluto",
[1]!in.rec[empresa],AG$6,
[1]!in.rec[data.base],"&gt;="&amp;$A101,
[1]!in.rec[data.base],"&lt;"&amp;EOMONTH($A101,0)
)</f>
        <v>0</v>
      </c>
      <c r="AH101" s="38"/>
      <c r="AI101" s="51"/>
      <c r="AJ101" s="51"/>
      <c r="AK101" s="49" t="e">
        <f ca="1">SUMIFS([1]!rec.uni[2029-03-01],
INDIRECT("rec.uni[natureza]"),"taxa.extra",
INDIRECT("rec.uni[empresa]"),AK$6)</f>
        <v>#REF!</v>
      </c>
      <c r="AL101" s="51"/>
      <c r="AM101" s="39"/>
      <c r="AN101" s="49">
        <f>SUMIFS([1]!in.rec[total],
[1]!in.rec[natureza],"pro.soluto",
[1]!in.rec[empresa],AN$6,
[1]!in.rec[data.base],"&gt;="&amp;$A101,
[1]!in.rec[data.base],"&lt;"&amp;EOMONTH($A101,0)
)</f>
        <v>7619.83</v>
      </c>
      <c r="AO101" s="49" t="e">
        <f ca="1">SUMIFS([1]!rec.uni[2029-03-01],
INDIRECT("rec.uni[natureza]"),"taxa.extra",
INDIRECT("rec.uni[empresa]"),AO$6)</f>
        <v>#REF!</v>
      </c>
      <c r="AP101" s="51"/>
    </row>
    <row r="102" spans="1:42" x14ac:dyDescent="0.25">
      <c r="A102" s="47">
        <v>47209</v>
      </c>
      <c r="B102" s="39"/>
      <c r="C102" s="49">
        <f>SUMIFS([1]!in.rec[total],
[1]!in.rec[natureza],"pro.soluto",
[1]!in.rec[empresa],C$6,
[1]!in.rec[data.base],"&gt;="&amp;$A102,
[1]!in.rec[data.base],"&lt;"&amp;EOMONTH($A102,0)
)</f>
        <v>566.08000000000004</v>
      </c>
      <c r="D102" s="38"/>
      <c r="E102" s="51"/>
      <c r="F102" s="51"/>
      <c r="G102" s="49" t="e">
        <f ca="1">SUMIFS([1]!rec.uni[2029-04-01],
INDIRECT("rec.uni[natureza]"),"taxa.extra",
INDIRECT("rec.uni[empresa]"),G$6)</f>
        <v>#REF!</v>
      </c>
      <c r="H102" s="51"/>
      <c r="I102" s="39"/>
      <c r="J102" s="49">
        <f>SUMIFS([1]!in.rec[total],
[1]!in.rec[natureza],"pro.soluto",
[1]!in.rec[empresa],J$6,
[1]!in.rec[data.base],"&gt;="&amp;$A102,
[1]!in.rec[data.base],"&lt;"&amp;EOMONTH($A102,0)
)</f>
        <v>0</v>
      </c>
      <c r="K102" s="38"/>
      <c r="L102" s="51"/>
      <c r="M102" s="51"/>
      <c r="N102" s="49" t="e">
        <f ca="1">SUMIFS([1]!rec.uni[2029-04-01],
INDIRECT("rec.uni[natureza]"),"taxa.extra",
INDIRECT("rec.uni[empresa]"),N$6)</f>
        <v>#REF!</v>
      </c>
      <c r="O102" s="51"/>
      <c r="P102" s="39"/>
      <c r="Q102" s="49">
        <f>SUMIFS([1]!in.rec[total],
[1]!in.rec[natureza],"pro.soluto",
[1]!in.rec[empresa],Q$6,
[1]!in.rec[data.base],"&gt;="&amp;$A102,
[1]!in.rec[data.base],"&lt;"&amp;EOMONTH($A102,0)
)</f>
        <v>0</v>
      </c>
      <c r="R102" s="38"/>
      <c r="S102" s="51"/>
      <c r="T102" s="51"/>
      <c r="U102" s="49" t="e">
        <f ca="1">SUMIFS([1]!rec.uni[2029-04-01],
INDIRECT("rec.uni[natureza]"),"taxa.extra",
INDIRECT("rec.uni[empresa]"),U$6)</f>
        <v>#REF!</v>
      </c>
      <c r="V102" s="51"/>
      <c r="W102" s="39"/>
      <c r="X102" s="49">
        <f>SUMIFS([1]!in.rec[total],
[1]!in.rec[natureza],"pro.soluto",
[1]!in.rec[empresa],X$6,
[1]!in.rec[data.base],"&gt;="&amp;$A102,
[1]!in.rec[data.base],"&lt;"&amp;EOMONTH($A102,0)
)</f>
        <v>12267.47</v>
      </c>
      <c r="Y102" s="49" t="e">
        <f ca="1">SUMIFS([1]!rec.uni[2029-04-01],
INDIRECT("rec.uni[natureza]"),"taxa.extra",
INDIRECT("rec.uni[empresa]"),Y$6)</f>
        <v>#REF!</v>
      </c>
      <c r="Z102" s="51"/>
      <c r="AA102" s="39"/>
      <c r="AB102" s="49">
        <f>SUMIFS([1]!in.rec[total],
[1]!in.rec[natureza],"pro.soluto",
[1]!in.rec[empresa],AB$6,
[1]!in.rec[data.base],"&gt;="&amp;$A102,
[1]!in.rec[data.base],"&lt;"&amp;EOMONTH($A102,0)
)</f>
        <v>0</v>
      </c>
      <c r="AC102" s="51">
        <f>IF(
$A102&lt;=$A$1,
SUMIFS([1]!in.rec[total],
   [1]!in.rec[empresa],AC$6,
   [1]!in.rec[ele],"FIN",
   [1]!in.rec[data.pagamento],"&gt;="&amp;$A102,
   [1]!in.rec[data.pagamento],"&lt;"&amp;$A103
),
SUMIFS([1]!in.rec[total],
   [1]!in.rec[empresa],AC$6,
   [1]!in.rec[ele],"FIN",
   [1]!in.rec[data.vencimento],"&gt;="&amp;$A102,
   [1]!in.rec[data.vencimento],"&lt;"&amp;$A103
)
)</f>
        <v>0</v>
      </c>
      <c r="AD102" s="49" t="e">
        <f ca="1">SUMIFS([1]!rec.uni[2029-04-01],
INDIRECT("rec.uni[natureza]"),"taxa.extra",
INDIRECT("rec.uni[empresa]"),AD$6)</f>
        <v>#REF!</v>
      </c>
      <c r="AE102" s="51"/>
      <c r="AF102" s="48">
        <f>COUNTIFS(
    [1]!estoque[empresa], AF$6,
    [1]!estoque[Data da venda / reserva], "&gt;=" &amp; $A102,
    [1]!estoque[Data da venda / reserva], "&lt;"  &amp; EOMONTH($A102,0) + 1
)</f>
        <v>0</v>
      </c>
      <c r="AG102" s="49">
        <f>SUMIFS([1]!in.rec[total],
[1]!in.rec[natureza],"pro.soluto",
[1]!in.rec[empresa],AG$6,
[1]!in.rec[data.base],"&gt;="&amp;$A102,
[1]!in.rec[data.base],"&lt;"&amp;EOMONTH($A102,0)
)</f>
        <v>0</v>
      </c>
      <c r="AH102" s="38"/>
      <c r="AI102" s="51"/>
      <c r="AJ102" s="51"/>
      <c r="AK102" s="49" t="e">
        <f ca="1">SUMIFS([1]!rec.uni[2029-04-01],
INDIRECT("rec.uni[natureza]"),"taxa.extra",
INDIRECT("rec.uni[empresa]"),AK$6)</f>
        <v>#REF!</v>
      </c>
      <c r="AL102" s="51"/>
      <c r="AM102" s="39"/>
      <c r="AN102" s="49">
        <f>SUMIFS([1]!in.rec[total],
[1]!in.rec[natureza],"pro.soluto",
[1]!in.rec[empresa],AN$6,
[1]!in.rec[data.base],"&gt;="&amp;$A102,
[1]!in.rec[data.base],"&lt;"&amp;EOMONTH($A102,0)
)</f>
        <v>6170.0199999999995</v>
      </c>
      <c r="AO102" s="49" t="e">
        <f ca="1">SUMIFS([1]!rec.uni[2029-04-01],
INDIRECT("rec.uni[natureza]"),"taxa.extra",
INDIRECT("rec.uni[empresa]"),AO$6)</f>
        <v>#REF!</v>
      </c>
      <c r="AP102" s="51"/>
    </row>
    <row r="103" spans="1:42" x14ac:dyDescent="0.25">
      <c r="A103" s="47">
        <v>47239</v>
      </c>
      <c r="B103" s="39"/>
      <c r="C103" s="49">
        <f>SUMIFS([1]!in.rec[total],
[1]!in.rec[natureza],"pro.soluto",
[1]!in.rec[empresa],C$6,
[1]!in.rec[data.base],"&gt;="&amp;$A103,
[1]!in.rec[data.base],"&lt;"&amp;EOMONTH($A103,0)
)</f>
        <v>566.08000000000004</v>
      </c>
      <c r="D103" s="38"/>
      <c r="E103" s="51"/>
      <c r="F103" s="51"/>
      <c r="G103" s="49" t="e">
        <f ca="1">SUMIFS([1]!rec.uni[2029-05-01],
INDIRECT("rec.uni[natureza]"),"taxa.extra",
INDIRECT("rec.uni[empresa]"),G$6)</f>
        <v>#REF!</v>
      </c>
      <c r="H103" s="51"/>
      <c r="I103" s="39"/>
      <c r="J103" s="49">
        <f>SUMIFS([1]!in.rec[total],
[1]!in.rec[natureza],"pro.soluto",
[1]!in.rec[empresa],J$6,
[1]!in.rec[data.base],"&gt;="&amp;$A103,
[1]!in.rec[data.base],"&lt;"&amp;EOMONTH($A103,0)
)</f>
        <v>0</v>
      </c>
      <c r="K103" s="38"/>
      <c r="L103" s="51"/>
      <c r="M103" s="51"/>
      <c r="N103" s="49" t="e">
        <f ca="1">SUMIFS([1]!rec.uni[2029-05-01],
INDIRECT("rec.uni[natureza]"),"taxa.extra",
INDIRECT("rec.uni[empresa]"),N$6)</f>
        <v>#REF!</v>
      </c>
      <c r="O103" s="51"/>
      <c r="P103" s="39"/>
      <c r="Q103" s="49">
        <f>SUMIFS([1]!in.rec[total],
[1]!in.rec[natureza],"pro.soluto",
[1]!in.rec[empresa],Q$6,
[1]!in.rec[data.base],"&gt;="&amp;$A103,
[1]!in.rec[data.base],"&lt;"&amp;EOMONTH($A103,0)
)</f>
        <v>0</v>
      </c>
      <c r="R103" s="38"/>
      <c r="S103" s="51"/>
      <c r="T103" s="51"/>
      <c r="U103" s="49" t="e">
        <f ca="1">SUMIFS([1]!rec.uni[2029-05-01],
INDIRECT("rec.uni[natureza]"),"taxa.extra",
INDIRECT("rec.uni[empresa]"),U$6)</f>
        <v>#REF!</v>
      </c>
      <c r="V103" s="51"/>
      <c r="W103" s="39"/>
      <c r="X103" s="49">
        <f>SUMIFS([1]!in.rec[total],
[1]!in.rec[natureza],"pro.soluto",
[1]!in.rec[empresa],X$6,
[1]!in.rec[data.base],"&gt;="&amp;$A103,
[1]!in.rec[data.base],"&lt;"&amp;EOMONTH($A103,0)
)</f>
        <v>12267.47</v>
      </c>
      <c r="Y103" s="49" t="e">
        <f ca="1">SUMIFS([1]!rec.uni[2029-05-01],
INDIRECT("rec.uni[natureza]"),"taxa.extra",
INDIRECT("rec.uni[empresa]"),Y$6)</f>
        <v>#REF!</v>
      </c>
      <c r="Z103" s="51"/>
      <c r="AA103" s="39"/>
      <c r="AB103" s="49">
        <f>SUMIFS([1]!in.rec[total],
[1]!in.rec[natureza],"pro.soluto",
[1]!in.rec[empresa],AB$6,
[1]!in.rec[data.base],"&gt;="&amp;$A103,
[1]!in.rec[data.base],"&lt;"&amp;EOMONTH($A103,0)
)</f>
        <v>0</v>
      </c>
      <c r="AC103" s="51">
        <f>IF(
$A103&lt;=$A$1,
SUMIFS([1]!in.rec[total],
   [1]!in.rec[empresa],AC$6,
   [1]!in.rec[ele],"FIN",
   [1]!in.rec[data.pagamento],"&gt;="&amp;$A103,
   [1]!in.rec[data.pagamento],"&lt;"&amp;$A104
),
SUMIFS([1]!in.rec[total],
   [1]!in.rec[empresa],AC$6,
   [1]!in.rec[ele],"FIN",
   [1]!in.rec[data.vencimento],"&gt;="&amp;$A103,
   [1]!in.rec[data.vencimento],"&lt;"&amp;$A104
)
)</f>
        <v>0</v>
      </c>
      <c r="AD103" s="49" t="e">
        <f ca="1">SUMIFS([1]!rec.uni[2029-05-01],
INDIRECT("rec.uni[natureza]"),"taxa.extra",
INDIRECT("rec.uni[empresa]"),AD$6)</f>
        <v>#REF!</v>
      </c>
      <c r="AE103" s="51"/>
      <c r="AF103" s="48">
        <f>COUNTIFS(
    [1]!estoque[empresa], AF$6,
    [1]!estoque[Data da venda / reserva], "&gt;=" &amp; $A103,
    [1]!estoque[Data da venda / reserva], "&lt;"  &amp; EOMONTH($A103,0) + 1
)</f>
        <v>0</v>
      </c>
      <c r="AG103" s="49">
        <f>SUMIFS([1]!in.rec[total],
[1]!in.rec[natureza],"pro.soluto",
[1]!in.rec[empresa],AG$6,
[1]!in.rec[data.base],"&gt;="&amp;$A103,
[1]!in.rec[data.base],"&lt;"&amp;EOMONTH($A103,0)
)</f>
        <v>0</v>
      </c>
      <c r="AH103" s="38"/>
      <c r="AI103" s="51"/>
      <c r="AJ103" s="51"/>
      <c r="AK103" s="49" t="e">
        <f ca="1">SUMIFS([1]!rec.uni[2029-05-01],
INDIRECT("rec.uni[natureza]"),"taxa.extra",
INDIRECT("rec.uni[empresa]"),AK$6)</f>
        <v>#REF!</v>
      </c>
      <c r="AL103" s="51"/>
      <c r="AM103" s="39"/>
      <c r="AN103" s="49">
        <f>SUMIFS([1]!in.rec[total],
[1]!in.rec[natureza],"pro.soluto",
[1]!in.rec[empresa],AN$6,
[1]!in.rec[data.base],"&gt;="&amp;$A103,
[1]!in.rec[data.base],"&lt;"&amp;EOMONTH($A103,0)
)</f>
        <v>6170.0199999999995</v>
      </c>
      <c r="AO103" s="49" t="e">
        <f ca="1">SUMIFS([1]!rec.uni[2029-05-01],
INDIRECT("rec.uni[natureza]"),"taxa.extra",
INDIRECT("rec.uni[empresa]"),AO$6)</f>
        <v>#REF!</v>
      </c>
      <c r="AP103" s="51"/>
    </row>
    <row r="104" spans="1:42" x14ac:dyDescent="0.25">
      <c r="A104" s="47">
        <v>47270</v>
      </c>
      <c r="B104" s="39"/>
      <c r="C104" s="49">
        <f>SUMIFS([1]!in.rec[total],
[1]!in.rec[natureza],"pro.soluto",
[1]!in.rec[empresa],C$6,
[1]!in.rec[data.base],"&gt;="&amp;$A104,
[1]!in.rec[data.base],"&lt;"&amp;EOMONTH($A104,0)
)</f>
        <v>0</v>
      </c>
      <c r="D104" s="38"/>
      <c r="E104" s="51"/>
      <c r="F104" s="51"/>
      <c r="G104" s="49" t="e">
        <f ca="1">SUMIFS([1]!rec.uni[2029-06-01],
INDIRECT("rec.uni[natureza]"),"taxa.extra",
INDIRECT("rec.uni[empresa]"),G$6)</f>
        <v>#REF!</v>
      </c>
      <c r="H104" s="51"/>
      <c r="I104" s="39"/>
      <c r="J104" s="49">
        <f>SUMIFS([1]!in.rec[total],
[1]!in.rec[natureza],"pro.soluto",
[1]!in.rec[empresa],J$6,
[1]!in.rec[data.base],"&gt;="&amp;$A104,
[1]!in.rec[data.base],"&lt;"&amp;EOMONTH($A104,0)
)</f>
        <v>0</v>
      </c>
      <c r="K104" s="38"/>
      <c r="L104" s="51"/>
      <c r="M104" s="51"/>
      <c r="N104" s="49" t="e">
        <f ca="1">SUMIFS([1]!rec.uni[2029-06-01],
INDIRECT("rec.uni[natureza]"),"taxa.extra",
INDIRECT("rec.uni[empresa]"),N$6)</f>
        <v>#REF!</v>
      </c>
      <c r="O104" s="51"/>
      <c r="P104" s="39"/>
      <c r="Q104" s="49">
        <f>SUMIFS([1]!in.rec[total],
[1]!in.rec[natureza],"pro.soluto",
[1]!in.rec[empresa],Q$6,
[1]!in.rec[data.base],"&gt;="&amp;$A104,
[1]!in.rec[data.base],"&lt;"&amp;EOMONTH($A104,0)
)</f>
        <v>0</v>
      </c>
      <c r="R104" s="38"/>
      <c r="S104" s="51"/>
      <c r="T104" s="51"/>
      <c r="U104" s="49" t="e">
        <f ca="1">SUMIFS([1]!rec.uni[2029-06-01],
INDIRECT("rec.uni[natureza]"),"taxa.extra",
INDIRECT("rec.uni[empresa]"),U$6)</f>
        <v>#REF!</v>
      </c>
      <c r="V104" s="51"/>
      <c r="W104" s="39"/>
      <c r="X104" s="49">
        <f>SUMIFS([1]!in.rec[total],
[1]!in.rec[natureza],"pro.soluto",
[1]!in.rec[empresa],X$6,
[1]!in.rec[data.base],"&gt;="&amp;$A104,
[1]!in.rec[data.base],"&lt;"&amp;EOMONTH($A104,0)
)</f>
        <v>12485.47</v>
      </c>
      <c r="Y104" s="49" t="e">
        <f ca="1">SUMIFS([1]!rec.uni[2029-06-01],
INDIRECT("rec.uni[natureza]"),"taxa.extra",
INDIRECT("rec.uni[empresa]"),Y$6)</f>
        <v>#REF!</v>
      </c>
      <c r="Z104" s="51"/>
      <c r="AA104" s="39"/>
      <c r="AB104" s="49">
        <f>SUMIFS([1]!in.rec[total],
[1]!in.rec[natureza],"pro.soluto",
[1]!in.rec[empresa],AB$6,
[1]!in.rec[data.base],"&gt;="&amp;$A104,
[1]!in.rec[data.base],"&lt;"&amp;EOMONTH($A104,0)
)</f>
        <v>0</v>
      </c>
      <c r="AC104" s="51">
        <f>IF(
$A104&lt;=$A$1,
SUMIFS([1]!in.rec[total],
   [1]!in.rec[empresa],AC$6,
   [1]!in.rec[ele],"FIN",
   [1]!in.rec[data.pagamento],"&gt;="&amp;$A104,
   [1]!in.rec[data.pagamento],"&lt;"&amp;$A105
),
SUMIFS([1]!in.rec[total],
   [1]!in.rec[empresa],AC$6,
   [1]!in.rec[ele],"FIN",
   [1]!in.rec[data.vencimento],"&gt;="&amp;$A104,
   [1]!in.rec[data.vencimento],"&lt;"&amp;$A105
)
)</f>
        <v>0</v>
      </c>
      <c r="AD104" s="49" t="e">
        <f ca="1">SUMIFS([1]!rec.uni[2029-06-01],
INDIRECT("rec.uni[natureza]"),"taxa.extra",
INDIRECT("rec.uni[empresa]"),AD$6)</f>
        <v>#REF!</v>
      </c>
      <c r="AE104" s="51"/>
      <c r="AF104" s="48">
        <f>COUNTIFS(
    [1]!estoque[empresa], AF$6,
    [1]!estoque[Data da venda / reserva], "&gt;=" &amp; $A104,
    [1]!estoque[Data da venda / reserva], "&lt;"  &amp; EOMONTH($A104,0) + 1
)</f>
        <v>0</v>
      </c>
      <c r="AG104" s="49">
        <f>SUMIFS([1]!in.rec[total],
[1]!in.rec[natureza],"pro.soluto",
[1]!in.rec[empresa],AG$6,
[1]!in.rec[data.base],"&gt;="&amp;$A104,
[1]!in.rec[data.base],"&lt;"&amp;EOMONTH($A104,0)
)</f>
        <v>0</v>
      </c>
      <c r="AH104" s="38"/>
      <c r="AI104" s="51"/>
      <c r="AJ104" s="51"/>
      <c r="AK104" s="49" t="e">
        <f ca="1">SUMIFS([1]!rec.uni[2029-06-01],
INDIRECT("rec.uni[natureza]"),"taxa.extra",
INDIRECT("rec.uni[empresa]"),AK$6)</f>
        <v>#REF!</v>
      </c>
      <c r="AL104" s="51"/>
      <c r="AM104" s="39"/>
      <c r="AN104" s="49">
        <f>SUMIFS([1]!in.rec[total],
[1]!in.rec[natureza],"pro.soluto",
[1]!in.rec[empresa],AN$6,
[1]!in.rec[data.base],"&gt;="&amp;$A104,
[1]!in.rec[data.base],"&lt;"&amp;EOMONTH($A104,0)
)</f>
        <v>6170.0199999999995</v>
      </c>
      <c r="AO104" s="49" t="e">
        <f ca="1">SUMIFS([1]!rec.uni[2029-06-01],
INDIRECT("rec.uni[natureza]"),"taxa.extra",
INDIRECT("rec.uni[empresa]"),AO$6)</f>
        <v>#REF!</v>
      </c>
      <c r="AP104" s="51"/>
    </row>
    <row r="105" spans="1:42" x14ac:dyDescent="0.25">
      <c r="A105" s="47">
        <v>47300</v>
      </c>
      <c r="B105" s="39"/>
      <c r="C105" s="49">
        <f>SUMIFS([1]!in.rec[total],
[1]!in.rec[natureza],"pro.soluto",
[1]!in.rec[empresa],C$6,
[1]!in.rec[data.base],"&gt;="&amp;$A105,
[1]!in.rec[data.base],"&lt;"&amp;EOMONTH($A105,0)
)</f>
        <v>0</v>
      </c>
      <c r="D105" s="38"/>
      <c r="E105" s="51"/>
      <c r="F105" s="51"/>
      <c r="G105" s="49" t="e">
        <f ca="1">SUMIFS([1]!rec.uni[2029-07-01],
INDIRECT("rec.uni[natureza]"),"taxa.extra",
INDIRECT("rec.uni[empresa]"),G$6)</f>
        <v>#REF!</v>
      </c>
      <c r="H105" s="51"/>
      <c r="I105" s="39"/>
      <c r="J105" s="49">
        <f>SUMIFS([1]!in.rec[total],
[1]!in.rec[natureza],"pro.soluto",
[1]!in.rec[empresa],J$6,
[1]!in.rec[data.base],"&gt;="&amp;$A105,
[1]!in.rec[data.base],"&lt;"&amp;EOMONTH($A105,0)
)</f>
        <v>0</v>
      </c>
      <c r="K105" s="38"/>
      <c r="L105" s="51"/>
      <c r="M105" s="51"/>
      <c r="N105" s="49" t="e">
        <f ca="1">SUMIFS([1]!rec.uni[2029-07-01],
INDIRECT("rec.uni[natureza]"),"taxa.extra",
INDIRECT("rec.uni[empresa]"),N$6)</f>
        <v>#REF!</v>
      </c>
      <c r="O105" s="51"/>
      <c r="P105" s="39"/>
      <c r="Q105" s="49">
        <f>SUMIFS([1]!in.rec[total],
[1]!in.rec[natureza],"pro.soluto",
[1]!in.rec[empresa],Q$6,
[1]!in.rec[data.base],"&gt;="&amp;$A105,
[1]!in.rec[data.base],"&lt;"&amp;EOMONTH($A105,0)
)</f>
        <v>0</v>
      </c>
      <c r="R105" s="38"/>
      <c r="S105" s="51"/>
      <c r="T105" s="51"/>
      <c r="U105" s="49" t="e">
        <f ca="1">SUMIFS([1]!rec.uni[2029-07-01],
INDIRECT("rec.uni[natureza]"),"taxa.extra",
INDIRECT("rec.uni[empresa]"),U$6)</f>
        <v>#REF!</v>
      </c>
      <c r="V105" s="51"/>
      <c r="W105" s="39"/>
      <c r="X105" s="49">
        <f>SUMIFS([1]!in.rec[total],
[1]!in.rec[natureza],"pro.soluto",
[1]!in.rec[empresa],X$6,
[1]!in.rec[data.base],"&gt;="&amp;$A105,
[1]!in.rec[data.base],"&lt;"&amp;EOMONTH($A105,0)
)</f>
        <v>12634.47</v>
      </c>
      <c r="Y105" s="49" t="e">
        <f ca="1">SUMIFS([1]!rec.uni[2029-07-01],
INDIRECT("rec.uni[natureza]"),"taxa.extra",
INDIRECT("rec.uni[empresa]"),Y$6)</f>
        <v>#REF!</v>
      </c>
      <c r="Z105" s="51"/>
      <c r="AA105" s="39"/>
      <c r="AB105" s="49">
        <f>SUMIFS([1]!in.rec[total],
[1]!in.rec[natureza],"pro.soluto",
[1]!in.rec[empresa],AB$6,
[1]!in.rec[data.base],"&gt;="&amp;$A105,
[1]!in.rec[data.base],"&lt;"&amp;EOMONTH($A105,0)
)</f>
        <v>0</v>
      </c>
      <c r="AC105" s="51">
        <f>IF(
$A105&lt;=$A$1,
SUMIFS([1]!in.rec[total],
   [1]!in.rec[empresa],AC$6,
   [1]!in.rec[ele],"FIN",
   [1]!in.rec[data.pagamento],"&gt;="&amp;$A105,
   [1]!in.rec[data.pagamento],"&lt;"&amp;$A106
),
SUMIFS([1]!in.rec[total],
   [1]!in.rec[empresa],AC$6,
   [1]!in.rec[ele],"FIN",
   [1]!in.rec[data.vencimento],"&gt;="&amp;$A105,
   [1]!in.rec[data.vencimento],"&lt;"&amp;$A106
)
)</f>
        <v>0</v>
      </c>
      <c r="AD105" s="49" t="e">
        <f ca="1">SUMIFS([1]!rec.uni[2029-07-01],
INDIRECT("rec.uni[natureza]"),"taxa.extra",
INDIRECT("rec.uni[empresa]"),AD$6)</f>
        <v>#REF!</v>
      </c>
      <c r="AE105" s="51"/>
      <c r="AF105" s="48">
        <f>COUNTIFS(
    [1]!estoque[empresa], AF$6,
    [1]!estoque[Data da venda / reserva], "&gt;=" &amp; $A105,
    [1]!estoque[Data da venda / reserva], "&lt;"  &amp; EOMONTH($A105,0) + 1
)</f>
        <v>0</v>
      </c>
      <c r="AG105" s="49">
        <f>SUMIFS([1]!in.rec[total],
[1]!in.rec[natureza],"pro.soluto",
[1]!in.rec[empresa],AG$6,
[1]!in.rec[data.base],"&gt;="&amp;$A105,
[1]!in.rec[data.base],"&lt;"&amp;EOMONTH($A105,0)
)</f>
        <v>0</v>
      </c>
      <c r="AH105" s="38"/>
      <c r="AI105" s="51"/>
      <c r="AJ105" s="51"/>
      <c r="AK105" s="49" t="e">
        <f ca="1">SUMIFS([1]!rec.uni[2029-07-01],
INDIRECT("rec.uni[natureza]"),"taxa.extra",
INDIRECT("rec.uni[empresa]"),AK$6)</f>
        <v>#REF!</v>
      </c>
      <c r="AL105" s="51"/>
      <c r="AM105" s="39"/>
      <c r="AN105" s="49">
        <f>SUMIFS([1]!in.rec[total],
[1]!in.rec[natureza],"pro.soluto",
[1]!in.rec[empresa],AN$6,
[1]!in.rec[data.base],"&gt;="&amp;$A105,
[1]!in.rec[data.base],"&lt;"&amp;EOMONTH($A105,0)
)</f>
        <v>6170.0199999999995</v>
      </c>
      <c r="AO105" s="49" t="e">
        <f ca="1">SUMIFS([1]!rec.uni[2029-07-01],
INDIRECT("rec.uni[natureza]"),"taxa.extra",
INDIRECT("rec.uni[empresa]"),AO$6)</f>
        <v>#REF!</v>
      </c>
      <c r="AP105" s="51"/>
    </row>
    <row r="106" spans="1:42" x14ac:dyDescent="0.25">
      <c r="A106" s="47">
        <v>47331</v>
      </c>
      <c r="B106" s="39"/>
      <c r="C106" s="49">
        <f>SUMIFS([1]!in.rec[total],
[1]!in.rec[natureza],"pro.soluto",
[1]!in.rec[empresa],C$6,
[1]!in.rec[data.base],"&gt;="&amp;$A106,
[1]!in.rec[data.base],"&lt;"&amp;EOMONTH($A106,0)
)</f>
        <v>0</v>
      </c>
      <c r="D106" s="38"/>
      <c r="E106" s="51"/>
      <c r="F106" s="51"/>
      <c r="G106" s="49" t="e">
        <f ca="1">SUMIFS([1]!rec.uni[2029-08-01],
INDIRECT("rec.uni[natureza]"),"taxa.extra",
INDIRECT("rec.uni[empresa]"),G$6)</f>
        <v>#REF!</v>
      </c>
      <c r="H106" s="51"/>
      <c r="I106" s="39"/>
      <c r="J106" s="49">
        <f>SUMIFS([1]!in.rec[total],
[1]!in.rec[natureza],"pro.soluto",
[1]!in.rec[empresa],J$6,
[1]!in.rec[data.base],"&gt;="&amp;$A106,
[1]!in.rec[data.base],"&lt;"&amp;EOMONTH($A106,0)
)</f>
        <v>0</v>
      </c>
      <c r="K106" s="38"/>
      <c r="L106" s="51"/>
      <c r="M106" s="51"/>
      <c r="N106" s="49" t="e">
        <f ca="1">SUMIFS([1]!rec.uni[2029-08-01],
INDIRECT("rec.uni[natureza]"),"taxa.extra",
INDIRECT("rec.uni[empresa]"),N$6)</f>
        <v>#REF!</v>
      </c>
      <c r="O106" s="51"/>
      <c r="P106" s="39"/>
      <c r="Q106" s="49">
        <f>SUMIFS([1]!in.rec[total],
[1]!in.rec[natureza],"pro.soluto",
[1]!in.rec[empresa],Q$6,
[1]!in.rec[data.base],"&gt;="&amp;$A106,
[1]!in.rec[data.base],"&lt;"&amp;EOMONTH($A106,0)
)</f>
        <v>0</v>
      </c>
      <c r="R106" s="38"/>
      <c r="S106" s="51"/>
      <c r="T106" s="51"/>
      <c r="U106" s="49" t="e">
        <f ca="1">SUMIFS([1]!rec.uni[2029-08-01],
INDIRECT("rec.uni[natureza]"),"taxa.extra",
INDIRECT("rec.uni[empresa]"),U$6)</f>
        <v>#REF!</v>
      </c>
      <c r="V106" s="51"/>
      <c r="W106" s="39"/>
      <c r="X106" s="49">
        <f>SUMIFS([1]!in.rec[total],
[1]!in.rec[natureza],"pro.soluto",
[1]!in.rec[empresa],X$6,
[1]!in.rec[data.base],"&gt;="&amp;$A106,
[1]!in.rec[data.base],"&lt;"&amp;EOMONTH($A106,0)
)</f>
        <v>12834.47</v>
      </c>
      <c r="Y106" s="49" t="e">
        <f ca="1">SUMIFS([1]!rec.uni[2029-08-01],
INDIRECT("rec.uni[natureza]"),"taxa.extra",
INDIRECT("rec.uni[empresa]"),Y$6)</f>
        <v>#REF!</v>
      </c>
      <c r="Z106" s="51"/>
      <c r="AA106" s="39"/>
      <c r="AB106" s="49">
        <f>SUMIFS([1]!in.rec[total],
[1]!in.rec[natureza],"pro.soluto",
[1]!in.rec[empresa],AB$6,
[1]!in.rec[data.base],"&gt;="&amp;$A106,
[1]!in.rec[data.base],"&lt;"&amp;EOMONTH($A106,0)
)</f>
        <v>0</v>
      </c>
      <c r="AC106" s="51">
        <f>IF(
$A106&lt;=$A$1,
SUMIFS([1]!in.rec[total],
   [1]!in.rec[empresa],AC$6,
   [1]!in.rec[ele],"FIN",
   [1]!in.rec[data.pagamento],"&gt;="&amp;$A106,
   [1]!in.rec[data.pagamento],"&lt;"&amp;$A107
),
SUMIFS([1]!in.rec[total],
   [1]!in.rec[empresa],AC$6,
   [1]!in.rec[ele],"FIN",
   [1]!in.rec[data.vencimento],"&gt;="&amp;$A106,
   [1]!in.rec[data.vencimento],"&lt;"&amp;$A107
)
)</f>
        <v>0</v>
      </c>
      <c r="AD106" s="49" t="e">
        <f ca="1">SUMIFS([1]!rec.uni[2029-08-01],
INDIRECT("rec.uni[natureza]"),"taxa.extra",
INDIRECT("rec.uni[empresa]"),AD$6)</f>
        <v>#REF!</v>
      </c>
      <c r="AE106" s="51"/>
      <c r="AF106" s="48">
        <f>COUNTIFS(
    [1]!estoque[empresa], AF$6,
    [1]!estoque[Data da venda / reserva], "&gt;=" &amp; $A106,
    [1]!estoque[Data da venda / reserva], "&lt;"  &amp; EOMONTH($A106,0) + 1
)</f>
        <v>0</v>
      </c>
      <c r="AG106" s="49">
        <f>SUMIFS([1]!in.rec[total],
[1]!in.rec[natureza],"pro.soluto",
[1]!in.rec[empresa],AG$6,
[1]!in.rec[data.base],"&gt;="&amp;$A106,
[1]!in.rec[data.base],"&lt;"&amp;EOMONTH($A106,0)
)</f>
        <v>0</v>
      </c>
      <c r="AH106" s="38"/>
      <c r="AI106" s="51"/>
      <c r="AJ106" s="51"/>
      <c r="AK106" s="49" t="e">
        <f ca="1">SUMIFS([1]!rec.uni[2029-08-01],
INDIRECT("rec.uni[natureza]"),"taxa.extra",
INDIRECT("rec.uni[empresa]"),AK$6)</f>
        <v>#REF!</v>
      </c>
      <c r="AL106" s="51"/>
      <c r="AM106" s="39"/>
      <c r="AN106" s="49">
        <f>SUMIFS([1]!in.rec[total],
[1]!in.rec[natureza],"pro.soluto",
[1]!in.rec[empresa],AN$6,
[1]!in.rec[data.base],"&gt;="&amp;$A106,
[1]!in.rec[data.base],"&lt;"&amp;EOMONTH($A106,0)
)</f>
        <v>6170.0199999999995</v>
      </c>
      <c r="AO106" s="49" t="e">
        <f ca="1">SUMIFS([1]!rec.uni[2029-08-01],
INDIRECT("rec.uni[natureza]"),"taxa.extra",
INDIRECT("rec.uni[empresa]"),AO$6)</f>
        <v>#REF!</v>
      </c>
      <c r="AP106" s="51"/>
    </row>
    <row r="107" spans="1:42" x14ac:dyDescent="0.25">
      <c r="A107" s="47">
        <v>47362</v>
      </c>
      <c r="B107" s="39"/>
      <c r="C107" s="49">
        <f>SUMIFS([1]!in.rec[total],
[1]!in.rec[natureza],"pro.soluto",
[1]!in.rec[empresa],C$6,
[1]!in.rec[data.base],"&gt;="&amp;$A107,
[1]!in.rec[data.base],"&lt;"&amp;EOMONTH($A107,0)
)</f>
        <v>0</v>
      </c>
      <c r="D107" s="38"/>
      <c r="E107" s="51"/>
      <c r="F107" s="51"/>
      <c r="G107" s="49" t="e">
        <f ca="1">SUMIFS([1]!rec.uni[2029-09-01],
INDIRECT("rec.uni[natureza]"),"taxa.extra",
INDIRECT("rec.uni[empresa]"),G$6)</f>
        <v>#REF!</v>
      </c>
      <c r="H107" s="51"/>
      <c r="I107" s="39"/>
      <c r="J107" s="49">
        <f>SUMIFS([1]!in.rec[total],
[1]!in.rec[natureza],"pro.soluto",
[1]!in.rec[empresa],J$6,
[1]!in.rec[data.base],"&gt;="&amp;$A107,
[1]!in.rec[data.base],"&lt;"&amp;EOMONTH($A107,0)
)</f>
        <v>0</v>
      </c>
      <c r="K107" s="38"/>
      <c r="L107" s="51"/>
      <c r="M107" s="51"/>
      <c r="N107" s="49" t="e">
        <f ca="1">SUMIFS([1]!rec.uni[2029-09-01],
INDIRECT("rec.uni[natureza]"),"taxa.extra",
INDIRECT("rec.uni[empresa]"),N$6)</f>
        <v>#REF!</v>
      </c>
      <c r="O107" s="51"/>
      <c r="P107" s="39"/>
      <c r="Q107" s="49">
        <f>SUMIFS([1]!in.rec[total],
[1]!in.rec[natureza],"pro.soluto",
[1]!in.rec[empresa],Q$6,
[1]!in.rec[data.base],"&gt;="&amp;$A107,
[1]!in.rec[data.base],"&lt;"&amp;EOMONTH($A107,0)
)</f>
        <v>0</v>
      </c>
      <c r="R107" s="38"/>
      <c r="S107" s="51"/>
      <c r="T107" s="51"/>
      <c r="U107" s="49" t="e">
        <f ca="1">SUMIFS([1]!rec.uni[2029-09-01],
INDIRECT("rec.uni[natureza]"),"taxa.extra",
INDIRECT("rec.uni[empresa]"),U$6)</f>
        <v>#REF!</v>
      </c>
      <c r="V107" s="51"/>
      <c r="W107" s="39"/>
      <c r="X107" s="49">
        <f>SUMIFS([1]!in.rec[total],
[1]!in.rec[natureza],"pro.soluto",
[1]!in.rec[empresa],X$6,
[1]!in.rec[data.base],"&gt;="&amp;$A107,
[1]!in.rec[data.base],"&lt;"&amp;EOMONTH($A107,0)
)</f>
        <v>12834.47</v>
      </c>
      <c r="Y107" s="49" t="e">
        <f ca="1">SUMIFS([1]!rec.uni[2029-09-01],
INDIRECT("rec.uni[natureza]"),"taxa.extra",
INDIRECT("rec.uni[empresa]"),Y$6)</f>
        <v>#REF!</v>
      </c>
      <c r="Z107" s="51"/>
      <c r="AA107" s="39"/>
      <c r="AB107" s="49">
        <f>SUMIFS([1]!in.rec[total],
[1]!in.rec[natureza],"pro.soluto",
[1]!in.rec[empresa],AB$6,
[1]!in.rec[data.base],"&gt;="&amp;$A107,
[1]!in.rec[data.base],"&lt;"&amp;EOMONTH($A107,0)
)</f>
        <v>0</v>
      </c>
      <c r="AC107" s="51">
        <f>IF(
$A107&lt;=$A$1,
SUMIFS([1]!in.rec[total],
   [1]!in.rec[empresa],AC$6,
   [1]!in.rec[ele],"FIN",
   [1]!in.rec[data.pagamento],"&gt;="&amp;$A107,
   [1]!in.rec[data.pagamento],"&lt;"&amp;$A108
),
SUMIFS([1]!in.rec[total],
   [1]!in.rec[empresa],AC$6,
   [1]!in.rec[ele],"FIN",
   [1]!in.rec[data.vencimento],"&gt;="&amp;$A107,
   [1]!in.rec[data.vencimento],"&lt;"&amp;$A108
)
)</f>
        <v>0</v>
      </c>
      <c r="AD107" s="49" t="e">
        <f ca="1">SUMIFS([1]!rec.uni[2029-09-01],
INDIRECT("rec.uni[natureza]"),"taxa.extra",
INDIRECT("rec.uni[empresa]"),AD$6)</f>
        <v>#REF!</v>
      </c>
      <c r="AE107" s="51"/>
      <c r="AF107" s="48">
        <f>COUNTIFS(
    [1]!estoque[empresa], AF$6,
    [1]!estoque[Data da venda / reserva], "&gt;=" &amp; $A107,
    [1]!estoque[Data da venda / reserva], "&lt;"  &amp; EOMONTH($A107,0) + 1
)</f>
        <v>0</v>
      </c>
      <c r="AG107" s="49">
        <f>SUMIFS([1]!in.rec[total],
[1]!in.rec[natureza],"pro.soluto",
[1]!in.rec[empresa],AG$6,
[1]!in.rec[data.base],"&gt;="&amp;$A107,
[1]!in.rec[data.base],"&lt;"&amp;EOMONTH($A107,0)
)</f>
        <v>0</v>
      </c>
      <c r="AH107" s="38"/>
      <c r="AI107" s="51"/>
      <c r="AJ107" s="51"/>
      <c r="AK107" s="49" t="e">
        <f ca="1">SUMIFS([1]!rec.uni[2029-09-01],
INDIRECT("rec.uni[natureza]"),"taxa.extra",
INDIRECT("rec.uni[empresa]"),AK$6)</f>
        <v>#REF!</v>
      </c>
      <c r="AL107" s="51"/>
      <c r="AM107" s="39"/>
      <c r="AN107" s="49">
        <f>SUMIFS([1]!in.rec[total],
[1]!in.rec[natureza],"pro.soluto",
[1]!in.rec[empresa],AN$6,
[1]!in.rec[data.base],"&gt;="&amp;$A107,
[1]!in.rec[data.base],"&lt;"&amp;EOMONTH($A107,0)
)</f>
        <v>6170.0199999999995</v>
      </c>
      <c r="AO107" s="49" t="e">
        <f ca="1">SUMIFS([1]!rec.uni[2029-09-01],
INDIRECT("rec.uni[natureza]"),"taxa.extra",
INDIRECT("rec.uni[empresa]"),AO$6)</f>
        <v>#REF!</v>
      </c>
      <c r="AP107" s="51"/>
    </row>
    <row r="108" spans="1:42" x14ac:dyDescent="0.25">
      <c r="A108" s="47">
        <v>47392</v>
      </c>
      <c r="B108" s="39"/>
      <c r="C108" s="49">
        <f>SUMIFS([1]!in.rec[total],
[1]!in.rec[natureza],"pro.soluto",
[1]!in.rec[empresa],C$6,
[1]!in.rec[data.base],"&gt;="&amp;$A108,
[1]!in.rec[data.base],"&lt;"&amp;EOMONTH($A108,0)
)</f>
        <v>0</v>
      </c>
      <c r="D108" s="38"/>
      <c r="E108" s="51"/>
      <c r="F108" s="51"/>
      <c r="G108" s="49" t="e">
        <f ca="1">SUMIFS([1]!rec.uni[2029-10-01],
INDIRECT("rec.uni[natureza]"),"taxa.extra",
INDIRECT("rec.uni[empresa]"),G$6)</f>
        <v>#REF!</v>
      </c>
      <c r="H108" s="51"/>
      <c r="I108" s="39"/>
      <c r="J108" s="49">
        <f>SUMIFS([1]!in.rec[total],
[1]!in.rec[natureza],"pro.soluto",
[1]!in.rec[empresa],J$6,
[1]!in.rec[data.base],"&gt;="&amp;$A108,
[1]!in.rec[data.base],"&lt;"&amp;EOMONTH($A108,0)
)</f>
        <v>0</v>
      </c>
      <c r="K108" s="38"/>
      <c r="L108" s="51"/>
      <c r="M108" s="51"/>
      <c r="N108" s="49" t="e">
        <f ca="1">SUMIFS([1]!rec.uni[2029-10-01],
INDIRECT("rec.uni[natureza]"),"taxa.extra",
INDIRECT("rec.uni[empresa]"),N$6)</f>
        <v>#REF!</v>
      </c>
      <c r="O108" s="51"/>
      <c r="P108" s="39"/>
      <c r="Q108" s="49">
        <f>SUMIFS([1]!in.rec[total],
[1]!in.rec[natureza],"pro.soluto",
[1]!in.rec[empresa],Q$6,
[1]!in.rec[data.base],"&gt;="&amp;$A108,
[1]!in.rec[data.base],"&lt;"&amp;EOMONTH($A108,0)
)</f>
        <v>0</v>
      </c>
      <c r="R108" s="38"/>
      <c r="S108" s="51"/>
      <c r="T108" s="51"/>
      <c r="U108" s="49" t="e">
        <f ca="1">SUMIFS([1]!rec.uni[2029-10-01],
INDIRECT("rec.uni[natureza]"),"taxa.extra",
INDIRECT("rec.uni[empresa]"),U$6)</f>
        <v>#REF!</v>
      </c>
      <c r="V108" s="51"/>
      <c r="W108" s="39"/>
      <c r="X108" s="49">
        <f>SUMIFS([1]!in.rec[total],
[1]!in.rec[natureza],"pro.soluto",
[1]!in.rec[empresa],X$6,
[1]!in.rec[data.base],"&gt;="&amp;$A108,
[1]!in.rec[data.base],"&lt;"&amp;EOMONTH($A108,0)
)</f>
        <v>12834.47</v>
      </c>
      <c r="Y108" s="49" t="e">
        <f ca="1">SUMIFS([1]!rec.uni[2029-10-01],
INDIRECT("rec.uni[natureza]"),"taxa.extra",
INDIRECT("rec.uni[empresa]"),Y$6)</f>
        <v>#REF!</v>
      </c>
      <c r="Z108" s="51"/>
      <c r="AA108" s="39"/>
      <c r="AB108" s="49">
        <f>SUMIFS([1]!in.rec[total],
[1]!in.rec[natureza],"pro.soluto",
[1]!in.rec[empresa],AB$6,
[1]!in.rec[data.base],"&gt;="&amp;$A108,
[1]!in.rec[data.base],"&lt;"&amp;EOMONTH($A108,0)
)</f>
        <v>0</v>
      </c>
      <c r="AC108" s="51">
        <f>IF(
$A108&lt;=$A$1,
SUMIFS([1]!in.rec[total],
   [1]!in.rec[empresa],AC$6,
   [1]!in.rec[ele],"FIN",
   [1]!in.rec[data.pagamento],"&gt;="&amp;$A108,
   [1]!in.rec[data.pagamento],"&lt;"&amp;$A109
),
SUMIFS([1]!in.rec[total],
   [1]!in.rec[empresa],AC$6,
   [1]!in.rec[ele],"FIN",
   [1]!in.rec[data.vencimento],"&gt;="&amp;$A108,
   [1]!in.rec[data.vencimento],"&lt;"&amp;$A109
)
)</f>
        <v>0</v>
      </c>
      <c r="AD108" s="49" t="e">
        <f ca="1">SUMIFS([1]!rec.uni[2029-10-01],
INDIRECT("rec.uni[natureza]"),"taxa.extra",
INDIRECT("rec.uni[empresa]"),AD$6)</f>
        <v>#REF!</v>
      </c>
      <c r="AE108" s="51"/>
      <c r="AF108" s="48">
        <f>COUNTIFS(
    [1]!estoque[empresa], AF$6,
    [1]!estoque[Data da venda / reserva], "&gt;=" &amp; $A108,
    [1]!estoque[Data da venda / reserva], "&lt;"  &amp; EOMONTH($A108,0) + 1
)</f>
        <v>0</v>
      </c>
      <c r="AG108" s="49">
        <f>SUMIFS([1]!in.rec[total],
[1]!in.rec[natureza],"pro.soluto",
[1]!in.rec[empresa],AG$6,
[1]!in.rec[data.base],"&gt;="&amp;$A108,
[1]!in.rec[data.base],"&lt;"&amp;EOMONTH($A108,0)
)</f>
        <v>0</v>
      </c>
      <c r="AH108" s="38"/>
      <c r="AI108" s="51"/>
      <c r="AJ108" s="51"/>
      <c r="AK108" s="49" t="e">
        <f ca="1">SUMIFS([1]!rec.uni[2029-10-01],
INDIRECT("rec.uni[natureza]"),"taxa.extra",
INDIRECT("rec.uni[empresa]"),AK$6)</f>
        <v>#REF!</v>
      </c>
      <c r="AL108" s="51"/>
      <c r="AM108" s="39"/>
      <c r="AN108" s="49">
        <f>SUMIFS([1]!in.rec[total],
[1]!in.rec[natureza],"pro.soluto",
[1]!in.rec[empresa],AN$6,
[1]!in.rec[data.base],"&gt;="&amp;$A108,
[1]!in.rec[data.base],"&lt;"&amp;EOMONTH($A108,0)
)</f>
        <v>6170.0199999999995</v>
      </c>
      <c r="AO108" s="49" t="e">
        <f ca="1">SUMIFS([1]!rec.uni[2029-10-01],
INDIRECT("rec.uni[natureza]"),"taxa.extra",
INDIRECT("rec.uni[empresa]"),AO$6)</f>
        <v>#REF!</v>
      </c>
      <c r="AP108" s="51"/>
    </row>
    <row r="109" spans="1:42" x14ac:dyDescent="0.25">
      <c r="A109" s="47">
        <v>47423</v>
      </c>
      <c r="B109" s="39"/>
      <c r="C109" s="49">
        <f>SUMIFS([1]!in.rec[total],
[1]!in.rec[natureza],"pro.soluto",
[1]!in.rec[empresa],C$6,
[1]!in.rec[data.base],"&gt;="&amp;$A109,
[1]!in.rec[data.base],"&lt;"&amp;EOMONTH($A109,0)
)</f>
        <v>0</v>
      </c>
      <c r="D109" s="38"/>
      <c r="E109" s="51"/>
      <c r="F109" s="51"/>
      <c r="G109" s="49" t="e">
        <f ca="1">SUMIFS([1]!rec.uni[2029-11-01],
INDIRECT("rec.uni[natureza]"),"taxa.extra",
INDIRECT("rec.uni[empresa]"),G$6)</f>
        <v>#REF!</v>
      </c>
      <c r="H109" s="51"/>
      <c r="I109" s="39"/>
      <c r="J109" s="49">
        <f>SUMIFS([1]!in.rec[total],
[1]!in.rec[natureza],"pro.soluto",
[1]!in.rec[empresa],J$6,
[1]!in.rec[data.base],"&gt;="&amp;$A109,
[1]!in.rec[data.base],"&lt;"&amp;EOMONTH($A109,0)
)</f>
        <v>0</v>
      </c>
      <c r="K109" s="38"/>
      <c r="L109" s="51"/>
      <c r="M109" s="51"/>
      <c r="N109" s="49" t="e">
        <f ca="1">SUMIFS([1]!rec.uni[2029-11-01],
INDIRECT("rec.uni[natureza]"),"taxa.extra",
INDIRECT("rec.uni[empresa]"),N$6)</f>
        <v>#REF!</v>
      </c>
      <c r="O109" s="51"/>
      <c r="P109" s="39"/>
      <c r="Q109" s="49">
        <f>SUMIFS([1]!in.rec[total],
[1]!in.rec[natureza],"pro.soluto",
[1]!in.rec[empresa],Q$6,
[1]!in.rec[data.base],"&gt;="&amp;$A109,
[1]!in.rec[data.base],"&lt;"&amp;EOMONTH($A109,0)
)</f>
        <v>0</v>
      </c>
      <c r="R109" s="38"/>
      <c r="S109" s="51"/>
      <c r="T109" s="51"/>
      <c r="U109" s="49" t="e">
        <f ca="1">SUMIFS([1]!rec.uni[2029-11-01],
INDIRECT("rec.uni[natureza]"),"taxa.extra",
INDIRECT("rec.uni[empresa]"),U$6)</f>
        <v>#REF!</v>
      </c>
      <c r="V109" s="51"/>
      <c r="W109" s="39"/>
      <c r="X109" s="49">
        <f>SUMIFS([1]!in.rec[total],
[1]!in.rec[natureza],"pro.soluto",
[1]!in.rec[empresa],X$6,
[1]!in.rec[data.base],"&gt;="&amp;$A109,
[1]!in.rec[data.base],"&lt;"&amp;EOMONTH($A109,0)
)</f>
        <v>12834.47</v>
      </c>
      <c r="Y109" s="49" t="e">
        <f ca="1">SUMIFS([1]!rec.uni[2029-11-01],
INDIRECT("rec.uni[natureza]"),"taxa.extra",
INDIRECT("rec.uni[empresa]"),Y$6)</f>
        <v>#REF!</v>
      </c>
      <c r="Z109" s="51"/>
      <c r="AA109" s="39"/>
      <c r="AB109" s="49">
        <f>SUMIFS([1]!in.rec[total],
[1]!in.rec[natureza],"pro.soluto",
[1]!in.rec[empresa],AB$6,
[1]!in.rec[data.base],"&gt;="&amp;$A109,
[1]!in.rec[data.base],"&lt;"&amp;EOMONTH($A109,0)
)</f>
        <v>0</v>
      </c>
      <c r="AC109" s="51">
        <f>IF(
$A109&lt;=$A$1,
SUMIFS([1]!in.rec[total],
   [1]!in.rec[empresa],AC$6,
   [1]!in.rec[ele],"FIN",
   [1]!in.rec[data.pagamento],"&gt;="&amp;$A109,
   [1]!in.rec[data.pagamento],"&lt;"&amp;$A110
),
SUMIFS([1]!in.rec[total],
   [1]!in.rec[empresa],AC$6,
   [1]!in.rec[ele],"FIN",
   [1]!in.rec[data.vencimento],"&gt;="&amp;$A109,
   [1]!in.rec[data.vencimento],"&lt;"&amp;$A110
)
)</f>
        <v>0</v>
      </c>
      <c r="AD109" s="49" t="e">
        <f ca="1">SUMIFS([1]!rec.uni[2029-11-01],
INDIRECT("rec.uni[natureza]"),"taxa.extra",
INDIRECT("rec.uni[empresa]"),AD$6)</f>
        <v>#REF!</v>
      </c>
      <c r="AE109" s="51"/>
      <c r="AF109" s="48">
        <f>COUNTIFS(
    [1]!estoque[empresa], AF$6,
    [1]!estoque[Data da venda / reserva], "&gt;=" &amp; $A109,
    [1]!estoque[Data da venda / reserva], "&lt;"  &amp; EOMONTH($A109,0) + 1
)</f>
        <v>0</v>
      </c>
      <c r="AG109" s="49">
        <f>SUMIFS([1]!in.rec[total],
[1]!in.rec[natureza],"pro.soluto",
[1]!in.rec[empresa],AG$6,
[1]!in.rec[data.base],"&gt;="&amp;$A109,
[1]!in.rec[data.base],"&lt;"&amp;EOMONTH($A109,0)
)</f>
        <v>0</v>
      </c>
      <c r="AH109" s="38"/>
      <c r="AI109" s="51"/>
      <c r="AJ109" s="51"/>
      <c r="AK109" s="49" t="e">
        <f ca="1">SUMIFS([1]!rec.uni[2029-11-01],
INDIRECT("rec.uni[natureza]"),"taxa.extra",
INDIRECT("rec.uni[empresa]"),AK$6)</f>
        <v>#REF!</v>
      </c>
      <c r="AL109" s="51"/>
      <c r="AM109" s="39"/>
      <c r="AN109" s="49">
        <f>SUMIFS([1]!in.rec[total],
[1]!in.rec[natureza],"pro.soluto",
[1]!in.rec[empresa],AN$6,
[1]!in.rec[data.base],"&gt;="&amp;$A109,
[1]!in.rec[data.base],"&lt;"&amp;EOMONTH($A109,0)
)</f>
        <v>6170.0199999999995</v>
      </c>
      <c r="AO109" s="49" t="e">
        <f ca="1">SUMIFS([1]!rec.uni[2029-11-01],
INDIRECT("rec.uni[natureza]"),"taxa.extra",
INDIRECT("rec.uni[empresa]"),AO$6)</f>
        <v>#REF!</v>
      </c>
      <c r="AP109" s="51"/>
    </row>
    <row r="110" spans="1:42" x14ac:dyDescent="0.25">
      <c r="A110" s="47">
        <v>47453</v>
      </c>
      <c r="B110" s="39"/>
      <c r="C110" s="49">
        <f>SUMIFS([1]!in.rec[total],
[1]!in.rec[natureza],"pro.soluto",
[1]!in.rec[empresa],C$6,
[1]!in.rec[data.base],"&gt;="&amp;$A110,
[1]!in.rec[data.base],"&lt;"&amp;EOMONTH($A110,0)
)</f>
        <v>0</v>
      </c>
      <c r="D110" s="38"/>
      <c r="E110" s="51"/>
      <c r="F110" s="51"/>
      <c r="G110" s="49" t="e">
        <f ca="1">SUMIFS([1]!rec.uni[2029-12-01],
INDIRECT("rec.uni[natureza]"),"taxa.extra",
INDIRECT("rec.uni[empresa]"),G$6)</f>
        <v>#REF!</v>
      </c>
      <c r="H110" s="51"/>
      <c r="I110" s="39"/>
      <c r="J110" s="49">
        <f>SUMIFS([1]!in.rec[total],
[1]!in.rec[natureza],"pro.soluto",
[1]!in.rec[empresa],J$6,
[1]!in.rec[data.base],"&gt;="&amp;$A110,
[1]!in.rec[data.base],"&lt;"&amp;EOMONTH($A110,0)
)</f>
        <v>0</v>
      </c>
      <c r="K110" s="38"/>
      <c r="L110" s="51"/>
      <c r="M110" s="51"/>
      <c r="N110" s="49" t="e">
        <f ca="1">SUMIFS([1]!rec.uni[2029-12-01],
INDIRECT("rec.uni[natureza]"),"taxa.extra",
INDIRECT("rec.uni[empresa]"),N$6)</f>
        <v>#REF!</v>
      </c>
      <c r="O110" s="51"/>
      <c r="P110" s="39"/>
      <c r="Q110" s="49">
        <f>SUMIFS([1]!in.rec[total],
[1]!in.rec[natureza],"pro.soluto",
[1]!in.rec[empresa],Q$6,
[1]!in.rec[data.base],"&gt;="&amp;$A110,
[1]!in.rec[data.base],"&lt;"&amp;EOMONTH($A110,0)
)</f>
        <v>0</v>
      </c>
      <c r="R110" s="38"/>
      <c r="S110" s="51"/>
      <c r="T110" s="51"/>
      <c r="U110" s="49" t="e">
        <f ca="1">SUMIFS([1]!rec.uni[2029-12-01],
INDIRECT("rec.uni[natureza]"),"taxa.extra",
INDIRECT("rec.uni[empresa]"),U$6)</f>
        <v>#REF!</v>
      </c>
      <c r="V110" s="51"/>
      <c r="W110" s="39"/>
      <c r="X110" s="49">
        <f>SUMIFS([1]!in.rec[total],
[1]!in.rec[natureza],"pro.soluto",
[1]!in.rec[empresa],X$6,
[1]!in.rec[data.base],"&gt;="&amp;$A110,
[1]!in.rec[data.base],"&lt;"&amp;EOMONTH($A110,0)
)</f>
        <v>12834.47</v>
      </c>
      <c r="Y110" s="49" t="e">
        <f ca="1">SUMIFS([1]!rec.uni[2029-12-01],
INDIRECT("rec.uni[natureza]"),"taxa.extra",
INDIRECT("rec.uni[empresa]"),Y$6)</f>
        <v>#REF!</v>
      </c>
      <c r="Z110" s="51"/>
      <c r="AA110" s="39"/>
      <c r="AB110" s="49">
        <f>SUMIFS([1]!in.rec[total],
[1]!in.rec[natureza],"pro.soluto",
[1]!in.rec[empresa],AB$6,
[1]!in.rec[data.base],"&gt;="&amp;$A110,
[1]!in.rec[data.base],"&lt;"&amp;EOMONTH($A110,0)
)</f>
        <v>0</v>
      </c>
      <c r="AC110" s="51">
        <f>IF(
$A110&lt;=$A$1,
SUMIFS([1]!in.rec[total],
   [1]!in.rec[empresa],AC$6,
   [1]!in.rec[ele],"FIN",
   [1]!in.rec[data.pagamento],"&gt;="&amp;$A110,
   [1]!in.rec[data.pagamento],"&lt;"&amp;$A111
),
SUMIFS([1]!in.rec[total],
   [1]!in.rec[empresa],AC$6,
   [1]!in.rec[ele],"FIN",
   [1]!in.rec[data.vencimento],"&gt;="&amp;$A110,
   [1]!in.rec[data.vencimento],"&lt;"&amp;$A111
)
)</f>
        <v>0</v>
      </c>
      <c r="AD110" s="49" t="e">
        <f ca="1">SUMIFS([1]!rec.uni[2029-12-01],
INDIRECT("rec.uni[natureza]"),"taxa.extra",
INDIRECT("rec.uni[empresa]"),AD$6)</f>
        <v>#REF!</v>
      </c>
      <c r="AE110" s="51"/>
      <c r="AF110" s="48">
        <f>COUNTIFS(
    [1]!estoque[empresa], AF$6,
    [1]!estoque[Data da venda / reserva], "&gt;=" &amp; $A110,
    [1]!estoque[Data da venda / reserva], "&lt;"  &amp; EOMONTH($A110,0) + 1
)</f>
        <v>0</v>
      </c>
      <c r="AG110" s="49">
        <f>SUMIFS([1]!in.rec[total],
[1]!in.rec[natureza],"pro.soluto",
[1]!in.rec[empresa],AG$6,
[1]!in.rec[data.base],"&gt;="&amp;$A110,
[1]!in.rec[data.base],"&lt;"&amp;EOMONTH($A110,0)
)</f>
        <v>0</v>
      </c>
      <c r="AH110" s="38"/>
      <c r="AI110" s="51"/>
      <c r="AJ110" s="51"/>
      <c r="AK110" s="49" t="e">
        <f ca="1">SUMIFS([1]!rec.uni[2029-12-01],
INDIRECT("rec.uni[natureza]"),"taxa.extra",
INDIRECT("rec.uni[empresa]"),AK$6)</f>
        <v>#REF!</v>
      </c>
      <c r="AL110" s="51"/>
      <c r="AM110" s="39"/>
      <c r="AN110" s="49">
        <f>SUMIFS([1]!in.rec[total],
[1]!in.rec[natureza],"pro.soluto",
[1]!in.rec[empresa],AN$6,
[1]!in.rec[data.base],"&gt;="&amp;$A110,
[1]!in.rec[data.base],"&lt;"&amp;EOMONTH($A110,0)
)</f>
        <v>6170.0199999999995</v>
      </c>
      <c r="AO110" s="49" t="e">
        <f ca="1">SUMIFS([1]!rec.uni[2029-12-01],
INDIRECT("rec.uni[natureza]"),"taxa.extra",
INDIRECT("rec.uni[empresa]"),AO$6)</f>
        <v>#REF!</v>
      </c>
      <c r="AP110" s="51"/>
    </row>
    <row r="111" spans="1:42" x14ac:dyDescent="0.25">
      <c r="A111" s="47">
        <v>47484</v>
      </c>
      <c r="B111" s="39"/>
      <c r="C111" s="49">
        <f>SUMIFS([1]!in.rec[total],
[1]!in.rec[natureza],"pro.soluto",
[1]!in.rec[empresa],C$6,
[1]!in.rec[data.base],"&gt;="&amp;$A111,
[1]!in.rec[data.base],"&lt;"&amp;EOMONTH($A111,0)
)</f>
        <v>0</v>
      </c>
      <c r="D111" s="38"/>
      <c r="E111" s="51"/>
      <c r="F111" s="51"/>
      <c r="G111" s="49" t="e">
        <f ca="1">SUMIFS([1]!rec.uni[2030-01-01],
INDIRECT("rec.uni[natureza]"),"taxa.extra",
INDIRECT("rec.uni[empresa]"),G$6)</f>
        <v>#REF!</v>
      </c>
      <c r="H111" s="51"/>
      <c r="I111" s="39"/>
      <c r="J111" s="49">
        <f>SUMIFS([1]!in.rec[total],
[1]!in.rec[natureza],"pro.soluto",
[1]!in.rec[empresa],J$6,
[1]!in.rec[data.base],"&gt;="&amp;$A111,
[1]!in.rec[data.base],"&lt;"&amp;EOMONTH($A111,0)
)</f>
        <v>0</v>
      </c>
      <c r="K111" s="38"/>
      <c r="L111" s="51"/>
      <c r="M111" s="51"/>
      <c r="N111" s="49" t="e">
        <f ca="1">SUMIFS([1]!rec.uni[2030-01-01],
INDIRECT("rec.uni[natureza]"),"taxa.extra",
INDIRECT("rec.uni[empresa]"),N$6)</f>
        <v>#REF!</v>
      </c>
      <c r="O111" s="51"/>
      <c r="P111" s="39"/>
      <c r="Q111" s="49">
        <f>SUMIFS([1]!in.rec[total],
[1]!in.rec[natureza],"pro.soluto",
[1]!in.rec[empresa],Q$6,
[1]!in.rec[data.base],"&gt;="&amp;$A111,
[1]!in.rec[data.base],"&lt;"&amp;EOMONTH($A111,0)
)</f>
        <v>0</v>
      </c>
      <c r="R111" s="38"/>
      <c r="S111" s="51"/>
      <c r="T111" s="51"/>
      <c r="U111" s="49" t="e">
        <f ca="1">SUMIFS([1]!rec.uni[2030-01-01],
INDIRECT("rec.uni[natureza]"),"taxa.extra",
INDIRECT("rec.uni[empresa]"),U$6)</f>
        <v>#REF!</v>
      </c>
      <c r="V111" s="51"/>
      <c r="W111" s="39"/>
      <c r="X111" s="49">
        <f>SUMIFS([1]!in.rec[total],
[1]!in.rec[natureza],"pro.soluto",
[1]!in.rec[empresa],X$6,
[1]!in.rec[data.base],"&gt;="&amp;$A111,
[1]!in.rec[data.base],"&lt;"&amp;EOMONTH($A111,0)
)</f>
        <v>12834.47</v>
      </c>
      <c r="Y111" s="49" t="e">
        <f ca="1">SUMIFS([1]!rec.uni[2030-01-01],
INDIRECT("rec.uni[natureza]"),"taxa.extra",
INDIRECT("rec.uni[empresa]"),Y$6)</f>
        <v>#REF!</v>
      </c>
      <c r="Z111" s="51"/>
      <c r="AA111" s="39"/>
      <c r="AB111" s="49">
        <f>SUMIFS([1]!in.rec[total],
[1]!in.rec[natureza],"pro.soluto",
[1]!in.rec[empresa],AB$6,
[1]!in.rec[data.base],"&gt;="&amp;$A111,
[1]!in.rec[data.base],"&lt;"&amp;EOMONTH($A111,0)
)</f>
        <v>0</v>
      </c>
      <c r="AC111" s="51">
        <f>IF(
$A111&lt;=$A$1,
SUMIFS([1]!in.rec[total],
   [1]!in.rec[empresa],AC$6,
   [1]!in.rec[ele],"FIN",
   [1]!in.rec[data.pagamento],"&gt;="&amp;$A111,
   [1]!in.rec[data.pagamento],"&lt;"&amp;$A112
),
SUMIFS([1]!in.rec[total],
   [1]!in.rec[empresa],AC$6,
   [1]!in.rec[ele],"FIN",
   [1]!in.rec[data.vencimento],"&gt;="&amp;$A111,
   [1]!in.rec[data.vencimento],"&lt;"&amp;$A112
)
)</f>
        <v>0</v>
      </c>
      <c r="AD111" s="49" t="e">
        <f ca="1">SUMIFS([1]!rec.uni[2030-01-01],
INDIRECT("rec.uni[natureza]"),"taxa.extra",
INDIRECT("rec.uni[empresa]"),AD$6)</f>
        <v>#REF!</v>
      </c>
      <c r="AE111" s="51"/>
      <c r="AF111" s="48">
        <f>COUNTIFS(
    [1]!estoque[empresa], AF$6,
    [1]!estoque[Data da venda / reserva], "&gt;=" &amp; $A111,
    [1]!estoque[Data da venda / reserva], "&lt;"  &amp; EOMONTH($A111,0) + 1
)</f>
        <v>0</v>
      </c>
      <c r="AG111" s="49">
        <f>SUMIFS([1]!in.rec[total],
[1]!in.rec[natureza],"pro.soluto",
[1]!in.rec[empresa],AG$6,
[1]!in.rec[data.base],"&gt;="&amp;$A111,
[1]!in.rec[data.base],"&lt;"&amp;EOMONTH($A111,0)
)</f>
        <v>0</v>
      </c>
      <c r="AH111" s="38"/>
      <c r="AI111" s="51"/>
      <c r="AJ111" s="51"/>
      <c r="AK111" s="49" t="e">
        <f ca="1">SUMIFS([1]!rec.uni[2030-01-01],
INDIRECT("rec.uni[natureza]"),"taxa.extra",
INDIRECT("rec.uni[empresa]"),AK$6)</f>
        <v>#REF!</v>
      </c>
      <c r="AL111" s="51"/>
      <c r="AM111" s="39"/>
      <c r="AN111" s="49">
        <f>SUMIFS([1]!in.rec[total],
[1]!in.rec[natureza],"pro.soluto",
[1]!in.rec[empresa],AN$6,
[1]!in.rec[data.base],"&gt;="&amp;$A111,
[1]!in.rec[data.base],"&lt;"&amp;EOMONTH($A111,0)
)</f>
        <v>6170.0199999999995</v>
      </c>
      <c r="AO111" s="49" t="e">
        <f ca="1">SUMIFS([1]!rec.uni[2030-01-01],
INDIRECT("rec.uni[natureza]"),"taxa.extra",
INDIRECT("rec.uni[empresa]"),AO$6)</f>
        <v>#REF!</v>
      </c>
      <c r="AP111" s="51"/>
    </row>
    <row r="112" spans="1:42" x14ac:dyDescent="0.25">
      <c r="A112" s="47">
        <v>47515</v>
      </c>
      <c r="B112" s="39"/>
      <c r="C112" s="49">
        <f>SUMIFS([1]!in.rec[total],
[1]!in.rec[natureza],"pro.soluto",
[1]!in.rec[empresa],C$6,
[1]!in.rec[data.base],"&gt;="&amp;$A112,
[1]!in.rec[data.base],"&lt;"&amp;EOMONTH($A112,0)
)</f>
        <v>0</v>
      </c>
      <c r="D112" s="38"/>
      <c r="E112" s="51"/>
      <c r="F112" s="51"/>
      <c r="G112" s="49" t="e">
        <f ca="1">SUMIFS([1]!rec.uni[2030-02-01],
INDIRECT("rec.uni[natureza]"),"taxa.extra",
INDIRECT("rec.uni[empresa]"),G$6)</f>
        <v>#REF!</v>
      </c>
      <c r="H112" s="51"/>
      <c r="I112" s="39"/>
      <c r="J112" s="49">
        <f>SUMIFS([1]!in.rec[total],
[1]!in.rec[natureza],"pro.soluto",
[1]!in.rec[empresa],J$6,
[1]!in.rec[data.base],"&gt;="&amp;$A112,
[1]!in.rec[data.base],"&lt;"&amp;EOMONTH($A112,0)
)</f>
        <v>0</v>
      </c>
      <c r="K112" s="38"/>
      <c r="L112" s="51"/>
      <c r="M112" s="51"/>
      <c r="N112" s="49" t="e">
        <f ca="1">SUMIFS([1]!rec.uni[2030-02-01],
INDIRECT("rec.uni[natureza]"),"taxa.extra",
INDIRECT("rec.uni[empresa]"),N$6)</f>
        <v>#REF!</v>
      </c>
      <c r="O112" s="51"/>
      <c r="P112" s="39"/>
      <c r="Q112" s="49">
        <f>SUMIFS([1]!in.rec[total],
[1]!in.rec[natureza],"pro.soluto",
[1]!in.rec[empresa],Q$6,
[1]!in.rec[data.base],"&gt;="&amp;$A112,
[1]!in.rec[data.base],"&lt;"&amp;EOMONTH($A112,0)
)</f>
        <v>0</v>
      </c>
      <c r="R112" s="38"/>
      <c r="S112" s="51"/>
      <c r="T112" s="51"/>
      <c r="U112" s="49" t="e">
        <f ca="1">SUMIFS([1]!rec.uni[2030-02-01],
INDIRECT("rec.uni[natureza]"),"taxa.extra",
INDIRECT("rec.uni[empresa]"),U$6)</f>
        <v>#REF!</v>
      </c>
      <c r="V112" s="51"/>
      <c r="W112" s="39"/>
      <c r="X112" s="49">
        <f>SUMIFS([1]!in.rec[total],
[1]!in.rec[natureza],"pro.soluto",
[1]!in.rec[empresa],X$6,
[1]!in.rec[data.base],"&gt;="&amp;$A112,
[1]!in.rec[data.base],"&lt;"&amp;EOMONTH($A112,0)
)</f>
        <v>12834.47</v>
      </c>
      <c r="Y112" s="49" t="e">
        <f ca="1">SUMIFS([1]!rec.uni[2030-02-01],
INDIRECT("rec.uni[natureza]"),"taxa.extra",
INDIRECT("rec.uni[empresa]"),Y$6)</f>
        <v>#REF!</v>
      </c>
      <c r="Z112" s="51"/>
      <c r="AA112" s="39"/>
      <c r="AB112" s="49">
        <f>SUMIFS([1]!in.rec[total],
[1]!in.rec[natureza],"pro.soluto",
[1]!in.rec[empresa],AB$6,
[1]!in.rec[data.base],"&gt;="&amp;$A112,
[1]!in.rec[data.base],"&lt;"&amp;EOMONTH($A112,0)
)</f>
        <v>0</v>
      </c>
      <c r="AC112" s="51">
        <f>IF(
$A112&lt;=$A$1,
SUMIFS([1]!in.rec[total],
   [1]!in.rec[empresa],AC$6,
   [1]!in.rec[ele],"FIN",
   [1]!in.rec[data.pagamento],"&gt;="&amp;$A112,
   [1]!in.rec[data.pagamento],"&lt;"&amp;$A113
),
SUMIFS([1]!in.rec[total],
   [1]!in.rec[empresa],AC$6,
   [1]!in.rec[ele],"FIN",
   [1]!in.rec[data.vencimento],"&gt;="&amp;$A112,
   [1]!in.rec[data.vencimento],"&lt;"&amp;$A113
)
)</f>
        <v>0</v>
      </c>
      <c r="AD112" s="49" t="e">
        <f ca="1">SUMIFS([1]!rec.uni[2030-02-01],
INDIRECT("rec.uni[natureza]"),"taxa.extra",
INDIRECT("rec.uni[empresa]"),AD$6)</f>
        <v>#REF!</v>
      </c>
      <c r="AE112" s="51"/>
      <c r="AF112" s="48">
        <f>COUNTIFS(
    [1]!estoque[empresa], AF$6,
    [1]!estoque[Data da venda / reserva], "&gt;=" &amp; $A112,
    [1]!estoque[Data da venda / reserva], "&lt;"  &amp; EOMONTH($A112,0) + 1
)</f>
        <v>0</v>
      </c>
      <c r="AG112" s="49">
        <f>SUMIFS([1]!in.rec[total],
[1]!in.rec[natureza],"pro.soluto",
[1]!in.rec[empresa],AG$6,
[1]!in.rec[data.base],"&gt;="&amp;$A112,
[1]!in.rec[data.base],"&lt;"&amp;EOMONTH($A112,0)
)</f>
        <v>0</v>
      </c>
      <c r="AH112" s="38"/>
      <c r="AI112" s="51"/>
      <c r="AJ112" s="51"/>
      <c r="AK112" s="49" t="e">
        <f ca="1">SUMIFS([1]!rec.uni[2030-02-01],
INDIRECT("rec.uni[natureza]"),"taxa.extra",
INDIRECT("rec.uni[empresa]"),AK$6)</f>
        <v>#REF!</v>
      </c>
      <c r="AL112" s="51"/>
      <c r="AM112" s="39"/>
      <c r="AN112" s="49">
        <f>SUMIFS([1]!in.rec[total],
[1]!in.rec[natureza],"pro.soluto",
[1]!in.rec[empresa],AN$6,
[1]!in.rec[data.base],"&gt;="&amp;$A112,
[1]!in.rec[data.base],"&lt;"&amp;EOMONTH($A112,0)
)</f>
        <v>6170.0199999999995</v>
      </c>
      <c r="AO112" s="49" t="e">
        <f ca="1">SUMIFS([1]!rec.uni[2030-02-01],
INDIRECT("rec.uni[natureza]"),"taxa.extra",
INDIRECT("rec.uni[empresa]"),AO$6)</f>
        <v>#REF!</v>
      </c>
      <c r="AP112" s="51"/>
    </row>
    <row r="113" spans="1:42" x14ac:dyDescent="0.25">
      <c r="A113" s="47">
        <v>47543</v>
      </c>
      <c r="B113" s="39"/>
      <c r="C113" s="49">
        <f>SUMIFS([1]!in.rec[total],
[1]!in.rec[natureza],"pro.soluto",
[1]!in.rec[empresa],C$6,
[1]!in.rec[data.base],"&gt;="&amp;$A113,
[1]!in.rec[data.base],"&lt;"&amp;EOMONTH($A113,0)
)</f>
        <v>0</v>
      </c>
      <c r="D113" s="38"/>
      <c r="E113" s="51"/>
      <c r="F113" s="51"/>
      <c r="G113" s="49" t="e">
        <f ca="1">SUMIFS([1]!rec.uni[2030-03-01],
INDIRECT("rec.uni[natureza]"),"taxa.extra",
INDIRECT("rec.uni[empresa]"),G$6)</f>
        <v>#REF!</v>
      </c>
      <c r="H113" s="51"/>
      <c r="I113" s="39"/>
      <c r="J113" s="49">
        <f>SUMIFS([1]!in.rec[total],
[1]!in.rec[natureza],"pro.soluto",
[1]!in.rec[empresa],J$6,
[1]!in.rec[data.base],"&gt;="&amp;$A113,
[1]!in.rec[data.base],"&lt;"&amp;EOMONTH($A113,0)
)</f>
        <v>0</v>
      </c>
      <c r="K113" s="38"/>
      <c r="L113" s="51"/>
      <c r="M113" s="51"/>
      <c r="N113" s="49" t="e">
        <f ca="1">SUMIFS([1]!rec.uni[2030-03-01],
INDIRECT("rec.uni[natureza]"),"taxa.extra",
INDIRECT("rec.uni[empresa]"),N$6)</f>
        <v>#REF!</v>
      </c>
      <c r="O113" s="51"/>
      <c r="P113" s="39"/>
      <c r="Q113" s="49">
        <f>SUMIFS([1]!in.rec[total],
[1]!in.rec[natureza],"pro.soluto",
[1]!in.rec[empresa],Q$6,
[1]!in.rec[data.base],"&gt;="&amp;$A113,
[1]!in.rec[data.base],"&lt;"&amp;EOMONTH($A113,0)
)</f>
        <v>0</v>
      </c>
      <c r="R113" s="38"/>
      <c r="S113" s="51"/>
      <c r="T113" s="51"/>
      <c r="U113" s="49" t="e">
        <f ca="1">SUMIFS([1]!rec.uni[2030-03-01],
INDIRECT("rec.uni[natureza]"),"taxa.extra",
INDIRECT("rec.uni[empresa]"),U$6)</f>
        <v>#REF!</v>
      </c>
      <c r="V113" s="51"/>
      <c r="W113" s="39"/>
      <c r="X113" s="49">
        <f>SUMIFS([1]!in.rec[total],
[1]!in.rec[natureza],"pro.soluto",
[1]!in.rec[empresa],X$6,
[1]!in.rec[data.base],"&gt;="&amp;$A113,
[1]!in.rec[data.base],"&lt;"&amp;EOMONTH($A113,0)
)</f>
        <v>12834.47</v>
      </c>
      <c r="Y113" s="49" t="e">
        <f ca="1">SUMIFS([1]!rec.uni[2030-03-01],
INDIRECT("rec.uni[natureza]"),"taxa.extra",
INDIRECT("rec.uni[empresa]"),Y$6)</f>
        <v>#REF!</v>
      </c>
      <c r="Z113" s="51"/>
      <c r="AA113" s="39"/>
      <c r="AB113" s="49">
        <f>SUMIFS([1]!in.rec[total],
[1]!in.rec[natureza],"pro.soluto",
[1]!in.rec[empresa],AB$6,
[1]!in.rec[data.base],"&gt;="&amp;$A113,
[1]!in.rec[data.base],"&lt;"&amp;EOMONTH($A113,0)
)</f>
        <v>0</v>
      </c>
      <c r="AC113" s="51">
        <f>IF(
$A113&lt;=$A$1,
SUMIFS([1]!in.rec[total],
   [1]!in.rec[empresa],AC$6,
   [1]!in.rec[ele],"FIN",
   [1]!in.rec[data.pagamento],"&gt;="&amp;$A113,
   [1]!in.rec[data.pagamento],"&lt;"&amp;$A114
),
SUMIFS([1]!in.rec[total],
   [1]!in.rec[empresa],AC$6,
   [1]!in.rec[ele],"FIN",
   [1]!in.rec[data.vencimento],"&gt;="&amp;$A113,
   [1]!in.rec[data.vencimento],"&lt;"&amp;$A114
)
)</f>
        <v>0</v>
      </c>
      <c r="AD113" s="49" t="e">
        <f ca="1">SUMIFS([1]!rec.uni[2030-03-01],
INDIRECT("rec.uni[natureza]"),"taxa.extra",
INDIRECT("rec.uni[empresa]"),AD$6)</f>
        <v>#REF!</v>
      </c>
      <c r="AE113" s="51"/>
      <c r="AF113" s="48">
        <f>COUNTIFS(
    [1]!estoque[empresa], AF$6,
    [1]!estoque[Data da venda / reserva], "&gt;=" &amp; $A113,
    [1]!estoque[Data da venda / reserva], "&lt;"  &amp; EOMONTH($A113,0) + 1
)</f>
        <v>0</v>
      </c>
      <c r="AG113" s="49">
        <f>SUMIFS([1]!in.rec[total],
[1]!in.rec[natureza],"pro.soluto",
[1]!in.rec[empresa],AG$6,
[1]!in.rec[data.base],"&gt;="&amp;$A113,
[1]!in.rec[data.base],"&lt;"&amp;EOMONTH($A113,0)
)</f>
        <v>0</v>
      </c>
      <c r="AH113" s="38"/>
      <c r="AI113" s="51"/>
      <c r="AJ113" s="51"/>
      <c r="AK113" s="49" t="e">
        <f ca="1">SUMIFS([1]!rec.uni[2030-03-01],
INDIRECT("rec.uni[natureza]"),"taxa.extra",
INDIRECT("rec.uni[empresa]"),AK$6)</f>
        <v>#REF!</v>
      </c>
      <c r="AL113" s="51"/>
      <c r="AM113" s="39"/>
      <c r="AN113" s="49">
        <f>SUMIFS([1]!in.rec[total],
[1]!in.rec[natureza],"pro.soluto",
[1]!in.rec[empresa],AN$6,
[1]!in.rec[data.base],"&gt;="&amp;$A113,
[1]!in.rec[data.base],"&lt;"&amp;EOMONTH($A113,0)
)</f>
        <v>6170.0199999999995</v>
      </c>
      <c r="AO113" s="49" t="e">
        <f ca="1">SUMIFS([1]!rec.uni[2030-03-01],
INDIRECT("rec.uni[natureza]"),"taxa.extra",
INDIRECT("rec.uni[empresa]"),AO$6)</f>
        <v>#REF!</v>
      </c>
      <c r="AP113" s="51"/>
    </row>
    <row r="114" spans="1:42" x14ac:dyDescent="0.25">
      <c r="A114" s="47">
        <v>47574</v>
      </c>
      <c r="B114" s="39"/>
      <c r="C114" s="49">
        <f>SUMIFS([1]!in.rec[total],
[1]!in.rec[natureza],"pro.soluto",
[1]!in.rec[empresa],C$6,
[1]!in.rec[data.base],"&gt;="&amp;$A114,
[1]!in.rec[data.base],"&lt;"&amp;EOMONTH($A114,0)
)</f>
        <v>0</v>
      </c>
      <c r="D114" s="38"/>
      <c r="E114" s="51"/>
      <c r="F114" s="51"/>
      <c r="G114" s="49" t="e">
        <f ca="1">SUMIFS([1]!rec.uni[2030-04-01],
INDIRECT("rec.uni[natureza]"),"taxa.extra",
INDIRECT("rec.uni[empresa]"),G$6)</f>
        <v>#REF!</v>
      </c>
      <c r="H114" s="51"/>
      <c r="I114" s="39"/>
      <c r="J114" s="49">
        <f>SUMIFS([1]!in.rec[total],
[1]!in.rec[natureza],"pro.soluto",
[1]!in.rec[empresa],J$6,
[1]!in.rec[data.base],"&gt;="&amp;$A114,
[1]!in.rec[data.base],"&lt;"&amp;EOMONTH($A114,0)
)</f>
        <v>0</v>
      </c>
      <c r="K114" s="38"/>
      <c r="L114" s="51"/>
      <c r="M114" s="51"/>
      <c r="N114" s="49" t="e">
        <f ca="1">SUMIFS([1]!rec.uni[2030-04-01],
INDIRECT("rec.uni[natureza]"),"taxa.extra",
INDIRECT("rec.uni[empresa]"),N$6)</f>
        <v>#REF!</v>
      </c>
      <c r="O114" s="51"/>
      <c r="P114" s="39"/>
      <c r="Q114" s="49">
        <f>SUMIFS([1]!in.rec[total],
[1]!in.rec[natureza],"pro.soluto",
[1]!in.rec[empresa],Q$6,
[1]!in.rec[data.base],"&gt;="&amp;$A114,
[1]!in.rec[data.base],"&lt;"&amp;EOMONTH($A114,0)
)</f>
        <v>0</v>
      </c>
      <c r="R114" s="38"/>
      <c r="S114" s="51"/>
      <c r="T114" s="51"/>
      <c r="U114" s="49" t="e">
        <f ca="1">SUMIFS([1]!rec.uni[2030-04-01],
INDIRECT("rec.uni[natureza]"),"taxa.extra",
INDIRECT("rec.uni[empresa]"),U$6)</f>
        <v>#REF!</v>
      </c>
      <c r="V114" s="51"/>
      <c r="W114" s="39"/>
      <c r="X114" s="49">
        <f>SUMIFS([1]!in.rec[total],
[1]!in.rec[natureza],"pro.soluto",
[1]!in.rec[empresa],X$6,
[1]!in.rec[data.base],"&gt;="&amp;$A114,
[1]!in.rec[data.base],"&lt;"&amp;EOMONTH($A114,0)
)</f>
        <v>12834.47</v>
      </c>
      <c r="Y114" s="49" t="e">
        <f ca="1">SUMIFS([1]!rec.uni[2030-04-01],
INDIRECT("rec.uni[natureza]"),"taxa.extra",
INDIRECT("rec.uni[empresa]"),Y$6)</f>
        <v>#REF!</v>
      </c>
      <c r="Z114" s="51"/>
      <c r="AA114" s="39"/>
      <c r="AB114" s="49">
        <f>SUMIFS([1]!in.rec[total],
[1]!in.rec[natureza],"pro.soluto",
[1]!in.rec[empresa],AB$6,
[1]!in.rec[data.base],"&gt;="&amp;$A114,
[1]!in.rec[data.base],"&lt;"&amp;EOMONTH($A114,0)
)</f>
        <v>0</v>
      </c>
      <c r="AC114" s="51">
        <f>IF(
$A114&lt;=$A$1,
SUMIFS([1]!in.rec[total],
   [1]!in.rec[empresa],AC$6,
   [1]!in.rec[ele],"FIN",
   [1]!in.rec[data.pagamento],"&gt;="&amp;$A114,
   [1]!in.rec[data.pagamento],"&lt;"&amp;$A115
),
SUMIFS([1]!in.rec[total],
   [1]!in.rec[empresa],AC$6,
   [1]!in.rec[ele],"FIN",
   [1]!in.rec[data.vencimento],"&gt;="&amp;$A114,
   [1]!in.rec[data.vencimento],"&lt;"&amp;$A115
)
)</f>
        <v>0</v>
      </c>
      <c r="AD114" s="49" t="e">
        <f ca="1">SUMIFS([1]!rec.uni[2030-04-01],
INDIRECT("rec.uni[natureza]"),"taxa.extra",
INDIRECT("rec.uni[empresa]"),AD$6)</f>
        <v>#REF!</v>
      </c>
      <c r="AE114" s="51"/>
      <c r="AF114" s="48">
        <f>COUNTIFS(
    [1]!estoque[empresa], AF$6,
    [1]!estoque[Data da venda / reserva], "&gt;=" &amp; $A114,
    [1]!estoque[Data da venda / reserva], "&lt;"  &amp; EOMONTH($A114,0) + 1
)</f>
        <v>0</v>
      </c>
      <c r="AG114" s="49">
        <f>SUMIFS([1]!in.rec[total],
[1]!in.rec[natureza],"pro.soluto",
[1]!in.rec[empresa],AG$6,
[1]!in.rec[data.base],"&gt;="&amp;$A114,
[1]!in.rec[data.base],"&lt;"&amp;EOMONTH($A114,0)
)</f>
        <v>0</v>
      </c>
      <c r="AH114" s="38"/>
      <c r="AI114" s="51"/>
      <c r="AJ114" s="51"/>
      <c r="AK114" s="49" t="e">
        <f ca="1">SUMIFS([1]!rec.uni[2030-04-01],
INDIRECT("rec.uni[natureza]"),"taxa.extra",
INDIRECT("rec.uni[empresa]"),AK$6)</f>
        <v>#REF!</v>
      </c>
      <c r="AL114" s="51"/>
      <c r="AM114" s="39"/>
      <c r="AN114" s="49">
        <f>SUMIFS([1]!in.rec[total],
[1]!in.rec[natureza],"pro.soluto",
[1]!in.rec[empresa],AN$6,
[1]!in.rec[data.base],"&gt;="&amp;$A114,
[1]!in.rec[data.base],"&lt;"&amp;EOMONTH($A114,0)
)</f>
        <v>6170.0199999999995</v>
      </c>
      <c r="AO114" s="49" t="e">
        <f ca="1">SUMIFS([1]!rec.uni[2030-04-01],
INDIRECT("rec.uni[natureza]"),"taxa.extra",
INDIRECT("rec.uni[empresa]"),AO$6)</f>
        <v>#REF!</v>
      </c>
      <c r="AP114" s="51"/>
    </row>
    <row r="115" spans="1:42" x14ac:dyDescent="0.25">
      <c r="A115" s="47">
        <v>47604</v>
      </c>
      <c r="B115" s="39"/>
      <c r="C115" s="49">
        <f>SUMIFS([1]!in.rec[total],
[1]!in.rec[natureza],"pro.soluto",
[1]!in.rec[empresa],C$6,
[1]!in.rec[data.base],"&gt;="&amp;$A115,
[1]!in.rec[data.base],"&lt;"&amp;EOMONTH($A115,0)
)</f>
        <v>0</v>
      </c>
      <c r="D115" s="38"/>
      <c r="E115" s="51"/>
      <c r="F115" s="51"/>
      <c r="G115" s="49" t="e">
        <f ca="1">SUMIFS([1]!rec.uni[2030-05-01],
INDIRECT("rec.uni[natureza]"),"taxa.extra",
INDIRECT("rec.uni[empresa]"),G$6)</f>
        <v>#REF!</v>
      </c>
      <c r="H115" s="51"/>
      <c r="I115" s="39"/>
      <c r="J115" s="49">
        <f>SUMIFS([1]!in.rec[total],
[1]!in.rec[natureza],"pro.soluto",
[1]!in.rec[empresa],J$6,
[1]!in.rec[data.base],"&gt;="&amp;$A115,
[1]!in.rec[data.base],"&lt;"&amp;EOMONTH($A115,0)
)</f>
        <v>0</v>
      </c>
      <c r="K115" s="38"/>
      <c r="L115" s="51"/>
      <c r="M115" s="51"/>
      <c r="N115" s="49" t="e">
        <f ca="1">SUMIFS([1]!rec.uni[2030-05-01],
INDIRECT("rec.uni[natureza]"),"taxa.extra",
INDIRECT("rec.uni[empresa]"),N$6)</f>
        <v>#REF!</v>
      </c>
      <c r="O115" s="51"/>
      <c r="P115" s="39"/>
      <c r="Q115" s="49">
        <f>SUMIFS([1]!in.rec[total],
[1]!in.rec[natureza],"pro.soluto",
[1]!in.rec[empresa],Q$6,
[1]!in.rec[data.base],"&gt;="&amp;$A115,
[1]!in.rec[data.base],"&lt;"&amp;EOMONTH($A115,0)
)</f>
        <v>0</v>
      </c>
      <c r="R115" s="38"/>
      <c r="S115" s="51"/>
      <c r="T115" s="51"/>
      <c r="U115" s="49" t="e">
        <f ca="1">SUMIFS([1]!rec.uni[2030-05-01],
INDIRECT("rec.uni[natureza]"),"taxa.extra",
INDIRECT("rec.uni[empresa]"),U$6)</f>
        <v>#REF!</v>
      </c>
      <c r="V115" s="51"/>
      <c r="W115" s="39"/>
      <c r="X115" s="49">
        <f>SUMIFS([1]!in.rec[total],
[1]!in.rec[natureza],"pro.soluto",
[1]!in.rec[empresa],X$6,
[1]!in.rec[data.base],"&gt;="&amp;$A115,
[1]!in.rec[data.base],"&lt;"&amp;EOMONTH($A115,0)
)</f>
        <v>12834.47</v>
      </c>
      <c r="Y115" s="49" t="e">
        <f ca="1">SUMIFS([1]!rec.uni[2030-05-01],
INDIRECT("rec.uni[natureza]"),"taxa.extra",
INDIRECT("rec.uni[empresa]"),Y$6)</f>
        <v>#REF!</v>
      </c>
      <c r="Z115" s="51"/>
      <c r="AA115" s="39"/>
      <c r="AB115" s="49">
        <f>SUMIFS([1]!in.rec[total],
[1]!in.rec[natureza],"pro.soluto",
[1]!in.rec[empresa],AB$6,
[1]!in.rec[data.base],"&gt;="&amp;$A115,
[1]!in.rec[data.base],"&lt;"&amp;EOMONTH($A115,0)
)</f>
        <v>0</v>
      </c>
      <c r="AC115" s="51">
        <f>IF(
$A115&lt;=$A$1,
SUMIFS([1]!in.rec[total],
   [1]!in.rec[empresa],AC$6,
   [1]!in.rec[ele],"FIN",
   [1]!in.rec[data.pagamento],"&gt;="&amp;$A115,
   [1]!in.rec[data.pagamento],"&lt;"&amp;$A116
),
SUMIFS([1]!in.rec[total],
   [1]!in.rec[empresa],AC$6,
   [1]!in.rec[ele],"FIN",
   [1]!in.rec[data.vencimento],"&gt;="&amp;$A115,
   [1]!in.rec[data.vencimento],"&lt;"&amp;$A116
)
)</f>
        <v>0</v>
      </c>
      <c r="AD115" s="49" t="e">
        <f ca="1">SUMIFS([1]!rec.uni[2030-05-01],
INDIRECT("rec.uni[natureza]"),"taxa.extra",
INDIRECT("rec.uni[empresa]"),AD$6)</f>
        <v>#REF!</v>
      </c>
      <c r="AE115" s="51"/>
      <c r="AF115" s="48">
        <f>COUNTIFS(
    [1]!estoque[empresa], AF$6,
    [1]!estoque[Data da venda / reserva], "&gt;=" &amp; $A115,
    [1]!estoque[Data da venda / reserva], "&lt;"  &amp; EOMONTH($A115,0) + 1
)</f>
        <v>0</v>
      </c>
      <c r="AG115" s="49">
        <f>SUMIFS([1]!in.rec[total],
[1]!in.rec[natureza],"pro.soluto",
[1]!in.rec[empresa],AG$6,
[1]!in.rec[data.base],"&gt;="&amp;$A115,
[1]!in.rec[data.base],"&lt;"&amp;EOMONTH($A115,0)
)</f>
        <v>0</v>
      </c>
      <c r="AH115" s="38"/>
      <c r="AI115" s="51"/>
      <c r="AJ115" s="51"/>
      <c r="AK115" s="49" t="e">
        <f ca="1">SUMIFS([1]!rec.uni[2030-05-01],
INDIRECT("rec.uni[natureza]"),"taxa.extra",
INDIRECT("rec.uni[empresa]"),AK$6)</f>
        <v>#REF!</v>
      </c>
      <c r="AL115" s="51"/>
      <c r="AM115" s="39"/>
      <c r="AN115" s="49">
        <f>SUMIFS([1]!in.rec[total],
[1]!in.rec[natureza],"pro.soluto",
[1]!in.rec[empresa],AN$6,
[1]!in.rec[data.base],"&gt;="&amp;$A115,
[1]!in.rec[data.base],"&lt;"&amp;EOMONTH($A115,0)
)</f>
        <v>6170.0199999999995</v>
      </c>
      <c r="AO115" s="49" t="e">
        <f ca="1">SUMIFS([1]!rec.uni[2030-05-01],
INDIRECT("rec.uni[natureza]"),"taxa.extra",
INDIRECT("rec.uni[empresa]"),AO$6)</f>
        <v>#REF!</v>
      </c>
      <c r="AP115" s="51"/>
    </row>
    <row r="116" spans="1:42" x14ac:dyDescent="0.25">
      <c r="A116" s="47">
        <v>47635</v>
      </c>
      <c r="B116" s="39"/>
      <c r="C116" s="49">
        <f>SUMIFS([1]!in.rec[total],
[1]!in.rec[natureza],"pro.soluto",
[1]!in.rec[empresa],C$6,
[1]!in.rec[data.base],"&gt;="&amp;$A116,
[1]!in.rec[data.base],"&lt;"&amp;EOMONTH($A116,0)
)</f>
        <v>0</v>
      </c>
      <c r="D116" s="38"/>
      <c r="E116" s="51"/>
      <c r="F116" s="51"/>
      <c r="G116" s="49" t="e">
        <f ca="1">SUMIFS([1]!rec.uni[2030-06-01],
INDIRECT("rec.uni[natureza]"),"taxa.extra",
INDIRECT("rec.uni[empresa]"),G$6)</f>
        <v>#REF!</v>
      </c>
      <c r="H116" s="51"/>
      <c r="I116" s="39"/>
      <c r="J116" s="49">
        <f>SUMIFS([1]!in.rec[total],
[1]!in.rec[natureza],"pro.soluto",
[1]!in.rec[empresa],J$6,
[1]!in.rec[data.base],"&gt;="&amp;$A116,
[1]!in.rec[data.base],"&lt;"&amp;EOMONTH($A116,0)
)</f>
        <v>0</v>
      </c>
      <c r="K116" s="38"/>
      <c r="L116" s="51"/>
      <c r="M116" s="51"/>
      <c r="N116" s="49" t="e">
        <f ca="1">SUMIFS([1]!rec.uni[2030-06-01],
INDIRECT("rec.uni[natureza]"),"taxa.extra",
INDIRECT("rec.uni[empresa]"),N$6)</f>
        <v>#REF!</v>
      </c>
      <c r="O116" s="51"/>
      <c r="P116" s="39"/>
      <c r="Q116" s="49">
        <f>SUMIFS([1]!in.rec[total],
[1]!in.rec[natureza],"pro.soluto",
[1]!in.rec[empresa],Q$6,
[1]!in.rec[data.base],"&gt;="&amp;$A116,
[1]!in.rec[data.base],"&lt;"&amp;EOMONTH($A116,0)
)</f>
        <v>0</v>
      </c>
      <c r="R116" s="38"/>
      <c r="S116" s="51"/>
      <c r="T116" s="51"/>
      <c r="U116" s="49" t="e">
        <f ca="1">SUMIFS([1]!rec.uni[2030-06-01],
INDIRECT("rec.uni[natureza]"),"taxa.extra",
INDIRECT("rec.uni[empresa]"),U$6)</f>
        <v>#REF!</v>
      </c>
      <c r="V116" s="51"/>
      <c r="W116" s="39"/>
      <c r="X116" s="49">
        <f>SUMIFS([1]!in.rec[total],
[1]!in.rec[natureza],"pro.soluto",
[1]!in.rec[empresa],X$6,
[1]!in.rec[data.base],"&gt;="&amp;$A116,
[1]!in.rec[data.base],"&lt;"&amp;EOMONTH($A116,0)
)</f>
        <v>12834.47</v>
      </c>
      <c r="Y116" s="49" t="e">
        <f ca="1">SUMIFS([1]!rec.uni[2030-06-01],
INDIRECT("rec.uni[natureza]"),"taxa.extra",
INDIRECT("rec.uni[empresa]"),Y$6)</f>
        <v>#REF!</v>
      </c>
      <c r="Z116" s="51"/>
      <c r="AA116" s="39"/>
      <c r="AB116" s="49">
        <f>SUMIFS([1]!in.rec[total],
[1]!in.rec[natureza],"pro.soluto",
[1]!in.rec[empresa],AB$6,
[1]!in.rec[data.base],"&gt;="&amp;$A116,
[1]!in.rec[data.base],"&lt;"&amp;EOMONTH($A116,0)
)</f>
        <v>0</v>
      </c>
      <c r="AC116" s="51">
        <f>IF(
$A116&lt;=$A$1,
SUMIFS([1]!in.rec[total],
   [1]!in.rec[empresa],AC$6,
   [1]!in.rec[ele],"FIN",
   [1]!in.rec[data.pagamento],"&gt;="&amp;$A116,
   [1]!in.rec[data.pagamento],"&lt;"&amp;$A117
),
SUMIFS([1]!in.rec[total],
   [1]!in.rec[empresa],AC$6,
   [1]!in.rec[ele],"FIN",
   [1]!in.rec[data.vencimento],"&gt;="&amp;$A116,
   [1]!in.rec[data.vencimento],"&lt;"&amp;$A117
)
)</f>
        <v>0</v>
      </c>
      <c r="AD116" s="49" t="e">
        <f ca="1">SUMIFS([1]!rec.uni[2030-06-01],
INDIRECT("rec.uni[natureza]"),"taxa.extra",
INDIRECT("rec.uni[empresa]"),AD$6)</f>
        <v>#REF!</v>
      </c>
      <c r="AE116" s="51"/>
      <c r="AF116" s="48">
        <f>COUNTIFS(
    [1]!estoque[empresa], AF$6,
    [1]!estoque[Data da venda / reserva], "&gt;=" &amp; $A116,
    [1]!estoque[Data da venda / reserva], "&lt;"  &amp; EOMONTH($A116,0) + 1
)</f>
        <v>0</v>
      </c>
      <c r="AG116" s="49">
        <f>SUMIFS([1]!in.rec[total],
[1]!in.rec[natureza],"pro.soluto",
[1]!in.rec[empresa],AG$6,
[1]!in.rec[data.base],"&gt;="&amp;$A116,
[1]!in.rec[data.base],"&lt;"&amp;EOMONTH($A116,0)
)</f>
        <v>0</v>
      </c>
      <c r="AH116" s="38"/>
      <c r="AI116" s="51"/>
      <c r="AJ116" s="51"/>
      <c r="AK116" s="49" t="e">
        <f ca="1">SUMIFS([1]!rec.uni[2030-06-01],
INDIRECT("rec.uni[natureza]"),"taxa.extra",
INDIRECT("rec.uni[empresa]"),AK$6)</f>
        <v>#REF!</v>
      </c>
      <c r="AL116" s="51"/>
      <c r="AM116" s="39"/>
      <c r="AN116" s="49">
        <f>SUMIFS([1]!in.rec[total],
[1]!in.rec[natureza],"pro.soluto",
[1]!in.rec[empresa],AN$6,
[1]!in.rec[data.base],"&gt;="&amp;$A116,
[1]!in.rec[data.base],"&lt;"&amp;EOMONTH($A116,0)
)</f>
        <v>6170.0199999999995</v>
      </c>
      <c r="AO116" s="49" t="e">
        <f ca="1">SUMIFS([1]!rec.uni[2030-06-01],
INDIRECT("rec.uni[natureza]"),"taxa.extra",
INDIRECT("rec.uni[empresa]"),AO$6)</f>
        <v>#REF!</v>
      </c>
      <c r="AP116" s="51"/>
    </row>
    <row r="117" spans="1:42" x14ac:dyDescent="0.25">
      <c r="A117" s="47">
        <v>47665</v>
      </c>
      <c r="B117" s="39"/>
      <c r="C117" s="49">
        <f>SUMIFS([1]!in.rec[total],
[1]!in.rec[natureza],"pro.soluto",
[1]!in.rec[empresa],C$6,
[1]!in.rec[data.base],"&gt;="&amp;$A117,
[1]!in.rec[data.base],"&lt;"&amp;EOMONTH($A117,0)
)</f>
        <v>0</v>
      </c>
      <c r="D117" s="38"/>
      <c r="E117" s="51"/>
      <c r="F117" s="51"/>
      <c r="G117" s="49" t="e">
        <f ca="1">SUMIFS([1]!rec.uni[2030-07-01],
INDIRECT("rec.uni[natureza]"),"taxa.extra",
INDIRECT("rec.uni[empresa]"),G$6)</f>
        <v>#REF!</v>
      </c>
      <c r="H117" s="51"/>
      <c r="I117" s="39"/>
      <c r="J117" s="49">
        <f>SUMIFS([1]!in.rec[total],
[1]!in.rec[natureza],"pro.soluto",
[1]!in.rec[empresa],J$6,
[1]!in.rec[data.base],"&gt;="&amp;$A117,
[1]!in.rec[data.base],"&lt;"&amp;EOMONTH($A117,0)
)</f>
        <v>0</v>
      </c>
      <c r="K117" s="38"/>
      <c r="L117" s="51"/>
      <c r="M117" s="51"/>
      <c r="N117" s="49" t="e">
        <f ca="1">SUMIFS([1]!rec.uni[2030-07-01],
INDIRECT("rec.uni[natureza]"),"taxa.extra",
INDIRECT("rec.uni[empresa]"),N$6)</f>
        <v>#REF!</v>
      </c>
      <c r="O117" s="51"/>
      <c r="P117" s="39"/>
      <c r="Q117" s="49">
        <f>SUMIFS([1]!in.rec[total],
[1]!in.rec[natureza],"pro.soluto",
[1]!in.rec[empresa],Q$6,
[1]!in.rec[data.base],"&gt;="&amp;$A117,
[1]!in.rec[data.base],"&lt;"&amp;EOMONTH($A117,0)
)</f>
        <v>0</v>
      </c>
      <c r="R117" s="38"/>
      <c r="S117" s="51"/>
      <c r="T117" s="51"/>
      <c r="U117" s="49" t="e">
        <f ca="1">SUMIFS([1]!rec.uni[2030-07-01],
INDIRECT("rec.uni[natureza]"),"taxa.extra",
INDIRECT("rec.uni[empresa]"),U$6)</f>
        <v>#REF!</v>
      </c>
      <c r="V117" s="51"/>
      <c r="W117" s="39"/>
      <c r="X117" s="49">
        <f>SUMIFS([1]!in.rec[total],
[1]!in.rec[natureza],"pro.soluto",
[1]!in.rec[empresa],X$6,
[1]!in.rec[data.base],"&gt;="&amp;$A117,
[1]!in.rec[data.base],"&lt;"&amp;EOMONTH($A117,0)
)</f>
        <v>12434.47</v>
      </c>
      <c r="Y117" s="49" t="e">
        <f ca="1">SUMIFS([1]!rec.uni[2030-07-01],
INDIRECT("rec.uni[natureza]"),"taxa.extra",
INDIRECT("rec.uni[empresa]"),Y$6)</f>
        <v>#REF!</v>
      </c>
      <c r="Z117" s="51"/>
      <c r="AA117" s="39"/>
      <c r="AB117" s="49">
        <f>SUMIFS([1]!in.rec[total],
[1]!in.rec[natureza],"pro.soluto",
[1]!in.rec[empresa],AB$6,
[1]!in.rec[data.base],"&gt;="&amp;$A117,
[1]!in.rec[data.base],"&lt;"&amp;EOMONTH($A117,0)
)</f>
        <v>0</v>
      </c>
      <c r="AC117" s="51">
        <f>IF(
$A117&lt;=$A$1,
SUMIFS([1]!in.rec[total],
   [1]!in.rec[empresa],AC$6,
   [1]!in.rec[ele],"FIN",
   [1]!in.rec[data.pagamento],"&gt;="&amp;$A117,
   [1]!in.rec[data.pagamento],"&lt;"&amp;$A118
),
SUMIFS([1]!in.rec[total],
   [1]!in.rec[empresa],AC$6,
   [1]!in.rec[ele],"FIN",
   [1]!in.rec[data.vencimento],"&gt;="&amp;$A117,
   [1]!in.rec[data.vencimento],"&lt;"&amp;$A118
)
)</f>
        <v>0</v>
      </c>
      <c r="AD117" s="49" t="e">
        <f ca="1">SUMIFS([1]!rec.uni[2030-07-01],
INDIRECT("rec.uni[natureza]"),"taxa.extra",
INDIRECT("rec.uni[empresa]"),AD$6)</f>
        <v>#REF!</v>
      </c>
      <c r="AE117" s="51"/>
      <c r="AF117" s="48">
        <f>COUNTIFS(
    [1]!estoque[empresa], AF$6,
    [1]!estoque[Data da venda / reserva], "&gt;=" &amp; $A117,
    [1]!estoque[Data da venda / reserva], "&lt;"  &amp; EOMONTH($A117,0) + 1
)</f>
        <v>0</v>
      </c>
      <c r="AG117" s="49">
        <f>SUMIFS([1]!in.rec[total],
[1]!in.rec[natureza],"pro.soluto",
[1]!in.rec[empresa],AG$6,
[1]!in.rec[data.base],"&gt;="&amp;$A117,
[1]!in.rec[data.base],"&lt;"&amp;EOMONTH($A117,0)
)</f>
        <v>0</v>
      </c>
      <c r="AH117" s="38"/>
      <c r="AI117" s="51"/>
      <c r="AJ117" s="51"/>
      <c r="AK117" s="49" t="e">
        <f ca="1">SUMIFS([1]!rec.uni[2030-07-01],
INDIRECT("rec.uni[natureza]"),"taxa.extra",
INDIRECT("rec.uni[empresa]"),AK$6)</f>
        <v>#REF!</v>
      </c>
      <c r="AL117" s="51"/>
      <c r="AM117" s="39"/>
      <c r="AN117" s="49">
        <f>SUMIFS([1]!in.rec[total],
[1]!in.rec[natureza],"pro.soluto",
[1]!in.rec[empresa],AN$6,
[1]!in.rec[data.base],"&gt;="&amp;$A117,
[1]!in.rec[data.base],"&lt;"&amp;EOMONTH($A117,0)
)</f>
        <v>6170.0199999999995</v>
      </c>
      <c r="AO117" s="49" t="e">
        <f ca="1">SUMIFS([1]!rec.uni[2030-07-01],
INDIRECT("rec.uni[natureza]"),"taxa.extra",
INDIRECT("rec.uni[empresa]"),AO$6)</f>
        <v>#REF!</v>
      </c>
      <c r="AP117" s="51"/>
    </row>
    <row r="118" spans="1:42" x14ac:dyDescent="0.25">
      <c r="A118" s="47">
        <v>47696</v>
      </c>
      <c r="B118" s="39"/>
      <c r="C118" s="49">
        <f>SUMIFS([1]!in.rec[total],
[1]!in.rec[natureza],"pro.soluto",
[1]!in.rec[empresa],C$6,
[1]!in.rec[data.base],"&gt;="&amp;$A118,
[1]!in.rec[data.base],"&lt;"&amp;EOMONTH($A118,0)
)</f>
        <v>0</v>
      </c>
      <c r="D118" s="38"/>
      <c r="E118" s="51"/>
      <c r="F118" s="51"/>
      <c r="G118" s="49" t="e">
        <f ca="1">SUMIFS([1]!rec.uni[2030-08-01],
INDIRECT("rec.uni[natureza]"),"taxa.extra",
INDIRECT("rec.uni[empresa]"),G$6)</f>
        <v>#REF!</v>
      </c>
      <c r="H118" s="51"/>
      <c r="I118" s="39"/>
      <c r="J118" s="49">
        <f>SUMIFS([1]!in.rec[total],
[1]!in.rec[natureza],"pro.soluto",
[1]!in.rec[empresa],J$6,
[1]!in.rec[data.base],"&gt;="&amp;$A118,
[1]!in.rec[data.base],"&lt;"&amp;EOMONTH($A118,0)
)</f>
        <v>0</v>
      </c>
      <c r="K118" s="38"/>
      <c r="L118" s="51"/>
      <c r="M118" s="51"/>
      <c r="N118" s="49" t="e">
        <f ca="1">SUMIFS([1]!rec.uni[2030-08-01],
INDIRECT("rec.uni[natureza]"),"taxa.extra",
INDIRECT("rec.uni[empresa]"),N$6)</f>
        <v>#REF!</v>
      </c>
      <c r="O118" s="51"/>
      <c r="P118" s="39"/>
      <c r="Q118" s="49">
        <f>SUMIFS([1]!in.rec[total],
[1]!in.rec[natureza],"pro.soluto",
[1]!in.rec[empresa],Q$6,
[1]!in.rec[data.base],"&gt;="&amp;$A118,
[1]!in.rec[data.base],"&lt;"&amp;EOMONTH($A118,0)
)</f>
        <v>0</v>
      </c>
      <c r="R118" s="38"/>
      <c r="S118" s="51"/>
      <c r="T118" s="51"/>
      <c r="U118" s="49" t="e">
        <f ca="1">SUMIFS([1]!rec.uni[2030-08-01],
INDIRECT("rec.uni[natureza]"),"taxa.extra",
INDIRECT("rec.uni[empresa]"),U$6)</f>
        <v>#REF!</v>
      </c>
      <c r="V118" s="51"/>
      <c r="W118" s="39"/>
      <c r="X118" s="49">
        <f>SUMIFS([1]!in.rec[total],
[1]!in.rec[natureza],"pro.soluto",
[1]!in.rec[empresa],X$6,
[1]!in.rec[data.base],"&gt;="&amp;$A118,
[1]!in.rec[data.base],"&lt;"&amp;EOMONTH($A118,0)
)</f>
        <v>11338.47</v>
      </c>
      <c r="Y118" s="49" t="e">
        <f ca="1">SUMIFS([1]!rec.uni[2030-08-01],
INDIRECT("rec.uni[natureza]"),"taxa.extra",
INDIRECT("rec.uni[empresa]"),Y$6)</f>
        <v>#REF!</v>
      </c>
      <c r="Z118" s="51"/>
      <c r="AA118" s="39"/>
      <c r="AB118" s="49">
        <f>SUMIFS([1]!in.rec[total],
[1]!in.rec[natureza],"pro.soluto",
[1]!in.rec[empresa],AB$6,
[1]!in.rec[data.base],"&gt;="&amp;$A118,
[1]!in.rec[data.base],"&lt;"&amp;EOMONTH($A118,0)
)</f>
        <v>0</v>
      </c>
      <c r="AC118" s="51">
        <f>IF(
$A118&lt;=$A$1,
SUMIFS([1]!in.rec[total],
   [1]!in.rec[empresa],AC$6,
   [1]!in.rec[ele],"FIN",
   [1]!in.rec[data.pagamento],"&gt;="&amp;$A118,
   [1]!in.rec[data.pagamento],"&lt;"&amp;$A119
),
SUMIFS([1]!in.rec[total],
   [1]!in.rec[empresa],AC$6,
   [1]!in.rec[ele],"FIN",
   [1]!in.rec[data.vencimento],"&gt;="&amp;$A118,
   [1]!in.rec[data.vencimento],"&lt;"&amp;$A119
)
)</f>
        <v>0</v>
      </c>
      <c r="AD118" s="49" t="e">
        <f ca="1">SUMIFS([1]!rec.uni[2030-08-01],
INDIRECT("rec.uni[natureza]"),"taxa.extra",
INDIRECT("rec.uni[empresa]"),AD$6)</f>
        <v>#REF!</v>
      </c>
      <c r="AE118" s="51"/>
      <c r="AF118" s="48">
        <f>COUNTIFS(
    [1]!estoque[empresa], AF$6,
    [1]!estoque[Data da venda / reserva], "&gt;=" &amp; $A118,
    [1]!estoque[Data da venda / reserva], "&lt;"  &amp; EOMONTH($A118,0) + 1
)</f>
        <v>0</v>
      </c>
      <c r="AG118" s="49">
        <f>SUMIFS([1]!in.rec[total],
[1]!in.rec[natureza],"pro.soluto",
[1]!in.rec[empresa],AG$6,
[1]!in.rec[data.base],"&gt;="&amp;$A118,
[1]!in.rec[data.base],"&lt;"&amp;EOMONTH($A118,0)
)</f>
        <v>0</v>
      </c>
      <c r="AH118" s="38"/>
      <c r="AI118" s="51"/>
      <c r="AJ118" s="51"/>
      <c r="AK118" s="49" t="e">
        <f ca="1">SUMIFS([1]!rec.uni[2030-08-01],
INDIRECT("rec.uni[natureza]"),"taxa.extra",
INDIRECT("rec.uni[empresa]"),AK$6)</f>
        <v>#REF!</v>
      </c>
      <c r="AL118" s="51"/>
      <c r="AM118" s="39"/>
      <c r="AN118" s="49">
        <f>SUMIFS([1]!in.rec[total],
[1]!in.rec[natureza],"pro.soluto",
[1]!in.rec[empresa],AN$6,
[1]!in.rec[data.base],"&gt;="&amp;$A118,
[1]!in.rec[data.base],"&lt;"&amp;EOMONTH($A118,0)
)</f>
        <v>6170.0199999999995</v>
      </c>
      <c r="AO118" s="49" t="e">
        <f ca="1">SUMIFS([1]!rec.uni[2030-08-01],
INDIRECT("rec.uni[natureza]"),"taxa.extra",
INDIRECT("rec.uni[empresa]"),AO$6)</f>
        <v>#REF!</v>
      </c>
      <c r="AP118" s="51"/>
    </row>
    <row r="119" spans="1:42" x14ac:dyDescent="0.25">
      <c r="A119" s="47">
        <v>47727</v>
      </c>
      <c r="B119" s="39"/>
      <c r="C119" s="49">
        <f>SUMIFS([1]!in.rec[total],
[1]!in.rec[natureza],"pro.soluto",
[1]!in.rec[empresa],C$6,
[1]!in.rec[data.base],"&gt;="&amp;$A119,
[1]!in.rec[data.base],"&lt;"&amp;EOMONTH($A119,0)
)</f>
        <v>0</v>
      </c>
      <c r="D119" s="38"/>
      <c r="E119" s="51"/>
      <c r="F119" s="51"/>
      <c r="G119" s="49" t="e">
        <f ca="1">SUMIFS([1]!rec.uni[2030-09-01],
INDIRECT("rec.uni[natureza]"),"taxa.extra",
INDIRECT("rec.uni[empresa]"),G$6)</f>
        <v>#REF!</v>
      </c>
      <c r="H119" s="51"/>
      <c r="I119" s="39"/>
      <c r="J119" s="49">
        <f>SUMIFS([1]!in.rec[total],
[1]!in.rec[natureza],"pro.soluto",
[1]!in.rec[empresa],J$6,
[1]!in.rec[data.base],"&gt;="&amp;$A119,
[1]!in.rec[data.base],"&lt;"&amp;EOMONTH($A119,0)
)</f>
        <v>0</v>
      </c>
      <c r="K119" s="38"/>
      <c r="L119" s="51"/>
      <c r="M119" s="51"/>
      <c r="N119" s="49" t="e">
        <f ca="1">SUMIFS([1]!rec.uni[2030-09-01],
INDIRECT("rec.uni[natureza]"),"taxa.extra",
INDIRECT("rec.uni[empresa]"),N$6)</f>
        <v>#REF!</v>
      </c>
      <c r="O119" s="51"/>
      <c r="P119" s="39"/>
      <c r="Q119" s="49">
        <f>SUMIFS([1]!in.rec[total],
[1]!in.rec[natureza],"pro.soluto",
[1]!in.rec[empresa],Q$6,
[1]!in.rec[data.base],"&gt;="&amp;$A119,
[1]!in.rec[data.base],"&lt;"&amp;EOMONTH($A119,0)
)</f>
        <v>0</v>
      </c>
      <c r="R119" s="38"/>
      <c r="S119" s="51"/>
      <c r="T119" s="51"/>
      <c r="U119" s="49" t="e">
        <f ca="1">SUMIFS([1]!rec.uni[2030-09-01],
INDIRECT("rec.uni[natureza]"),"taxa.extra",
INDIRECT("rec.uni[empresa]"),U$6)</f>
        <v>#REF!</v>
      </c>
      <c r="V119" s="51"/>
      <c r="W119" s="39"/>
      <c r="X119" s="49">
        <f>SUMIFS([1]!in.rec[total],
[1]!in.rec[natureza],"pro.soluto",
[1]!in.rec[empresa],X$6,
[1]!in.rec[data.base],"&gt;="&amp;$A119,
[1]!in.rec[data.base],"&lt;"&amp;EOMONTH($A119,0)
)</f>
        <v>7787.5300000000007</v>
      </c>
      <c r="Y119" s="49" t="e">
        <f ca="1">SUMIFS([1]!rec.uni[2030-09-01],
INDIRECT("rec.uni[natureza]"),"taxa.extra",
INDIRECT("rec.uni[empresa]"),Y$6)</f>
        <v>#REF!</v>
      </c>
      <c r="Z119" s="51"/>
      <c r="AA119" s="39"/>
      <c r="AB119" s="49">
        <f>SUMIFS([1]!in.rec[total],
[1]!in.rec[natureza],"pro.soluto",
[1]!in.rec[empresa],AB$6,
[1]!in.rec[data.base],"&gt;="&amp;$A119,
[1]!in.rec[data.base],"&lt;"&amp;EOMONTH($A119,0)
)</f>
        <v>0</v>
      </c>
      <c r="AC119" s="51">
        <f>IF(
$A119&lt;=$A$1,
SUMIFS([1]!in.rec[total],
   [1]!in.rec[empresa],AC$6,
   [1]!in.rec[ele],"FIN",
   [1]!in.rec[data.pagamento],"&gt;="&amp;$A119,
   [1]!in.rec[data.pagamento],"&lt;"&amp;$A120
),
SUMIFS([1]!in.rec[total],
   [1]!in.rec[empresa],AC$6,
   [1]!in.rec[ele],"FIN",
   [1]!in.rec[data.vencimento],"&gt;="&amp;$A119,
   [1]!in.rec[data.vencimento],"&lt;"&amp;$A120
)
)</f>
        <v>0</v>
      </c>
      <c r="AD119" s="49" t="e">
        <f ca="1">SUMIFS([1]!rec.uni[2030-09-01],
INDIRECT("rec.uni[natureza]"),"taxa.extra",
INDIRECT("rec.uni[empresa]"),AD$6)</f>
        <v>#REF!</v>
      </c>
      <c r="AE119" s="51"/>
      <c r="AF119" s="48">
        <f>COUNTIFS(
    [1]!estoque[empresa], AF$6,
    [1]!estoque[Data da venda / reserva], "&gt;=" &amp; $A119,
    [1]!estoque[Data da venda / reserva], "&lt;"  &amp; EOMONTH($A119,0) + 1
)</f>
        <v>0</v>
      </c>
      <c r="AG119" s="49">
        <f>SUMIFS([1]!in.rec[total],
[1]!in.rec[natureza],"pro.soluto",
[1]!in.rec[empresa],AG$6,
[1]!in.rec[data.base],"&gt;="&amp;$A119,
[1]!in.rec[data.base],"&lt;"&amp;EOMONTH($A119,0)
)</f>
        <v>0</v>
      </c>
      <c r="AH119" s="38"/>
      <c r="AI119" s="51"/>
      <c r="AJ119" s="51"/>
      <c r="AK119" s="49" t="e">
        <f ca="1">SUMIFS([1]!rec.uni[2030-09-01],
INDIRECT("rec.uni[natureza]"),"taxa.extra",
INDIRECT("rec.uni[empresa]"),AK$6)</f>
        <v>#REF!</v>
      </c>
      <c r="AL119" s="51"/>
      <c r="AM119" s="39"/>
      <c r="AN119" s="49">
        <f>SUMIFS([1]!in.rec[total],
[1]!in.rec[natureza],"pro.soluto",
[1]!in.rec[empresa],AN$6,
[1]!in.rec[data.base],"&gt;="&amp;$A119,
[1]!in.rec[data.base],"&lt;"&amp;EOMONTH($A119,0)
)</f>
        <v>6170.0199999999995</v>
      </c>
      <c r="AO119" s="49" t="e">
        <f ca="1">SUMIFS([1]!rec.uni[2030-09-01],
INDIRECT("rec.uni[natureza]"),"taxa.extra",
INDIRECT("rec.uni[empresa]"),AO$6)</f>
        <v>#REF!</v>
      </c>
      <c r="AP119" s="51"/>
    </row>
    <row r="120" spans="1:42" x14ac:dyDescent="0.25">
      <c r="A120" s="47">
        <v>47757</v>
      </c>
      <c r="B120" s="39"/>
      <c r="C120" s="49">
        <f>SUMIFS([1]!in.rec[total],
[1]!in.rec[natureza],"pro.soluto",
[1]!in.rec[empresa],C$6,
[1]!in.rec[data.base],"&gt;="&amp;$A120,
[1]!in.rec[data.base],"&lt;"&amp;EOMONTH($A120,0)
)</f>
        <v>0</v>
      </c>
      <c r="D120" s="38"/>
      <c r="E120" s="51"/>
      <c r="F120" s="51"/>
      <c r="G120" s="49" t="e">
        <f ca="1">SUMIFS([1]!rec.uni[2030-10-01],
INDIRECT("rec.uni[natureza]"),"taxa.extra",
INDIRECT("rec.uni[empresa]"),G$6)</f>
        <v>#REF!</v>
      </c>
      <c r="H120" s="51"/>
      <c r="I120" s="39"/>
      <c r="J120" s="49">
        <f>SUMIFS([1]!in.rec[total],
[1]!in.rec[natureza],"pro.soluto",
[1]!in.rec[empresa],J$6,
[1]!in.rec[data.base],"&gt;="&amp;$A120,
[1]!in.rec[data.base],"&lt;"&amp;EOMONTH($A120,0)
)</f>
        <v>0</v>
      </c>
      <c r="K120" s="38"/>
      <c r="L120" s="51"/>
      <c r="M120" s="51"/>
      <c r="N120" s="49" t="e">
        <f ca="1">SUMIFS([1]!rec.uni[2030-10-01],
INDIRECT("rec.uni[natureza]"),"taxa.extra",
INDIRECT("rec.uni[empresa]"),N$6)</f>
        <v>#REF!</v>
      </c>
      <c r="O120" s="51"/>
      <c r="P120" s="39"/>
      <c r="Q120" s="49">
        <f>SUMIFS([1]!in.rec[total],
[1]!in.rec[natureza],"pro.soluto",
[1]!in.rec[empresa],Q$6,
[1]!in.rec[data.base],"&gt;="&amp;$A120,
[1]!in.rec[data.base],"&lt;"&amp;EOMONTH($A120,0)
)</f>
        <v>0</v>
      </c>
      <c r="R120" s="38"/>
      <c r="S120" s="51"/>
      <c r="T120" s="51"/>
      <c r="U120" s="49" t="e">
        <f ca="1">SUMIFS([1]!rec.uni[2030-10-01],
INDIRECT("rec.uni[natureza]"),"taxa.extra",
INDIRECT("rec.uni[empresa]"),U$6)</f>
        <v>#REF!</v>
      </c>
      <c r="V120" s="51"/>
      <c r="W120" s="39"/>
      <c r="X120" s="49">
        <f>SUMIFS([1]!in.rec[total],
[1]!in.rec[natureza],"pro.soluto",
[1]!in.rec[empresa],X$6,
[1]!in.rec[data.base],"&gt;="&amp;$A120,
[1]!in.rec[data.base],"&lt;"&amp;EOMONTH($A120,0)
)</f>
        <v>3192.5699999999997</v>
      </c>
      <c r="Y120" s="49" t="e">
        <f ca="1">SUMIFS([1]!rec.uni[2030-10-01],
INDIRECT("rec.uni[natureza]"),"taxa.extra",
INDIRECT("rec.uni[empresa]"),Y$6)</f>
        <v>#REF!</v>
      </c>
      <c r="Z120" s="51"/>
      <c r="AA120" s="39"/>
      <c r="AB120" s="49">
        <f>SUMIFS([1]!in.rec[total],
[1]!in.rec[natureza],"pro.soluto",
[1]!in.rec[empresa],AB$6,
[1]!in.rec[data.base],"&gt;="&amp;$A120,
[1]!in.rec[data.base],"&lt;"&amp;EOMONTH($A120,0)
)</f>
        <v>0</v>
      </c>
      <c r="AC120" s="51">
        <f>IF(
$A120&lt;=$A$1,
SUMIFS([1]!in.rec[total],
   [1]!in.rec[empresa],AC$6,
   [1]!in.rec[ele],"FIN",
   [1]!in.rec[data.pagamento],"&gt;="&amp;$A120,
   [1]!in.rec[data.pagamento],"&lt;"&amp;$A121
),
SUMIFS([1]!in.rec[total],
   [1]!in.rec[empresa],AC$6,
   [1]!in.rec[ele],"FIN",
   [1]!in.rec[data.vencimento],"&gt;="&amp;$A120,
   [1]!in.rec[data.vencimento],"&lt;"&amp;$A121
)
)</f>
        <v>0</v>
      </c>
      <c r="AD120" s="49" t="e">
        <f ca="1">SUMIFS([1]!rec.uni[2030-10-01],
INDIRECT("rec.uni[natureza]"),"taxa.extra",
INDIRECT("rec.uni[empresa]"),AD$6)</f>
        <v>#REF!</v>
      </c>
      <c r="AE120" s="51"/>
      <c r="AF120" s="48">
        <f>COUNTIFS(
    [1]!estoque[empresa], AF$6,
    [1]!estoque[Data da venda / reserva], "&gt;=" &amp; $A120,
    [1]!estoque[Data da venda / reserva], "&lt;"  &amp; EOMONTH($A120,0) + 1
)</f>
        <v>0</v>
      </c>
      <c r="AG120" s="49">
        <f>SUMIFS([1]!in.rec[total],
[1]!in.rec[natureza],"pro.soluto",
[1]!in.rec[empresa],AG$6,
[1]!in.rec[data.base],"&gt;="&amp;$A120,
[1]!in.rec[data.base],"&lt;"&amp;EOMONTH($A120,0)
)</f>
        <v>0</v>
      </c>
      <c r="AH120" s="38"/>
      <c r="AI120" s="51"/>
      <c r="AJ120" s="51"/>
      <c r="AK120" s="49" t="e">
        <f ca="1">SUMIFS([1]!rec.uni[2030-10-01],
INDIRECT("rec.uni[natureza]"),"taxa.extra",
INDIRECT("rec.uni[empresa]"),AK$6)</f>
        <v>#REF!</v>
      </c>
      <c r="AL120" s="51"/>
      <c r="AM120" s="39"/>
      <c r="AN120" s="49">
        <f>SUMIFS([1]!in.rec[total],
[1]!in.rec[natureza],"pro.soluto",
[1]!in.rec[empresa],AN$6,
[1]!in.rec[data.base],"&gt;="&amp;$A120,
[1]!in.rec[data.base],"&lt;"&amp;EOMONTH($A120,0)
)</f>
        <v>3745.91</v>
      </c>
      <c r="AO120" s="49" t="e">
        <f ca="1">SUMIFS([1]!rec.uni[2030-10-01],
INDIRECT("rec.uni[natureza]"),"taxa.extra",
INDIRECT("rec.uni[empresa]"),AO$6)</f>
        <v>#REF!</v>
      </c>
      <c r="AP120" s="51"/>
    </row>
    <row r="121" spans="1:42" x14ac:dyDescent="0.25">
      <c r="A121" s="47">
        <v>47788</v>
      </c>
      <c r="B121" s="39"/>
      <c r="C121" s="49">
        <f>SUMIFS([1]!in.rec[total],
[1]!in.rec[natureza],"pro.soluto",
[1]!in.rec[empresa],C$6,
[1]!in.rec[data.base],"&gt;="&amp;$A121,
[1]!in.rec[data.base],"&lt;"&amp;EOMONTH($A121,0)
)</f>
        <v>0</v>
      </c>
      <c r="D121" s="38"/>
      <c r="E121" s="51"/>
      <c r="F121" s="51"/>
      <c r="G121" s="49" t="e">
        <f ca="1">SUMIFS([1]!rec.uni[2030-11-01],
INDIRECT("rec.uni[natureza]"),"taxa.extra",
INDIRECT("rec.uni[empresa]"),G$6)</f>
        <v>#REF!</v>
      </c>
      <c r="H121" s="51"/>
      <c r="I121" s="39"/>
      <c r="J121" s="49">
        <f>SUMIFS([1]!in.rec[total],
[1]!in.rec[natureza],"pro.soluto",
[1]!in.rec[empresa],J$6,
[1]!in.rec[data.base],"&gt;="&amp;$A121,
[1]!in.rec[data.base],"&lt;"&amp;EOMONTH($A121,0)
)</f>
        <v>0</v>
      </c>
      <c r="K121" s="38"/>
      <c r="L121" s="51"/>
      <c r="M121" s="51"/>
      <c r="N121" s="49" t="e">
        <f ca="1">SUMIFS([1]!rec.uni[2030-11-01],
INDIRECT("rec.uni[natureza]"),"taxa.extra",
INDIRECT("rec.uni[empresa]"),N$6)</f>
        <v>#REF!</v>
      </c>
      <c r="O121" s="51"/>
      <c r="P121" s="39"/>
      <c r="Q121" s="49">
        <f>SUMIFS([1]!in.rec[total],
[1]!in.rec[natureza],"pro.soluto",
[1]!in.rec[empresa],Q$6,
[1]!in.rec[data.base],"&gt;="&amp;$A121,
[1]!in.rec[data.base],"&lt;"&amp;EOMONTH($A121,0)
)</f>
        <v>0</v>
      </c>
      <c r="R121" s="38"/>
      <c r="S121" s="51"/>
      <c r="T121" s="51"/>
      <c r="U121" s="49" t="e">
        <f ca="1">SUMIFS([1]!rec.uni[2030-11-01],
INDIRECT("rec.uni[natureza]"),"taxa.extra",
INDIRECT("rec.uni[empresa]"),U$6)</f>
        <v>#REF!</v>
      </c>
      <c r="V121" s="51"/>
      <c r="W121" s="39"/>
      <c r="X121" s="49">
        <f>SUMIFS([1]!in.rec[total],
[1]!in.rec[natureza],"pro.soluto",
[1]!in.rec[empresa],X$6,
[1]!in.rec[data.base],"&gt;="&amp;$A121,
[1]!in.rec[data.base],"&lt;"&amp;EOMONTH($A121,0)
)</f>
        <v>374.57</v>
      </c>
      <c r="Y121" s="49" t="e">
        <f ca="1">SUMIFS([1]!rec.uni[2030-11-01],
INDIRECT("rec.uni[natureza]"),"taxa.extra",
INDIRECT("rec.uni[empresa]"),Y$6)</f>
        <v>#REF!</v>
      </c>
      <c r="Z121" s="51"/>
      <c r="AA121" s="39"/>
      <c r="AB121" s="49">
        <f>SUMIFS([1]!in.rec[total],
[1]!in.rec[natureza],"pro.soluto",
[1]!in.rec[empresa],AB$6,
[1]!in.rec[data.base],"&gt;="&amp;$A121,
[1]!in.rec[data.base],"&lt;"&amp;EOMONTH($A121,0)
)</f>
        <v>0</v>
      </c>
      <c r="AC121" s="51">
        <f>IF(
$A121&lt;=$A$1,
SUMIFS([1]!in.rec[total],
   [1]!in.rec[empresa],AC$6,
   [1]!in.rec[ele],"FIN",
   [1]!in.rec[data.pagamento],"&gt;="&amp;$A121,
   [1]!in.rec[data.pagamento],"&lt;"&amp;$A122
),
SUMIFS([1]!in.rec[total],
   [1]!in.rec[empresa],AC$6,
   [1]!in.rec[ele],"FIN",
   [1]!in.rec[data.vencimento],"&gt;="&amp;$A121,
   [1]!in.rec[data.vencimento],"&lt;"&amp;$A122
)
)</f>
        <v>0</v>
      </c>
      <c r="AD121" s="49" t="e">
        <f ca="1">SUMIFS([1]!rec.uni[2030-11-01],
INDIRECT("rec.uni[natureza]"),"taxa.extra",
INDIRECT("rec.uni[empresa]"),AD$6)</f>
        <v>#REF!</v>
      </c>
      <c r="AE121" s="51"/>
      <c r="AF121" s="48">
        <f>COUNTIFS(
    [1]!estoque[empresa], AF$6,
    [1]!estoque[Data da venda / reserva], "&gt;=" &amp; $A121,
    [1]!estoque[Data da venda / reserva], "&lt;"  &amp; EOMONTH($A121,0) + 1
)</f>
        <v>0</v>
      </c>
      <c r="AG121" s="49">
        <f>SUMIFS([1]!in.rec[total],
[1]!in.rec[natureza],"pro.soluto",
[1]!in.rec[empresa],AG$6,
[1]!in.rec[data.base],"&gt;="&amp;$A121,
[1]!in.rec[data.base],"&lt;"&amp;EOMONTH($A121,0)
)</f>
        <v>0</v>
      </c>
      <c r="AH121" s="38"/>
      <c r="AI121" s="51"/>
      <c r="AJ121" s="51"/>
      <c r="AK121" s="49" t="e">
        <f ca="1">SUMIFS([1]!rec.uni[2030-11-01],
INDIRECT("rec.uni[natureza]"),"taxa.extra",
INDIRECT("rec.uni[empresa]"),AK$6)</f>
        <v>#REF!</v>
      </c>
      <c r="AL121" s="51"/>
      <c r="AM121" s="39"/>
      <c r="AN121" s="49">
        <f>SUMIFS([1]!in.rec[total],
[1]!in.rec[natureza],"pro.soluto",
[1]!in.rec[empresa],AN$6,
[1]!in.rec[data.base],"&gt;="&amp;$A121,
[1]!in.rec[data.base],"&lt;"&amp;EOMONTH($A121,0)
)</f>
        <v>637.71</v>
      </c>
      <c r="AO121" s="49" t="e">
        <f ca="1">SUMIFS([1]!rec.uni[2030-11-01],
INDIRECT("rec.uni[natureza]"),"taxa.extra",
INDIRECT("rec.uni[empresa]"),AO$6)</f>
        <v>#REF!</v>
      </c>
      <c r="AP121" s="51"/>
    </row>
    <row r="122" spans="1:42" x14ac:dyDescent="0.25">
      <c r="A122" s="47">
        <v>47818</v>
      </c>
      <c r="B122" s="52"/>
      <c r="C122" s="53">
        <f>SUMIFS([1]!in.rec[total],
[1]!in.rec[natureza],"pro.soluto",
[1]!in.rec[empresa],C$6,
[1]!in.rec[data.base],"&gt;="&amp;$A122,
[1]!in.rec[data.base],"&lt;"&amp;EOMONTH($A122,0)
)</f>
        <v>0</v>
      </c>
      <c r="D122" s="54"/>
      <c r="E122" s="55"/>
      <c r="F122" s="55"/>
      <c r="G122" s="53" t="e">
        <f ca="1">SUMIFS([1]!rec.uni[2030-12-01],
INDIRECT("rec.uni[natureza]"),"taxa.extra",
INDIRECT("rec.uni[empresa]"),G$6)</f>
        <v>#REF!</v>
      </c>
      <c r="H122" s="55"/>
      <c r="I122" s="52"/>
      <c r="J122" s="53">
        <f>SUMIFS([1]!in.rec[total],
[1]!in.rec[natureza],"pro.soluto",
[1]!in.rec[empresa],J$6,
[1]!in.rec[data.base],"&gt;="&amp;$A122,
[1]!in.rec[data.base],"&lt;"&amp;EOMONTH($A122,0)
)</f>
        <v>0</v>
      </c>
      <c r="K122" s="54"/>
      <c r="L122" s="55"/>
      <c r="M122" s="55"/>
      <c r="N122" s="53" t="e">
        <f ca="1">SUMIFS([1]!rec.uni[2030-12-01],
INDIRECT("rec.uni[natureza]"),"taxa.extra",
INDIRECT("rec.uni[empresa]"),N$6)</f>
        <v>#REF!</v>
      </c>
      <c r="O122" s="55"/>
      <c r="P122" s="52"/>
      <c r="Q122" s="53">
        <f>SUMIFS([1]!in.rec[total],
[1]!in.rec[natureza],"pro.soluto",
[1]!in.rec[empresa],Q$6,
[1]!in.rec[data.base],"&gt;="&amp;$A122,
[1]!in.rec[data.base],"&lt;"&amp;EOMONTH($A122,0)
)</f>
        <v>0</v>
      </c>
      <c r="R122" s="54"/>
      <c r="S122" s="55"/>
      <c r="T122" s="55"/>
      <c r="U122" s="53" t="e">
        <f ca="1">SUMIFS([1]!rec.uni[2030-12-01],
INDIRECT("rec.uni[natureza]"),"taxa.extra",
INDIRECT("rec.uni[empresa]"),U$6)</f>
        <v>#REF!</v>
      </c>
      <c r="V122" s="55"/>
      <c r="W122" s="52"/>
      <c r="X122" s="53">
        <f>SUMIFS([1]!in.rec[total],
[1]!in.rec[natureza],"pro.soluto",
[1]!in.rec[empresa],X$6,
[1]!in.rec[data.base],"&gt;="&amp;$A122,
[1]!in.rec[data.base],"&lt;"&amp;EOMONTH($A122,0)
)</f>
        <v>374.57</v>
      </c>
      <c r="Y122" s="53" t="e">
        <f ca="1">SUMIFS([1]!rec.uni[2030-12-01],
INDIRECT("rec.uni[natureza]"),"taxa.extra",
INDIRECT("rec.uni[empresa]"),Y$6)</f>
        <v>#REF!</v>
      </c>
      <c r="Z122" s="55"/>
      <c r="AA122" s="52"/>
      <c r="AB122" s="53">
        <f>SUMIFS([1]!in.rec[total],
[1]!in.rec[natureza],"pro.soluto",
[1]!in.rec[empresa],AB$6,
[1]!in.rec[data.base],"&gt;="&amp;$A122,
[1]!in.rec[data.base],"&lt;"&amp;EOMONTH($A122,0)
)</f>
        <v>0</v>
      </c>
      <c r="AC122" s="55">
        <f>IF(
$A122&lt;=$A$1,
SUMIFS([1]!in.rec[total],
   [1]!in.rec[empresa],AC$6,
   [1]!in.rec[ele],"FIN",
   [1]!in.rec[data.pagamento],"&gt;="&amp;$A122,
   [1]!in.rec[data.pagamento],"&lt;"&amp;$A123
),
SUMIFS([1]!in.rec[total],
   [1]!in.rec[empresa],AC$6,
   [1]!in.rec[ele],"FIN",
   [1]!in.rec[data.vencimento],"&gt;="&amp;$A122,
   [1]!in.rec[data.vencimento],"&lt;"&amp;$A123
)
)</f>
        <v>0</v>
      </c>
      <c r="AD122" s="53" t="e">
        <f ca="1">SUMIFS([1]!rec.uni[2030-12-01],
INDIRECT("rec.uni[natureza]"),"taxa.extra",
INDIRECT("rec.uni[empresa]"),AD$6)</f>
        <v>#REF!</v>
      </c>
      <c r="AE122" s="55"/>
      <c r="AF122" s="56">
        <f>COUNTIFS(
    [1]!estoque[empresa], AF$6,
    [1]!estoque[Data da venda / reserva], "&gt;=" &amp; $A122,
    [1]!estoque[Data da venda / reserva], "&lt;"  &amp; EOMONTH($A122,0) + 1
)</f>
        <v>0</v>
      </c>
      <c r="AG122" s="53">
        <f>SUMIFS([1]!in.rec[total],
[1]!in.rec[natureza],"pro.soluto",
[1]!in.rec[empresa],AG$6,
[1]!in.rec[data.base],"&gt;="&amp;$A122,
[1]!in.rec[data.base],"&lt;"&amp;EOMONTH($A122,0)
)</f>
        <v>0</v>
      </c>
      <c r="AH122" s="54"/>
      <c r="AI122" s="55"/>
      <c r="AJ122" s="55"/>
      <c r="AK122" s="53" t="e">
        <f ca="1">SUMIFS([1]!rec.uni[2030-12-01],
INDIRECT("rec.uni[natureza]"),"taxa.extra",
INDIRECT("rec.uni[empresa]"),AK$6)</f>
        <v>#REF!</v>
      </c>
      <c r="AL122" s="55"/>
      <c r="AM122" s="52"/>
      <c r="AN122" s="53">
        <f>SUMIFS([1]!in.rec[total],
[1]!in.rec[natureza],"pro.soluto",
[1]!in.rec[empresa],AN$6,
[1]!in.rec[data.base],"&gt;="&amp;$A122,
[1]!in.rec[data.base],"&lt;"&amp;EOMONTH($A122,0)
)</f>
        <v>637.71</v>
      </c>
      <c r="AO122" s="53" t="e">
        <f ca="1">SUMIFS([1]!rec.uni[2030-12-01],
INDIRECT("rec.uni[natureza]"),"taxa.extra",
INDIRECT("rec.uni[empresa]"),AO$6)</f>
        <v>#REF!</v>
      </c>
      <c r="AP122" s="55"/>
    </row>
  </sheetData>
  <conditionalFormatting sqref="A11:AP122">
    <cfRule type="expression" dxfId="1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0.39997558519241921"/>
  </sheetPr>
  <dimension ref="A1:M17"/>
  <sheetViews>
    <sheetView topLeftCell="A3" zoomScale="80" zoomScaleNormal="80" workbookViewId="0">
      <selection activeCell="A20" sqref="A20"/>
    </sheetView>
  </sheetViews>
  <sheetFormatPr defaultRowHeight="15" x14ac:dyDescent="0.25"/>
  <cols>
    <col min="1" max="1" width="19" style="6" bestFit="1" customWidth="1"/>
    <col min="2" max="2" width="12.85546875" style="6" bestFit="1" customWidth="1"/>
    <col min="3" max="13" width="14.7109375" style="6" customWidth="1"/>
    <col min="14" max="16384" width="9.140625" style="6"/>
  </cols>
  <sheetData>
    <row r="1" spans="1:13" ht="31.5" x14ac:dyDescent="0.5">
      <c r="A1" s="57" t="str">
        <f>_xlfn.CONCAT("Resumo dos empreendimentos ativos em ", TEXT([1]inputs!A1, "dd/mmm/aaaa"))</f>
        <v>Resumo dos empreendimentos ativos em 30/nov/2025</v>
      </c>
      <c r="B1" s="57"/>
    </row>
    <row r="2" spans="1:13" ht="34.5" x14ac:dyDescent="0.25">
      <c r="A2" s="58"/>
      <c r="B2" s="58"/>
      <c r="C2" s="59" t="s">
        <v>31</v>
      </c>
      <c r="D2" s="59" t="s">
        <v>32</v>
      </c>
      <c r="E2" s="59" t="s">
        <v>31</v>
      </c>
      <c r="F2" s="59" t="s">
        <v>33</v>
      </c>
      <c r="G2" s="59" t="s">
        <v>34</v>
      </c>
      <c r="H2" s="59" t="s">
        <v>34</v>
      </c>
      <c r="I2" s="59" t="s">
        <v>34</v>
      </c>
      <c r="J2" s="59" t="s">
        <v>35</v>
      </c>
      <c r="K2" s="59" t="s">
        <v>35</v>
      </c>
      <c r="L2" s="60" t="s">
        <v>36</v>
      </c>
      <c r="M2" s="59" t="s">
        <v>37</v>
      </c>
    </row>
    <row r="3" spans="1:13" ht="45" x14ac:dyDescent="0.25">
      <c r="A3" s="61" t="s">
        <v>38</v>
      </c>
      <c r="B3" s="61" t="s">
        <v>39</v>
      </c>
      <c r="C3" s="62" t="s">
        <v>40</v>
      </c>
      <c r="D3" s="63" t="s">
        <v>41</v>
      </c>
      <c r="E3" s="62" t="s">
        <v>42</v>
      </c>
      <c r="F3" s="63" t="s">
        <v>43</v>
      </c>
      <c r="G3" s="63" t="s">
        <v>44</v>
      </c>
      <c r="H3" s="62" t="s">
        <v>45</v>
      </c>
      <c r="I3" s="63" t="s">
        <v>46</v>
      </c>
      <c r="J3" s="63" t="s">
        <v>47</v>
      </c>
      <c r="K3" s="64" t="s">
        <v>48</v>
      </c>
      <c r="L3" s="65" t="s">
        <v>49</v>
      </c>
      <c r="M3" s="65" t="s">
        <v>50</v>
      </c>
    </row>
    <row r="4" spans="1:13" x14ac:dyDescent="0.25">
      <c r="A4" s="66" t="s">
        <v>12</v>
      </c>
      <c r="B4" s="67" t="s">
        <v>51</v>
      </c>
      <c r="C4" s="68">
        <f ca="1">[1]inputs!D8</f>
        <v>10973647.850000001</v>
      </c>
      <c r="D4" s="68">
        <f ca="1">IFERROR(SUMIF([1]!in.ecns[empresa], $A4,[1]!in.ecns[repasse.cef.total])
-$E4
-$F4
- $C4,0)</f>
        <v>1336184.9999999981</v>
      </c>
      <c r="E4" s="68">
        <f ca="1">[1]inputs!E8</f>
        <v>2076559.2200000004</v>
      </c>
      <c r="F4" s="68">
        <v>0</v>
      </c>
      <c r="G4" s="68" t="e">
        <f ca="1">SUMIFS([1]!rec.uni[soma.meses],
INDIRECT("rec.uni[natureza]"),"parcela.cef.assinar",
INDIRECT("rec.uni[empresa]"),$A4)</f>
        <v>#REF!</v>
      </c>
      <c r="H4" s="68">
        <f>[1]inputs!C8</f>
        <v>6776091.1599999983</v>
      </c>
      <c r="I4" s="68">
        <f>[1]inputs!C9</f>
        <v>1338289.2299999993</v>
      </c>
      <c r="J4" s="69">
        <f>COUNTIFS([1]!estoque[empresa], $A4, [1]!estoque[Status], "Disponível")
+
COUNTIFS([1]!estoque[empresa], $A4, [1]!estoque[Status], "Reservada")
+
COUNTIFS([1]!estoque[empresa], $A4, [1]!estoque[Status], "Em negociação")</f>
        <v>5</v>
      </c>
      <c r="K4" s="68" cm="1">
        <f t="array" ref="K4">SUMPRODUCT(
   [1]!estoque[Preço Tab.] *
   ([1]!estoque[empresa]=$A4) *
   (([1]!estoque[Status]="Disponível") + ([1]!estoque[Status]="Reservada") + ([1]!estoque[Status]="Em negociação"))
)</f>
        <v>1110078.74</v>
      </c>
      <c r="L4" s="68" t="e">
        <f t="shared" ref="L4:L17" ca="1" si="0">SUM(C4:K4)</f>
        <v>#REF!</v>
      </c>
      <c r="M4" s="70">
        <v>25897161</v>
      </c>
    </row>
    <row r="5" spans="1:13" collapsed="1" x14ac:dyDescent="0.25">
      <c r="A5" s="71" t="s">
        <v>12</v>
      </c>
      <c r="B5" s="72" t="s">
        <v>37</v>
      </c>
      <c r="C5" s="73">
        <f>[1]viabs!D7</f>
        <v>10969791</v>
      </c>
      <c r="D5" s="73">
        <f>[1]viabs!D8</f>
        <v>2411486</v>
      </c>
      <c r="E5" s="73">
        <f>[1]viabs!E7</f>
        <v>2076560</v>
      </c>
      <c r="F5" s="73">
        <f>[1]viabs!E8</f>
        <v>163842</v>
      </c>
      <c r="G5" s="73">
        <v>0</v>
      </c>
      <c r="H5" s="73">
        <f>[1]viabs!C7</f>
        <v>5441368</v>
      </c>
      <c r="I5" s="73">
        <f>[1]viabs!C8</f>
        <v>2532963</v>
      </c>
      <c r="J5" s="74">
        <f>6+6</f>
        <v>12</v>
      </c>
      <c r="K5" s="73">
        <v>2301149</v>
      </c>
      <c r="L5" s="75">
        <f t="shared" si="0"/>
        <v>25897171</v>
      </c>
      <c r="M5" s="76">
        <v>25897161</v>
      </c>
    </row>
    <row r="6" spans="1:13" x14ac:dyDescent="0.25">
      <c r="A6" s="77" t="s">
        <v>13</v>
      </c>
      <c r="B6" s="78" t="s">
        <v>51</v>
      </c>
      <c r="C6" s="79">
        <f ca="1">[1]inputs!K8</f>
        <v>19232725.690000005</v>
      </c>
      <c r="D6" s="79">
        <v>0</v>
      </c>
      <c r="E6" s="79">
        <f ca="1">[1]inputs!L8</f>
        <v>3953631.07</v>
      </c>
      <c r="F6" s="79">
        <v>0</v>
      </c>
      <c r="G6" s="79" t="e">
        <f ca="1">SUMIFS([1]!rec.uni[soma.meses],
INDIRECT("rec.uni[natureza]"),"parcela.cef.assinar",
INDIRECT("rec.uni[empresa]"),$A6)</f>
        <v>#REF!</v>
      </c>
      <c r="H6" s="79">
        <f>[1]inputs!J8</f>
        <v>15433142.229999995</v>
      </c>
      <c r="I6" s="79">
        <f>[1]inputs!J9</f>
        <v>37728.549999999996</v>
      </c>
      <c r="J6" s="69">
        <f>COUNTIFS([1]!estoque[empresa], $A6, [1]!estoque[Status], "Disponível")
+
COUNTIFS([1]!estoque[empresa], $A6, [1]!estoque[Status], "Reservada")
+
COUNTIFS([1]!estoque[empresa], $A6, [1]!estoque[Status], "Em negociação")</f>
        <v>1</v>
      </c>
      <c r="K6" s="68" cm="1">
        <f t="array" ref="K6">SUMPRODUCT(
   [1]!estoque[Preço Tab.] *
   ([1]!estoque[empresa]=$A6) *
   (([1]!estoque[Status]="Disponível") + ([1]!estoque[Status]="Reservada") + ([1]!estoque[Status]="Em negociação"))
)</f>
        <v>504762.78</v>
      </c>
      <c r="L6" s="79" t="e">
        <f t="shared" ca="1" si="0"/>
        <v>#REF!</v>
      </c>
      <c r="M6" s="80">
        <v>41582807</v>
      </c>
    </row>
    <row r="7" spans="1:13" collapsed="1" x14ac:dyDescent="0.25">
      <c r="A7" s="71" t="s">
        <v>13</v>
      </c>
      <c r="B7" s="72" t="s">
        <v>37</v>
      </c>
      <c r="C7" s="73">
        <f>[1]viabs!I7</f>
        <v>18611890</v>
      </c>
      <c r="D7" s="73">
        <f>[1]viabs!I8</f>
        <v>0</v>
      </c>
      <c r="E7" s="73">
        <f>[1]viabs!J7</f>
        <v>3812440</v>
      </c>
      <c r="F7" s="73">
        <f>[1]viabs!J8</f>
        <v>0</v>
      </c>
      <c r="G7" s="73">
        <v>0</v>
      </c>
      <c r="H7" s="73">
        <f>[1]viabs!H7</f>
        <v>17547728</v>
      </c>
      <c r="I7" s="73">
        <f>[1]viabs!H8</f>
        <v>42900</v>
      </c>
      <c r="J7" s="74">
        <v>6</v>
      </c>
      <c r="K7" s="73">
        <v>1567849</v>
      </c>
      <c r="L7" s="75">
        <f t="shared" si="0"/>
        <v>41582813</v>
      </c>
      <c r="M7" s="76">
        <v>41582807</v>
      </c>
    </row>
    <row r="8" spans="1:13" x14ac:dyDescent="0.25">
      <c r="A8" s="77" t="s">
        <v>14</v>
      </c>
      <c r="B8" s="78" t="s">
        <v>51</v>
      </c>
      <c r="C8" s="79">
        <f ca="1">[1]inputs!R8</f>
        <v>4898668.1399999997</v>
      </c>
      <c r="D8" s="79">
        <f ca="1">[1]inputs!R9</f>
        <v>17576379.670000002</v>
      </c>
      <c r="E8" s="79">
        <f ca="1">[1]inputs!S8</f>
        <v>4706832.3400000017</v>
      </c>
      <c r="F8" s="79">
        <f>[1]inputs!S9</f>
        <v>0</v>
      </c>
      <c r="G8" s="79">
        <f ca="1">[1]inputs!R4</f>
        <v>2984203.32</v>
      </c>
      <c r="H8" s="79">
        <f>[1]inputs!Q8</f>
        <v>5211287.0199999986</v>
      </c>
      <c r="I8" s="79">
        <f>[1]inputs!Q9</f>
        <v>7061882.8699999982</v>
      </c>
      <c r="J8" s="69">
        <f>COUNTIFS([1]!estoque[empresa], $A8, [1]!estoque[Status], "Disponível")
+
COUNTIFS([1]!estoque[empresa], $A8, [1]!estoque[Status], "Reservada")
+
COUNTIFS([1]!estoque[empresa], $A8, [1]!estoque[Status], "Em negociação")</f>
        <v>11</v>
      </c>
      <c r="K8" s="68" cm="1">
        <f t="array" ref="K8">SUMPRODUCT(
   [1]!estoque[Preço Tab.] *
   ([1]!estoque[empresa]=$A8) *
   (([1]!estoque[Status]="Disponível") + ([1]!estoque[Status]="Reservada") + ([1]!estoque[Status]="Em negociação"))
)</f>
        <v>5235572.91</v>
      </c>
      <c r="L8" s="79">
        <f t="shared" ca="1" si="0"/>
        <v>47674837.269999996</v>
      </c>
      <c r="M8" s="80">
        <v>47237835</v>
      </c>
    </row>
    <row r="9" spans="1:13" collapsed="1" x14ac:dyDescent="0.25">
      <c r="A9" s="71" t="s">
        <v>14</v>
      </c>
      <c r="B9" s="72" t="s">
        <v>37</v>
      </c>
      <c r="C9" s="73">
        <f>[1]viabs!N7</f>
        <v>4747377</v>
      </c>
      <c r="D9" s="73">
        <f>[1]viabs!N8</f>
        <v>17101428</v>
      </c>
      <c r="E9" s="73">
        <f>[1]viabs!O7</f>
        <v>4683225</v>
      </c>
      <c r="F9" s="73">
        <f>[1]viabs!O8</f>
        <v>148936</v>
      </c>
      <c r="G9" s="73">
        <v>0</v>
      </c>
      <c r="H9" s="73">
        <f>[1]viabs!M7</f>
        <v>8224551</v>
      </c>
      <c r="I9" s="73">
        <f>[1]viabs!M8</f>
        <v>6883519</v>
      </c>
      <c r="J9" s="74">
        <v>13</v>
      </c>
      <c r="K9" s="73">
        <v>5448793</v>
      </c>
      <c r="L9" s="75">
        <f t="shared" si="0"/>
        <v>47237842</v>
      </c>
      <c r="M9" s="76">
        <v>47237835</v>
      </c>
    </row>
    <row r="10" spans="1:13" x14ac:dyDescent="0.25">
      <c r="A10" s="77" t="s">
        <v>15</v>
      </c>
      <c r="B10" s="78" t="s">
        <v>51</v>
      </c>
      <c r="C10" s="79">
        <v>0</v>
      </c>
      <c r="D10" s="79" t="s">
        <v>52</v>
      </c>
      <c r="E10" s="79">
        <v>0</v>
      </c>
      <c r="F10" s="79" t="s">
        <v>52</v>
      </c>
      <c r="G10" s="79">
        <f ca="1">[1]inputs!Y4</f>
        <v>26877386.240000002</v>
      </c>
      <c r="H10" s="79">
        <f>[1]inputs!X8</f>
        <v>1246409.1100000001</v>
      </c>
      <c r="I10" s="79">
        <f>[1]inputs!X9</f>
        <v>5284803.7899999982</v>
      </c>
      <c r="J10" s="69">
        <f>COUNTIFS([1]!estoque[empresa], $A10, [1]!estoque[Status], "Disponível")
+
COUNTIFS([1]!estoque[empresa], $A10, [1]!estoque[Status], "Reservada")
+
COUNTIFS([1]!estoque[empresa], $A10, [1]!estoque[Status], "Em negociação")</f>
        <v>92</v>
      </c>
      <c r="K10" s="68" cm="1">
        <f t="array" ref="K10">SUMPRODUCT(
   [1]!estoque[Preço Tab.] *
   ([1]!estoque[empresa]=$A10) *
   (([1]!estoque[Status]="Disponível") + ([1]!estoque[Status]="Reservada") + ([1]!estoque[Status]="Em negociação"))
)</f>
        <v>32114020.070000011</v>
      </c>
      <c r="L10" s="79">
        <f t="shared" ca="1" si="0"/>
        <v>65522711.210000008</v>
      </c>
      <c r="M10" s="80">
        <v>64482292</v>
      </c>
    </row>
    <row r="11" spans="1:13" collapsed="1" x14ac:dyDescent="0.25">
      <c r="A11" s="71" t="s">
        <v>15</v>
      </c>
      <c r="B11" s="72" t="s">
        <v>37</v>
      </c>
      <c r="C11" s="73">
        <v>0</v>
      </c>
      <c r="D11" s="73">
        <v>0</v>
      </c>
      <c r="E11" s="73">
        <v>0</v>
      </c>
      <c r="F11" s="73">
        <v>0</v>
      </c>
      <c r="G11" s="73">
        <f>[1]viabs!R4</f>
        <v>27758932</v>
      </c>
      <c r="H11" s="73">
        <f>[1]viabs!R7</f>
        <v>1155519</v>
      </c>
      <c r="I11" s="73">
        <f>[1]viabs!R8</f>
        <v>5494622</v>
      </c>
      <c r="J11" s="74">
        <v>93</v>
      </c>
      <c r="K11" s="73">
        <v>30073218</v>
      </c>
      <c r="L11" s="75">
        <f t="shared" si="0"/>
        <v>64482384</v>
      </c>
      <c r="M11" s="76">
        <v>64482292</v>
      </c>
    </row>
    <row r="12" spans="1:13" x14ac:dyDescent="0.25">
      <c r="A12" s="77" t="s">
        <v>16</v>
      </c>
      <c r="B12" s="78" t="s">
        <v>51</v>
      </c>
      <c r="C12" s="79">
        <v>0</v>
      </c>
      <c r="D12" s="79">
        <v>0</v>
      </c>
      <c r="E12" s="79">
        <v>0</v>
      </c>
      <c r="F12" s="79" t="s">
        <v>53</v>
      </c>
      <c r="G12" s="81">
        <v>0</v>
      </c>
      <c r="H12" s="81">
        <f>[1]inputs!AB8</f>
        <v>8230174.9199999999</v>
      </c>
      <c r="I12" s="81">
        <f>[1]inputs!AB9</f>
        <v>16946690.970000003</v>
      </c>
      <c r="J12" s="69">
        <f>COUNTIFS([1]!estoque[empresa], $A12, [1]!estoque[Status], "Disponível")
+
COUNTIFS([1]!estoque[empresa], $A12, [1]!estoque[Status], "Reservada")
+
COUNTIFS([1]!estoque[empresa], $A12, [1]!estoque[Status], "Em negociação")</f>
        <v>0</v>
      </c>
      <c r="K12" s="68" cm="1">
        <f t="array" ref="K12">SUMPRODUCT(
   [1]!estoque[Preço Tab.] *
   ([1]!estoque[empresa]=$A12) *
   (([1]!estoque[Status]="Disponível") + ([1]!estoque[Status]="Reservada") + ([1]!estoque[Status]="Em negociação"))
)</f>
        <v>0</v>
      </c>
      <c r="L12" s="79">
        <f t="shared" si="0"/>
        <v>25176865.890000001</v>
      </c>
      <c r="M12" s="80">
        <v>25916905</v>
      </c>
    </row>
    <row r="13" spans="1:13" collapsed="1" x14ac:dyDescent="0.25">
      <c r="A13" s="71" t="s">
        <v>16</v>
      </c>
      <c r="B13" s="72" t="s">
        <v>37</v>
      </c>
      <c r="C13" s="73">
        <v>0</v>
      </c>
      <c r="D13" s="73">
        <v>0</v>
      </c>
      <c r="E13" s="73">
        <v>0</v>
      </c>
      <c r="F13" s="73">
        <v>0</v>
      </c>
      <c r="G13" s="73">
        <f>[1]viabs!T4</f>
        <v>13476430</v>
      </c>
      <c r="H13" s="73">
        <f>[1]viabs!T7</f>
        <v>8478046</v>
      </c>
      <c r="I13" s="73">
        <f>[1]viabs!T8</f>
        <v>3542427</v>
      </c>
      <c r="J13" s="74">
        <v>1</v>
      </c>
      <c r="K13" s="73">
        <v>420000</v>
      </c>
      <c r="L13" s="75">
        <f t="shared" si="0"/>
        <v>25916904</v>
      </c>
      <c r="M13" s="76">
        <v>25916905</v>
      </c>
    </row>
    <row r="14" spans="1:13" x14ac:dyDescent="0.25">
      <c r="A14" s="77" t="s">
        <v>17</v>
      </c>
      <c r="B14" s="78" t="s">
        <v>51</v>
      </c>
      <c r="C14" s="79">
        <f ca="1">[1]inputs!AH8</f>
        <v>6127441.4300000006</v>
      </c>
      <c r="D14" s="79">
        <f ca="1">[1]inputs!AH9</f>
        <v>24428658.209999993</v>
      </c>
      <c r="E14" s="79">
        <f ca="1">[1]inputs!AI8</f>
        <v>6328878.6300000008</v>
      </c>
      <c r="F14" s="79">
        <f>[1]inputs!AI9</f>
        <v>0</v>
      </c>
      <c r="G14" s="79">
        <f ca="1">[1]inputs!AH4</f>
        <v>2107115.9800000004</v>
      </c>
      <c r="H14" s="79">
        <f>[1]inputs!AG8</f>
        <v>11816654.909999998</v>
      </c>
      <c r="I14" s="79">
        <f>[1]inputs!AG9</f>
        <v>6894061.2099999981</v>
      </c>
      <c r="J14" s="69">
        <f>COUNTIFS([1]!estoque[empresa], $A14, [1]!estoque[Status], "Disponível")
+
COUNTIFS([1]!estoque[empresa], $A14, [1]!estoque[Status], "Reservada")
+
COUNTIFS([1]!estoque[empresa], $A14, [1]!estoque[Status], "Em negociação")</f>
        <v>6</v>
      </c>
      <c r="K14" s="68" cm="1">
        <f t="array" ref="K14">SUMPRODUCT(
   [1]!estoque[Preço Tab.] *
   ([1]!estoque[empresa]=$A14) *
   (([1]!estoque[Status]="Disponível") + ([1]!estoque[Status]="Reservada") + ([1]!estoque[Status]="Em negociação"))
)</f>
        <v>3633185.76</v>
      </c>
      <c r="L14" s="79">
        <f t="shared" ca="1" si="0"/>
        <v>61336002.129999995</v>
      </c>
      <c r="M14" s="80">
        <v>60385343</v>
      </c>
    </row>
    <row r="15" spans="1:13" collapsed="1" x14ac:dyDescent="0.25">
      <c r="A15" s="71" t="s">
        <v>17</v>
      </c>
      <c r="B15" s="72" t="s">
        <v>37</v>
      </c>
      <c r="C15" s="73">
        <f>[1]viabs!X7</f>
        <v>6607255</v>
      </c>
      <c r="D15" s="73">
        <f>[1]viabs!X8</f>
        <v>25947554</v>
      </c>
      <c r="E15" s="73">
        <f>[1]viabs!Y7</f>
        <v>6328879</v>
      </c>
      <c r="F15" s="73">
        <f>[1]viabs!Y8</f>
        <v>369231</v>
      </c>
      <c r="G15" s="73">
        <v>0</v>
      </c>
      <c r="H15" s="73">
        <f>[1]viabs!W7</f>
        <v>11982013.73</v>
      </c>
      <c r="I15" s="73">
        <f>[1]viabs!W8</f>
        <v>6927535</v>
      </c>
      <c r="J15" s="74">
        <v>7</v>
      </c>
      <c r="K15" s="73">
        <v>2222876</v>
      </c>
      <c r="L15" s="75">
        <f t="shared" si="0"/>
        <v>60385350.730000004</v>
      </c>
      <c r="M15" s="76">
        <v>60385343</v>
      </c>
    </row>
    <row r="16" spans="1:13" x14ac:dyDescent="0.25">
      <c r="A16" s="77" t="s">
        <v>18</v>
      </c>
      <c r="B16" s="78" t="s">
        <v>51</v>
      </c>
      <c r="C16" s="79">
        <v>0</v>
      </c>
      <c r="D16" s="79" t="s">
        <v>52</v>
      </c>
      <c r="E16" s="79">
        <v>0</v>
      </c>
      <c r="F16" s="79" t="s">
        <v>52</v>
      </c>
      <c r="G16" s="79">
        <f ca="1">[1]inputs!AO4</f>
        <v>53496814.51000002</v>
      </c>
      <c r="H16" s="79">
        <f>[1]inputs!AN8</f>
        <v>4175897.830000001</v>
      </c>
      <c r="I16" s="79">
        <f>[1]inputs!AN9</f>
        <v>15661815.699999997</v>
      </c>
      <c r="J16" s="69">
        <f>COUNTIFS([1]!estoque[empresa], $A16, [1]!estoque[Status], "Disponível")
+
COUNTIFS([1]!estoque[empresa], $A16, [1]!estoque[Status], "Reservada")
+
COUNTIFS([1]!estoque[empresa], $A16, [1]!estoque[Status], "Em negociação")</f>
        <v>104</v>
      </c>
      <c r="K16" s="68" cm="1">
        <f t="array" ref="K16">SUMPRODUCT(
   [1]!estoque[Preço Tab.] *
   ([1]!estoque[empresa]=$A16) *
   (([1]!estoque[Status]="Disponível") + ([1]!estoque[Status]="Reservada") + ([1]!estoque[Status]="Em negociação"))
)</f>
        <v>32373094.110000007</v>
      </c>
      <c r="L16" s="79">
        <f t="shared" ca="1" si="0"/>
        <v>105707726.15000004</v>
      </c>
      <c r="M16" s="80">
        <v>106533245</v>
      </c>
    </row>
    <row r="17" spans="1:13" x14ac:dyDescent="0.25">
      <c r="A17" s="71" t="s">
        <v>18</v>
      </c>
      <c r="B17" s="72" t="s">
        <v>37</v>
      </c>
      <c r="C17" s="73">
        <v>0</v>
      </c>
      <c r="D17" s="73">
        <v>0</v>
      </c>
      <c r="E17" s="73">
        <v>0</v>
      </c>
      <c r="F17" s="73">
        <v>0</v>
      </c>
      <c r="G17" s="73">
        <f>[1]viabs!AB4</f>
        <v>51981763</v>
      </c>
      <c r="H17" s="73">
        <f>[1]viabs!AB7</f>
        <v>4070583</v>
      </c>
      <c r="I17" s="73">
        <f>[1]viabs!AB8</f>
        <v>14956888</v>
      </c>
      <c r="J17" s="74">
        <v>107</v>
      </c>
      <c r="K17" s="73">
        <v>35524021</v>
      </c>
      <c r="L17" s="75">
        <f t="shared" si="0"/>
        <v>106533362</v>
      </c>
      <c r="M17" s="76">
        <v>106533245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0.39997558519241921"/>
  </sheetPr>
  <dimension ref="A1:O43"/>
  <sheetViews>
    <sheetView workbookViewId="0">
      <selection activeCell="I4" sqref="I4"/>
    </sheetView>
  </sheetViews>
  <sheetFormatPr defaultRowHeight="15" x14ac:dyDescent="0.25"/>
  <cols>
    <col min="1" max="1" width="13.7109375" style="6" bestFit="1" customWidth="1"/>
    <col min="2" max="15" width="15.7109375" style="6" customWidth="1"/>
    <col min="16" max="16384" width="9.140625" style="6"/>
  </cols>
  <sheetData>
    <row r="1" spans="1:15" x14ac:dyDescent="0.25">
      <c r="A1" s="108" t="s">
        <v>38</v>
      </c>
      <c r="B1" s="109" t="s">
        <v>59</v>
      </c>
      <c r="C1" s="110" t="s">
        <v>60</v>
      </c>
      <c r="D1" s="111" t="s">
        <v>61</v>
      </c>
      <c r="E1" s="110" t="s">
        <v>62</v>
      </c>
      <c r="F1" s="111" t="s">
        <v>63</v>
      </c>
      <c r="G1" s="111" t="s">
        <v>64</v>
      </c>
      <c r="H1" s="112" t="s">
        <v>65</v>
      </c>
      <c r="I1" s="113" t="s">
        <v>30</v>
      </c>
    </row>
    <row r="2" spans="1:15" x14ac:dyDescent="0.25">
      <c r="A2" s="108" t="s">
        <v>12</v>
      </c>
      <c r="B2" s="61">
        <f>COUNTIFS(
    [1]!estoque[empresa], $A2,
    [1]!estoque[Status],B$1)</f>
        <v>11</v>
      </c>
      <c r="C2" s="61">
        <f>COUNTIFS(
    [1]!estoque[empresa], $A2,
    [1]!estoque[Status],C$1)</f>
        <v>2</v>
      </c>
      <c r="D2" s="61">
        <f>COUNTIFS(
    [1]!estoque[empresa], $A2,
    [1]!estoque[Status],D$1)</f>
        <v>0</v>
      </c>
      <c r="E2" s="61">
        <f>COUNTIFS(
    [1]!estoque[empresa], $A2,
    [1]!estoque[Status],E$1)</f>
        <v>3</v>
      </c>
      <c r="F2" s="61">
        <f>COUNTIFS(
    [1]!estoque[empresa], $A2,
    [1]!estoque[Status],F$1)</f>
        <v>5</v>
      </c>
      <c r="G2" s="61">
        <f>COUNTIFS(
    [1]!estoque[empresa], $A2,
    [1]!estoque[Status],G$1)</f>
        <v>0</v>
      </c>
      <c r="H2" s="61">
        <f>COUNTIFS(
    [1]!estoque[empresa], $A2,
    [1]!estoque[Status],H$1)</f>
        <v>85</v>
      </c>
      <c r="I2" s="114">
        <f t="shared" ref="I2:I9" si="0">SUM(B2:H2)</f>
        <v>106</v>
      </c>
    </row>
    <row r="3" spans="1:15" x14ac:dyDescent="0.25">
      <c r="A3" s="108" t="s">
        <v>13</v>
      </c>
      <c r="B3" s="61">
        <f>COUNTIFS(
    [1]!estoque[empresa], $A3,
    [1]!estoque[Status],B$1)</f>
        <v>23</v>
      </c>
      <c r="C3" s="61">
        <f>COUNTIFS(
    [1]!estoque[empresa], $A3,
    [1]!estoque[Status],C$1)</f>
        <v>6</v>
      </c>
      <c r="D3" s="61">
        <f>COUNTIFS(
    [1]!estoque[empresa], $A3,
    [1]!estoque[Status],D$1)</f>
        <v>0</v>
      </c>
      <c r="E3" s="61">
        <f>COUNTIFS(
    [1]!estoque[empresa], $A3,
    [1]!estoque[Status],E$1)</f>
        <v>0</v>
      </c>
      <c r="F3" s="61">
        <f>COUNTIFS(
    [1]!estoque[empresa], $A3,
    [1]!estoque[Status],F$1)</f>
        <v>1</v>
      </c>
      <c r="G3" s="61">
        <f>COUNTIFS(
    [1]!estoque[empresa], $A3,
    [1]!estoque[Status],G$1)</f>
        <v>0</v>
      </c>
      <c r="H3" s="61">
        <f>COUNTIFS(
    [1]!estoque[empresa], $A3,
    [1]!estoque[Status],H$1)</f>
        <v>150</v>
      </c>
      <c r="I3" s="114">
        <f t="shared" si="0"/>
        <v>180</v>
      </c>
    </row>
    <row r="4" spans="1:15" x14ac:dyDescent="0.25">
      <c r="A4" s="108" t="s">
        <v>14</v>
      </c>
      <c r="B4" s="61">
        <f>COUNTIFS(
    [1]!estoque[empresa], $A4,
    [1]!estoque[Status],B$1)</f>
        <v>1</v>
      </c>
      <c r="C4" s="61">
        <f>COUNTIFS(
    [1]!estoque[empresa], $A4,
    [1]!estoque[Status],C$1)</f>
        <v>1</v>
      </c>
      <c r="D4" s="61">
        <f>COUNTIFS(
    [1]!estoque[empresa], $A4,
    [1]!estoque[Status],D$1)</f>
        <v>1</v>
      </c>
      <c r="E4" s="61">
        <f>COUNTIFS(
    [1]!estoque[empresa], $A4,
    [1]!estoque[Status],E$1)</f>
        <v>0</v>
      </c>
      <c r="F4" s="61">
        <f>COUNTIFS(
    [1]!estoque[empresa], $A4,
    [1]!estoque[Status],F$1)</f>
        <v>10</v>
      </c>
      <c r="G4" s="61">
        <f>COUNTIFS(
    [1]!estoque[empresa], $A4,
    [1]!estoque[Status],G$1)</f>
        <v>0</v>
      </c>
      <c r="H4" s="61">
        <f>COUNTIFS(
    [1]!estoque[empresa], $A4,
    [1]!estoque[Status],H$1)</f>
        <v>128</v>
      </c>
      <c r="I4" s="114">
        <f t="shared" si="0"/>
        <v>141</v>
      </c>
    </row>
    <row r="5" spans="1:15" x14ac:dyDescent="0.25">
      <c r="A5" s="108" t="s">
        <v>15</v>
      </c>
      <c r="B5" s="61">
        <f>COUNTIFS(
    [1]!estoque[empresa], $A5,
    [1]!estoque[Status],B$1)</f>
        <v>12</v>
      </c>
      <c r="C5" s="61">
        <f>COUNTIFS(
    [1]!estoque[empresa], $A5,
    [1]!estoque[Status],C$1)</f>
        <v>1</v>
      </c>
      <c r="D5" s="61">
        <f>COUNTIFS(
    [1]!estoque[empresa], $A5,
    [1]!estoque[Status],D$1)</f>
        <v>2</v>
      </c>
      <c r="E5" s="61">
        <f>COUNTIFS(
    [1]!estoque[empresa], $A5,
    [1]!estoque[Status],E$1)</f>
        <v>2</v>
      </c>
      <c r="F5" s="61">
        <f>COUNTIFS(
    [1]!estoque[empresa], $A5,
    [1]!estoque[Status],F$1)</f>
        <v>88</v>
      </c>
      <c r="G5" s="61">
        <f>COUNTIFS(
    [1]!estoque[empresa], $A5,
    [1]!estoque[Status],G$1)</f>
        <v>2</v>
      </c>
      <c r="H5" s="61">
        <f>COUNTIFS(
    [1]!estoque[empresa], $A5,
    [1]!estoque[Status],H$1)</f>
        <v>119</v>
      </c>
      <c r="I5" s="114">
        <f t="shared" si="0"/>
        <v>226</v>
      </c>
    </row>
    <row r="6" spans="1:15" x14ac:dyDescent="0.25">
      <c r="A6" s="108" t="s">
        <v>16</v>
      </c>
      <c r="B6" s="61">
        <f>COUNTIFS(
    [1]!estoque[empresa], $A6,
    [1]!estoque[Status],B$1)</f>
        <v>15</v>
      </c>
      <c r="C6" s="61">
        <f>COUNTIFS(
    [1]!estoque[empresa], $A6,
    [1]!estoque[Status],C$1)</f>
        <v>11</v>
      </c>
      <c r="D6" s="61">
        <f>COUNTIFS(
    [1]!estoque[empresa], $A6,
    [1]!estoque[Status],D$1)</f>
        <v>0</v>
      </c>
      <c r="E6" s="61">
        <f>COUNTIFS(
    [1]!estoque[empresa], $A6,
    [1]!estoque[Status],E$1)</f>
        <v>1</v>
      </c>
      <c r="F6" s="61">
        <f>COUNTIFS(
    [1]!estoque[empresa], $A6,
    [1]!estoque[Status],F$1)</f>
        <v>0</v>
      </c>
      <c r="G6" s="61">
        <f>COUNTIFS(
    [1]!estoque[empresa], $A6,
    [1]!estoque[Status],G$1)</f>
        <v>0</v>
      </c>
      <c r="H6" s="61">
        <f>COUNTIFS(
    [1]!estoque[empresa], $A6,
    [1]!estoque[Status],H$1)</f>
        <v>45</v>
      </c>
      <c r="I6" s="114">
        <f t="shared" si="0"/>
        <v>72</v>
      </c>
    </row>
    <row r="7" spans="1:15" x14ac:dyDescent="0.25">
      <c r="A7" s="108" t="s">
        <v>17</v>
      </c>
      <c r="B7" s="61">
        <f>COUNTIFS(
    [1]!estoque[empresa], $A7,
    [1]!estoque[Status],B$1)</f>
        <v>37</v>
      </c>
      <c r="C7" s="61">
        <f>COUNTIFS(
    [1]!estoque[empresa], $A7,
    [1]!estoque[Status],C$1)</f>
        <v>1</v>
      </c>
      <c r="D7" s="61">
        <f>COUNTIFS(
    [1]!estoque[empresa], $A7,
    [1]!estoque[Status],D$1)</f>
        <v>1</v>
      </c>
      <c r="E7" s="61">
        <f>COUNTIFS(
    [1]!estoque[empresa], $A7,
    [1]!estoque[Status],E$1)</f>
        <v>0</v>
      </c>
      <c r="F7" s="61">
        <f>COUNTIFS(
    [1]!estoque[empresa], $A7,
    [1]!estoque[Status],F$1)</f>
        <v>5</v>
      </c>
      <c r="G7" s="61">
        <f>COUNTIFS(
    [1]!estoque[empresa], $A7,
    [1]!estoque[Status],G$1)</f>
        <v>0</v>
      </c>
      <c r="H7" s="61">
        <f>COUNTIFS(
    [1]!estoque[empresa], $A7,
    [1]!estoque[Status],H$1)</f>
        <v>190</v>
      </c>
      <c r="I7" s="114">
        <f t="shared" si="0"/>
        <v>234</v>
      </c>
    </row>
    <row r="8" spans="1:15" x14ac:dyDescent="0.25">
      <c r="A8" s="108" t="s">
        <v>18</v>
      </c>
      <c r="B8" s="61">
        <f>COUNTIFS(
    [1]!estoque[empresa], $A8,
    [1]!estoque[Status],B$1)</f>
        <v>64</v>
      </c>
      <c r="C8" s="61">
        <f>COUNTIFS(
    [1]!estoque[empresa], $A8,
    [1]!estoque[Status],C$1)</f>
        <v>7</v>
      </c>
      <c r="D8" s="61">
        <f>COUNTIFS(
    [1]!estoque[empresa], $A8,
    [1]!estoque[Status],D$1)</f>
        <v>3</v>
      </c>
      <c r="E8" s="61">
        <f>COUNTIFS(
    [1]!estoque[empresa], $A8,
    [1]!estoque[Status],E$1)</f>
        <v>6</v>
      </c>
      <c r="F8" s="61">
        <f>COUNTIFS(
    [1]!estoque[empresa], $A8,
    [1]!estoque[Status],F$1)</f>
        <v>101</v>
      </c>
      <c r="G8" s="61">
        <f>COUNTIFS(
    [1]!estoque[empresa], $A8,
    [1]!estoque[Status],G$1)</f>
        <v>0</v>
      </c>
      <c r="H8" s="61">
        <f>COUNTIFS(
    [1]!estoque[empresa], $A8,
    [1]!estoque[Status],H$1)</f>
        <v>275</v>
      </c>
      <c r="I8" s="114">
        <f t="shared" si="0"/>
        <v>456</v>
      </c>
    </row>
    <row r="9" spans="1:15" x14ac:dyDescent="0.25">
      <c r="A9" s="115" t="s">
        <v>30</v>
      </c>
      <c r="B9" s="114">
        <f t="shared" ref="B9:H9" si="1">SUM(B2:B8)</f>
        <v>163</v>
      </c>
      <c r="C9" s="114">
        <f t="shared" si="1"/>
        <v>29</v>
      </c>
      <c r="D9" s="114">
        <f t="shared" si="1"/>
        <v>7</v>
      </c>
      <c r="E9" s="114">
        <f t="shared" si="1"/>
        <v>12</v>
      </c>
      <c r="F9" s="114">
        <f t="shared" si="1"/>
        <v>210</v>
      </c>
      <c r="G9" s="114">
        <f t="shared" si="1"/>
        <v>2</v>
      </c>
      <c r="H9" s="114">
        <f t="shared" si="1"/>
        <v>992</v>
      </c>
      <c r="I9" s="114">
        <f t="shared" si="0"/>
        <v>1415</v>
      </c>
    </row>
    <row r="13" spans="1:15" ht="26.25" x14ac:dyDescent="0.4">
      <c r="A13" s="116" t="s">
        <v>66</v>
      </c>
    </row>
    <row r="14" spans="1:15" ht="15" customHeight="1" x14ac:dyDescent="0.4">
      <c r="A14" s="116"/>
      <c r="C14" s="117" t="s">
        <v>67</v>
      </c>
      <c r="D14" s="118"/>
      <c r="E14" s="118"/>
      <c r="F14" s="118"/>
      <c r="I14" s="119" t="s">
        <v>68</v>
      </c>
      <c r="J14" s="120"/>
      <c r="K14" s="120"/>
      <c r="L14" s="120"/>
      <c r="M14" s="121"/>
      <c r="N14" s="121"/>
      <c r="O14" s="121"/>
    </row>
    <row r="15" spans="1:15" ht="30" x14ac:dyDescent="0.25">
      <c r="A15" s="122" t="s">
        <v>38</v>
      </c>
      <c r="B15" s="122" t="s">
        <v>39</v>
      </c>
      <c r="C15" s="123" t="s">
        <v>59</v>
      </c>
      <c r="D15" s="124" t="s">
        <v>69</v>
      </c>
      <c r="E15" s="125" t="s">
        <v>63</v>
      </c>
      <c r="F15" s="126" t="s">
        <v>70</v>
      </c>
      <c r="G15" s="127" t="s">
        <v>71</v>
      </c>
      <c r="H15" s="127" t="s">
        <v>72</v>
      </c>
      <c r="I15" s="122" t="s">
        <v>73</v>
      </c>
      <c r="J15" s="122" t="s">
        <v>74</v>
      </c>
      <c r="K15" s="122" t="s">
        <v>75</v>
      </c>
      <c r="L15" s="122" t="s">
        <v>76</v>
      </c>
      <c r="M15" s="122" t="s">
        <v>77</v>
      </c>
      <c r="N15" s="122" t="s">
        <v>78</v>
      </c>
      <c r="O15" s="122" t="s">
        <v>79</v>
      </c>
    </row>
    <row r="16" spans="1:15" x14ac:dyDescent="0.25">
      <c r="A16" s="25" t="s">
        <v>12</v>
      </c>
      <c r="B16" s="26" t="s">
        <v>35</v>
      </c>
      <c r="C16" s="26">
        <f>B2</f>
        <v>11</v>
      </c>
      <c r="D16" s="26">
        <f>C2+E2</f>
        <v>5</v>
      </c>
      <c r="E16" s="26">
        <f>D2+F2+G2</f>
        <v>5</v>
      </c>
      <c r="F16" s="26">
        <f>H2</f>
        <v>85</v>
      </c>
      <c r="G16" s="128">
        <f>SUM(C16:F16)</f>
        <v>106</v>
      </c>
      <c r="H16" s="129">
        <f>G16-C16</f>
        <v>95</v>
      </c>
      <c r="I16" s="26"/>
      <c r="J16" s="26"/>
      <c r="K16" s="26"/>
      <c r="L16" s="26"/>
      <c r="M16" s="130"/>
      <c r="N16" s="28"/>
      <c r="O16" s="130"/>
    </row>
    <row r="17" spans="1:15" x14ac:dyDescent="0.25">
      <c r="A17" s="131" t="s">
        <v>12</v>
      </c>
      <c r="B17" s="132" t="s">
        <v>34</v>
      </c>
      <c r="C17" s="132">
        <v>12</v>
      </c>
      <c r="D17" s="132">
        <v>4</v>
      </c>
      <c r="E17" s="132">
        <v>5</v>
      </c>
      <c r="F17" s="132">
        <v>85</v>
      </c>
      <c r="G17" s="128">
        <f>SUM(C17:F17)</f>
        <v>106</v>
      </c>
      <c r="H17" s="133">
        <f>G17-C17</f>
        <v>94</v>
      </c>
      <c r="I17" s="132">
        <f>COUNTIFS(
    [1]!estoque[empresa], $A17,
    [1]!estoque[especie],I$15)</f>
        <v>105</v>
      </c>
      <c r="J17" s="132">
        <f>COUNTIFS(
    [1]!estoque[empresa], $A17,
    [1]!estoque[especie],J$15)</f>
        <v>1</v>
      </c>
      <c r="K17" s="132">
        <f>COUNTIFS(
    [1]!estoque[empresa], $A17,
    [1]!estoque[especie],K$15)</f>
        <v>0</v>
      </c>
      <c r="L17" s="134"/>
      <c r="M17" s="135"/>
      <c r="N17" s="135"/>
      <c r="O17" s="135"/>
    </row>
    <row r="18" spans="1:15" x14ac:dyDescent="0.25">
      <c r="A18" s="136" t="s">
        <v>12</v>
      </c>
      <c r="B18" s="137" t="s">
        <v>80</v>
      </c>
      <c r="C18" s="138"/>
      <c r="D18" s="138"/>
      <c r="E18" s="138"/>
      <c r="F18" s="138"/>
      <c r="G18" s="139"/>
      <c r="H18" s="140"/>
      <c r="I18" s="138"/>
      <c r="J18" s="138"/>
      <c r="K18" s="138"/>
      <c r="L18" s="138"/>
      <c r="M18" s="139"/>
      <c r="N18" s="139"/>
      <c r="O18" s="139"/>
    </row>
    <row r="19" spans="1:15" x14ac:dyDescent="0.25">
      <c r="A19" s="141" t="s">
        <v>12</v>
      </c>
      <c r="B19" s="142" t="s">
        <v>37</v>
      </c>
      <c r="C19" s="142">
        <v>10</v>
      </c>
      <c r="D19" s="142">
        <v>6</v>
      </c>
      <c r="E19" s="142">
        <v>6</v>
      </c>
      <c r="F19" s="142">
        <v>84</v>
      </c>
      <c r="G19" s="143">
        <f>SUM(C19:F19)</f>
        <v>106</v>
      </c>
      <c r="H19" s="144">
        <f>G19-C19</f>
        <v>96</v>
      </c>
      <c r="I19" s="142">
        <v>105</v>
      </c>
      <c r="J19" s="142">
        <v>1</v>
      </c>
      <c r="K19" s="142"/>
      <c r="L19" s="142">
        <v>0</v>
      </c>
      <c r="M19" s="145">
        <v>21</v>
      </c>
      <c r="N19" s="145">
        <v>0</v>
      </c>
      <c r="O19" s="145">
        <v>0</v>
      </c>
    </row>
    <row r="20" spans="1:15" x14ac:dyDescent="0.25">
      <c r="A20" s="25" t="s">
        <v>13</v>
      </c>
      <c r="B20" s="26" t="s">
        <v>35</v>
      </c>
      <c r="C20" s="26">
        <f>B3</f>
        <v>23</v>
      </c>
      <c r="D20" s="26">
        <f>C3+E3</f>
        <v>6</v>
      </c>
      <c r="E20" s="26">
        <f>D3+F3+G3</f>
        <v>1</v>
      </c>
      <c r="F20" s="26">
        <f>H3</f>
        <v>150</v>
      </c>
      <c r="G20" s="128">
        <f>SUM(C20:F20)</f>
        <v>180</v>
      </c>
      <c r="H20" s="129">
        <f>G20-C20</f>
        <v>157</v>
      </c>
      <c r="I20" s="26"/>
      <c r="J20" s="26"/>
      <c r="K20" s="26"/>
      <c r="L20" s="26"/>
      <c r="M20" s="130"/>
      <c r="N20" s="28"/>
      <c r="O20" s="130"/>
    </row>
    <row r="21" spans="1:15" x14ac:dyDescent="0.25">
      <c r="A21" s="131" t="s">
        <v>13</v>
      </c>
      <c r="B21" s="132" t="s">
        <v>34</v>
      </c>
      <c r="C21" s="132">
        <v>27</v>
      </c>
      <c r="D21" s="132">
        <v>1</v>
      </c>
      <c r="E21" s="132">
        <v>1</v>
      </c>
      <c r="F21" s="132">
        <v>151</v>
      </c>
      <c r="G21" s="128">
        <f>SUM(C21:F21)</f>
        <v>180</v>
      </c>
      <c r="H21" s="133">
        <f>G21-C21</f>
        <v>153</v>
      </c>
      <c r="I21" s="132">
        <f>COUNTIFS(
    [1]!estoque[empresa], $A21,
    [1]!estoque[especie],I$15)</f>
        <v>180</v>
      </c>
      <c r="J21" s="132">
        <f>COUNTIFS(
    [1]!estoque[empresa], $A21,
    [1]!estoque[especie],J$15)</f>
        <v>0</v>
      </c>
      <c r="K21" s="132">
        <f>COUNTIFS(
    [1]!estoque[empresa], $A21,
    [1]!estoque[especie],K$15)</f>
        <v>0</v>
      </c>
      <c r="L21" s="134"/>
      <c r="M21" s="135"/>
      <c r="N21" s="135"/>
      <c r="O21" s="135"/>
    </row>
    <row r="22" spans="1:15" x14ac:dyDescent="0.25">
      <c r="A22" s="136" t="s">
        <v>13</v>
      </c>
      <c r="B22" s="137" t="s">
        <v>80</v>
      </c>
      <c r="C22" s="138"/>
      <c r="D22" s="138"/>
      <c r="E22" s="138"/>
      <c r="F22" s="138"/>
      <c r="G22" s="139"/>
      <c r="H22" s="140"/>
      <c r="I22" s="138"/>
      <c r="J22" s="138"/>
      <c r="K22" s="138"/>
      <c r="L22" s="138"/>
      <c r="M22" s="139"/>
      <c r="N22" s="139"/>
      <c r="O22" s="139"/>
    </row>
    <row r="23" spans="1:15" x14ac:dyDescent="0.25">
      <c r="A23" s="141" t="s">
        <v>13</v>
      </c>
      <c r="B23" s="142" t="s">
        <v>37</v>
      </c>
      <c r="C23" s="142">
        <v>23</v>
      </c>
      <c r="D23" s="142">
        <v>5</v>
      </c>
      <c r="E23" s="142">
        <v>1</v>
      </c>
      <c r="F23" s="142">
        <v>151</v>
      </c>
      <c r="G23" s="143">
        <f>SUM(C23:F23)</f>
        <v>180</v>
      </c>
      <c r="H23" s="144">
        <f>G23-C23</f>
        <v>157</v>
      </c>
      <c r="I23" s="142">
        <v>178</v>
      </c>
      <c r="J23" s="142">
        <v>2</v>
      </c>
      <c r="K23" s="142"/>
      <c r="L23" s="142">
        <v>0</v>
      </c>
      <c r="M23" s="145">
        <v>18</v>
      </c>
      <c r="N23" s="145">
        <v>0</v>
      </c>
      <c r="O23" s="145">
        <v>0</v>
      </c>
    </row>
    <row r="24" spans="1:15" x14ac:dyDescent="0.25">
      <c r="A24" s="25" t="s">
        <v>14</v>
      </c>
      <c r="B24" s="26" t="s">
        <v>35</v>
      </c>
      <c r="C24" s="26">
        <f>B4</f>
        <v>1</v>
      </c>
      <c r="D24" s="26">
        <f>C4+E4</f>
        <v>1</v>
      </c>
      <c r="E24" s="26">
        <f>D4+F4+G4</f>
        <v>11</v>
      </c>
      <c r="F24" s="26">
        <f>H4</f>
        <v>128</v>
      </c>
      <c r="G24" s="128">
        <f>SUM(C24:F24)</f>
        <v>141</v>
      </c>
      <c r="H24" s="129">
        <f>G24-C24</f>
        <v>140</v>
      </c>
      <c r="I24" s="26"/>
      <c r="J24" s="26"/>
      <c r="K24" s="26"/>
      <c r="L24" s="26"/>
      <c r="M24" s="130"/>
      <c r="N24" s="28"/>
      <c r="O24" s="130"/>
    </row>
    <row r="25" spans="1:15" x14ac:dyDescent="0.25">
      <c r="A25" s="131" t="s">
        <v>14</v>
      </c>
      <c r="B25" s="132" t="s">
        <v>34</v>
      </c>
      <c r="C25" s="132">
        <v>0</v>
      </c>
      <c r="D25" s="132">
        <v>0</v>
      </c>
      <c r="E25" s="132">
        <v>13</v>
      </c>
      <c r="F25" s="132">
        <v>128</v>
      </c>
      <c r="G25" s="128">
        <f>SUM(C25:F25)</f>
        <v>141</v>
      </c>
      <c r="H25" s="146">
        <f>G25-C25</f>
        <v>141</v>
      </c>
      <c r="I25" s="132">
        <f>COUNTIFS(
    [1]!estoque[empresa], $A25,
    [1]!estoque[especie],I$15)</f>
        <v>138</v>
      </c>
      <c r="J25" s="132">
        <f>COUNTIFS(
    [1]!estoque[empresa], $A25,
    [1]!estoque[especie],J$15)</f>
        <v>3</v>
      </c>
      <c r="K25" s="132">
        <f>COUNTIFS(
    [1]!estoque[empresa], $A25,
    [1]!estoque[especie],K$15)</f>
        <v>0</v>
      </c>
      <c r="L25" s="134"/>
      <c r="M25" s="135"/>
      <c r="N25" s="135"/>
      <c r="O25" s="135"/>
    </row>
    <row r="26" spans="1:15" x14ac:dyDescent="0.25">
      <c r="A26" s="136" t="s">
        <v>14</v>
      </c>
      <c r="B26" s="137" t="s">
        <v>80</v>
      </c>
      <c r="C26" s="138"/>
      <c r="D26" s="138"/>
      <c r="E26" s="138"/>
      <c r="F26" s="138"/>
      <c r="G26" s="139"/>
      <c r="H26" s="140"/>
      <c r="I26" s="138"/>
      <c r="J26" s="138"/>
      <c r="K26" s="138"/>
      <c r="L26" s="138"/>
      <c r="M26" s="139"/>
      <c r="N26" s="139"/>
      <c r="O26" s="139"/>
    </row>
    <row r="27" spans="1:15" x14ac:dyDescent="0.25">
      <c r="A27" s="141" t="s">
        <v>14</v>
      </c>
      <c r="B27" s="142" t="s">
        <v>37</v>
      </c>
      <c r="C27" s="142">
        <v>0</v>
      </c>
      <c r="D27" s="142">
        <v>2</v>
      </c>
      <c r="E27" s="142">
        <v>11</v>
      </c>
      <c r="F27" s="142">
        <v>128</v>
      </c>
      <c r="G27" s="143">
        <f>SUM(C27:F27)</f>
        <v>141</v>
      </c>
      <c r="H27" s="147">
        <f>G27-C27</f>
        <v>141</v>
      </c>
      <c r="I27" s="142">
        <v>138</v>
      </c>
      <c r="J27" s="142">
        <v>3</v>
      </c>
      <c r="K27" s="142"/>
      <c r="L27" s="142">
        <v>0</v>
      </c>
      <c r="M27" s="145">
        <v>0</v>
      </c>
      <c r="N27" s="145">
        <v>0</v>
      </c>
      <c r="O27" s="145">
        <v>0</v>
      </c>
    </row>
    <row r="28" spans="1:15" x14ac:dyDescent="0.25">
      <c r="A28" s="25" t="s">
        <v>15</v>
      </c>
      <c r="B28" s="26" t="s">
        <v>35</v>
      </c>
      <c r="C28" s="26">
        <f>B5</f>
        <v>12</v>
      </c>
      <c r="D28" s="26">
        <f>C5+E5</f>
        <v>3</v>
      </c>
      <c r="E28" s="26">
        <f>D5+F5+G5</f>
        <v>92</v>
      </c>
      <c r="F28" s="26">
        <f>H5</f>
        <v>119</v>
      </c>
      <c r="G28" s="128">
        <f>SUM(C28:F28)</f>
        <v>226</v>
      </c>
      <c r="H28" s="129">
        <f>G28-C28</f>
        <v>214</v>
      </c>
      <c r="I28" s="26"/>
      <c r="J28" s="26"/>
      <c r="K28" s="26"/>
      <c r="L28" s="26"/>
      <c r="M28" s="130"/>
      <c r="N28" s="28"/>
      <c r="O28" s="130"/>
    </row>
    <row r="29" spans="1:15" x14ac:dyDescent="0.25">
      <c r="A29" s="131" t="s">
        <v>15</v>
      </c>
      <c r="B29" s="132" t="s">
        <v>34</v>
      </c>
      <c r="C29" s="132">
        <v>12</v>
      </c>
      <c r="D29" s="132">
        <v>0</v>
      </c>
      <c r="E29" s="132">
        <v>94</v>
      </c>
      <c r="F29" s="132">
        <v>120</v>
      </c>
      <c r="G29" s="128">
        <f>SUM(C29:F29)</f>
        <v>226</v>
      </c>
      <c r="H29" s="146">
        <f>G29-C29</f>
        <v>214</v>
      </c>
      <c r="I29" s="132">
        <f>COUNTIFS(
    [1]!estoque[empresa], $A29,
    [1]!estoque[especie],I$15)</f>
        <v>226</v>
      </c>
      <c r="J29" s="132">
        <f>COUNTIFS(
    [1]!estoque[empresa], $A29,
    [1]!estoque[especie],J$15)</f>
        <v>0</v>
      </c>
      <c r="K29" s="132">
        <f>COUNTIFS(
    [1]!estoque[empresa], $A29,
    [1]!estoque[especie],K$15)</f>
        <v>0</v>
      </c>
      <c r="L29" s="134"/>
      <c r="M29" s="135"/>
      <c r="N29" s="135"/>
      <c r="O29" s="135"/>
    </row>
    <row r="30" spans="1:15" x14ac:dyDescent="0.25">
      <c r="A30" s="136" t="s">
        <v>15</v>
      </c>
      <c r="B30" s="137" t="s">
        <v>80</v>
      </c>
      <c r="C30" s="138"/>
      <c r="D30" s="138"/>
      <c r="E30" s="138"/>
      <c r="F30" s="138"/>
      <c r="G30" s="139"/>
      <c r="H30" s="140"/>
      <c r="I30" s="138"/>
      <c r="J30" s="138"/>
      <c r="K30" s="138"/>
      <c r="L30" s="138"/>
      <c r="M30" s="139"/>
      <c r="N30" s="139"/>
      <c r="O30" s="139"/>
    </row>
    <row r="31" spans="1:15" x14ac:dyDescent="0.25">
      <c r="A31" s="141" t="s">
        <v>15</v>
      </c>
      <c r="B31" s="142" t="s">
        <v>37</v>
      </c>
      <c r="C31" s="142">
        <v>12</v>
      </c>
      <c r="D31" s="142">
        <v>0</v>
      </c>
      <c r="E31" s="142">
        <v>93</v>
      </c>
      <c r="F31" s="142">
        <v>121</v>
      </c>
      <c r="G31" s="143">
        <f>SUM(C31:F31)</f>
        <v>226</v>
      </c>
      <c r="H31" s="147">
        <f>G31-C31</f>
        <v>214</v>
      </c>
      <c r="I31" s="142">
        <v>214</v>
      </c>
      <c r="J31" s="142">
        <v>0</v>
      </c>
      <c r="K31" s="142"/>
      <c r="L31" s="142">
        <v>0</v>
      </c>
      <c r="M31" s="145">
        <v>42</v>
      </c>
      <c r="N31" s="145">
        <v>0</v>
      </c>
      <c r="O31" s="145">
        <v>0</v>
      </c>
    </row>
    <row r="32" spans="1:15" x14ac:dyDescent="0.25">
      <c r="A32" s="25" t="s">
        <v>16</v>
      </c>
      <c r="B32" s="26" t="s">
        <v>35</v>
      </c>
      <c r="C32" s="26">
        <f>B6</f>
        <v>15</v>
      </c>
      <c r="D32" s="26">
        <f>C6+E6</f>
        <v>12</v>
      </c>
      <c r="E32" s="26">
        <f>D6+F6+G6</f>
        <v>0</v>
      </c>
      <c r="F32" s="26">
        <f>H6</f>
        <v>45</v>
      </c>
      <c r="G32" s="128">
        <f>SUM(C32:F32)</f>
        <v>72</v>
      </c>
      <c r="H32" s="129">
        <f>G32-C32</f>
        <v>57</v>
      </c>
      <c r="I32" s="26"/>
      <c r="J32" s="26"/>
      <c r="K32" s="26"/>
      <c r="L32" s="26"/>
      <c r="M32" s="130"/>
      <c r="N32" s="28"/>
      <c r="O32" s="130"/>
    </row>
    <row r="33" spans="1:15" x14ac:dyDescent="0.25">
      <c r="A33" s="131" t="s">
        <v>16</v>
      </c>
      <c r="B33" s="132" t="s">
        <v>34</v>
      </c>
      <c r="C33" s="132">
        <v>16</v>
      </c>
      <c r="D33" s="132">
        <v>0</v>
      </c>
      <c r="E33" s="132">
        <v>2</v>
      </c>
      <c r="F33" s="132">
        <v>54</v>
      </c>
      <c r="G33" s="128">
        <f>SUM(C33:F33)</f>
        <v>72</v>
      </c>
      <c r="H33" s="146">
        <f>G33-C33</f>
        <v>56</v>
      </c>
      <c r="I33" s="132">
        <f>COUNTIFS(
    [1]!estoque[empresa], $A33,
    [1]!estoque[especie],I$15)</f>
        <v>70</v>
      </c>
      <c r="J33" s="132">
        <f>COUNTIFS(
    [1]!estoque[empresa], $A33,
    [1]!estoque[especie],J$15)</f>
        <v>2</v>
      </c>
      <c r="K33" s="132">
        <f>COUNTIFS(
    [1]!estoque[empresa], $A33,
    [1]!estoque[especie],K$15)</f>
        <v>0</v>
      </c>
      <c r="L33" s="134"/>
      <c r="M33" s="135"/>
      <c r="N33" s="135"/>
      <c r="O33" s="135"/>
    </row>
    <row r="34" spans="1:15" x14ac:dyDescent="0.25">
      <c r="A34" s="136" t="s">
        <v>16</v>
      </c>
      <c r="B34" s="137" t="s">
        <v>80</v>
      </c>
      <c r="C34" s="138"/>
      <c r="D34" s="138"/>
      <c r="E34" s="138"/>
      <c r="F34" s="138"/>
      <c r="G34" s="139"/>
      <c r="H34" s="140"/>
      <c r="I34" s="138"/>
      <c r="J34" s="138"/>
      <c r="K34" s="138"/>
      <c r="L34" s="138"/>
      <c r="M34" s="139"/>
      <c r="N34" s="139"/>
      <c r="O34" s="139"/>
    </row>
    <row r="35" spans="1:15" x14ac:dyDescent="0.25">
      <c r="A35" s="141" t="s">
        <v>16</v>
      </c>
      <c r="B35" s="142" t="s">
        <v>37</v>
      </c>
      <c r="C35" s="142">
        <v>16</v>
      </c>
      <c r="D35" s="142">
        <v>1</v>
      </c>
      <c r="E35" s="142">
        <v>0</v>
      </c>
      <c r="F35" s="142">
        <v>55</v>
      </c>
      <c r="G35" s="143">
        <f>SUM(C35:F35)</f>
        <v>72</v>
      </c>
      <c r="H35" s="147">
        <f>G35-C35</f>
        <v>56</v>
      </c>
      <c r="I35" s="142">
        <v>70</v>
      </c>
      <c r="J35" s="142">
        <v>2</v>
      </c>
      <c r="K35" s="142"/>
      <c r="L35" s="142">
        <v>0</v>
      </c>
      <c r="M35" s="145">
        <v>0</v>
      </c>
      <c r="N35" s="145">
        <v>0</v>
      </c>
      <c r="O35" s="145">
        <v>0</v>
      </c>
    </row>
    <row r="36" spans="1:15" x14ac:dyDescent="0.25">
      <c r="A36" s="25" t="s">
        <v>17</v>
      </c>
      <c r="B36" s="26" t="s">
        <v>35</v>
      </c>
      <c r="C36" s="26">
        <f>B7</f>
        <v>37</v>
      </c>
      <c r="D36" s="26">
        <f>C7+E7</f>
        <v>1</v>
      </c>
      <c r="E36" s="26">
        <f>D7+F7+G7</f>
        <v>6</v>
      </c>
      <c r="F36" s="26">
        <f>H7</f>
        <v>190</v>
      </c>
      <c r="G36" s="128">
        <f>SUM(C36:F36)</f>
        <v>234</v>
      </c>
      <c r="H36" s="129">
        <f>G36-C36</f>
        <v>197</v>
      </c>
      <c r="I36" s="26"/>
      <c r="J36" s="26"/>
      <c r="K36" s="26"/>
      <c r="L36" s="26"/>
      <c r="M36" s="130"/>
      <c r="N36" s="28"/>
      <c r="O36" s="130"/>
    </row>
    <row r="37" spans="1:15" x14ac:dyDescent="0.25">
      <c r="A37" s="131" t="s">
        <v>17</v>
      </c>
      <c r="B37" s="132" t="s">
        <v>34</v>
      </c>
      <c r="C37" s="132">
        <v>34</v>
      </c>
      <c r="D37" s="132">
        <v>1</v>
      </c>
      <c r="E37" s="132">
        <v>8</v>
      </c>
      <c r="F37" s="132">
        <v>191</v>
      </c>
      <c r="G37" s="128">
        <f>SUM(C37:F37)</f>
        <v>234</v>
      </c>
      <c r="H37" s="133">
        <f>G37-C37</f>
        <v>200</v>
      </c>
      <c r="I37" s="132">
        <f>COUNTIFS(
    [1]!estoque[empresa], $A37,
    [1]!estoque[especie],I$15)</f>
        <v>214</v>
      </c>
      <c r="J37" s="132">
        <f>COUNTIFS(
    [1]!estoque[empresa], $A37,
    [1]!estoque[especie],J$15)</f>
        <v>1</v>
      </c>
      <c r="K37" s="132">
        <f>COUNTIFS(
    [1]!estoque[empresa], $A37,
    [1]!estoque[especie],K$15)</f>
        <v>19</v>
      </c>
      <c r="L37" s="134"/>
      <c r="M37" s="135"/>
      <c r="N37" s="135"/>
      <c r="O37" s="135"/>
    </row>
    <row r="38" spans="1:15" x14ac:dyDescent="0.25">
      <c r="A38" s="136" t="s">
        <v>17</v>
      </c>
      <c r="B38" s="137" t="s">
        <v>80</v>
      </c>
      <c r="C38" s="138"/>
      <c r="D38" s="138"/>
      <c r="E38" s="138"/>
      <c r="F38" s="138"/>
      <c r="G38" s="139"/>
      <c r="H38" s="140"/>
      <c r="I38" s="138"/>
      <c r="J38" s="138"/>
      <c r="K38" s="138"/>
      <c r="L38" s="138"/>
      <c r="M38" s="139"/>
      <c r="N38" s="139"/>
      <c r="O38" s="139"/>
    </row>
    <row r="39" spans="1:15" x14ac:dyDescent="0.25">
      <c r="A39" s="141" t="s">
        <v>17</v>
      </c>
      <c r="B39" s="142" t="s">
        <v>37</v>
      </c>
      <c r="C39" s="142">
        <v>37</v>
      </c>
      <c r="D39" s="142">
        <v>2</v>
      </c>
      <c r="E39" s="142">
        <v>5</v>
      </c>
      <c r="F39" s="142">
        <v>190</v>
      </c>
      <c r="G39" s="143">
        <f>SUM(C39:F39)</f>
        <v>234</v>
      </c>
      <c r="H39" s="144">
        <f>G39-C39</f>
        <v>197</v>
      </c>
      <c r="I39" s="142">
        <v>233</v>
      </c>
      <c r="J39" s="142">
        <v>1</v>
      </c>
      <c r="K39" s="142"/>
      <c r="L39" s="142">
        <v>0</v>
      </c>
      <c r="M39" s="145">
        <v>9</v>
      </c>
      <c r="N39" s="145">
        <v>0</v>
      </c>
      <c r="O39" s="145">
        <v>0</v>
      </c>
    </row>
    <row r="40" spans="1:15" x14ac:dyDescent="0.25">
      <c r="A40" s="25" t="s">
        <v>18</v>
      </c>
      <c r="B40" s="26" t="s">
        <v>35</v>
      </c>
      <c r="C40" s="26">
        <f>B8</f>
        <v>64</v>
      </c>
      <c r="D40" s="26">
        <f>C8+E8</f>
        <v>13</v>
      </c>
      <c r="E40" s="26">
        <f>D8+F8+G8</f>
        <v>104</v>
      </c>
      <c r="F40" s="26">
        <f>H8</f>
        <v>275</v>
      </c>
      <c r="G40" s="128">
        <f>SUM(C40:F40)</f>
        <v>456</v>
      </c>
      <c r="H40" s="129">
        <f>G40-C40</f>
        <v>392</v>
      </c>
      <c r="I40" s="26"/>
      <c r="J40" s="26"/>
      <c r="K40" s="26"/>
      <c r="L40" s="26"/>
      <c r="M40" s="130"/>
      <c r="N40" s="28"/>
      <c r="O40" s="130"/>
    </row>
    <row r="41" spans="1:15" x14ac:dyDescent="0.25">
      <c r="A41" s="131" t="s">
        <v>18</v>
      </c>
      <c r="B41" s="132" t="s">
        <v>34</v>
      </c>
      <c r="C41" s="132">
        <v>72</v>
      </c>
      <c r="D41" s="132">
        <v>74</v>
      </c>
      <c r="E41" s="132">
        <v>117</v>
      </c>
      <c r="F41" s="132">
        <v>267</v>
      </c>
      <c r="G41" s="148">
        <f>SUM(C41:F41)</f>
        <v>530</v>
      </c>
      <c r="H41" s="133">
        <f>G41-C41</f>
        <v>458</v>
      </c>
      <c r="I41" s="132">
        <f>COUNTIFS(
    [1]!estoque[empresa], $A41,
    [1]!estoque[especie],I$15)</f>
        <v>410</v>
      </c>
      <c r="J41" s="132">
        <f>COUNTIFS(
    [1]!estoque[empresa], $A41,
    [1]!estoque[especie],J$15)</f>
        <v>0</v>
      </c>
      <c r="K41" s="132">
        <f>COUNTIFS(
    [1]!estoque[empresa], $A41,
    [1]!estoque[especie],K$15)</f>
        <v>46</v>
      </c>
      <c r="L41" s="134"/>
      <c r="M41" s="135"/>
      <c r="N41" s="135"/>
      <c r="O41" s="135"/>
    </row>
    <row r="42" spans="1:15" x14ac:dyDescent="0.25">
      <c r="A42" s="136" t="s">
        <v>18</v>
      </c>
      <c r="B42" s="137" t="s">
        <v>80</v>
      </c>
      <c r="C42" s="138"/>
      <c r="D42" s="138"/>
      <c r="E42" s="138"/>
      <c r="F42" s="138"/>
      <c r="G42" s="139"/>
      <c r="H42" s="140"/>
      <c r="I42" s="138"/>
      <c r="J42" s="138"/>
      <c r="K42" s="138"/>
      <c r="L42" s="138"/>
      <c r="M42" s="139"/>
      <c r="N42" s="139"/>
      <c r="O42" s="139"/>
    </row>
    <row r="43" spans="1:15" x14ac:dyDescent="0.25">
      <c r="A43" s="141" t="s">
        <v>18</v>
      </c>
      <c r="B43" s="142" t="s">
        <v>37</v>
      </c>
      <c r="C43" s="142">
        <v>33</v>
      </c>
      <c r="D43" s="142">
        <v>13</v>
      </c>
      <c r="E43" s="142">
        <v>109</v>
      </c>
      <c r="F43" s="142">
        <v>270</v>
      </c>
      <c r="G43" s="149">
        <f>SUM(C43:F43)</f>
        <v>425</v>
      </c>
      <c r="H43" s="144">
        <f>G43-C43</f>
        <v>392</v>
      </c>
      <c r="I43" s="142">
        <v>410</v>
      </c>
      <c r="J43" s="142">
        <v>0</v>
      </c>
      <c r="K43" s="142"/>
      <c r="L43" s="142">
        <v>46</v>
      </c>
      <c r="M43" s="145">
        <v>219</v>
      </c>
      <c r="N43" s="145">
        <v>0</v>
      </c>
      <c r="O43" s="145"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8CFC1-7041-4772-9589-AF94DF18A727}">
  <sheetPr>
    <tabColor theme="3" tint="0.39997558519241921"/>
  </sheetPr>
  <dimension ref="A1:AD121"/>
  <sheetViews>
    <sheetView workbookViewId="0"/>
  </sheetViews>
  <sheetFormatPr defaultRowHeight="15" x14ac:dyDescent="0.25"/>
  <cols>
    <col min="1" max="1" width="18.28515625" style="6" bestFit="1" customWidth="1"/>
    <col min="2" max="28" width="14.7109375" style="6" customWidth="1"/>
    <col min="29" max="29" width="9.85546875" style="6" bestFit="1" customWidth="1"/>
    <col min="30" max="30" width="11" style="6" bestFit="1" customWidth="1"/>
    <col min="31" max="16384" width="9.140625" style="6"/>
  </cols>
  <sheetData>
    <row r="1" spans="1:30" ht="18.75" x14ac:dyDescent="0.3">
      <c r="A1" s="1">
        <v>45991</v>
      </c>
      <c r="B1" s="2" t="s">
        <v>0</v>
      </c>
      <c r="C1" s="3"/>
      <c r="D1" s="3"/>
      <c r="E1" s="3"/>
      <c r="F1" s="3"/>
      <c r="G1" s="2" t="s">
        <v>1</v>
      </c>
      <c r="H1" s="3"/>
      <c r="I1" s="3"/>
      <c r="J1" s="3"/>
      <c r="K1" s="3"/>
      <c r="L1" s="2" t="s">
        <v>2</v>
      </c>
      <c r="M1" s="3"/>
      <c r="N1" s="3"/>
      <c r="O1" s="3"/>
      <c r="P1" s="3"/>
      <c r="Q1" s="2" t="s">
        <v>3</v>
      </c>
      <c r="R1" s="3"/>
      <c r="S1" s="2" t="s">
        <v>4</v>
      </c>
      <c r="T1" s="3"/>
      <c r="U1" s="3"/>
      <c r="V1" s="2" t="s">
        <v>5</v>
      </c>
      <c r="W1" s="3"/>
      <c r="X1" s="3"/>
      <c r="Y1" s="3"/>
      <c r="Z1" s="3"/>
      <c r="AA1" s="2" t="s">
        <v>6</v>
      </c>
      <c r="AB1" s="3"/>
    </row>
    <row r="2" spans="1:30" ht="15.75" x14ac:dyDescent="0.25">
      <c r="B2" s="82" t="s">
        <v>54</v>
      </c>
      <c r="C2" s="83"/>
      <c r="D2" s="84"/>
      <c r="G2" s="85"/>
      <c r="L2" s="85"/>
      <c r="M2" s="86"/>
      <c r="N2" s="86"/>
      <c r="Q2" s="85"/>
      <c r="R2" s="86"/>
      <c r="S2" s="85"/>
      <c r="T2" s="86"/>
      <c r="V2" s="85"/>
      <c r="W2" s="86"/>
      <c r="X2" s="86"/>
      <c r="AA2" s="85"/>
      <c r="AB2" s="86"/>
    </row>
    <row r="3" spans="1:30" ht="15.75" x14ac:dyDescent="0.25">
      <c r="B3" s="87" t="s">
        <v>55</v>
      </c>
      <c r="C3" s="88"/>
      <c r="D3" s="89"/>
      <c r="G3" s="16"/>
      <c r="L3" s="16"/>
      <c r="Q3" s="16"/>
      <c r="S3" s="16"/>
      <c r="V3" s="16"/>
      <c r="AA3" s="16"/>
    </row>
    <row r="4" spans="1:30" ht="15.75" x14ac:dyDescent="0.25">
      <c r="B4" s="90" t="s">
        <v>56</v>
      </c>
      <c r="C4" s="91"/>
      <c r="D4" s="92">
        <f>COUNTIFS(
   [1]!rec.uni[empresa],F$5,
   [1]!rec.uni[natureza],"parcela.cef.assinar"
)</f>
        <v>7</v>
      </c>
      <c r="G4" s="93" t="s">
        <v>56</v>
      </c>
      <c r="H4" s="91"/>
      <c r="I4" s="92">
        <f>COUNTIFS(
   [1]!rec.uni[empresa],K$5,
   [1]!rec.uni[natureza],"parcela.cef.assinar"
)</f>
        <v>0</v>
      </c>
      <c r="L4" s="93"/>
      <c r="M4" s="91"/>
      <c r="N4" s="92"/>
      <c r="Q4" s="93" t="s">
        <v>57</v>
      </c>
      <c r="R4" s="94">
        <v>27758932</v>
      </c>
      <c r="S4" s="93" t="s">
        <v>27</v>
      </c>
      <c r="T4" s="91">
        <v>13476430</v>
      </c>
      <c r="V4" s="93"/>
      <c r="W4" s="91"/>
      <c r="X4" s="92"/>
      <c r="AA4" s="93" t="s">
        <v>57</v>
      </c>
      <c r="AB4" s="95">
        <v>51981763</v>
      </c>
    </row>
    <row r="5" spans="1:30" ht="15.75" x14ac:dyDescent="0.25">
      <c r="A5" s="24" t="s">
        <v>11</v>
      </c>
      <c r="B5" s="25" t="s">
        <v>12</v>
      </c>
      <c r="C5" s="26" t="s">
        <v>12</v>
      </c>
      <c r="D5" s="26" t="s">
        <v>12</v>
      </c>
      <c r="E5" s="26" t="s">
        <v>12</v>
      </c>
      <c r="F5" s="26" t="s">
        <v>12</v>
      </c>
      <c r="G5" s="25" t="s">
        <v>13</v>
      </c>
      <c r="H5" s="26" t="s">
        <v>13</v>
      </c>
      <c r="I5" s="26" t="s">
        <v>13</v>
      </c>
      <c r="J5" s="26" t="s">
        <v>13</v>
      </c>
      <c r="K5" s="26" t="s">
        <v>13</v>
      </c>
      <c r="L5" s="25" t="s">
        <v>14</v>
      </c>
      <c r="M5" s="26" t="s">
        <v>14</v>
      </c>
      <c r="N5" s="26" t="s">
        <v>14</v>
      </c>
      <c r="O5" s="26" t="s">
        <v>14</v>
      </c>
      <c r="P5" s="26" t="s">
        <v>14</v>
      </c>
      <c r="Q5" s="96" t="s">
        <v>15</v>
      </c>
      <c r="R5" s="97" t="s">
        <v>15</v>
      </c>
      <c r="S5" s="25" t="s">
        <v>16</v>
      </c>
      <c r="T5" s="26" t="s">
        <v>16</v>
      </c>
      <c r="U5" s="26" t="s">
        <v>16</v>
      </c>
      <c r="V5" s="25" t="s">
        <v>17</v>
      </c>
      <c r="W5" s="26" t="s">
        <v>17</v>
      </c>
      <c r="X5" s="26" t="s">
        <v>17</v>
      </c>
      <c r="Y5" s="26" t="s">
        <v>17</v>
      </c>
      <c r="Z5" s="26" t="s">
        <v>17</v>
      </c>
      <c r="AA5" s="96" t="s">
        <v>18</v>
      </c>
      <c r="AB5" s="97" t="s">
        <v>18</v>
      </c>
    </row>
    <row r="6" spans="1:30" ht="15.75" x14ac:dyDescent="0.25">
      <c r="A6" s="24" t="s">
        <v>19</v>
      </c>
      <c r="B6" s="29" t="s">
        <v>20</v>
      </c>
      <c r="C6" s="30" t="s">
        <v>21</v>
      </c>
      <c r="D6" s="30" t="s">
        <v>22</v>
      </c>
      <c r="E6" s="30" t="s">
        <v>23</v>
      </c>
      <c r="F6" s="98" t="s">
        <v>57</v>
      </c>
      <c r="G6" s="29" t="s">
        <v>20</v>
      </c>
      <c r="H6" s="30" t="s">
        <v>21</v>
      </c>
      <c r="I6" s="30" t="s">
        <v>22</v>
      </c>
      <c r="J6" s="30" t="s">
        <v>23</v>
      </c>
      <c r="K6" s="98" t="s">
        <v>57</v>
      </c>
      <c r="L6" s="29" t="s">
        <v>20</v>
      </c>
      <c r="M6" s="30" t="s">
        <v>21</v>
      </c>
      <c r="N6" s="30" t="s">
        <v>22</v>
      </c>
      <c r="O6" s="30" t="s">
        <v>23</v>
      </c>
      <c r="P6" s="98" t="s">
        <v>57</v>
      </c>
      <c r="Q6" s="29" t="s">
        <v>20</v>
      </c>
      <c r="R6" s="30" t="s">
        <v>21</v>
      </c>
      <c r="S6" s="29" t="s">
        <v>20</v>
      </c>
      <c r="T6" s="30" t="s">
        <v>21</v>
      </c>
      <c r="U6" s="98" t="s">
        <v>27</v>
      </c>
      <c r="V6" s="29" t="s">
        <v>20</v>
      </c>
      <c r="W6" s="30" t="s">
        <v>21</v>
      </c>
      <c r="X6" s="30" t="s">
        <v>22</v>
      </c>
      <c r="Y6" s="30" t="s">
        <v>23</v>
      </c>
      <c r="Z6" s="98" t="s">
        <v>57</v>
      </c>
      <c r="AA6" s="29" t="s">
        <v>20</v>
      </c>
      <c r="AB6" s="30" t="s">
        <v>21</v>
      </c>
    </row>
    <row r="7" spans="1:30" ht="15.75" x14ac:dyDescent="0.25">
      <c r="A7" s="33" t="s">
        <v>28</v>
      </c>
      <c r="B7" s="34">
        <f>SUMIF($A$10:$A$121,"&lt;="&amp;$A$1,B$10:B$121)</f>
        <v>84</v>
      </c>
      <c r="C7" s="35">
        <f>SUMIF($A$10:$A$121,"&lt;="&amp;$A$1,C$10:C$121)</f>
        <v>5441368</v>
      </c>
      <c r="D7" s="35">
        <f>SUMIF($A$10:$A$121,"&lt;="&amp;$A$1,D$10:D$121)</f>
        <v>10969791</v>
      </c>
      <c r="E7" s="35">
        <f>SUMIF($A$10:$A$121,"&lt;="&amp;$A$1,E$10:E$121)</f>
        <v>2076560</v>
      </c>
      <c r="F7" s="35">
        <v>0</v>
      </c>
      <c r="G7" s="34">
        <f>SUMIF($A$10:$A$121,"&lt;="&amp;$A$1,G$10:G$121)</f>
        <v>151</v>
      </c>
      <c r="H7" s="35">
        <f>SUMIF($A$10:$A$121,"&lt;="&amp;$A$1,H$10:H$121)</f>
        <v>17547728</v>
      </c>
      <c r="I7" s="35">
        <f>SUMIF($A$10:$A$121,"&lt;="&amp;$A$1,I$10:I$121)</f>
        <v>18611890</v>
      </c>
      <c r="J7" s="35">
        <f>SUMIF($A$10:$A$121,"&lt;="&amp;$A$1,J$10:J$121)</f>
        <v>3812440</v>
      </c>
      <c r="K7" s="35">
        <v>0</v>
      </c>
      <c r="L7" s="34">
        <f>SUMIF($A$10:$A$121,"&lt;="&amp;$A$1,L$10:L$121)</f>
        <v>128</v>
      </c>
      <c r="M7" s="35">
        <f>SUMIF($A$10:$A$121,"&lt;="&amp;$A$1,M$10:M$121)</f>
        <v>8224551</v>
      </c>
      <c r="N7" s="35">
        <f>SUMIF($A$10:$A$121,"&lt;="&amp;$A$1,N$10:N$121)</f>
        <v>4747377</v>
      </c>
      <c r="O7" s="35">
        <f>SUMIF($A$10:$A$121,"&lt;="&amp;$A$1,O$10:O$121)</f>
        <v>4683225</v>
      </c>
      <c r="P7" s="35">
        <v>0</v>
      </c>
      <c r="Q7" s="34">
        <f t="shared" ref="Q7:Y7" si="0">SUMIF($A$10:$A$121,"&lt;="&amp;$A$1,Q$10:Q$121)</f>
        <v>121</v>
      </c>
      <c r="R7" s="35">
        <f t="shared" si="0"/>
        <v>1155519</v>
      </c>
      <c r="S7" s="34">
        <f t="shared" si="0"/>
        <v>55</v>
      </c>
      <c r="T7" s="35">
        <f t="shared" si="0"/>
        <v>8478046</v>
      </c>
      <c r="U7" s="35">
        <f t="shared" si="0"/>
        <v>0</v>
      </c>
      <c r="V7" s="34">
        <f t="shared" si="0"/>
        <v>190</v>
      </c>
      <c r="W7" s="35">
        <f t="shared" si="0"/>
        <v>11982013.73</v>
      </c>
      <c r="X7" s="35">
        <f t="shared" si="0"/>
        <v>6607255</v>
      </c>
      <c r="Y7" s="35">
        <f t="shared" si="0"/>
        <v>6328879</v>
      </c>
      <c r="Z7" s="35">
        <v>0</v>
      </c>
      <c r="AA7" s="34">
        <f>SUMIF($A$10:$A$121,"&lt;="&amp;$A$1,AA$10:AA$121)</f>
        <v>270</v>
      </c>
      <c r="AB7" s="35">
        <f>SUMIF($A$10:$A$121,"&lt;="&amp;$A$1,AB$10:AB$121)</f>
        <v>4070583</v>
      </c>
      <c r="AC7" s="99"/>
      <c r="AD7" s="99"/>
    </row>
    <row r="8" spans="1:30" ht="15.75" x14ac:dyDescent="0.25">
      <c r="A8" s="33" t="s">
        <v>29</v>
      </c>
      <c r="B8" s="100"/>
      <c r="C8" s="35">
        <f>SUMIF($A$10:$A$121,"&gt;"&amp;$A$1,C$10:C$121)</f>
        <v>2532963</v>
      </c>
      <c r="D8" s="40">
        <f>SUMIF($A$10:$A$121,"&gt;"&amp;$A$1,D$10:D$121)</f>
        <v>2411486</v>
      </c>
      <c r="E8" s="40">
        <f>SUMIF($A$10:$A$121,"&gt;"&amp;$A$1,E$10:E$121)</f>
        <v>163842</v>
      </c>
      <c r="F8" s="40">
        <f ca="1">[1]resumo!G4</f>
        <v>1427608.52</v>
      </c>
      <c r="G8" s="100"/>
      <c r="H8" s="35">
        <f>SUMIF($A$10:$A$121,"&gt;"&amp;$A$1,H$10:H$121)</f>
        <v>42900</v>
      </c>
      <c r="I8" s="40">
        <f>SUMIF($A$10:$A$121,"&gt;"&amp;$A$1,I$10:I$121)</f>
        <v>0</v>
      </c>
      <c r="J8" s="40">
        <f>SUMIF($A$10:$A$121,"&gt;"&amp;$A$1,J$10:J$121)</f>
        <v>0</v>
      </c>
      <c r="K8" s="40">
        <f ca="1">[1]resumo!G6</f>
        <v>0</v>
      </c>
      <c r="L8" s="100"/>
      <c r="M8" s="35">
        <f>SUMIF($A$10:$A$121,"&gt;"&amp;$A$1,M$10:M$121)</f>
        <v>6883519</v>
      </c>
      <c r="N8" s="101">
        <f>SUMIF($A$10:$A$121,"&gt;"&amp;$A$1,N$10:N$121)</f>
        <v>17101428</v>
      </c>
      <c r="O8" s="102">
        <f>SUMIF($A$10:$A$121,"&gt;"&amp;$A$1,O$10:O$121)</f>
        <v>148936</v>
      </c>
      <c r="P8" s="40">
        <f ca="1">[1]resumo!G8</f>
        <v>2984203.32</v>
      </c>
      <c r="Q8" s="100"/>
      <c r="R8" s="35">
        <f>SUMIF($A$10:$A$121,"&gt;"&amp;$A$1,R$10:R$121)</f>
        <v>5494622</v>
      </c>
      <c r="S8" s="100"/>
      <c r="T8" s="35">
        <f>SUMIF($A$10:$A$121,"&gt;"&amp;$A$1,T$10:T$121)</f>
        <v>3542427</v>
      </c>
      <c r="U8" s="40">
        <f>SUMIF($A$10:$A$121,"&gt;"&amp;$A$1,U$10:U$121)</f>
        <v>13476430</v>
      </c>
      <c r="V8" s="100"/>
      <c r="W8" s="35">
        <f>SUMIF($A$10:$A$121,"&gt;"&amp;$A$1,W$10:W$121)</f>
        <v>6927535</v>
      </c>
      <c r="X8" s="40">
        <f>SUMIF($A$10:$A$121,"&gt;"&amp;$A$1,X$10:X$121)</f>
        <v>25947554</v>
      </c>
      <c r="Y8" s="40">
        <f>SUMIF($A$10:$A$121,"&gt;"&amp;$A$1,Y$10:Y$121)</f>
        <v>369231</v>
      </c>
      <c r="Z8" s="40">
        <f ca="1">[1]resumo!G14</f>
        <v>2107115.9800000004</v>
      </c>
      <c r="AA8" s="100"/>
      <c r="AB8" s="35">
        <f>SUMIF($A$10:$A$121,"&gt;"&amp;$A$1,AB$10:AB$121)</f>
        <v>14956888</v>
      </c>
    </row>
    <row r="9" spans="1:30" ht="15.75" x14ac:dyDescent="0.25">
      <c r="A9" s="43" t="s">
        <v>30</v>
      </c>
      <c r="B9" s="103"/>
      <c r="C9" s="44">
        <f>SUM(C7:C8)</f>
        <v>7974331</v>
      </c>
      <c r="D9" s="44">
        <f>SUM(D7:D8)</f>
        <v>13381277</v>
      </c>
      <c r="E9" s="44">
        <f>SUM(E7:E8)</f>
        <v>2240402</v>
      </c>
      <c r="F9" s="44">
        <f ca="1">SUM(F7:F8)</f>
        <v>1427608.52</v>
      </c>
      <c r="G9" s="103"/>
      <c r="H9" s="44">
        <f>SUM(H7:H8)</f>
        <v>17590628</v>
      </c>
      <c r="I9" s="44">
        <f>SUM(I7:I8)</f>
        <v>18611890</v>
      </c>
      <c r="J9" s="44">
        <f>SUM(J7:J8)</f>
        <v>3812440</v>
      </c>
      <c r="K9" s="44">
        <f ca="1">SUM(K7:K8)</f>
        <v>0</v>
      </c>
      <c r="L9" s="103"/>
      <c r="M9" s="44">
        <f>SUM(M7:M8)</f>
        <v>15108070</v>
      </c>
      <c r="N9" s="44">
        <f>SUM(N7:N8)</f>
        <v>21848805</v>
      </c>
      <c r="O9" s="44">
        <f>SUM(O7:O8)</f>
        <v>4832161</v>
      </c>
      <c r="P9" s="44">
        <f ca="1">SUM(P7:P8)</f>
        <v>2984203.32</v>
      </c>
      <c r="Q9" s="103"/>
      <c r="R9" s="44">
        <f>SUM(R7:R8)</f>
        <v>6650141</v>
      </c>
      <c r="S9" s="103"/>
      <c r="T9" s="44">
        <f>SUM(T7:T8)</f>
        <v>12020473</v>
      </c>
      <c r="U9" s="44">
        <f>SUM(U7:U8)</f>
        <v>13476430</v>
      </c>
      <c r="V9" s="103"/>
      <c r="W9" s="44">
        <f>SUM(W7:W8)</f>
        <v>18909548.73</v>
      </c>
      <c r="X9" s="44">
        <f>SUM(X7:X8)</f>
        <v>32554809</v>
      </c>
      <c r="Y9" s="44">
        <f>SUM(Y7:Y8)</f>
        <v>6698110</v>
      </c>
      <c r="Z9" s="44">
        <f ca="1">SUM(Z7:Z8)</f>
        <v>2107115.9800000004</v>
      </c>
      <c r="AA9" s="103"/>
      <c r="AB9" s="44">
        <f>SUM(AB7:AB8)</f>
        <v>19027471</v>
      </c>
    </row>
    <row r="10" spans="1:30" x14ac:dyDescent="0.25">
      <c r="A10" s="47">
        <v>44440</v>
      </c>
      <c r="B10" s="48"/>
      <c r="C10" s="49"/>
      <c r="D10" s="49"/>
      <c r="E10" s="49"/>
      <c r="F10" s="49"/>
      <c r="G10" s="48"/>
      <c r="H10" s="49"/>
      <c r="I10" s="49"/>
      <c r="J10" s="49"/>
      <c r="K10" s="49"/>
      <c r="L10" s="48"/>
      <c r="M10" s="49"/>
      <c r="N10" s="49"/>
      <c r="O10" s="49"/>
      <c r="P10" s="49"/>
      <c r="Q10" s="48"/>
      <c r="R10" s="49"/>
      <c r="S10" s="104"/>
      <c r="T10" s="49"/>
      <c r="U10" s="49"/>
      <c r="V10" s="48"/>
      <c r="W10" s="49"/>
      <c r="X10" s="49"/>
      <c r="Y10" s="49"/>
      <c r="Z10" s="49"/>
      <c r="AA10" s="48"/>
      <c r="AB10" s="49"/>
    </row>
    <row r="11" spans="1:30" x14ac:dyDescent="0.25">
      <c r="A11" s="47">
        <v>44470</v>
      </c>
      <c r="B11" s="48"/>
      <c r="C11" s="49"/>
      <c r="D11" s="49"/>
      <c r="E11" s="49"/>
      <c r="F11" s="49"/>
      <c r="G11" s="48"/>
      <c r="H11" s="49"/>
      <c r="I11" s="49"/>
      <c r="J11" s="49"/>
      <c r="K11" s="49"/>
      <c r="L11" s="48"/>
      <c r="M11" s="49"/>
      <c r="N11" s="49"/>
      <c r="O11" s="49"/>
      <c r="P11" s="49"/>
      <c r="Q11" s="48"/>
      <c r="R11" s="49"/>
      <c r="S11" s="104"/>
      <c r="T11" s="49"/>
      <c r="U11" s="49"/>
      <c r="V11" s="48"/>
      <c r="W11" s="49"/>
      <c r="X11" s="49"/>
      <c r="Y11" s="49"/>
      <c r="Z11" s="49"/>
      <c r="AA11" s="48"/>
      <c r="AB11" s="49"/>
    </row>
    <row r="12" spans="1:30" x14ac:dyDescent="0.25">
      <c r="A12" s="47">
        <v>44501</v>
      </c>
      <c r="B12" s="48"/>
      <c r="C12" s="49"/>
      <c r="D12" s="49"/>
      <c r="E12" s="49"/>
      <c r="F12" s="49"/>
      <c r="G12" s="48"/>
      <c r="H12" s="49"/>
      <c r="I12" s="49"/>
      <c r="J12" s="49"/>
      <c r="K12" s="49"/>
      <c r="L12" s="48"/>
      <c r="M12" s="49"/>
      <c r="N12" s="49"/>
      <c r="O12" s="49"/>
      <c r="P12" s="49"/>
      <c r="Q12" s="48"/>
      <c r="R12" s="49"/>
      <c r="S12" s="104"/>
      <c r="T12" s="49"/>
      <c r="U12" s="49"/>
      <c r="V12" s="48"/>
      <c r="W12" s="49"/>
      <c r="X12" s="49"/>
      <c r="Y12" s="49"/>
      <c r="Z12" s="49"/>
      <c r="AA12" s="48"/>
      <c r="AB12" s="49"/>
    </row>
    <row r="13" spans="1:30" x14ac:dyDescent="0.25">
      <c r="A13" s="47">
        <v>44531</v>
      </c>
      <c r="B13" s="48"/>
      <c r="C13" s="49"/>
      <c r="D13" s="49"/>
      <c r="E13" s="49"/>
      <c r="F13" s="49"/>
      <c r="G13" s="48"/>
      <c r="H13" s="49"/>
      <c r="I13" s="49"/>
      <c r="J13" s="49"/>
      <c r="K13" s="49"/>
      <c r="L13" s="48"/>
      <c r="M13" s="49"/>
      <c r="N13" s="49"/>
      <c r="O13" s="49"/>
      <c r="P13" s="49"/>
      <c r="Q13" s="48"/>
      <c r="R13" s="49"/>
      <c r="S13" s="104"/>
      <c r="T13" s="49"/>
      <c r="U13" s="49"/>
      <c r="V13" s="48"/>
      <c r="W13" s="49"/>
      <c r="X13" s="49"/>
      <c r="Y13" s="49"/>
      <c r="Z13" s="49"/>
      <c r="AA13" s="48"/>
      <c r="AB13" s="49"/>
    </row>
    <row r="14" spans="1:30" x14ac:dyDescent="0.25">
      <c r="A14" s="47">
        <v>44562</v>
      </c>
      <c r="B14" s="48"/>
      <c r="C14" s="49"/>
      <c r="D14" s="49"/>
      <c r="E14" s="49"/>
      <c r="F14" s="49"/>
      <c r="G14" s="48">
        <v>17</v>
      </c>
      <c r="H14" s="49">
        <v>1297500</v>
      </c>
      <c r="I14" s="49"/>
      <c r="J14" s="49"/>
      <c r="K14" s="49"/>
      <c r="L14" s="48"/>
      <c r="M14" s="49"/>
      <c r="N14" s="49"/>
      <c r="O14" s="49"/>
      <c r="P14" s="49"/>
      <c r="Q14" s="48"/>
      <c r="R14" s="49"/>
      <c r="S14" s="104"/>
      <c r="T14" s="49"/>
      <c r="U14" s="49"/>
      <c r="V14" s="48"/>
      <c r="W14" s="49"/>
      <c r="X14" s="49"/>
      <c r="Y14" s="49"/>
      <c r="Z14" s="49"/>
      <c r="AA14" s="48"/>
      <c r="AB14" s="49"/>
    </row>
    <row r="15" spans="1:30" x14ac:dyDescent="0.25">
      <c r="A15" s="47">
        <v>44593</v>
      </c>
      <c r="B15" s="48"/>
      <c r="C15" s="49"/>
      <c r="D15" s="49"/>
      <c r="E15" s="49"/>
      <c r="F15" s="49"/>
      <c r="G15" s="48" t="s">
        <v>58</v>
      </c>
      <c r="H15" s="49">
        <v>547500</v>
      </c>
      <c r="I15" s="49"/>
      <c r="J15" s="49"/>
      <c r="K15" s="49"/>
      <c r="L15" s="48"/>
      <c r="M15" s="49"/>
      <c r="N15" s="49"/>
      <c r="O15" s="49"/>
      <c r="P15" s="49"/>
      <c r="Q15" s="48"/>
      <c r="R15" s="49"/>
      <c r="S15" s="104"/>
      <c r="T15" s="49"/>
      <c r="U15" s="49"/>
      <c r="V15" s="48"/>
      <c r="W15" s="49"/>
      <c r="X15" s="49"/>
      <c r="Y15" s="49"/>
      <c r="Z15" s="49"/>
      <c r="AA15" s="48"/>
      <c r="AB15" s="49"/>
    </row>
    <row r="16" spans="1:30" x14ac:dyDescent="0.25">
      <c r="A16" s="47">
        <v>44621</v>
      </c>
      <c r="B16" s="48"/>
      <c r="C16" s="49"/>
      <c r="D16" s="49"/>
      <c r="E16" s="49"/>
      <c r="F16" s="49"/>
      <c r="G16" s="48">
        <v>34</v>
      </c>
      <c r="H16" s="49">
        <v>445979</v>
      </c>
      <c r="I16" s="49"/>
      <c r="J16" s="49"/>
      <c r="K16" s="49"/>
      <c r="L16" s="48"/>
      <c r="M16" s="49"/>
      <c r="N16" s="49"/>
      <c r="O16" s="49"/>
      <c r="P16" s="49"/>
      <c r="Q16" s="48"/>
      <c r="R16" s="49"/>
      <c r="S16" s="104"/>
      <c r="T16" s="49"/>
      <c r="U16" s="49"/>
      <c r="V16" s="48"/>
      <c r="W16" s="49"/>
      <c r="X16" s="49"/>
      <c r="Y16" s="49"/>
      <c r="Z16" s="49"/>
      <c r="AA16" s="48"/>
      <c r="AB16" s="49"/>
    </row>
    <row r="17" spans="1:28" x14ac:dyDescent="0.25">
      <c r="A17" s="47">
        <v>44652</v>
      </c>
      <c r="B17" s="48"/>
      <c r="C17" s="49"/>
      <c r="D17" s="49"/>
      <c r="E17" s="49"/>
      <c r="F17" s="49"/>
      <c r="G17" s="48">
        <v>17</v>
      </c>
      <c r="H17" s="49">
        <v>1071608</v>
      </c>
      <c r="I17" s="49"/>
      <c r="J17" s="49"/>
      <c r="K17" s="49"/>
      <c r="L17" s="48"/>
      <c r="M17" s="49"/>
      <c r="N17" s="49"/>
      <c r="O17" s="49"/>
      <c r="P17" s="49"/>
      <c r="Q17" s="48"/>
      <c r="R17" s="49"/>
      <c r="S17" s="104"/>
      <c r="T17" s="49"/>
      <c r="U17" s="49"/>
      <c r="V17" s="48"/>
      <c r="W17" s="49"/>
      <c r="X17" s="49"/>
      <c r="Y17" s="49"/>
      <c r="Z17" s="49"/>
      <c r="AA17" s="48"/>
      <c r="AB17" s="49"/>
    </row>
    <row r="18" spans="1:28" x14ac:dyDescent="0.25">
      <c r="A18" s="47">
        <v>44682</v>
      </c>
      <c r="B18" s="48"/>
      <c r="C18" s="49"/>
      <c r="D18" s="49"/>
      <c r="E18" s="49"/>
      <c r="F18" s="49"/>
      <c r="G18" s="48">
        <v>23</v>
      </c>
      <c r="H18" s="49">
        <v>162495</v>
      </c>
      <c r="I18" s="49"/>
      <c r="J18" s="49"/>
      <c r="K18" s="49"/>
      <c r="L18" s="48"/>
      <c r="M18" s="49"/>
      <c r="N18" s="49"/>
      <c r="O18" s="49"/>
      <c r="P18" s="49"/>
      <c r="Q18" s="48"/>
      <c r="R18" s="49"/>
      <c r="S18" s="104"/>
      <c r="T18" s="49"/>
      <c r="U18" s="49"/>
      <c r="V18" s="48"/>
      <c r="W18" s="49"/>
      <c r="X18" s="49"/>
      <c r="Y18" s="49"/>
      <c r="Z18" s="49"/>
      <c r="AA18" s="48"/>
      <c r="AB18" s="49"/>
    </row>
    <row r="19" spans="1:28" x14ac:dyDescent="0.25">
      <c r="A19" s="47">
        <v>44713</v>
      </c>
      <c r="B19" s="48"/>
      <c r="C19" s="49"/>
      <c r="D19" s="49"/>
      <c r="E19" s="49"/>
      <c r="F19" s="49"/>
      <c r="G19" s="48">
        <v>10</v>
      </c>
      <c r="H19" s="49">
        <v>48360</v>
      </c>
      <c r="I19" s="49"/>
      <c r="J19" s="49"/>
      <c r="K19" s="49"/>
      <c r="L19" s="48"/>
      <c r="M19" s="49"/>
      <c r="N19" s="49"/>
      <c r="O19" s="49"/>
      <c r="P19" s="49"/>
      <c r="Q19" s="48"/>
      <c r="R19" s="49"/>
      <c r="S19" s="104"/>
      <c r="T19" s="49"/>
      <c r="U19" s="49"/>
      <c r="V19" s="48"/>
      <c r="W19" s="49"/>
      <c r="X19" s="49"/>
      <c r="Y19" s="49"/>
      <c r="Z19" s="49"/>
      <c r="AA19" s="48"/>
      <c r="AB19" s="49"/>
    </row>
    <row r="20" spans="1:28" x14ac:dyDescent="0.25">
      <c r="A20" s="47">
        <v>44743</v>
      </c>
      <c r="B20" s="48"/>
      <c r="C20" s="49"/>
      <c r="D20" s="49"/>
      <c r="E20" s="49"/>
      <c r="F20" s="49"/>
      <c r="G20" s="48">
        <v>10</v>
      </c>
      <c r="H20" s="49">
        <v>285668</v>
      </c>
      <c r="I20" s="49"/>
      <c r="J20" s="49"/>
      <c r="K20" s="49"/>
      <c r="L20" s="48"/>
      <c r="M20" s="49"/>
      <c r="N20" s="49"/>
      <c r="O20" s="49"/>
      <c r="P20" s="49"/>
      <c r="Q20" s="48"/>
      <c r="R20" s="49"/>
      <c r="S20" s="104"/>
      <c r="T20" s="49"/>
      <c r="U20" s="49"/>
      <c r="V20" s="48"/>
      <c r="W20" s="49"/>
      <c r="X20" s="49"/>
      <c r="Y20" s="49"/>
      <c r="Z20" s="49"/>
      <c r="AA20" s="48"/>
      <c r="AB20" s="49"/>
    </row>
    <row r="21" spans="1:28" x14ac:dyDescent="0.25">
      <c r="A21" s="47">
        <v>44774</v>
      </c>
      <c r="B21" s="48"/>
      <c r="C21" s="49"/>
      <c r="D21" s="49"/>
      <c r="E21" s="49"/>
      <c r="F21" s="49"/>
      <c r="G21" s="48">
        <v>10</v>
      </c>
      <c r="H21" s="49">
        <v>762659</v>
      </c>
      <c r="I21" s="49"/>
      <c r="J21" s="49"/>
      <c r="K21" s="49"/>
      <c r="L21" s="48"/>
      <c r="M21" s="49"/>
      <c r="N21" s="49"/>
      <c r="O21" s="49"/>
      <c r="P21" s="49"/>
      <c r="Q21" s="48"/>
      <c r="R21" s="49"/>
      <c r="S21" s="104"/>
      <c r="T21" s="49"/>
      <c r="U21" s="49"/>
      <c r="V21" s="48"/>
      <c r="W21" s="49"/>
      <c r="X21" s="49"/>
      <c r="Y21" s="49"/>
      <c r="Z21" s="49"/>
      <c r="AA21" s="48"/>
      <c r="AB21" s="49"/>
    </row>
    <row r="22" spans="1:28" x14ac:dyDescent="0.25">
      <c r="A22" s="47">
        <v>44805</v>
      </c>
      <c r="B22" s="48"/>
      <c r="C22" s="49"/>
      <c r="D22" s="49"/>
      <c r="E22" s="49"/>
      <c r="F22" s="49"/>
      <c r="G22" s="48">
        <v>6</v>
      </c>
      <c r="H22" s="49">
        <v>82249</v>
      </c>
      <c r="I22" s="49"/>
      <c r="J22" s="49"/>
      <c r="K22" s="49"/>
      <c r="L22" s="48"/>
      <c r="M22" s="49"/>
      <c r="N22" s="49"/>
      <c r="O22" s="49"/>
      <c r="P22" s="49"/>
      <c r="Q22" s="48"/>
      <c r="R22" s="49"/>
      <c r="S22" s="104"/>
      <c r="T22" s="49"/>
      <c r="U22" s="49"/>
      <c r="V22" s="48"/>
      <c r="W22" s="49"/>
      <c r="X22" s="49"/>
      <c r="Y22" s="49"/>
      <c r="Z22" s="49"/>
      <c r="AA22" s="48"/>
      <c r="AB22" s="49"/>
    </row>
    <row r="23" spans="1:28" x14ac:dyDescent="0.25">
      <c r="A23" s="47">
        <v>44835</v>
      </c>
      <c r="B23" s="48"/>
      <c r="C23" s="49"/>
      <c r="D23" s="49"/>
      <c r="E23" s="49"/>
      <c r="F23" s="49"/>
      <c r="G23" s="48">
        <v>3</v>
      </c>
      <c r="H23" s="49">
        <v>99316</v>
      </c>
      <c r="I23" s="49"/>
      <c r="J23" s="49"/>
      <c r="K23" s="49"/>
      <c r="L23" s="48"/>
      <c r="M23" s="49"/>
      <c r="N23" s="49"/>
      <c r="O23" s="49"/>
      <c r="P23" s="49"/>
      <c r="Q23" s="48"/>
      <c r="R23" s="49"/>
      <c r="S23" s="104"/>
      <c r="T23" s="49"/>
      <c r="U23" s="49"/>
      <c r="V23" s="48"/>
      <c r="W23" s="49"/>
      <c r="X23" s="49"/>
      <c r="Y23" s="49"/>
      <c r="Z23" s="49"/>
      <c r="AA23" s="48"/>
      <c r="AB23" s="49"/>
    </row>
    <row r="24" spans="1:28" x14ac:dyDescent="0.25">
      <c r="A24" s="47">
        <v>44866</v>
      </c>
      <c r="B24" s="48"/>
      <c r="C24" s="49"/>
      <c r="D24" s="49"/>
      <c r="E24" s="49"/>
      <c r="F24" s="49"/>
      <c r="G24" s="48">
        <v>5</v>
      </c>
      <c r="H24" s="49">
        <v>158293</v>
      </c>
      <c r="I24" s="49"/>
      <c r="J24" s="49"/>
      <c r="K24" s="49"/>
      <c r="L24" s="48"/>
      <c r="M24" s="49"/>
      <c r="N24" s="49"/>
      <c r="O24" s="49"/>
      <c r="P24" s="49"/>
      <c r="Q24" s="48"/>
      <c r="R24" s="49"/>
      <c r="S24" s="104"/>
      <c r="T24" s="49"/>
      <c r="U24" s="49"/>
      <c r="V24" s="48"/>
      <c r="W24" s="49"/>
      <c r="X24" s="49"/>
      <c r="Y24" s="49"/>
      <c r="Z24" s="49"/>
      <c r="AA24" s="48"/>
      <c r="AB24" s="49"/>
    </row>
    <row r="25" spans="1:28" x14ac:dyDescent="0.25">
      <c r="A25" s="47">
        <v>44896</v>
      </c>
      <c r="B25" s="48"/>
      <c r="C25" s="49"/>
      <c r="D25" s="49"/>
      <c r="E25" s="49"/>
      <c r="F25" s="49"/>
      <c r="G25" s="48">
        <v>2</v>
      </c>
      <c r="H25" s="49">
        <v>343398</v>
      </c>
      <c r="I25" s="49"/>
      <c r="J25" s="49"/>
      <c r="K25" s="49"/>
      <c r="L25" s="48"/>
      <c r="M25" s="49"/>
      <c r="N25" s="49"/>
      <c r="O25" s="49"/>
      <c r="P25" s="49"/>
      <c r="Q25" s="48"/>
      <c r="R25" s="49"/>
      <c r="S25" s="104"/>
      <c r="T25" s="49"/>
      <c r="U25" s="49"/>
      <c r="V25" s="48"/>
      <c r="W25" s="49"/>
      <c r="X25" s="49"/>
      <c r="Y25" s="49"/>
      <c r="Z25" s="49"/>
      <c r="AA25" s="48"/>
      <c r="AB25" s="49"/>
    </row>
    <row r="26" spans="1:28" x14ac:dyDescent="0.25">
      <c r="A26" s="47">
        <v>44927</v>
      </c>
      <c r="B26" s="48"/>
      <c r="C26" s="49"/>
      <c r="D26" s="49"/>
      <c r="E26" s="49"/>
      <c r="F26" s="49"/>
      <c r="G26" s="48" t="s">
        <v>58</v>
      </c>
      <c r="H26" s="49">
        <v>194374</v>
      </c>
      <c r="I26" s="49"/>
      <c r="J26" s="49">
        <v>2375950</v>
      </c>
      <c r="K26" s="49"/>
      <c r="L26" s="48"/>
      <c r="M26" s="49"/>
      <c r="N26" s="49"/>
      <c r="O26" s="49"/>
      <c r="P26" s="49"/>
      <c r="Q26" s="48"/>
      <c r="R26" s="49"/>
      <c r="S26" s="104"/>
      <c r="T26" s="49"/>
      <c r="U26" s="49"/>
      <c r="V26" s="48"/>
      <c r="W26" s="49"/>
      <c r="X26" s="49"/>
      <c r="Y26" s="49"/>
      <c r="Z26" s="49"/>
      <c r="AA26" s="48"/>
      <c r="AB26" s="49"/>
    </row>
    <row r="27" spans="1:28" x14ac:dyDescent="0.25">
      <c r="A27" s="47">
        <v>44958</v>
      </c>
      <c r="B27" s="48"/>
      <c r="C27" s="49"/>
      <c r="D27" s="49"/>
      <c r="E27" s="49"/>
      <c r="F27" s="49"/>
      <c r="G27" s="48">
        <v>1</v>
      </c>
      <c r="H27" s="49">
        <v>175007</v>
      </c>
      <c r="I27" s="49"/>
      <c r="J27" s="49">
        <v>63903</v>
      </c>
      <c r="K27" s="49"/>
      <c r="L27" s="48"/>
      <c r="M27" s="49"/>
      <c r="N27" s="49"/>
      <c r="O27" s="49"/>
      <c r="P27" s="49"/>
      <c r="Q27" s="48"/>
      <c r="R27" s="49"/>
      <c r="S27" s="104"/>
      <c r="T27" s="49"/>
      <c r="U27" s="49"/>
      <c r="V27" s="48"/>
      <c r="W27" s="49"/>
      <c r="X27" s="49"/>
      <c r="Y27" s="49"/>
      <c r="Z27" s="49"/>
      <c r="AA27" s="48"/>
      <c r="AB27" s="49"/>
    </row>
    <row r="28" spans="1:28" x14ac:dyDescent="0.25">
      <c r="A28" s="47">
        <v>44986</v>
      </c>
      <c r="B28" s="48"/>
      <c r="C28" s="49"/>
      <c r="D28" s="49"/>
      <c r="E28" s="49"/>
      <c r="F28" s="49"/>
      <c r="G28" s="48">
        <v>3</v>
      </c>
      <c r="H28" s="49">
        <v>418097</v>
      </c>
      <c r="I28" s="49">
        <v>966522</v>
      </c>
      <c r="J28" s="49">
        <v>420493</v>
      </c>
      <c r="K28" s="49"/>
      <c r="L28" s="48"/>
      <c r="M28" s="49"/>
      <c r="N28" s="49"/>
      <c r="O28" s="49"/>
      <c r="P28" s="49"/>
      <c r="Q28" s="48"/>
      <c r="R28" s="49"/>
      <c r="S28" s="104"/>
      <c r="T28" s="49"/>
      <c r="U28" s="49"/>
      <c r="V28" s="48"/>
      <c r="W28" s="49"/>
      <c r="X28" s="49"/>
      <c r="Y28" s="49"/>
      <c r="Z28" s="49"/>
      <c r="AA28" s="48"/>
      <c r="AB28" s="49"/>
    </row>
    <row r="29" spans="1:28" x14ac:dyDescent="0.25">
      <c r="A29" s="47">
        <v>45017</v>
      </c>
      <c r="B29" s="48">
        <v>5</v>
      </c>
      <c r="C29" s="49"/>
      <c r="D29" s="49"/>
      <c r="E29" s="49"/>
      <c r="F29" s="49"/>
      <c r="G29" s="48">
        <v>1</v>
      </c>
      <c r="H29" s="49">
        <v>143416</v>
      </c>
      <c r="I29" s="49" t="s">
        <v>58</v>
      </c>
      <c r="J29" s="49" t="s">
        <v>58</v>
      </c>
      <c r="K29" s="49"/>
      <c r="L29" s="48"/>
      <c r="M29" s="49"/>
      <c r="N29" s="49"/>
      <c r="O29" s="49"/>
      <c r="P29" s="49"/>
      <c r="Q29" s="48"/>
      <c r="R29" s="49"/>
      <c r="S29" s="104"/>
      <c r="T29" s="49"/>
      <c r="U29" s="49"/>
      <c r="V29" s="48"/>
      <c r="W29" s="49"/>
      <c r="X29" s="49"/>
      <c r="Y29" s="49"/>
      <c r="Z29" s="49"/>
      <c r="AA29" s="48"/>
      <c r="AB29" s="49"/>
    </row>
    <row r="30" spans="1:28" x14ac:dyDescent="0.25">
      <c r="A30" s="47">
        <v>45047</v>
      </c>
      <c r="B30" s="48">
        <v>4</v>
      </c>
      <c r="C30" s="49"/>
      <c r="D30" s="49"/>
      <c r="E30" s="49"/>
      <c r="F30" s="49"/>
      <c r="G30" s="48">
        <v>2</v>
      </c>
      <c r="H30" s="49">
        <v>125617</v>
      </c>
      <c r="I30" s="49">
        <v>363997</v>
      </c>
      <c r="J30" s="49" t="s">
        <v>58</v>
      </c>
      <c r="K30" s="49"/>
      <c r="L30" s="48"/>
      <c r="M30" s="49"/>
      <c r="N30" s="49"/>
      <c r="O30" s="49"/>
      <c r="P30" s="49"/>
      <c r="Q30" s="48"/>
      <c r="R30" s="49"/>
      <c r="S30" s="104">
        <v>10</v>
      </c>
      <c r="T30" s="49">
        <v>499400</v>
      </c>
      <c r="U30" s="49"/>
      <c r="V30" s="48"/>
      <c r="W30" s="49"/>
      <c r="X30" s="49"/>
      <c r="Y30" s="49"/>
      <c r="Z30" s="49"/>
      <c r="AA30" s="48"/>
      <c r="AB30" s="49"/>
    </row>
    <row r="31" spans="1:28" x14ac:dyDescent="0.25">
      <c r="A31" s="47">
        <v>45078</v>
      </c>
      <c r="B31" s="48">
        <v>6</v>
      </c>
      <c r="C31" s="49"/>
      <c r="D31" s="49"/>
      <c r="E31" s="49"/>
      <c r="F31" s="49"/>
      <c r="G31" s="48" t="s">
        <v>58</v>
      </c>
      <c r="H31" s="49">
        <v>198451</v>
      </c>
      <c r="I31" s="49">
        <v>100651</v>
      </c>
      <c r="J31" s="49" t="s">
        <v>58</v>
      </c>
      <c r="K31" s="49"/>
      <c r="L31" s="48"/>
      <c r="M31" s="49"/>
      <c r="N31" s="49"/>
      <c r="O31" s="49"/>
      <c r="P31" s="49"/>
      <c r="Q31" s="48"/>
      <c r="R31" s="49"/>
      <c r="S31" s="104" t="s">
        <v>58</v>
      </c>
      <c r="T31" s="49" t="s">
        <v>58</v>
      </c>
      <c r="U31" s="49"/>
      <c r="V31" s="48"/>
      <c r="W31" s="49"/>
      <c r="X31" s="49"/>
      <c r="Y31" s="49"/>
      <c r="Z31" s="49"/>
      <c r="AA31" s="48"/>
      <c r="AB31" s="49"/>
    </row>
    <row r="32" spans="1:28" x14ac:dyDescent="0.25">
      <c r="A32" s="47">
        <v>45108</v>
      </c>
      <c r="B32" s="48">
        <v>2</v>
      </c>
      <c r="C32" s="49"/>
      <c r="D32" s="49"/>
      <c r="E32" s="49"/>
      <c r="F32" s="49"/>
      <c r="G32" s="48" t="s">
        <v>58</v>
      </c>
      <c r="H32" s="49">
        <v>145549</v>
      </c>
      <c r="I32" s="49">
        <v>298156</v>
      </c>
      <c r="J32" s="49">
        <v>186371</v>
      </c>
      <c r="K32" s="49"/>
      <c r="L32" s="48"/>
      <c r="M32" s="49"/>
      <c r="N32" s="49"/>
      <c r="O32" s="49"/>
      <c r="P32" s="49"/>
      <c r="Q32" s="48"/>
      <c r="R32" s="49"/>
      <c r="S32" s="104" t="s">
        <v>58</v>
      </c>
      <c r="T32" s="49">
        <v>5000</v>
      </c>
      <c r="U32" s="49"/>
      <c r="V32" s="48"/>
      <c r="W32" s="49"/>
      <c r="X32" s="49"/>
      <c r="Y32" s="49"/>
      <c r="Z32" s="49"/>
      <c r="AA32" s="48"/>
      <c r="AB32" s="49"/>
    </row>
    <row r="33" spans="1:28" x14ac:dyDescent="0.25">
      <c r="A33" s="47">
        <v>45139</v>
      </c>
      <c r="B33" s="48">
        <v>31</v>
      </c>
      <c r="C33" s="49"/>
      <c r="D33" s="49"/>
      <c r="E33" s="49"/>
      <c r="F33" s="49"/>
      <c r="G33" s="48">
        <v>1</v>
      </c>
      <c r="H33" s="49">
        <v>243439</v>
      </c>
      <c r="I33" s="49">
        <v>390493</v>
      </c>
      <c r="J33" s="49" t="s">
        <v>58</v>
      </c>
      <c r="K33" s="49"/>
      <c r="L33" s="48"/>
      <c r="M33" s="49"/>
      <c r="N33" s="49"/>
      <c r="O33" s="49"/>
      <c r="P33" s="49"/>
      <c r="Q33" s="48"/>
      <c r="R33" s="49"/>
      <c r="S33" s="104" t="s">
        <v>58</v>
      </c>
      <c r="T33" s="49">
        <v>374675</v>
      </c>
      <c r="U33" s="49"/>
      <c r="V33" s="48"/>
      <c r="W33" s="49">
        <v>150000</v>
      </c>
      <c r="X33" s="49"/>
      <c r="Y33" s="49"/>
      <c r="Z33" s="49"/>
      <c r="AA33" s="48"/>
      <c r="AB33" s="49"/>
    </row>
    <row r="34" spans="1:28" x14ac:dyDescent="0.25">
      <c r="A34" s="47">
        <v>45170</v>
      </c>
      <c r="B34" s="48">
        <v>2</v>
      </c>
      <c r="C34" s="49"/>
      <c r="D34" s="49"/>
      <c r="E34" s="49"/>
      <c r="F34" s="49"/>
      <c r="G34" s="48">
        <v>1</v>
      </c>
      <c r="H34" s="49">
        <v>184722</v>
      </c>
      <c r="I34" s="49">
        <v>589751</v>
      </c>
      <c r="J34" s="49">
        <v>72032</v>
      </c>
      <c r="K34" s="49"/>
      <c r="L34" s="48"/>
      <c r="M34" s="49"/>
      <c r="N34" s="49"/>
      <c r="O34" s="49"/>
      <c r="P34" s="49"/>
      <c r="Q34" s="48"/>
      <c r="R34" s="49"/>
      <c r="S34" s="104" t="s">
        <v>58</v>
      </c>
      <c r="T34" s="49">
        <v>1456250</v>
      </c>
      <c r="U34" s="49"/>
      <c r="V34" s="48"/>
      <c r="W34" s="49" t="s">
        <v>58</v>
      </c>
      <c r="X34" s="49"/>
      <c r="Y34" s="49"/>
      <c r="Z34" s="49"/>
      <c r="AA34" s="48"/>
      <c r="AB34" s="49"/>
    </row>
    <row r="35" spans="1:28" x14ac:dyDescent="0.25">
      <c r="A35" s="47">
        <v>45200</v>
      </c>
      <c r="B35" s="48" t="s">
        <v>58</v>
      </c>
      <c r="C35" s="49"/>
      <c r="D35" s="49"/>
      <c r="E35" s="49">
        <v>967838</v>
      </c>
      <c r="F35" s="49"/>
      <c r="G35" s="48">
        <v>1</v>
      </c>
      <c r="H35" s="49">
        <v>226050</v>
      </c>
      <c r="I35" s="49">
        <v>837176</v>
      </c>
      <c r="J35" s="49" t="s">
        <v>58</v>
      </c>
      <c r="K35" s="49"/>
      <c r="L35" s="48"/>
      <c r="M35" s="49"/>
      <c r="N35" s="49"/>
      <c r="O35" s="49"/>
      <c r="P35" s="49"/>
      <c r="Q35" s="48"/>
      <c r="R35" s="49"/>
      <c r="S35" s="104" t="s">
        <v>58</v>
      </c>
      <c r="T35" s="49">
        <v>540500</v>
      </c>
      <c r="U35" s="49"/>
      <c r="V35" s="48"/>
      <c r="W35" s="49" t="s">
        <v>58</v>
      </c>
      <c r="X35" s="49"/>
      <c r="Y35" s="49"/>
      <c r="Z35" s="49"/>
      <c r="AA35" s="48"/>
      <c r="AB35" s="49"/>
    </row>
    <row r="36" spans="1:28" x14ac:dyDescent="0.25">
      <c r="A36" s="47">
        <v>45231</v>
      </c>
      <c r="B36" s="48">
        <v>1</v>
      </c>
      <c r="C36" s="49"/>
      <c r="D36" s="49"/>
      <c r="E36" s="49" t="s">
        <v>58</v>
      </c>
      <c r="F36" s="49"/>
      <c r="G36" s="48">
        <v>1</v>
      </c>
      <c r="H36" s="49">
        <v>301352</v>
      </c>
      <c r="I36" s="49">
        <v>1061327</v>
      </c>
      <c r="J36" s="49">
        <v>41248</v>
      </c>
      <c r="K36" s="49"/>
      <c r="L36" s="48"/>
      <c r="M36" s="49"/>
      <c r="N36" s="49"/>
      <c r="O36" s="49"/>
      <c r="P36" s="49"/>
      <c r="Q36" s="48"/>
      <c r="R36" s="49"/>
      <c r="S36" s="104" t="s">
        <v>58</v>
      </c>
      <c r="T36" s="49">
        <v>1500</v>
      </c>
      <c r="U36" s="49"/>
      <c r="V36" s="48"/>
      <c r="W36" s="49" t="s">
        <v>58</v>
      </c>
      <c r="X36" s="49"/>
      <c r="Y36" s="49"/>
      <c r="Z36" s="49"/>
      <c r="AA36" s="48"/>
      <c r="AB36" s="49"/>
    </row>
    <row r="37" spans="1:28" x14ac:dyDescent="0.25">
      <c r="A37" s="47">
        <v>45261</v>
      </c>
      <c r="B37" s="48">
        <v>1</v>
      </c>
      <c r="C37" s="49">
        <v>252528</v>
      </c>
      <c r="D37" s="49"/>
      <c r="E37" s="49" t="s">
        <v>58</v>
      </c>
      <c r="F37" s="49"/>
      <c r="G37" s="48" t="s">
        <v>58</v>
      </c>
      <c r="H37" s="49">
        <v>443264</v>
      </c>
      <c r="I37" s="49" t="s">
        <v>58</v>
      </c>
      <c r="J37" s="49" t="s">
        <v>58</v>
      </c>
      <c r="K37" s="49"/>
      <c r="L37" s="48"/>
      <c r="M37" s="49"/>
      <c r="N37" s="49"/>
      <c r="O37" s="49"/>
      <c r="P37" s="49"/>
      <c r="Q37" s="48"/>
      <c r="R37" s="49"/>
      <c r="S37" s="104" t="s">
        <v>58</v>
      </c>
      <c r="T37" s="49">
        <v>1500</v>
      </c>
      <c r="U37" s="49"/>
      <c r="V37" s="48">
        <v>64</v>
      </c>
      <c r="W37" s="49">
        <v>173815.8</v>
      </c>
      <c r="X37" s="49"/>
      <c r="Y37" s="49"/>
      <c r="Z37" s="49"/>
      <c r="AA37" s="48"/>
      <c r="AB37" s="49"/>
    </row>
    <row r="38" spans="1:28" x14ac:dyDescent="0.25">
      <c r="A38" s="47">
        <v>45292</v>
      </c>
      <c r="B38" s="48">
        <v>4</v>
      </c>
      <c r="C38" s="49">
        <v>4343</v>
      </c>
      <c r="D38" s="49"/>
      <c r="E38" s="49">
        <v>209069</v>
      </c>
      <c r="F38" s="49"/>
      <c r="G38" s="48" t="s">
        <v>58</v>
      </c>
      <c r="H38" s="49">
        <v>1790508</v>
      </c>
      <c r="I38" s="49">
        <v>2095060</v>
      </c>
      <c r="J38" s="49">
        <v>179663</v>
      </c>
      <c r="K38" s="49"/>
      <c r="L38" s="48"/>
      <c r="M38" s="49"/>
      <c r="N38" s="49"/>
      <c r="O38" s="49"/>
      <c r="P38" s="49"/>
      <c r="Q38" s="48"/>
      <c r="R38" s="49"/>
      <c r="S38" s="104" t="s">
        <v>58</v>
      </c>
      <c r="T38" s="49" t="s">
        <v>58</v>
      </c>
      <c r="U38" s="49"/>
      <c r="V38" s="48">
        <v>29</v>
      </c>
      <c r="W38" s="49">
        <v>510112.2</v>
      </c>
      <c r="X38" s="49"/>
      <c r="Y38" s="49"/>
      <c r="Z38" s="49"/>
      <c r="AA38" s="48"/>
      <c r="AB38" s="49"/>
    </row>
    <row r="39" spans="1:28" x14ac:dyDescent="0.25">
      <c r="A39" s="47">
        <v>45323</v>
      </c>
      <c r="B39" s="48" t="s">
        <v>58</v>
      </c>
      <c r="C39" s="49">
        <v>249066</v>
      </c>
      <c r="D39" s="49"/>
      <c r="E39" s="49" t="s">
        <v>58</v>
      </c>
      <c r="F39" s="49"/>
      <c r="G39" s="48" t="s">
        <v>58</v>
      </c>
      <c r="H39" s="49">
        <v>963116</v>
      </c>
      <c r="I39" s="49">
        <v>917624</v>
      </c>
      <c r="J39" s="49" t="s">
        <v>58</v>
      </c>
      <c r="K39" s="49"/>
      <c r="L39" s="48"/>
      <c r="M39" s="49"/>
      <c r="N39" s="49"/>
      <c r="O39" s="49"/>
      <c r="P39" s="49"/>
      <c r="Q39" s="48"/>
      <c r="R39" s="49"/>
      <c r="S39" s="104" t="s">
        <v>58</v>
      </c>
      <c r="T39" s="49" t="s">
        <v>58</v>
      </c>
      <c r="U39" s="49"/>
      <c r="V39" s="48">
        <v>18</v>
      </c>
      <c r="W39" s="49">
        <v>427104.25</v>
      </c>
      <c r="X39" s="49"/>
      <c r="Y39" s="49"/>
      <c r="Z39" s="49"/>
      <c r="AA39" s="48"/>
      <c r="AB39" s="49"/>
    </row>
    <row r="40" spans="1:28" x14ac:dyDescent="0.25">
      <c r="A40" s="47">
        <v>45352</v>
      </c>
      <c r="B40" s="48" t="s">
        <v>58</v>
      </c>
      <c r="C40" s="49">
        <v>54720</v>
      </c>
      <c r="D40" s="49">
        <v>292376</v>
      </c>
      <c r="E40" s="49" t="s">
        <v>58</v>
      </c>
      <c r="F40" s="49"/>
      <c r="G40" s="48" t="s">
        <v>58</v>
      </c>
      <c r="H40" s="49">
        <v>700166</v>
      </c>
      <c r="I40" s="49">
        <v>589902</v>
      </c>
      <c r="J40" s="49" t="s">
        <v>58</v>
      </c>
      <c r="K40" s="49"/>
      <c r="L40" s="48"/>
      <c r="M40" s="49"/>
      <c r="N40" s="49"/>
      <c r="O40" s="49"/>
      <c r="P40" s="49"/>
      <c r="Q40" s="48"/>
      <c r="R40" s="49"/>
      <c r="S40" s="104">
        <v>35</v>
      </c>
      <c r="T40" s="49">
        <v>550139</v>
      </c>
      <c r="U40" s="49"/>
      <c r="V40" s="48">
        <v>36</v>
      </c>
      <c r="W40" s="49">
        <v>623169.46</v>
      </c>
      <c r="X40" s="49"/>
      <c r="Y40" s="49"/>
      <c r="Z40" s="49"/>
      <c r="AA40" s="48"/>
      <c r="AB40" s="49"/>
    </row>
    <row r="41" spans="1:28" x14ac:dyDescent="0.25">
      <c r="A41" s="47">
        <v>45383</v>
      </c>
      <c r="B41" s="48">
        <v>2</v>
      </c>
      <c r="C41" s="49">
        <v>42122</v>
      </c>
      <c r="D41" s="49">
        <v>478730</v>
      </c>
      <c r="E41" s="49">
        <v>185855</v>
      </c>
      <c r="F41" s="49"/>
      <c r="G41" s="48" t="s">
        <v>58</v>
      </c>
      <c r="H41" s="49">
        <v>1274523</v>
      </c>
      <c r="I41" s="49">
        <v>1048323</v>
      </c>
      <c r="J41" s="49">
        <v>71590</v>
      </c>
      <c r="K41" s="49"/>
      <c r="L41" s="48"/>
      <c r="M41" s="49"/>
      <c r="N41" s="49"/>
      <c r="O41" s="49"/>
      <c r="P41" s="49"/>
      <c r="Q41" s="48"/>
      <c r="R41" s="49"/>
      <c r="S41" s="104">
        <v>5</v>
      </c>
      <c r="T41" s="49">
        <v>1269411</v>
      </c>
      <c r="U41" s="49"/>
      <c r="V41" s="48">
        <v>2</v>
      </c>
      <c r="W41" s="49">
        <v>559633.68999999994</v>
      </c>
      <c r="X41" s="49"/>
      <c r="Y41" s="49"/>
      <c r="Z41" s="49"/>
      <c r="AA41" s="48"/>
      <c r="AB41" s="49"/>
    </row>
    <row r="42" spans="1:28" x14ac:dyDescent="0.25">
      <c r="A42" s="47">
        <v>45413</v>
      </c>
      <c r="B42" s="48">
        <v>1</v>
      </c>
      <c r="C42" s="49">
        <v>134549</v>
      </c>
      <c r="D42" s="49">
        <v>440382</v>
      </c>
      <c r="E42" s="49">
        <v>145966</v>
      </c>
      <c r="F42" s="49"/>
      <c r="G42" s="48" t="s">
        <v>58</v>
      </c>
      <c r="H42" s="49">
        <v>722207</v>
      </c>
      <c r="I42" s="49">
        <v>951264</v>
      </c>
      <c r="J42" s="49">
        <v>76601</v>
      </c>
      <c r="K42" s="49"/>
      <c r="L42" s="48"/>
      <c r="M42" s="49"/>
      <c r="N42" s="49"/>
      <c r="O42" s="49"/>
      <c r="P42" s="49"/>
      <c r="Q42" s="48"/>
      <c r="R42" s="49"/>
      <c r="S42" s="104">
        <v>3</v>
      </c>
      <c r="T42" s="49">
        <v>723043</v>
      </c>
      <c r="U42" s="49"/>
      <c r="V42" s="48">
        <v>2</v>
      </c>
      <c r="W42" s="49">
        <v>230958.13</v>
      </c>
      <c r="X42" s="49"/>
      <c r="Y42" s="49"/>
      <c r="Z42" s="49"/>
      <c r="AA42" s="48"/>
      <c r="AB42" s="49"/>
    </row>
    <row r="43" spans="1:28" x14ac:dyDescent="0.25">
      <c r="A43" s="47">
        <v>45444</v>
      </c>
      <c r="B43" s="48">
        <v>1</v>
      </c>
      <c r="C43" s="49">
        <v>90998</v>
      </c>
      <c r="D43" s="49" t="s">
        <v>58</v>
      </c>
      <c r="E43" s="49" t="s">
        <v>58</v>
      </c>
      <c r="F43" s="49"/>
      <c r="G43" s="48" t="s">
        <v>58</v>
      </c>
      <c r="H43" s="49">
        <v>971975</v>
      </c>
      <c r="I43" s="49">
        <v>823434</v>
      </c>
      <c r="J43" s="49" t="s">
        <v>58</v>
      </c>
      <c r="K43" s="49"/>
      <c r="L43" s="48"/>
      <c r="M43" s="49"/>
      <c r="N43" s="49"/>
      <c r="O43" s="49"/>
      <c r="P43" s="49"/>
      <c r="Q43" s="48"/>
      <c r="R43" s="49"/>
      <c r="S43" s="104" t="s">
        <v>58</v>
      </c>
      <c r="T43" s="49">
        <v>170633</v>
      </c>
      <c r="U43" s="49"/>
      <c r="V43" s="48">
        <v>6</v>
      </c>
      <c r="W43" s="49">
        <v>180845.32</v>
      </c>
      <c r="X43" s="49"/>
      <c r="Y43" s="49"/>
      <c r="Z43" s="49"/>
      <c r="AA43" s="48"/>
      <c r="AB43" s="49"/>
    </row>
    <row r="44" spans="1:28" x14ac:dyDescent="0.25">
      <c r="A44" s="47">
        <v>45474</v>
      </c>
      <c r="B44" s="48">
        <v>7</v>
      </c>
      <c r="C44" s="49">
        <v>79132</v>
      </c>
      <c r="D44" s="49">
        <v>355484</v>
      </c>
      <c r="E44" s="49">
        <v>34076</v>
      </c>
      <c r="F44" s="49"/>
      <c r="G44" s="48">
        <v>1</v>
      </c>
      <c r="H44" s="49">
        <v>164960</v>
      </c>
      <c r="I44" s="49">
        <v>834056</v>
      </c>
      <c r="J44" s="49">
        <v>99305</v>
      </c>
      <c r="K44" s="49"/>
      <c r="L44" s="48">
        <v>32</v>
      </c>
      <c r="M44" s="49">
        <v>580237</v>
      </c>
      <c r="N44" s="49"/>
      <c r="O44" s="49"/>
      <c r="P44" s="49"/>
      <c r="Q44" s="48"/>
      <c r="R44" s="49"/>
      <c r="S44" s="104" t="s">
        <v>58</v>
      </c>
      <c r="T44" s="49">
        <v>248148</v>
      </c>
      <c r="U44" s="49"/>
      <c r="V44" s="48">
        <v>2</v>
      </c>
      <c r="W44" s="49">
        <v>190831.38</v>
      </c>
      <c r="X44" s="49"/>
      <c r="Y44" s="49"/>
      <c r="Z44" s="49"/>
      <c r="AA44" s="48"/>
      <c r="AB44" s="49"/>
    </row>
    <row r="45" spans="1:28" x14ac:dyDescent="0.25">
      <c r="A45" s="47">
        <v>45505</v>
      </c>
      <c r="B45" s="48">
        <v>1</v>
      </c>
      <c r="C45" s="49">
        <v>250222</v>
      </c>
      <c r="D45" s="49">
        <v>151586</v>
      </c>
      <c r="E45" s="49">
        <v>116958</v>
      </c>
      <c r="F45" s="49"/>
      <c r="G45" s="48">
        <v>1</v>
      </c>
      <c r="H45" s="49">
        <v>548222</v>
      </c>
      <c r="I45" s="49">
        <v>592696</v>
      </c>
      <c r="J45" s="49" t="s">
        <v>58</v>
      </c>
      <c r="K45" s="49"/>
      <c r="L45" s="48">
        <v>30</v>
      </c>
      <c r="M45" s="49">
        <v>299399</v>
      </c>
      <c r="N45" s="49"/>
      <c r="O45" s="49"/>
      <c r="P45" s="49"/>
      <c r="Q45" s="48"/>
      <c r="R45" s="49"/>
      <c r="S45" s="104" t="s">
        <v>58</v>
      </c>
      <c r="T45" s="49">
        <v>116356</v>
      </c>
      <c r="U45" s="49"/>
      <c r="V45" s="48">
        <v>2</v>
      </c>
      <c r="W45" s="49">
        <v>220373.27</v>
      </c>
      <c r="X45" s="49"/>
      <c r="Y45" s="49"/>
      <c r="Z45" s="49"/>
      <c r="AA45" s="48"/>
      <c r="AB45" s="49"/>
    </row>
    <row r="46" spans="1:28" x14ac:dyDescent="0.25">
      <c r="A46" s="47">
        <v>45536</v>
      </c>
      <c r="B46" s="48">
        <v>3</v>
      </c>
      <c r="C46" s="49">
        <v>288783</v>
      </c>
      <c r="D46" s="49">
        <v>600424</v>
      </c>
      <c r="E46" s="49">
        <v>229817</v>
      </c>
      <c r="F46" s="49"/>
      <c r="G46" s="48">
        <v>1</v>
      </c>
      <c r="H46" s="49">
        <v>201279</v>
      </c>
      <c r="I46" s="49">
        <v>494201</v>
      </c>
      <c r="J46" s="49" t="s">
        <v>58</v>
      </c>
      <c r="K46" s="49"/>
      <c r="L46" s="48">
        <v>22</v>
      </c>
      <c r="M46" s="49">
        <v>42952</v>
      </c>
      <c r="N46" s="49"/>
      <c r="O46" s="49"/>
      <c r="P46" s="49"/>
      <c r="Q46" s="48"/>
      <c r="R46" s="49"/>
      <c r="S46" s="104" t="s">
        <v>58</v>
      </c>
      <c r="T46" s="49">
        <v>95410</v>
      </c>
      <c r="U46" s="49"/>
      <c r="V46" s="48">
        <v>2</v>
      </c>
      <c r="W46" s="49">
        <v>402034.39</v>
      </c>
      <c r="X46" s="49"/>
      <c r="Y46" s="49"/>
      <c r="Z46" s="49"/>
      <c r="AA46" s="48"/>
      <c r="AB46" s="49"/>
    </row>
    <row r="47" spans="1:28" x14ac:dyDescent="0.25">
      <c r="A47" s="47">
        <v>45566</v>
      </c>
      <c r="B47" s="48">
        <v>1</v>
      </c>
      <c r="C47" s="49">
        <v>85079</v>
      </c>
      <c r="D47" s="49">
        <v>1033883</v>
      </c>
      <c r="E47" s="49">
        <v>34374</v>
      </c>
      <c r="F47" s="49"/>
      <c r="G47" s="48" t="s">
        <v>58</v>
      </c>
      <c r="H47" s="49">
        <v>403061</v>
      </c>
      <c r="I47" s="49">
        <v>750025</v>
      </c>
      <c r="J47" s="49">
        <v>36237</v>
      </c>
      <c r="K47" s="49"/>
      <c r="L47" s="48">
        <v>14</v>
      </c>
      <c r="M47" s="49">
        <v>115273</v>
      </c>
      <c r="N47" s="49"/>
      <c r="O47" s="49"/>
      <c r="P47" s="49"/>
      <c r="Q47" s="48"/>
      <c r="R47" s="49"/>
      <c r="S47" s="104" t="s">
        <v>58</v>
      </c>
      <c r="T47" s="49">
        <v>116427</v>
      </c>
      <c r="U47" s="49"/>
      <c r="V47" s="48">
        <v>2</v>
      </c>
      <c r="W47" s="49">
        <v>416087.06</v>
      </c>
      <c r="X47" s="49"/>
      <c r="Y47" s="49"/>
      <c r="Z47" s="49"/>
      <c r="AA47" s="48"/>
      <c r="AB47" s="49"/>
    </row>
    <row r="48" spans="1:28" x14ac:dyDescent="0.25">
      <c r="A48" s="47">
        <v>45597</v>
      </c>
      <c r="B48" s="48" t="s">
        <v>58</v>
      </c>
      <c r="C48" s="49">
        <v>356149</v>
      </c>
      <c r="D48" s="49">
        <v>52708</v>
      </c>
      <c r="E48" s="49">
        <v>29331</v>
      </c>
      <c r="F48" s="49"/>
      <c r="G48" s="48" t="s">
        <v>58</v>
      </c>
      <c r="H48" s="49">
        <v>208700</v>
      </c>
      <c r="I48" s="49">
        <v>1004267</v>
      </c>
      <c r="J48" s="49">
        <v>35599</v>
      </c>
      <c r="K48" s="49"/>
      <c r="L48" s="48">
        <v>10</v>
      </c>
      <c r="M48" s="49">
        <v>45450</v>
      </c>
      <c r="N48" s="49"/>
      <c r="O48" s="49"/>
      <c r="P48" s="49"/>
      <c r="Q48" s="48"/>
      <c r="R48" s="49"/>
      <c r="S48" s="104" t="s">
        <v>58</v>
      </c>
      <c r="T48" s="49">
        <v>96304</v>
      </c>
      <c r="U48" s="49"/>
      <c r="V48" s="48">
        <v>1</v>
      </c>
      <c r="W48" s="49">
        <v>3023371.18</v>
      </c>
      <c r="X48" s="49"/>
      <c r="Y48" s="49">
        <v>2828889</v>
      </c>
      <c r="Z48" s="49"/>
      <c r="AA48" s="48"/>
      <c r="AB48" s="49"/>
    </row>
    <row r="49" spans="1:28" x14ac:dyDescent="0.25">
      <c r="A49" s="47">
        <v>45627</v>
      </c>
      <c r="B49" s="48" t="s">
        <v>58</v>
      </c>
      <c r="C49" s="49">
        <v>594301</v>
      </c>
      <c r="D49" s="49">
        <v>643506</v>
      </c>
      <c r="E49" s="49" t="s">
        <v>58</v>
      </c>
      <c r="F49" s="49"/>
      <c r="G49" s="48" t="s">
        <v>58</v>
      </c>
      <c r="H49" s="49">
        <v>357717</v>
      </c>
      <c r="I49" s="49">
        <v>734496</v>
      </c>
      <c r="J49" s="49">
        <v>41248</v>
      </c>
      <c r="K49" s="49"/>
      <c r="L49" s="48">
        <v>5</v>
      </c>
      <c r="M49" s="49">
        <v>61032</v>
      </c>
      <c r="N49" s="49"/>
      <c r="O49" s="49"/>
      <c r="P49" s="49"/>
      <c r="Q49" s="48">
        <v>37</v>
      </c>
      <c r="R49" s="49">
        <v>262541</v>
      </c>
      <c r="S49" s="104" t="s">
        <v>58</v>
      </c>
      <c r="T49" s="49">
        <v>294651</v>
      </c>
      <c r="U49" s="49"/>
      <c r="V49" s="48">
        <v>2</v>
      </c>
      <c r="W49" s="49">
        <v>1362090.6</v>
      </c>
      <c r="X49" s="49">
        <v>495939</v>
      </c>
      <c r="Y49" s="49">
        <v>103299</v>
      </c>
      <c r="Z49" s="49"/>
      <c r="AA49" s="48"/>
      <c r="AB49" s="49"/>
    </row>
    <row r="50" spans="1:28" x14ac:dyDescent="0.25">
      <c r="A50" s="47">
        <v>45658</v>
      </c>
      <c r="B50" s="48" t="s">
        <v>58</v>
      </c>
      <c r="C50" s="49">
        <v>498417</v>
      </c>
      <c r="D50" s="49">
        <v>1163143</v>
      </c>
      <c r="E50" s="49">
        <v>29331</v>
      </c>
      <c r="F50" s="49"/>
      <c r="G50" s="48" t="s">
        <v>58</v>
      </c>
      <c r="H50" s="49">
        <v>162303</v>
      </c>
      <c r="I50" s="49" t="s">
        <v>58</v>
      </c>
      <c r="J50" s="49" t="s">
        <v>58</v>
      </c>
      <c r="K50" s="49"/>
      <c r="L50" s="48">
        <v>5</v>
      </c>
      <c r="M50" s="49">
        <v>54250</v>
      </c>
      <c r="N50" s="49"/>
      <c r="O50" s="49"/>
      <c r="P50" s="49"/>
      <c r="Q50" s="48">
        <v>15</v>
      </c>
      <c r="R50" s="49">
        <v>155415</v>
      </c>
      <c r="S50" s="104" t="s">
        <v>58</v>
      </c>
      <c r="T50" s="49">
        <v>172391</v>
      </c>
      <c r="U50" s="49"/>
      <c r="V50" s="48">
        <v>1</v>
      </c>
      <c r="W50" s="49">
        <v>463163</v>
      </c>
      <c r="X50" s="49">
        <v>44304</v>
      </c>
      <c r="Y50" s="49">
        <v>61297</v>
      </c>
      <c r="Z50" s="49"/>
      <c r="AA50" s="48">
        <v>2</v>
      </c>
      <c r="AB50" s="49"/>
    </row>
    <row r="51" spans="1:28" x14ac:dyDescent="0.25">
      <c r="A51" s="47">
        <v>45689</v>
      </c>
      <c r="B51" s="48" t="s">
        <v>58</v>
      </c>
      <c r="C51" s="49">
        <v>105008</v>
      </c>
      <c r="D51" s="49" t="s">
        <v>58</v>
      </c>
      <c r="E51" s="49" t="s">
        <v>58</v>
      </c>
      <c r="F51" s="49"/>
      <c r="G51" s="48" t="s">
        <v>58</v>
      </c>
      <c r="H51" s="49">
        <v>617475</v>
      </c>
      <c r="I51" s="49">
        <v>93151</v>
      </c>
      <c r="J51" s="49" t="s">
        <v>58</v>
      </c>
      <c r="K51" s="49"/>
      <c r="L51" s="48">
        <v>5</v>
      </c>
      <c r="M51" s="49">
        <v>46310</v>
      </c>
      <c r="N51" s="49"/>
      <c r="O51" s="49"/>
      <c r="P51" s="49"/>
      <c r="Q51" s="48">
        <v>11</v>
      </c>
      <c r="R51" s="49">
        <v>106136</v>
      </c>
      <c r="S51" s="104" t="s">
        <v>58</v>
      </c>
      <c r="T51" s="49">
        <v>104494</v>
      </c>
      <c r="U51" s="49"/>
      <c r="V51" s="48">
        <v>1</v>
      </c>
      <c r="W51" s="49">
        <v>242545</v>
      </c>
      <c r="X51" s="49">
        <v>58613</v>
      </c>
      <c r="Y51" s="49">
        <v>318826</v>
      </c>
      <c r="Z51" s="49"/>
      <c r="AA51" s="48" t="s">
        <v>58</v>
      </c>
      <c r="AB51" s="49"/>
    </row>
    <row r="52" spans="1:28" x14ac:dyDescent="0.25">
      <c r="A52" s="47">
        <v>45717</v>
      </c>
      <c r="B52" s="48" t="s">
        <v>58</v>
      </c>
      <c r="C52" s="49">
        <v>361694</v>
      </c>
      <c r="D52" s="49">
        <v>867482</v>
      </c>
      <c r="E52" s="49" t="s">
        <v>58</v>
      </c>
      <c r="F52" s="49"/>
      <c r="G52" s="48" t="s">
        <v>58</v>
      </c>
      <c r="H52" s="49">
        <v>65451</v>
      </c>
      <c r="I52" s="49">
        <v>352901</v>
      </c>
      <c r="J52" s="49" t="s">
        <v>58</v>
      </c>
      <c r="K52" s="49"/>
      <c r="L52" s="48">
        <v>5</v>
      </c>
      <c r="M52" s="49">
        <v>56284</v>
      </c>
      <c r="N52" s="49"/>
      <c r="O52" s="49"/>
      <c r="P52" s="49"/>
      <c r="Q52" s="48">
        <v>5</v>
      </c>
      <c r="R52" s="49">
        <v>67242</v>
      </c>
      <c r="S52" s="104" t="s">
        <v>58</v>
      </c>
      <c r="T52" s="49">
        <v>254718</v>
      </c>
      <c r="U52" s="49"/>
      <c r="V52" s="48">
        <v>1</v>
      </c>
      <c r="W52" s="49">
        <v>305213</v>
      </c>
      <c r="X52" s="49">
        <v>527178</v>
      </c>
      <c r="Y52" s="49">
        <v>1687809</v>
      </c>
      <c r="Z52" s="49"/>
      <c r="AA52" s="48" t="s">
        <v>58</v>
      </c>
      <c r="AB52" s="49"/>
    </row>
    <row r="53" spans="1:28" x14ac:dyDescent="0.25">
      <c r="A53" s="47">
        <v>45748</v>
      </c>
      <c r="B53" s="48" t="s">
        <v>58</v>
      </c>
      <c r="C53" s="49">
        <v>184143</v>
      </c>
      <c r="D53" s="49">
        <v>504379</v>
      </c>
      <c r="E53" s="49" t="s">
        <v>58</v>
      </c>
      <c r="F53" s="49"/>
      <c r="G53" s="48" t="s">
        <v>58</v>
      </c>
      <c r="H53" s="49">
        <v>40080</v>
      </c>
      <c r="I53" s="49" t="s">
        <v>58</v>
      </c>
      <c r="J53" s="49" t="s">
        <v>58</v>
      </c>
      <c r="K53" s="49"/>
      <c r="L53" s="48">
        <v>-2</v>
      </c>
      <c r="M53" s="49">
        <v>63633</v>
      </c>
      <c r="N53" s="49"/>
      <c r="O53" s="49"/>
      <c r="P53" s="49"/>
      <c r="Q53" s="48">
        <v>6</v>
      </c>
      <c r="R53" s="49">
        <v>53259</v>
      </c>
      <c r="S53" s="104" t="s">
        <v>58</v>
      </c>
      <c r="T53" s="49">
        <v>138414</v>
      </c>
      <c r="U53" s="49"/>
      <c r="V53" s="48">
        <v>1</v>
      </c>
      <c r="W53" s="49">
        <v>379772</v>
      </c>
      <c r="X53" s="49">
        <v>381667</v>
      </c>
      <c r="Y53" s="49" t="s">
        <v>58</v>
      </c>
      <c r="Z53" s="49"/>
      <c r="AA53" s="48" t="s">
        <v>58</v>
      </c>
      <c r="AB53" s="49"/>
    </row>
    <row r="54" spans="1:28" x14ac:dyDescent="0.25">
      <c r="A54" s="47">
        <v>45778</v>
      </c>
      <c r="B54" s="48">
        <v>8</v>
      </c>
      <c r="C54" s="49">
        <v>393264</v>
      </c>
      <c r="D54" s="49">
        <v>303619</v>
      </c>
      <c r="E54" s="49" t="s">
        <v>58</v>
      </c>
      <c r="F54" s="49"/>
      <c r="G54" s="48" t="s">
        <v>58</v>
      </c>
      <c r="H54" s="49">
        <v>32565</v>
      </c>
      <c r="I54" s="49">
        <v>443100</v>
      </c>
      <c r="J54" s="49">
        <v>76405</v>
      </c>
      <c r="K54" s="49"/>
      <c r="L54" s="48" t="s">
        <v>58</v>
      </c>
      <c r="M54" s="49">
        <v>157227</v>
      </c>
      <c r="N54" s="49"/>
      <c r="O54" s="49"/>
      <c r="P54" s="49"/>
      <c r="Q54" s="48">
        <v>8</v>
      </c>
      <c r="R54" s="49">
        <v>54106</v>
      </c>
      <c r="S54" s="104" t="s">
        <v>58</v>
      </c>
      <c r="T54" s="49">
        <v>116203</v>
      </c>
      <c r="U54" s="49"/>
      <c r="V54" s="48">
        <v>1</v>
      </c>
      <c r="W54" s="49">
        <v>287507</v>
      </c>
      <c r="X54" s="49">
        <v>84505</v>
      </c>
      <c r="Y54" s="49">
        <v>236330</v>
      </c>
      <c r="Z54" s="49"/>
      <c r="AA54" s="48" t="s">
        <v>58</v>
      </c>
      <c r="AB54" s="49"/>
    </row>
    <row r="55" spans="1:28" x14ac:dyDescent="0.25">
      <c r="A55" s="47">
        <v>45809</v>
      </c>
      <c r="B55" s="48">
        <v>1</v>
      </c>
      <c r="C55" s="49">
        <v>322109</v>
      </c>
      <c r="D55" s="49">
        <v>651851</v>
      </c>
      <c r="E55" s="49" t="s">
        <v>58</v>
      </c>
      <c r="F55" s="49"/>
      <c r="G55" s="48" t="s">
        <v>58</v>
      </c>
      <c r="H55" s="49">
        <v>28121</v>
      </c>
      <c r="I55" s="49">
        <v>1160037</v>
      </c>
      <c r="J55" s="49" t="s">
        <v>58</v>
      </c>
      <c r="K55" s="49"/>
      <c r="L55" s="48" t="s">
        <v>58</v>
      </c>
      <c r="M55" s="49">
        <v>1549051</v>
      </c>
      <c r="N55" s="49"/>
      <c r="O55" s="49">
        <v>1443110</v>
      </c>
      <c r="P55" s="49"/>
      <c r="Q55" s="48">
        <v>9</v>
      </c>
      <c r="R55" s="49">
        <v>52368</v>
      </c>
      <c r="S55" s="104" t="s">
        <v>58</v>
      </c>
      <c r="T55" s="49">
        <v>662741</v>
      </c>
      <c r="U55" s="49"/>
      <c r="V55" s="48">
        <v>1</v>
      </c>
      <c r="W55" s="49">
        <v>311613</v>
      </c>
      <c r="X55" s="49">
        <v>81943</v>
      </c>
      <c r="Y55" s="49">
        <v>235728</v>
      </c>
      <c r="Z55" s="49"/>
      <c r="AA55" s="48" t="s">
        <v>58</v>
      </c>
      <c r="AB55" s="49"/>
    </row>
    <row r="56" spans="1:28" x14ac:dyDescent="0.25">
      <c r="A56" s="47">
        <v>45839</v>
      </c>
      <c r="B56" s="48">
        <v>1</v>
      </c>
      <c r="C56" s="49">
        <v>198354</v>
      </c>
      <c r="D56" s="49">
        <v>386649</v>
      </c>
      <c r="E56" s="49" t="s">
        <v>58</v>
      </c>
      <c r="F56" s="49"/>
      <c r="G56" s="48">
        <v>-1</v>
      </c>
      <c r="H56" s="49">
        <v>96843</v>
      </c>
      <c r="I56" s="49" t="s">
        <v>58</v>
      </c>
      <c r="J56" s="49" t="s">
        <v>58</v>
      </c>
      <c r="K56" s="49"/>
      <c r="L56" s="48" t="s">
        <v>58</v>
      </c>
      <c r="M56" s="49">
        <v>2893764</v>
      </c>
      <c r="N56" s="49">
        <v>837585</v>
      </c>
      <c r="O56" s="49">
        <v>1974732</v>
      </c>
      <c r="P56" s="49"/>
      <c r="Q56" s="48">
        <v>7</v>
      </c>
      <c r="R56" s="49">
        <v>116668</v>
      </c>
      <c r="S56" s="104" t="s">
        <v>58</v>
      </c>
      <c r="T56" s="49">
        <v>111735</v>
      </c>
      <c r="U56" s="49"/>
      <c r="V56" s="48">
        <v>1</v>
      </c>
      <c r="W56" s="49">
        <v>336890</v>
      </c>
      <c r="X56" s="49">
        <v>1698788</v>
      </c>
      <c r="Y56" s="49">
        <v>503380</v>
      </c>
      <c r="Z56" s="49"/>
      <c r="AA56" s="48">
        <v>181</v>
      </c>
      <c r="AB56" s="49">
        <v>1915241</v>
      </c>
    </row>
    <row r="57" spans="1:28" x14ac:dyDescent="0.25">
      <c r="A57" s="47">
        <v>45870</v>
      </c>
      <c r="B57" s="48">
        <v>1</v>
      </c>
      <c r="C57" s="49">
        <v>425551</v>
      </c>
      <c r="D57" s="49">
        <v>1166855</v>
      </c>
      <c r="E57" s="49">
        <v>58842</v>
      </c>
      <c r="F57" s="49"/>
      <c r="G57" s="48" t="s">
        <v>58</v>
      </c>
      <c r="H57" s="49">
        <v>64422</v>
      </c>
      <c r="I57" s="49">
        <v>185306</v>
      </c>
      <c r="J57" s="49">
        <v>35795</v>
      </c>
      <c r="K57" s="49"/>
      <c r="L57" s="48">
        <v>1</v>
      </c>
      <c r="M57" s="49">
        <v>1260483</v>
      </c>
      <c r="N57" s="49">
        <v>995004</v>
      </c>
      <c r="O57" s="49" t="s">
        <v>58</v>
      </c>
      <c r="P57" s="49"/>
      <c r="Q57" s="48">
        <v>7</v>
      </c>
      <c r="R57" s="49">
        <v>61363</v>
      </c>
      <c r="S57" s="104">
        <v>2</v>
      </c>
      <c r="T57" s="49">
        <v>121872</v>
      </c>
      <c r="U57" s="49"/>
      <c r="V57" s="48" t="s">
        <v>58</v>
      </c>
      <c r="W57" s="49">
        <v>387302</v>
      </c>
      <c r="X57" s="49">
        <v>658563</v>
      </c>
      <c r="Y57" s="49">
        <v>92717</v>
      </c>
      <c r="Z57" s="49"/>
      <c r="AA57" s="48">
        <v>19</v>
      </c>
      <c r="AB57" s="49">
        <v>888444</v>
      </c>
    </row>
    <row r="58" spans="1:28" x14ac:dyDescent="0.25">
      <c r="A58" s="47">
        <v>45901</v>
      </c>
      <c r="B58" s="48">
        <v>1</v>
      </c>
      <c r="C58" s="49">
        <v>154765</v>
      </c>
      <c r="D58" s="49">
        <v>563535</v>
      </c>
      <c r="E58" s="49">
        <v>35103</v>
      </c>
      <c r="F58" s="49"/>
      <c r="G58" s="48">
        <v>1</v>
      </c>
      <c r="H58" s="49">
        <v>21166</v>
      </c>
      <c r="I58" s="49">
        <v>933974</v>
      </c>
      <c r="J58" s="49" t="s">
        <v>58</v>
      </c>
      <c r="K58" s="49"/>
      <c r="L58" s="48">
        <v>1</v>
      </c>
      <c r="M58" s="49">
        <v>456912</v>
      </c>
      <c r="N58" s="49">
        <v>973533</v>
      </c>
      <c r="O58" s="49">
        <v>1120860</v>
      </c>
      <c r="P58" s="49"/>
      <c r="Q58" s="48">
        <v>8</v>
      </c>
      <c r="R58" s="49">
        <v>86815</v>
      </c>
      <c r="S58" s="104" t="s">
        <v>58</v>
      </c>
      <c r="T58" s="49">
        <v>107535</v>
      </c>
      <c r="U58" s="49"/>
      <c r="V58" s="48" t="s">
        <v>58</v>
      </c>
      <c r="W58" s="49">
        <v>313641</v>
      </c>
      <c r="X58" s="49">
        <v>946843</v>
      </c>
      <c r="Y58" s="49">
        <v>165441</v>
      </c>
      <c r="Z58" s="49"/>
      <c r="AA58" s="48">
        <v>13</v>
      </c>
      <c r="AB58" s="49">
        <v>419611</v>
      </c>
    </row>
    <row r="59" spans="1:28" x14ac:dyDescent="0.25">
      <c r="A59" s="47">
        <v>45931</v>
      </c>
      <c r="B59" s="48" t="s">
        <v>58</v>
      </c>
      <c r="C59" s="49">
        <v>154874</v>
      </c>
      <c r="D59" s="49">
        <v>710328</v>
      </c>
      <c r="E59" s="49" t="s">
        <v>58</v>
      </c>
      <c r="F59" s="49"/>
      <c r="G59" s="48" t="s">
        <v>58</v>
      </c>
      <c r="H59" s="49">
        <v>3382</v>
      </c>
      <c r="I59" s="49" t="s">
        <v>58</v>
      </c>
      <c r="J59" s="49" t="s">
        <v>58</v>
      </c>
      <c r="K59" s="49"/>
      <c r="L59" s="48" t="s">
        <v>58</v>
      </c>
      <c r="M59" s="49">
        <v>428046</v>
      </c>
      <c r="N59" s="49">
        <v>956562</v>
      </c>
      <c r="O59" s="49">
        <v>144523</v>
      </c>
      <c r="P59" s="49"/>
      <c r="Q59" s="48">
        <v>8</v>
      </c>
      <c r="R59" s="49">
        <v>76138</v>
      </c>
      <c r="S59" s="104" t="s">
        <v>58</v>
      </c>
      <c r="T59" s="49">
        <v>81980</v>
      </c>
      <c r="U59" s="49"/>
      <c r="V59" s="48">
        <v>15</v>
      </c>
      <c r="W59" s="49">
        <v>333428</v>
      </c>
      <c r="X59" s="49">
        <v>547764</v>
      </c>
      <c r="Y59" s="49">
        <v>95163</v>
      </c>
      <c r="Z59" s="49"/>
      <c r="AA59" s="48">
        <v>55</v>
      </c>
      <c r="AB59" s="49">
        <v>727302</v>
      </c>
    </row>
    <row r="60" spans="1:28" x14ac:dyDescent="0.25">
      <c r="A60" s="47">
        <v>45962</v>
      </c>
      <c r="B60" s="48"/>
      <c r="C60" s="49">
        <v>161197</v>
      </c>
      <c r="D60" s="38">
        <v>602871</v>
      </c>
      <c r="E60" s="51"/>
      <c r="F60" s="51"/>
      <c r="G60" s="48"/>
      <c r="H60" s="49">
        <v>5123</v>
      </c>
      <c r="I60" s="38"/>
      <c r="J60" s="51"/>
      <c r="K60" s="51"/>
      <c r="L60" s="48"/>
      <c r="M60" s="49">
        <v>114248</v>
      </c>
      <c r="N60" s="38">
        <v>984693</v>
      </c>
      <c r="O60" s="51"/>
      <c r="P60" s="51"/>
      <c r="Q60" s="48"/>
      <c r="R60" s="49">
        <v>63468</v>
      </c>
      <c r="S60" s="104"/>
      <c r="T60" s="49">
        <v>46616</v>
      </c>
      <c r="U60" s="51"/>
      <c r="V60" s="48"/>
      <c r="W60" s="49">
        <v>150513</v>
      </c>
      <c r="X60" s="38">
        <v>1081148</v>
      </c>
      <c r="Y60" s="51"/>
      <c r="Z60" s="51"/>
      <c r="AA60" s="48"/>
      <c r="AB60" s="49">
        <v>119985</v>
      </c>
    </row>
    <row r="61" spans="1:28" x14ac:dyDescent="0.25">
      <c r="A61" s="47">
        <v>45992</v>
      </c>
      <c r="B61" s="39"/>
      <c r="C61" s="49">
        <v>141631</v>
      </c>
      <c r="D61" s="38">
        <v>602871</v>
      </c>
      <c r="E61" s="51"/>
      <c r="F61" s="51"/>
      <c r="G61" s="39"/>
      <c r="H61" s="49">
        <v>9894</v>
      </c>
      <c r="I61" s="38"/>
      <c r="J61" s="51"/>
      <c r="K61" s="51"/>
      <c r="L61" s="39"/>
      <c r="M61" s="49">
        <v>554354</v>
      </c>
      <c r="N61" s="38">
        <v>984693</v>
      </c>
      <c r="O61" s="51"/>
      <c r="P61" s="51"/>
      <c r="Q61" s="48"/>
      <c r="R61" s="49">
        <v>630431</v>
      </c>
      <c r="S61" s="104"/>
      <c r="T61" s="49">
        <v>400120</v>
      </c>
      <c r="U61" s="51"/>
      <c r="V61" s="48"/>
      <c r="W61" s="49">
        <v>1425862</v>
      </c>
      <c r="X61" s="38">
        <v>1081148</v>
      </c>
      <c r="Y61" s="51"/>
      <c r="Z61" s="51"/>
      <c r="AA61" s="39"/>
      <c r="AB61" s="49">
        <v>536488</v>
      </c>
    </row>
    <row r="62" spans="1:28" x14ac:dyDescent="0.25">
      <c r="A62" s="47">
        <v>46023</v>
      </c>
      <c r="B62" s="39"/>
      <c r="C62" s="49">
        <v>134552</v>
      </c>
      <c r="D62" s="38">
        <v>452154</v>
      </c>
      <c r="E62" s="51">
        <v>163842</v>
      </c>
      <c r="F62" s="51"/>
      <c r="G62" s="39"/>
      <c r="H62" s="49">
        <v>1796</v>
      </c>
      <c r="I62" s="38"/>
      <c r="J62" s="51"/>
      <c r="K62" s="51"/>
      <c r="L62" s="39"/>
      <c r="M62" s="49">
        <v>206072</v>
      </c>
      <c r="N62" s="38">
        <v>984693</v>
      </c>
      <c r="O62" s="51"/>
      <c r="P62" s="51"/>
      <c r="Q62" s="48"/>
      <c r="R62" s="49">
        <v>87746</v>
      </c>
      <c r="S62" s="104"/>
      <c r="T62" s="49">
        <v>146553</v>
      </c>
      <c r="U62" s="51"/>
      <c r="V62" s="48"/>
      <c r="W62" s="49">
        <v>415011</v>
      </c>
      <c r="X62" s="38">
        <v>1081148</v>
      </c>
      <c r="Y62" s="51"/>
      <c r="Z62" s="51"/>
      <c r="AA62" s="39"/>
      <c r="AB62" s="49">
        <v>224803</v>
      </c>
    </row>
    <row r="63" spans="1:28" x14ac:dyDescent="0.25">
      <c r="A63" s="47">
        <v>46054</v>
      </c>
      <c r="B63" s="39"/>
      <c r="C63" s="49">
        <v>196652</v>
      </c>
      <c r="D63" s="38">
        <v>371313</v>
      </c>
      <c r="E63" s="51"/>
      <c r="F63" s="51"/>
      <c r="G63" s="39"/>
      <c r="H63" s="49">
        <v>2059</v>
      </c>
      <c r="I63" s="38"/>
      <c r="J63" s="51"/>
      <c r="K63" s="51"/>
      <c r="L63" s="39"/>
      <c r="M63" s="49">
        <v>189120</v>
      </c>
      <c r="N63" s="38">
        <v>984693</v>
      </c>
      <c r="O63" s="51">
        <v>148936</v>
      </c>
      <c r="P63" s="51"/>
      <c r="Q63" s="48"/>
      <c r="R63" s="49">
        <v>88705</v>
      </c>
      <c r="S63" s="104"/>
      <c r="T63" s="49">
        <v>82751</v>
      </c>
      <c r="U63" s="51"/>
      <c r="V63" s="48"/>
      <c r="W63" s="49">
        <v>316791</v>
      </c>
      <c r="X63" s="38">
        <v>1081148</v>
      </c>
      <c r="Y63" s="51"/>
      <c r="Z63" s="51"/>
      <c r="AA63" s="39"/>
      <c r="AB63" s="49">
        <v>231915</v>
      </c>
    </row>
    <row r="64" spans="1:28" x14ac:dyDescent="0.25">
      <c r="A64" s="47">
        <v>46082</v>
      </c>
      <c r="B64" s="39"/>
      <c r="C64" s="49">
        <v>190600</v>
      </c>
      <c r="D64" s="38">
        <v>985148</v>
      </c>
      <c r="E64" s="51"/>
      <c r="F64" s="51"/>
      <c r="G64" s="39"/>
      <c r="H64" s="49">
        <v>2153</v>
      </c>
      <c r="I64" s="38"/>
      <c r="J64" s="51"/>
      <c r="K64" s="51"/>
      <c r="L64" s="39"/>
      <c r="M64" s="49">
        <v>256209</v>
      </c>
      <c r="N64" s="38">
        <v>729402</v>
      </c>
      <c r="O64" s="51" t="s">
        <v>58</v>
      </c>
      <c r="P64" s="51"/>
      <c r="Q64" s="48"/>
      <c r="R64" s="49">
        <v>89085</v>
      </c>
      <c r="S64" s="104"/>
      <c r="T64" s="49">
        <v>262310</v>
      </c>
      <c r="U64" s="51"/>
      <c r="V64" s="48"/>
      <c r="W64" s="49">
        <v>419249</v>
      </c>
      <c r="X64" s="38">
        <v>1621722</v>
      </c>
      <c r="Y64" s="51">
        <v>205128</v>
      </c>
      <c r="Z64" s="51"/>
      <c r="AA64" s="39"/>
      <c r="AB64" s="49">
        <v>215074</v>
      </c>
    </row>
    <row r="65" spans="1:28" x14ac:dyDescent="0.25">
      <c r="A65" s="47">
        <v>46113</v>
      </c>
      <c r="B65" s="39"/>
      <c r="C65" s="49">
        <v>149202</v>
      </c>
      <c r="D65" s="38" t="s">
        <v>58</v>
      </c>
      <c r="E65" s="51"/>
      <c r="F65" s="51"/>
      <c r="G65" s="39"/>
      <c r="H65" s="49">
        <v>1796</v>
      </c>
      <c r="I65" s="38"/>
      <c r="J65" s="51"/>
      <c r="K65" s="51"/>
      <c r="L65" s="39"/>
      <c r="M65" s="49">
        <v>202833</v>
      </c>
      <c r="N65" s="38">
        <v>729402</v>
      </c>
      <c r="O65" s="51" t="s">
        <v>58</v>
      </c>
      <c r="P65" s="51"/>
      <c r="Q65" s="48"/>
      <c r="R65" s="49">
        <v>89761</v>
      </c>
      <c r="S65" s="104"/>
      <c r="T65" s="49">
        <v>185568</v>
      </c>
      <c r="U65" s="51"/>
      <c r="V65" s="48"/>
      <c r="W65" s="49">
        <v>336277</v>
      </c>
      <c r="X65" s="38">
        <v>1621722</v>
      </c>
      <c r="Y65" s="51">
        <v>164103</v>
      </c>
      <c r="Z65" s="51"/>
      <c r="AA65" s="39"/>
      <c r="AB65" s="49">
        <v>226155</v>
      </c>
    </row>
    <row r="66" spans="1:28" x14ac:dyDescent="0.25">
      <c r="A66" s="47">
        <v>46143</v>
      </c>
      <c r="B66" s="39"/>
      <c r="C66" s="49">
        <v>158391</v>
      </c>
      <c r="D66" s="38"/>
      <c r="E66" s="51"/>
      <c r="F66" s="51"/>
      <c r="G66" s="39"/>
      <c r="H66" s="49">
        <v>1796</v>
      </c>
      <c r="I66" s="38"/>
      <c r="J66" s="51"/>
      <c r="K66" s="51"/>
      <c r="L66" s="39"/>
      <c r="M66" s="49">
        <v>218049</v>
      </c>
      <c r="N66" s="38">
        <v>911753</v>
      </c>
      <c r="O66" s="51"/>
      <c r="P66" s="51"/>
      <c r="Q66" s="48"/>
      <c r="R66" s="49">
        <v>91254</v>
      </c>
      <c r="S66" s="104"/>
      <c r="T66" s="49">
        <v>90787</v>
      </c>
      <c r="U66" s="51"/>
      <c r="V66" s="48"/>
      <c r="W66" s="49">
        <v>295161</v>
      </c>
      <c r="X66" s="38">
        <v>1621722</v>
      </c>
      <c r="Y66" s="51"/>
      <c r="Z66" s="51"/>
      <c r="AA66" s="39"/>
      <c r="AB66" s="49">
        <v>432293</v>
      </c>
    </row>
    <row r="67" spans="1:28" x14ac:dyDescent="0.25">
      <c r="A67" s="47">
        <v>46174</v>
      </c>
      <c r="B67" s="39"/>
      <c r="C67" s="49">
        <v>163064</v>
      </c>
      <c r="D67" s="38"/>
      <c r="E67" s="51"/>
      <c r="F67" s="51"/>
      <c r="G67" s="39"/>
      <c r="H67" s="49">
        <v>1796</v>
      </c>
      <c r="I67" s="38"/>
      <c r="J67" s="51"/>
      <c r="K67" s="51"/>
      <c r="L67" s="39"/>
      <c r="M67" s="49">
        <v>221372</v>
      </c>
      <c r="N67" s="38">
        <v>911753</v>
      </c>
      <c r="O67" s="51"/>
      <c r="P67" s="51"/>
      <c r="Q67" s="48"/>
      <c r="R67" s="49">
        <v>111142</v>
      </c>
      <c r="S67" s="104"/>
      <c r="T67" s="49">
        <v>124863</v>
      </c>
      <c r="U67" s="51"/>
      <c r="V67" s="48"/>
      <c r="W67" s="49">
        <v>360216</v>
      </c>
      <c r="X67" s="38">
        <v>1621722</v>
      </c>
      <c r="Y67" s="51"/>
      <c r="Z67" s="51"/>
      <c r="AA67" s="39"/>
      <c r="AB67" s="49">
        <v>369900</v>
      </c>
    </row>
    <row r="68" spans="1:28" x14ac:dyDescent="0.25">
      <c r="A68" s="47">
        <v>46204</v>
      </c>
      <c r="B68" s="39"/>
      <c r="C68" s="49">
        <v>128658</v>
      </c>
      <c r="D68" s="38"/>
      <c r="E68" s="51"/>
      <c r="F68" s="51"/>
      <c r="G68" s="39"/>
      <c r="H68" s="49">
        <v>1796</v>
      </c>
      <c r="I68" s="38"/>
      <c r="J68" s="51"/>
      <c r="K68" s="51"/>
      <c r="L68" s="39"/>
      <c r="M68" s="49">
        <v>553738</v>
      </c>
      <c r="N68" s="38">
        <v>911753</v>
      </c>
      <c r="O68" s="51"/>
      <c r="P68" s="51"/>
      <c r="Q68" s="48"/>
      <c r="R68" s="49">
        <v>95634</v>
      </c>
      <c r="S68" s="104"/>
      <c r="T68" s="49">
        <v>101893</v>
      </c>
      <c r="U68" s="51"/>
      <c r="V68" s="48"/>
      <c r="W68" s="49">
        <v>381626</v>
      </c>
      <c r="X68" s="38">
        <v>1621722</v>
      </c>
      <c r="Y68" s="51"/>
      <c r="Z68" s="51"/>
      <c r="AA68" s="39"/>
      <c r="AB68" s="49">
        <v>742240</v>
      </c>
    </row>
    <row r="69" spans="1:28" x14ac:dyDescent="0.25">
      <c r="A69" s="47">
        <v>46235</v>
      </c>
      <c r="B69" s="39"/>
      <c r="C69" s="49">
        <v>432380</v>
      </c>
      <c r="D69" s="38"/>
      <c r="E69" s="51"/>
      <c r="F69" s="51"/>
      <c r="G69" s="39"/>
      <c r="H69" s="49">
        <v>1796</v>
      </c>
      <c r="I69" s="38"/>
      <c r="J69" s="51"/>
      <c r="K69" s="51"/>
      <c r="L69" s="39"/>
      <c r="M69" s="49">
        <v>317105</v>
      </c>
      <c r="N69" s="38">
        <v>911753</v>
      </c>
      <c r="O69" s="51"/>
      <c r="P69" s="51"/>
      <c r="Q69" s="48"/>
      <c r="R69" s="49">
        <v>97346</v>
      </c>
      <c r="S69" s="104"/>
      <c r="T69" s="49">
        <v>82751</v>
      </c>
      <c r="U69" s="51">
        <v>2695286</v>
      </c>
      <c r="V69" s="48"/>
      <c r="W69" s="49">
        <v>302622</v>
      </c>
      <c r="X69" s="38">
        <v>1621722</v>
      </c>
      <c r="Y69" s="51"/>
      <c r="Z69" s="51"/>
      <c r="AA69" s="39"/>
      <c r="AB69" s="49">
        <v>254784</v>
      </c>
    </row>
    <row r="70" spans="1:28" x14ac:dyDescent="0.25">
      <c r="A70" s="47">
        <v>46266</v>
      </c>
      <c r="B70" s="39"/>
      <c r="C70" s="49">
        <v>459696</v>
      </c>
      <c r="D70" s="38"/>
      <c r="E70" s="51"/>
      <c r="F70" s="51"/>
      <c r="G70" s="39"/>
      <c r="H70" s="49">
        <v>1796</v>
      </c>
      <c r="I70" s="38"/>
      <c r="J70" s="51"/>
      <c r="K70" s="51"/>
      <c r="L70" s="39"/>
      <c r="M70" s="49">
        <v>202828</v>
      </c>
      <c r="N70" s="38">
        <v>911753</v>
      </c>
      <c r="O70" s="51"/>
      <c r="P70" s="51"/>
      <c r="Q70" s="48"/>
      <c r="R70" s="49">
        <v>98315</v>
      </c>
      <c r="S70" s="104"/>
      <c r="T70" s="49">
        <v>82751</v>
      </c>
      <c r="U70" s="51">
        <v>2695286</v>
      </c>
      <c r="V70" s="48"/>
      <c r="W70" s="49">
        <v>276582</v>
      </c>
      <c r="X70" s="38">
        <v>1621722</v>
      </c>
      <c r="Y70" s="51"/>
      <c r="Z70" s="51"/>
      <c r="AA70" s="39"/>
      <c r="AB70" s="105">
        <v>285230</v>
      </c>
    </row>
    <row r="71" spans="1:28" x14ac:dyDescent="0.25">
      <c r="A71" s="47">
        <v>46296</v>
      </c>
      <c r="B71" s="39"/>
      <c r="C71" s="49">
        <v>128929</v>
      </c>
      <c r="D71" s="38"/>
      <c r="E71" s="51"/>
      <c r="F71" s="51"/>
      <c r="G71" s="39"/>
      <c r="H71" s="49">
        <v>1796</v>
      </c>
      <c r="I71" s="38"/>
      <c r="J71" s="51"/>
      <c r="K71" s="51"/>
      <c r="L71" s="39"/>
      <c r="M71" s="49">
        <v>198013</v>
      </c>
      <c r="N71" s="38">
        <v>911753</v>
      </c>
      <c r="O71" s="51"/>
      <c r="P71" s="51"/>
      <c r="Q71" s="48"/>
      <c r="R71" s="49">
        <v>98983</v>
      </c>
      <c r="S71" s="104"/>
      <c r="T71" s="49">
        <v>82751</v>
      </c>
      <c r="U71" s="51">
        <v>2695286</v>
      </c>
      <c r="V71" s="48"/>
      <c r="W71" s="49">
        <v>1404421</v>
      </c>
      <c r="X71" s="38">
        <v>1621722</v>
      </c>
      <c r="Y71" s="51"/>
      <c r="Z71" s="51"/>
      <c r="AA71" s="39"/>
      <c r="AB71" s="105">
        <v>281965</v>
      </c>
    </row>
    <row r="72" spans="1:28" x14ac:dyDescent="0.25">
      <c r="A72" s="47">
        <v>46327</v>
      </c>
      <c r="B72" s="39"/>
      <c r="C72" s="49">
        <v>21390</v>
      </c>
      <c r="D72" s="38"/>
      <c r="E72" s="51"/>
      <c r="F72" s="51"/>
      <c r="G72" s="39"/>
      <c r="H72" s="49">
        <v>1796</v>
      </c>
      <c r="I72" s="38"/>
      <c r="J72" s="51"/>
      <c r="K72" s="51"/>
      <c r="L72" s="39"/>
      <c r="M72" s="49">
        <v>208674</v>
      </c>
      <c r="N72" s="38">
        <v>911753</v>
      </c>
      <c r="O72" s="51"/>
      <c r="P72" s="51"/>
      <c r="Q72" s="48"/>
      <c r="R72" s="49">
        <v>100463</v>
      </c>
      <c r="S72" s="104"/>
      <c r="T72" s="49">
        <v>80901</v>
      </c>
      <c r="U72" s="51">
        <v>2695286</v>
      </c>
      <c r="V72" s="48"/>
      <c r="W72" s="49">
        <v>308532</v>
      </c>
      <c r="X72" s="38">
        <v>1216292</v>
      </c>
      <c r="Y72" s="51"/>
      <c r="Z72" s="51"/>
      <c r="AA72" s="39"/>
      <c r="AB72" s="105">
        <v>253816</v>
      </c>
    </row>
    <row r="73" spans="1:28" x14ac:dyDescent="0.25">
      <c r="A73" s="47">
        <v>46357</v>
      </c>
      <c r="B73" s="39"/>
      <c r="C73" s="49">
        <v>29191</v>
      </c>
      <c r="D73" s="38"/>
      <c r="E73" s="51"/>
      <c r="F73" s="51"/>
      <c r="G73" s="39"/>
      <c r="H73" s="49">
        <v>1909</v>
      </c>
      <c r="I73" s="38"/>
      <c r="J73" s="51"/>
      <c r="K73" s="51"/>
      <c r="L73" s="39"/>
      <c r="M73" s="49">
        <v>677780</v>
      </c>
      <c r="N73" s="38">
        <v>911753</v>
      </c>
      <c r="O73" s="51"/>
      <c r="P73" s="51"/>
      <c r="Q73" s="48"/>
      <c r="R73" s="49">
        <v>769598</v>
      </c>
      <c r="S73" s="104"/>
      <c r="T73" s="49">
        <v>209858</v>
      </c>
      <c r="U73" s="51">
        <v>2695286</v>
      </c>
      <c r="V73" s="48"/>
      <c r="W73" s="49">
        <v>452852</v>
      </c>
      <c r="X73" s="38">
        <v>1216292</v>
      </c>
      <c r="Y73" s="51"/>
      <c r="Z73" s="51"/>
      <c r="AA73" s="39"/>
      <c r="AB73" s="105">
        <v>813260</v>
      </c>
    </row>
    <row r="74" spans="1:28" x14ac:dyDescent="0.25">
      <c r="A74" s="47">
        <v>46388</v>
      </c>
      <c r="B74" s="39"/>
      <c r="C74" s="49">
        <v>9509</v>
      </c>
      <c r="D74" s="38"/>
      <c r="E74" s="51"/>
      <c r="F74" s="51"/>
      <c r="G74" s="39"/>
      <c r="H74" s="49">
        <v>1796</v>
      </c>
      <c r="I74" s="38"/>
      <c r="J74" s="51"/>
      <c r="K74" s="51"/>
      <c r="L74" s="39"/>
      <c r="M74" s="49">
        <v>212201</v>
      </c>
      <c r="N74" s="38">
        <v>729402</v>
      </c>
      <c r="O74" s="51"/>
      <c r="P74" s="51"/>
      <c r="Q74" s="48"/>
      <c r="R74" s="49">
        <v>105699</v>
      </c>
      <c r="S74" s="104"/>
      <c r="T74" s="49">
        <v>185357</v>
      </c>
      <c r="U74" s="51"/>
      <c r="V74" s="48"/>
      <c r="W74" s="49">
        <v>51436</v>
      </c>
      <c r="X74" s="38">
        <v>1216292</v>
      </c>
      <c r="Y74" s="51"/>
      <c r="Z74" s="51"/>
      <c r="AA74" s="39"/>
      <c r="AB74" s="105">
        <v>292055</v>
      </c>
    </row>
    <row r="75" spans="1:28" x14ac:dyDescent="0.25">
      <c r="A75" s="47">
        <v>46419</v>
      </c>
      <c r="B75" s="39"/>
      <c r="C75" s="49">
        <v>11193</v>
      </c>
      <c r="D75" s="38"/>
      <c r="E75" s="51"/>
      <c r="F75" s="51"/>
      <c r="G75" s="39"/>
      <c r="H75" s="49">
        <v>1796</v>
      </c>
      <c r="I75" s="38"/>
      <c r="J75" s="51"/>
      <c r="K75" s="51"/>
      <c r="L75" s="39"/>
      <c r="M75" s="49">
        <v>198026</v>
      </c>
      <c r="N75" s="38">
        <v>729402</v>
      </c>
      <c r="O75" s="51"/>
      <c r="P75" s="51"/>
      <c r="Q75" s="48"/>
      <c r="R75" s="49">
        <v>105206</v>
      </c>
      <c r="S75" s="104"/>
      <c r="T75" s="49">
        <v>1266146</v>
      </c>
      <c r="U75" s="51"/>
      <c r="V75" s="48"/>
      <c r="W75" s="49">
        <v>67827</v>
      </c>
      <c r="X75" s="38">
        <v>1216292</v>
      </c>
      <c r="Y75" s="51"/>
      <c r="Z75" s="51"/>
      <c r="AA75" s="39"/>
      <c r="AB75" s="105">
        <v>273100</v>
      </c>
    </row>
    <row r="76" spans="1:28" x14ac:dyDescent="0.25">
      <c r="A76" s="47">
        <v>46447</v>
      </c>
      <c r="B76" s="39"/>
      <c r="C76" s="49">
        <v>18437</v>
      </c>
      <c r="D76" s="38"/>
      <c r="E76" s="51"/>
      <c r="F76" s="51"/>
      <c r="G76" s="39"/>
      <c r="H76" s="49">
        <v>2210</v>
      </c>
      <c r="I76" s="38"/>
      <c r="J76" s="51"/>
      <c r="K76" s="51"/>
      <c r="L76" s="39"/>
      <c r="M76" s="49">
        <v>216721</v>
      </c>
      <c r="N76" s="38">
        <v>729402</v>
      </c>
      <c r="O76" s="51"/>
      <c r="P76" s="51"/>
      <c r="Q76" s="48"/>
      <c r="R76" s="49">
        <v>107013</v>
      </c>
      <c r="S76" s="104"/>
      <c r="T76" s="49">
        <v>91177</v>
      </c>
      <c r="U76" s="51"/>
      <c r="V76" s="48"/>
      <c r="W76" s="49">
        <v>32553</v>
      </c>
      <c r="X76" s="38">
        <v>2940616</v>
      </c>
      <c r="Y76" s="51"/>
      <c r="Z76" s="51"/>
      <c r="AA76" s="39"/>
      <c r="AB76" s="105">
        <v>288860</v>
      </c>
    </row>
    <row r="77" spans="1:28" x14ac:dyDescent="0.25">
      <c r="A77" s="47">
        <v>46478</v>
      </c>
      <c r="B77" s="39"/>
      <c r="C77" s="49">
        <v>8630</v>
      </c>
      <c r="D77" s="38"/>
      <c r="E77" s="51"/>
      <c r="F77" s="51"/>
      <c r="G77" s="39"/>
      <c r="H77" s="49">
        <v>924</v>
      </c>
      <c r="I77" s="38"/>
      <c r="J77" s="51"/>
      <c r="K77" s="51"/>
      <c r="L77" s="39"/>
      <c r="M77" s="49">
        <v>201235</v>
      </c>
      <c r="N77" s="38">
        <v>547052</v>
      </c>
      <c r="O77" s="51"/>
      <c r="P77" s="51"/>
      <c r="Q77" s="48"/>
      <c r="R77" s="49">
        <v>108470</v>
      </c>
      <c r="S77" s="104"/>
      <c r="T77" s="49">
        <v>16867</v>
      </c>
      <c r="U77" s="51"/>
      <c r="V77" s="48"/>
      <c r="W77" s="49">
        <v>29847</v>
      </c>
      <c r="X77" s="38">
        <v>1924550</v>
      </c>
      <c r="Y77" s="51"/>
      <c r="Z77" s="51"/>
      <c r="AA77" s="39"/>
      <c r="AB77" s="105">
        <v>288143</v>
      </c>
    </row>
    <row r="78" spans="1:28" x14ac:dyDescent="0.25">
      <c r="A78" s="47">
        <v>46508</v>
      </c>
      <c r="B78" s="39"/>
      <c r="C78" s="49">
        <v>9032</v>
      </c>
      <c r="D78" s="38"/>
      <c r="E78" s="51"/>
      <c r="F78" s="51"/>
      <c r="G78" s="39"/>
      <c r="H78" s="49">
        <v>924</v>
      </c>
      <c r="I78" s="38"/>
      <c r="J78" s="51"/>
      <c r="K78" s="51"/>
      <c r="L78" s="39"/>
      <c r="M78" s="49">
        <v>190188</v>
      </c>
      <c r="N78" s="38">
        <v>1424313</v>
      </c>
      <c r="O78" s="51"/>
      <c r="P78" s="51"/>
      <c r="Q78" s="48"/>
      <c r="R78" s="49">
        <v>107983</v>
      </c>
      <c r="S78" s="104"/>
      <c r="T78" s="49">
        <v>39232</v>
      </c>
      <c r="U78" s="51"/>
      <c r="V78" s="48"/>
      <c r="W78" s="49">
        <v>21569</v>
      </c>
      <c r="X78" s="38" t="s">
        <v>58</v>
      </c>
      <c r="Y78" s="51"/>
      <c r="Z78" s="51"/>
      <c r="AA78" s="39"/>
      <c r="AB78" s="105">
        <v>493906</v>
      </c>
    </row>
    <row r="79" spans="1:28" x14ac:dyDescent="0.25">
      <c r="A79" s="47">
        <v>46539</v>
      </c>
      <c r="B79" s="39"/>
      <c r="C79" s="49">
        <v>14257</v>
      </c>
      <c r="D79" s="38"/>
      <c r="E79" s="51"/>
      <c r="F79" s="51"/>
      <c r="G79" s="39"/>
      <c r="H79" s="49">
        <v>924</v>
      </c>
      <c r="I79" s="38"/>
      <c r="J79" s="51"/>
      <c r="K79" s="51"/>
      <c r="L79" s="39"/>
      <c r="M79" s="49">
        <v>367598</v>
      </c>
      <c r="N79" s="38">
        <v>1234950</v>
      </c>
      <c r="O79" s="51"/>
      <c r="P79" s="51"/>
      <c r="Q79" s="48"/>
      <c r="R79" s="49">
        <v>162030</v>
      </c>
      <c r="S79" s="104"/>
      <c r="T79" s="49">
        <v>4843</v>
      </c>
      <c r="U79" s="51"/>
      <c r="V79" s="48"/>
      <c r="W79" s="49">
        <v>19047</v>
      </c>
      <c r="X79" s="38"/>
      <c r="Y79" s="51"/>
      <c r="Z79" s="51"/>
      <c r="AA79" s="39"/>
      <c r="AB79" s="105">
        <v>360051</v>
      </c>
    </row>
    <row r="80" spans="1:28" x14ac:dyDescent="0.25">
      <c r="A80" s="47">
        <v>46569</v>
      </c>
      <c r="B80" s="39"/>
      <c r="C80" s="49">
        <v>5458</v>
      </c>
      <c r="D80" s="38"/>
      <c r="E80" s="51"/>
      <c r="F80" s="51"/>
      <c r="G80" s="39"/>
      <c r="H80" s="49">
        <v>924</v>
      </c>
      <c r="I80" s="38"/>
      <c r="J80" s="51"/>
      <c r="K80" s="51"/>
      <c r="L80" s="39"/>
      <c r="M80" s="49">
        <v>1291991</v>
      </c>
      <c r="N80" s="38"/>
      <c r="O80" s="51"/>
      <c r="P80" s="51"/>
      <c r="Q80" s="48"/>
      <c r="R80" s="49">
        <v>109480</v>
      </c>
      <c r="S80" s="104"/>
      <c r="T80" s="49">
        <v>4843</v>
      </c>
      <c r="U80" s="51"/>
      <c r="V80" s="48"/>
      <c r="W80" s="49">
        <v>5015</v>
      </c>
      <c r="X80" s="38"/>
      <c r="Y80" s="51"/>
      <c r="Z80" s="51"/>
      <c r="AA80" s="39"/>
      <c r="AB80" s="105">
        <v>821462</v>
      </c>
    </row>
    <row r="81" spans="1:28" x14ac:dyDescent="0.25">
      <c r="A81" s="47">
        <v>46600</v>
      </c>
      <c r="B81" s="39"/>
      <c r="C81" s="49">
        <v>5345</v>
      </c>
      <c r="D81" s="38"/>
      <c r="E81" s="51"/>
      <c r="F81" s="51"/>
      <c r="G81" s="39"/>
      <c r="H81" s="49">
        <v>1223</v>
      </c>
      <c r="I81" s="38"/>
      <c r="J81" s="51"/>
      <c r="K81" s="51"/>
      <c r="L81" s="39"/>
      <c r="M81" s="49">
        <v>82744</v>
      </c>
      <c r="N81" s="38"/>
      <c r="O81" s="51"/>
      <c r="P81" s="51"/>
      <c r="Q81" s="48"/>
      <c r="R81" s="49">
        <v>110341</v>
      </c>
      <c r="S81" s="104"/>
      <c r="T81" s="49" t="s">
        <v>58</v>
      </c>
      <c r="U81" s="51"/>
      <c r="V81" s="48"/>
      <c r="W81" s="49">
        <v>1638</v>
      </c>
      <c r="X81" s="38"/>
      <c r="Y81" s="51"/>
      <c r="Z81" s="51"/>
      <c r="AA81" s="39"/>
      <c r="AB81" s="105">
        <v>285920</v>
      </c>
    </row>
    <row r="82" spans="1:28" x14ac:dyDescent="0.25">
      <c r="A82" s="47">
        <v>46631</v>
      </c>
      <c r="B82" s="39"/>
      <c r="C82" s="49">
        <v>5232</v>
      </c>
      <c r="D82" s="38"/>
      <c r="E82" s="51"/>
      <c r="F82" s="51"/>
      <c r="G82" s="39"/>
      <c r="H82" s="49"/>
      <c r="I82" s="38"/>
      <c r="J82" s="51"/>
      <c r="K82" s="51"/>
      <c r="L82" s="39"/>
      <c r="M82" s="49">
        <v>63451</v>
      </c>
      <c r="N82" s="38"/>
      <c r="O82" s="51"/>
      <c r="P82" s="51"/>
      <c r="Q82" s="48"/>
      <c r="R82" s="49">
        <v>110877</v>
      </c>
      <c r="S82" s="104"/>
      <c r="T82" s="49" t="s">
        <v>58</v>
      </c>
      <c r="U82" s="51"/>
      <c r="V82" s="48"/>
      <c r="W82" s="49">
        <v>442</v>
      </c>
      <c r="X82" s="38"/>
      <c r="Y82" s="51"/>
      <c r="Z82" s="51"/>
      <c r="AA82" s="39"/>
      <c r="AB82" s="105">
        <v>311130</v>
      </c>
    </row>
    <row r="83" spans="1:28" x14ac:dyDescent="0.25">
      <c r="A83" s="47">
        <v>46661</v>
      </c>
      <c r="B83" s="39"/>
      <c r="C83" s="49">
        <v>4973</v>
      </c>
      <c r="D83" s="38"/>
      <c r="E83" s="51"/>
      <c r="F83" s="51"/>
      <c r="G83" s="39"/>
      <c r="H83" s="49"/>
      <c r="I83" s="38"/>
      <c r="J83" s="51"/>
      <c r="K83" s="51"/>
      <c r="L83" s="39"/>
      <c r="M83" s="49">
        <v>41197</v>
      </c>
      <c r="N83" s="38"/>
      <c r="O83" s="51"/>
      <c r="P83" s="51"/>
      <c r="Q83" s="48"/>
      <c r="R83" s="49">
        <v>110373</v>
      </c>
      <c r="S83" s="104"/>
      <c r="T83" s="49" t="s">
        <v>58</v>
      </c>
      <c r="U83" s="51"/>
      <c r="V83" s="48"/>
      <c r="W83" s="49">
        <v>213</v>
      </c>
      <c r="X83" s="38"/>
      <c r="Y83" s="51"/>
      <c r="Z83" s="51"/>
      <c r="AA83" s="39"/>
      <c r="AB83" s="105">
        <v>307951</v>
      </c>
    </row>
    <row r="84" spans="1:28" x14ac:dyDescent="0.25">
      <c r="A84" s="47">
        <v>46692</v>
      </c>
      <c r="B84" s="39"/>
      <c r="C84" s="49">
        <v>5110</v>
      </c>
      <c r="D84" s="38"/>
      <c r="E84" s="51"/>
      <c r="F84" s="51"/>
      <c r="G84" s="39"/>
      <c r="H84" s="49"/>
      <c r="I84" s="38"/>
      <c r="J84" s="51"/>
      <c r="K84" s="51"/>
      <c r="L84" s="39"/>
      <c r="M84" s="49">
        <v>3682</v>
      </c>
      <c r="N84" s="38"/>
      <c r="O84" s="51"/>
      <c r="P84" s="51"/>
      <c r="Q84" s="48"/>
      <c r="R84" s="49">
        <v>110353</v>
      </c>
      <c r="S84" s="104"/>
      <c r="T84" s="49" t="s">
        <v>58</v>
      </c>
      <c r="U84" s="51"/>
      <c r="V84" s="48"/>
      <c r="W84" s="49">
        <v>106</v>
      </c>
      <c r="X84" s="38"/>
      <c r="Y84" s="51"/>
      <c r="Z84" s="51"/>
      <c r="AA84" s="39"/>
      <c r="AB84" s="105">
        <v>278471</v>
      </c>
    </row>
    <row r="85" spans="1:28" x14ac:dyDescent="0.25">
      <c r="A85" s="47">
        <v>46722</v>
      </c>
      <c r="B85" s="39"/>
      <c r="C85" s="49">
        <v>4447</v>
      </c>
      <c r="D85" s="38"/>
      <c r="E85" s="51"/>
      <c r="F85" s="51"/>
      <c r="G85" s="39"/>
      <c r="H85" s="49"/>
      <c r="I85" s="38"/>
      <c r="J85" s="51"/>
      <c r="K85" s="51"/>
      <c r="L85" s="39"/>
      <c r="M85" s="49">
        <v>3371</v>
      </c>
      <c r="N85" s="38"/>
      <c r="O85" s="51"/>
      <c r="P85" s="51"/>
      <c r="Q85" s="48"/>
      <c r="R85" s="49">
        <v>772771</v>
      </c>
      <c r="S85" s="104"/>
      <c r="T85" s="49">
        <v>105</v>
      </c>
      <c r="U85" s="51"/>
      <c r="V85" s="48"/>
      <c r="W85" s="49">
        <v>1364</v>
      </c>
      <c r="X85" s="38"/>
      <c r="Y85" s="51"/>
      <c r="Z85" s="51"/>
      <c r="AA85" s="39"/>
      <c r="AB85" s="105">
        <v>899551</v>
      </c>
    </row>
    <row r="86" spans="1:28" x14ac:dyDescent="0.25">
      <c r="A86" s="47">
        <v>46753</v>
      </c>
      <c r="B86" s="39"/>
      <c r="C86" s="49">
        <v>5287</v>
      </c>
      <c r="D86" s="38"/>
      <c r="E86" s="51"/>
      <c r="F86" s="51"/>
      <c r="G86" s="39"/>
      <c r="H86" s="49"/>
      <c r="I86" s="38"/>
      <c r="J86" s="51"/>
      <c r="K86" s="51"/>
      <c r="L86" s="39"/>
      <c r="M86" s="49">
        <v>2590</v>
      </c>
      <c r="N86" s="38"/>
      <c r="O86" s="51"/>
      <c r="P86" s="51"/>
      <c r="Q86" s="48"/>
      <c r="R86" s="49">
        <v>99334</v>
      </c>
      <c r="S86" s="104"/>
      <c r="T86" s="49"/>
      <c r="U86" s="51"/>
      <c r="V86" s="48"/>
      <c r="W86" s="49">
        <v>358</v>
      </c>
      <c r="X86" s="38"/>
      <c r="Y86" s="51"/>
      <c r="Z86" s="51"/>
      <c r="AA86" s="39"/>
      <c r="AB86" s="105">
        <v>282765</v>
      </c>
    </row>
    <row r="87" spans="1:28" x14ac:dyDescent="0.25">
      <c r="A87" s="47">
        <v>46784</v>
      </c>
      <c r="B87" s="39"/>
      <c r="C87" s="49">
        <v>4669</v>
      </c>
      <c r="D87" s="38"/>
      <c r="E87" s="51"/>
      <c r="F87" s="51"/>
      <c r="G87" s="39"/>
      <c r="H87" s="49"/>
      <c r="I87" s="38"/>
      <c r="J87" s="51"/>
      <c r="K87" s="51"/>
      <c r="L87" s="39"/>
      <c r="M87" s="49">
        <v>589</v>
      </c>
      <c r="N87" s="38"/>
      <c r="O87" s="51"/>
      <c r="P87" s="51"/>
      <c r="Q87" s="48"/>
      <c r="R87" s="49">
        <v>97950</v>
      </c>
      <c r="S87" s="104"/>
      <c r="T87" s="49"/>
      <c r="U87" s="51"/>
      <c r="V87" s="48"/>
      <c r="W87" s="49" t="s">
        <v>58</v>
      </c>
      <c r="X87" s="38"/>
      <c r="Y87" s="51"/>
      <c r="Z87" s="51"/>
      <c r="AA87" s="39"/>
      <c r="AB87" s="105">
        <v>278865</v>
      </c>
    </row>
    <row r="88" spans="1:28" x14ac:dyDescent="0.25">
      <c r="A88" s="47">
        <v>46813</v>
      </c>
      <c r="B88" s="39"/>
      <c r="C88" s="49">
        <v>10476</v>
      </c>
      <c r="D88" s="38"/>
      <c r="E88" s="51"/>
      <c r="F88" s="51"/>
      <c r="G88" s="39"/>
      <c r="H88" s="49"/>
      <c r="I88" s="38"/>
      <c r="J88" s="51"/>
      <c r="K88" s="51"/>
      <c r="L88" s="39"/>
      <c r="M88" s="49">
        <v>217</v>
      </c>
      <c r="N88" s="38"/>
      <c r="O88" s="51"/>
      <c r="P88" s="51"/>
      <c r="Q88" s="48"/>
      <c r="R88" s="49">
        <v>188615</v>
      </c>
      <c r="S88" s="104"/>
      <c r="T88" s="49"/>
      <c r="U88" s="51"/>
      <c r="V88" s="48"/>
      <c r="W88" s="49">
        <v>713</v>
      </c>
      <c r="X88" s="38"/>
      <c r="Y88" s="51"/>
      <c r="Z88" s="51"/>
      <c r="AA88" s="39"/>
      <c r="AB88" s="105">
        <v>294959</v>
      </c>
    </row>
    <row r="89" spans="1:28" x14ac:dyDescent="0.25">
      <c r="A89" s="47">
        <v>46844</v>
      </c>
      <c r="B89" s="39"/>
      <c r="C89" s="49">
        <v>4243</v>
      </c>
      <c r="D89" s="38"/>
      <c r="E89" s="51"/>
      <c r="F89" s="51"/>
      <c r="G89" s="39"/>
      <c r="H89" s="49"/>
      <c r="I89" s="38"/>
      <c r="J89" s="51"/>
      <c r="K89" s="51"/>
      <c r="L89" s="39"/>
      <c r="M89" s="49">
        <v>112</v>
      </c>
      <c r="N89" s="38"/>
      <c r="O89" s="51"/>
      <c r="P89" s="51"/>
      <c r="Q89" s="48"/>
      <c r="R89" s="49">
        <v>70356</v>
      </c>
      <c r="S89" s="104"/>
      <c r="T89" s="49"/>
      <c r="U89" s="51"/>
      <c r="V89" s="48"/>
      <c r="W89" s="49" t="s">
        <v>58</v>
      </c>
      <c r="X89" s="38"/>
      <c r="Y89" s="51"/>
      <c r="Z89" s="51"/>
      <c r="AA89" s="39"/>
      <c r="AB89" s="105">
        <v>280072</v>
      </c>
    </row>
    <row r="90" spans="1:28" x14ac:dyDescent="0.25">
      <c r="A90" s="47">
        <v>46874</v>
      </c>
      <c r="B90" s="39"/>
      <c r="C90" s="49">
        <v>4756</v>
      </c>
      <c r="D90" s="38"/>
      <c r="E90" s="51"/>
      <c r="F90" s="51"/>
      <c r="G90" s="39"/>
      <c r="H90" s="49"/>
      <c r="I90" s="38"/>
      <c r="J90" s="51"/>
      <c r="K90" s="51"/>
      <c r="L90" s="39"/>
      <c r="M90" s="49">
        <v>112</v>
      </c>
      <c r="N90" s="38"/>
      <c r="O90" s="51"/>
      <c r="P90" s="51"/>
      <c r="Q90" s="48"/>
      <c r="R90" s="49">
        <v>18285</v>
      </c>
      <c r="S90" s="104"/>
      <c r="T90" s="49"/>
      <c r="U90" s="51"/>
      <c r="V90" s="48"/>
      <c r="W90" s="49">
        <v>205</v>
      </c>
      <c r="X90" s="38"/>
      <c r="Y90" s="51"/>
      <c r="Z90" s="51"/>
      <c r="AA90" s="39"/>
      <c r="AB90" s="105">
        <v>629366</v>
      </c>
    </row>
    <row r="91" spans="1:28" x14ac:dyDescent="0.25">
      <c r="A91" s="47">
        <v>46905</v>
      </c>
      <c r="B91" s="39"/>
      <c r="C91" s="49">
        <v>4003</v>
      </c>
      <c r="D91" s="38"/>
      <c r="E91" s="51"/>
      <c r="F91" s="51"/>
      <c r="G91" s="39"/>
      <c r="H91" s="49"/>
      <c r="I91" s="38"/>
      <c r="J91" s="51"/>
      <c r="K91" s="51"/>
      <c r="L91" s="39"/>
      <c r="M91" s="49">
        <v>363</v>
      </c>
      <c r="N91" s="38"/>
      <c r="O91" s="51"/>
      <c r="P91" s="51"/>
      <c r="Q91" s="48"/>
      <c r="R91" s="49">
        <v>68819</v>
      </c>
      <c r="S91" s="104"/>
      <c r="T91" s="49"/>
      <c r="U91" s="51"/>
      <c r="V91" s="48"/>
      <c r="W91" s="49"/>
      <c r="X91" s="38"/>
      <c r="Y91" s="51"/>
      <c r="Z91" s="51"/>
      <c r="AA91" s="39"/>
      <c r="AB91" s="105">
        <v>390452</v>
      </c>
    </row>
    <row r="92" spans="1:28" x14ac:dyDescent="0.25">
      <c r="A92" s="47">
        <v>46935</v>
      </c>
      <c r="B92" s="39"/>
      <c r="C92" s="49">
        <v>4110</v>
      </c>
      <c r="D92" s="38"/>
      <c r="E92" s="51"/>
      <c r="F92" s="51"/>
      <c r="G92" s="39"/>
      <c r="H92" s="49"/>
      <c r="I92" s="38"/>
      <c r="J92" s="51"/>
      <c r="K92" s="51"/>
      <c r="L92" s="39"/>
      <c r="M92" s="49">
        <v>205</v>
      </c>
      <c r="N92" s="38"/>
      <c r="O92" s="51"/>
      <c r="P92" s="51"/>
      <c r="Q92" s="48"/>
      <c r="R92" s="49">
        <v>135574</v>
      </c>
      <c r="S92" s="104"/>
      <c r="T92" s="49"/>
      <c r="U92" s="51"/>
      <c r="V92" s="48"/>
      <c r="W92" s="49"/>
      <c r="X92" s="38"/>
      <c r="Y92" s="51"/>
      <c r="Z92" s="51"/>
      <c r="AA92" s="39"/>
      <c r="AB92" s="105">
        <v>808570</v>
      </c>
    </row>
    <row r="93" spans="1:28" x14ac:dyDescent="0.25">
      <c r="A93" s="47">
        <v>46966</v>
      </c>
      <c r="B93" s="39"/>
      <c r="C93" s="49">
        <v>4003</v>
      </c>
      <c r="D93" s="38"/>
      <c r="E93" s="51"/>
      <c r="F93" s="51"/>
      <c r="G93" s="39"/>
      <c r="H93" s="49"/>
      <c r="I93" s="38"/>
      <c r="J93" s="51"/>
      <c r="K93" s="51"/>
      <c r="L93" s="39"/>
      <c r="M93" s="49" t="s">
        <v>58</v>
      </c>
      <c r="N93" s="38"/>
      <c r="O93" s="51"/>
      <c r="P93" s="51"/>
      <c r="Q93" s="48"/>
      <c r="R93" s="49">
        <v>12400</v>
      </c>
      <c r="S93" s="104"/>
      <c r="T93" s="49"/>
      <c r="U93" s="51"/>
      <c r="V93" s="48"/>
      <c r="W93" s="49"/>
      <c r="X93" s="38"/>
      <c r="Y93" s="51"/>
      <c r="Z93" s="51"/>
      <c r="AA93" s="39"/>
      <c r="AB93" s="105">
        <v>275315</v>
      </c>
    </row>
    <row r="94" spans="1:28" x14ac:dyDescent="0.25">
      <c r="A94" s="47">
        <v>46997</v>
      </c>
      <c r="B94" s="39"/>
      <c r="C94" s="49">
        <v>4003</v>
      </c>
      <c r="D94" s="38"/>
      <c r="E94" s="51"/>
      <c r="F94" s="51"/>
      <c r="G94" s="39"/>
      <c r="H94" s="49"/>
      <c r="I94" s="38"/>
      <c r="J94" s="51"/>
      <c r="K94" s="51"/>
      <c r="L94" s="39"/>
      <c r="M94" s="49">
        <v>679</v>
      </c>
      <c r="N94" s="38"/>
      <c r="O94" s="51"/>
      <c r="P94" s="51"/>
      <c r="Q94" s="48"/>
      <c r="R94" s="49">
        <v>11535</v>
      </c>
      <c r="S94" s="104"/>
      <c r="T94" s="49"/>
      <c r="U94" s="51"/>
      <c r="V94" s="48"/>
      <c r="W94" s="49"/>
      <c r="X94" s="38"/>
      <c r="Y94" s="51"/>
      <c r="Z94" s="51"/>
      <c r="AA94" s="39"/>
      <c r="AB94" s="105">
        <v>272519</v>
      </c>
    </row>
    <row r="95" spans="1:28" x14ac:dyDescent="0.25">
      <c r="A95" s="47">
        <v>47027</v>
      </c>
      <c r="B95" s="39"/>
      <c r="C95" s="49">
        <v>4003</v>
      </c>
      <c r="D95" s="38"/>
      <c r="E95" s="51"/>
      <c r="F95" s="51"/>
      <c r="G95" s="39"/>
      <c r="H95" s="49"/>
      <c r="I95" s="38"/>
      <c r="J95" s="51"/>
      <c r="K95" s="51"/>
      <c r="L95" s="39"/>
      <c r="M95" s="49" t="s">
        <v>58</v>
      </c>
      <c r="N95" s="38"/>
      <c r="O95" s="51"/>
      <c r="P95" s="51"/>
      <c r="Q95" s="48"/>
      <c r="R95" s="49">
        <v>12655</v>
      </c>
      <c r="S95" s="104"/>
      <c r="T95" s="49"/>
      <c r="U95" s="51"/>
      <c r="V95" s="48"/>
      <c r="W95" s="49"/>
      <c r="X95" s="38"/>
      <c r="Y95" s="51"/>
      <c r="Z95" s="51"/>
      <c r="AA95" s="39"/>
      <c r="AB95" s="105">
        <v>292761</v>
      </c>
    </row>
    <row r="96" spans="1:28" x14ac:dyDescent="0.25">
      <c r="A96" s="47">
        <v>47058</v>
      </c>
      <c r="B96" s="39"/>
      <c r="C96" s="49">
        <v>4108</v>
      </c>
      <c r="D96" s="38"/>
      <c r="E96" s="51"/>
      <c r="F96" s="51"/>
      <c r="G96" s="39"/>
      <c r="H96" s="49"/>
      <c r="I96" s="38"/>
      <c r="J96" s="51"/>
      <c r="K96" s="51"/>
      <c r="L96" s="39"/>
      <c r="M96" s="49">
        <v>100</v>
      </c>
      <c r="N96" s="38"/>
      <c r="O96" s="51"/>
      <c r="P96" s="51"/>
      <c r="Q96" s="48"/>
      <c r="R96" s="49">
        <v>11741</v>
      </c>
      <c r="S96" s="104"/>
      <c r="T96" s="49"/>
      <c r="U96" s="51"/>
      <c r="V96" s="48"/>
      <c r="W96" s="49"/>
      <c r="X96" s="38"/>
      <c r="Y96" s="51"/>
      <c r="Z96" s="51"/>
      <c r="AA96" s="39"/>
      <c r="AB96" s="105">
        <v>266712</v>
      </c>
    </row>
    <row r="97" spans="1:28" x14ac:dyDescent="0.25">
      <c r="A97" s="47">
        <v>47088</v>
      </c>
      <c r="B97" s="39"/>
      <c r="C97" s="49">
        <v>4003</v>
      </c>
      <c r="D97" s="38"/>
      <c r="E97" s="51"/>
      <c r="F97" s="51"/>
      <c r="G97" s="39"/>
      <c r="H97" s="49"/>
      <c r="I97" s="38"/>
      <c r="J97" s="51"/>
      <c r="K97" s="51"/>
      <c r="L97" s="39"/>
      <c r="M97" s="49"/>
      <c r="N97" s="38"/>
      <c r="O97" s="51"/>
      <c r="P97" s="51"/>
      <c r="Q97" s="48"/>
      <c r="R97" s="49">
        <v>64035</v>
      </c>
      <c r="S97" s="104"/>
      <c r="T97" s="49"/>
      <c r="U97" s="51"/>
      <c r="V97" s="48"/>
      <c r="W97" s="49"/>
      <c r="X97" s="38"/>
      <c r="Y97" s="51"/>
      <c r="Z97" s="51"/>
      <c r="AA97" s="39"/>
      <c r="AB97" s="105">
        <v>989655</v>
      </c>
    </row>
    <row r="98" spans="1:28" x14ac:dyDescent="0.25">
      <c r="A98" s="47">
        <v>47119</v>
      </c>
      <c r="B98" s="39"/>
      <c r="C98" s="49">
        <v>4346</v>
      </c>
      <c r="D98" s="38"/>
      <c r="E98" s="51"/>
      <c r="F98" s="51"/>
      <c r="G98" s="39"/>
      <c r="H98" s="49"/>
      <c r="I98" s="38"/>
      <c r="J98" s="51"/>
      <c r="K98" s="51"/>
      <c r="L98" s="39"/>
      <c r="M98" s="49"/>
      <c r="N98" s="38"/>
      <c r="O98" s="51"/>
      <c r="P98" s="51"/>
      <c r="Q98" s="48"/>
      <c r="R98" s="49">
        <v>11135</v>
      </c>
      <c r="S98" s="104"/>
      <c r="T98" s="49"/>
      <c r="U98" s="51"/>
      <c r="V98" s="48"/>
      <c r="W98" s="49"/>
      <c r="X98" s="38"/>
      <c r="Y98" s="51"/>
      <c r="Z98" s="51"/>
      <c r="AA98" s="39"/>
      <c r="AB98" s="105">
        <v>20170</v>
      </c>
    </row>
    <row r="99" spans="1:28" x14ac:dyDescent="0.25">
      <c r="A99" s="47">
        <v>47150</v>
      </c>
      <c r="B99" s="39"/>
      <c r="C99" s="49">
        <v>4003</v>
      </c>
      <c r="D99" s="38"/>
      <c r="E99" s="51"/>
      <c r="F99" s="51"/>
      <c r="G99" s="39"/>
      <c r="H99" s="49"/>
      <c r="I99" s="38"/>
      <c r="J99" s="51"/>
      <c r="K99" s="51"/>
      <c r="L99" s="39"/>
      <c r="M99" s="49"/>
      <c r="N99" s="38"/>
      <c r="O99" s="51"/>
      <c r="P99" s="51"/>
      <c r="Q99" s="48"/>
      <c r="R99" s="49">
        <v>11135</v>
      </c>
      <c r="S99" s="104"/>
      <c r="T99" s="49"/>
      <c r="U99" s="51"/>
      <c r="V99" s="48"/>
      <c r="W99" s="49"/>
      <c r="X99" s="38"/>
      <c r="Y99" s="51"/>
      <c r="Z99" s="51"/>
      <c r="AA99" s="39"/>
      <c r="AB99" s="105">
        <v>7043</v>
      </c>
    </row>
    <row r="100" spans="1:28" x14ac:dyDescent="0.25">
      <c r="A100" s="47">
        <v>47178</v>
      </c>
      <c r="B100" s="39"/>
      <c r="C100" s="49">
        <v>4003</v>
      </c>
      <c r="D100" s="38"/>
      <c r="E100" s="51"/>
      <c r="F100" s="51"/>
      <c r="G100" s="39"/>
      <c r="H100" s="49"/>
      <c r="I100" s="38"/>
      <c r="J100" s="51"/>
      <c r="K100" s="51"/>
      <c r="L100" s="39"/>
      <c r="M100" s="49"/>
      <c r="N100" s="38"/>
      <c r="O100" s="51"/>
      <c r="P100" s="51"/>
      <c r="Q100" s="48"/>
      <c r="R100" s="49">
        <v>11135</v>
      </c>
      <c r="S100" s="104"/>
      <c r="T100" s="49"/>
      <c r="U100" s="51"/>
      <c r="V100" s="48"/>
      <c r="W100" s="49"/>
      <c r="X100" s="38"/>
      <c r="Y100" s="51"/>
      <c r="Z100" s="51"/>
      <c r="AA100" s="39"/>
      <c r="AB100" s="105">
        <v>6389</v>
      </c>
    </row>
    <row r="101" spans="1:28" x14ac:dyDescent="0.25">
      <c r="A101" s="47">
        <v>47209</v>
      </c>
      <c r="B101" s="39"/>
      <c r="C101" s="49">
        <v>4003</v>
      </c>
      <c r="D101" s="38"/>
      <c r="E101" s="51"/>
      <c r="F101" s="51"/>
      <c r="G101" s="39"/>
      <c r="H101" s="49"/>
      <c r="I101" s="38"/>
      <c r="J101" s="51"/>
      <c r="K101" s="51"/>
      <c r="L101" s="39"/>
      <c r="M101" s="49"/>
      <c r="N101" s="38"/>
      <c r="O101" s="51"/>
      <c r="P101" s="51"/>
      <c r="Q101" s="48"/>
      <c r="R101" s="49">
        <v>11135</v>
      </c>
      <c r="S101" s="104"/>
      <c r="T101" s="49"/>
      <c r="U101" s="51"/>
      <c r="V101" s="48"/>
      <c r="W101" s="49"/>
      <c r="X101" s="38"/>
      <c r="Y101" s="51"/>
      <c r="Z101" s="51"/>
      <c r="AA101" s="39"/>
      <c r="AB101" s="105">
        <v>4942</v>
      </c>
    </row>
    <row r="102" spans="1:28" x14ac:dyDescent="0.25">
      <c r="A102" s="47">
        <v>47239</v>
      </c>
      <c r="B102" s="39"/>
      <c r="C102" s="49">
        <v>4003</v>
      </c>
      <c r="D102" s="38"/>
      <c r="E102" s="51"/>
      <c r="F102" s="51"/>
      <c r="G102" s="39"/>
      <c r="H102" s="49"/>
      <c r="I102" s="38"/>
      <c r="J102" s="51"/>
      <c r="K102" s="51"/>
      <c r="L102" s="39"/>
      <c r="M102" s="49"/>
      <c r="N102" s="38"/>
      <c r="O102" s="51"/>
      <c r="P102" s="51"/>
      <c r="Q102" s="48"/>
      <c r="R102" s="49">
        <v>11135</v>
      </c>
      <c r="S102" s="104"/>
      <c r="T102" s="49"/>
      <c r="U102" s="51"/>
      <c r="V102" s="48"/>
      <c r="W102" s="49"/>
      <c r="X102" s="38"/>
      <c r="Y102" s="51"/>
      <c r="Z102" s="51"/>
      <c r="AA102" s="39"/>
      <c r="AB102" s="105">
        <v>4942</v>
      </c>
    </row>
    <row r="103" spans="1:28" x14ac:dyDescent="0.25">
      <c r="A103" s="47">
        <v>47270</v>
      </c>
      <c r="B103" s="39"/>
      <c r="C103" s="49">
        <v>4003</v>
      </c>
      <c r="D103" s="38"/>
      <c r="E103" s="51"/>
      <c r="F103" s="51"/>
      <c r="G103" s="39"/>
      <c r="H103" s="49"/>
      <c r="I103" s="38"/>
      <c r="J103" s="51"/>
      <c r="K103" s="51"/>
      <c r="L103" s="39"/>
      <c r="M103" s="49"/>
      <c r="N103" s="38"/>
      <c r="O103" s="51"/>
      <c r="P103" s="51"/>
      <c r="Q103" s="48"/>
      <c r="R103" s="49">
        <v>11353</v>
      </c>
      <c r="S103" s="104"/>
      <c r="T103" s="49"/>
      <c r="U103" s="51"/>
      <c r="V103" s="48"/>
      <c r="W103" s="49"/>
      <c r="X103" s="38"/>
      <c r="Y103" s="51"/>
      <c r="Z103" s="51"/>
      <c r="AA103" s="39"/>
      <c r="AB103" s="105">
        <v>4942</v>
      </c>
    </row>
    <row r="104" spans="1:28" x14ac:dyDescent="0.25">
      <c r="A104" s="47">
        <v>47300</v>
      </c>
      <c r="B104" s="39"/>
      <c r="C104" s="49">
        <v>3861</v>
      </c>
      <c r="D104" s="38"/>
      <c r="E104" s="51"/>
      <c r="F104" s="51"/>
      <c r="G104" s="39"/>
      <c r="H104" s="49"/>
      <c r="I104" s="38"/>
      <c r="J104" s="51"/>
      <c r="K104" s="51"/>
      <c r="L104" s="39"/>
      <c r="M104" s="49"/>
      <c r="N104" s="38"/>
      <c r="O104" s="51"/>
      <c r="P104" s="51"/>
      <c r="Q104" s="48"/>
      <c r="R104" s="49">
        <v>11502</v>
      </c>
      <c r="S104" s="104"/>
      <c r="T104" s="49"/>
      <c r="U104" s="51"/>
      <c r="V104" s="48"/>
      <c r="W104" s="49"/>
      <c r="X104" s="38"/>
      <c r="Y104" s="51"/>
      <c r="Z104" s="51"/>
      <c r="AA104" s="39"/>
      <c r="AB104" s="105">
        <v>4942</v>
      </c>
    </row>
    <row r="105" spans="1:28" x14ac:dyDescent="0.25">
      <c r="A105" s="47">
        <v>47331</v>
      </c>
      <c r="B105" s="39"/>
      <c r="C105" s="49">
        <v>4003</v>
      </c>
      <c r="D105" s="38"/>
      <c r="E105" s="51"/>
      <c r="F105" s="51"/>
      <c r="G105" s="39"/>
      <c r="H105" s="49"/>
      <c r="I105" s="38"/>
      <c r="J105" s="51"/>
      <c r="K105" s="51"/>
      <c r="L105" s="39"/>
      <c r="M105" s="49"/>
      <c r="N105" s="38"/>
      <c r="O105" s="51"/>
      <c r="P105" s="51"/>
      <c r="Q105" s="48"/>
      <c r="R105" s="49">
        <v>11702</v>
      </c>
      <c r="S105" s="104"/>
      <c r="T105" s="49"/>
      <c r="U105" s="51"/>
      <c r="V105" s="48"/>
      <c r="W105" s="49"/>
      <c r="X105" s="38"/>
      <c r="Y105" s="51"/>
      <c r="Z105" s="51"/>
      <c r="AA105" s="39"/>
      <c r="AB105" s="105">
        <v>4942</v>
      </c>
    </row>
    <row r="106" spans="1:28" x14ac:dyDescent="0.25">
      <c r="A106" s="47">
        <v>47362</v>
      </c>
      <c r="B106" s="39"/>
      <c r="C106" s="49">
        <v>4003</v>
      </c>
      <c r="D106" s="38"/>
      <c r="E106" s="51"/>
      <c r="F106" s="51"/>
      <c r="G106" s="39"/>
      <c r="H106" s="49"/>
      <c r="I106" s="38"/>
      <c r="J106" s="51"/>
      <c r="K106" s="51"/>
      <c r="L106" s="39"/>
      <c r="M106" s="49"/>
      <c r="N106" s="38"/>
      <c r="O106" s="51"/>
      <c r="P106" s="51"/>
      <c r="Q106" s="48"/>
      <c r="R106" s="49">
        <v>11702</v>
      </c>
      <c r="S106" s="104"/>
      <c r="T106" s="49"/>
      <c r="U106" s="51"/>
      <c r="V106" s="48"/>
      <c r="W106" s="49"/>
      <c r="X106" s="38"/>
      <c r="Y106" s="51"/>
      <c r="Z106" s="51"/>
      <c r="AA106" s="39"/>
      <c r="AB106" s="105">
        <v>4942</v>
      </c>
    </row>
    <row r="107" spans="1:28" x14ac:dyDescent="0.25">
      <c r="A107" s="47">
        <v>47392</v>
      </c>
      <c r="B107" s="39"/>
      <c r="C107" s="49">
        <v>991</v>
      </c>
      <c r="D107" s="38"/>
      <c r="E107" s="51"/>
      <c r="F107" s="51"/>
      <c r="G107" s="39"/>
      <c r="H107" s="49"/>
      <c r="I107" s="38"/>
      <c r="J107" s="51"/>
      <c r="K107" s="51"/>
      <c r="L107" s="39"/>
      <c r="M107" s="49"/>
      <c r="N107" s="38"/>
      <c r="O107" s="51"/>
      <c r="P107" s="51"/>
      <c r="Q107" s="48"/>
      <c r="R107" s="49">
        <v>11702</v>
      </c>
      <c r="S107" s="104"/>
      <c r="T107" s="49"/>
      <c r="U107" s="51"/>
      <c r="V107" s="48"/>
      <c r="W107" s="49"/>
      <c r="X107" s="38"/>
      <c r="Y107" s="51"/>
      <c r="Z107" s="51"/>
      <c r="AA107" s="39"/>
      <c r="AB107" s="105">
        <v>4942</v>
      </c>
    </row>
    <row r="108" spans="1:28" x14ac:dyDescent="0.25">
      <c r="A108" s="47">
        <v>47423</v>
      </c>
      <c r="B108" s="39"/>
      <c r="C108" s="49">
        <v>991</v>
      </c>
      <c r="D108" s="38"/>
      <c r="E108" s="51"/>
      <c r="F108" s="51"/>
      <c r="G108" s="39"/>
      <c r="H108" s="49"/>
      <c r="I108" s="38"/>
      <c r="J108" s="51"/>
      <c r="K108" s="51"/>
      <c r="L108" s="39"/>
      <c r="M108" s="49"/>
      <c r="N108" s="38"/>
      <c r="O108" s="51"/>
      <c r="P108" s="51"/>
      <c r="Q108" s="48"/>
      <c r="R108" s="49">
        <v>11702</v>
      </c>
      <c r="S108" s="104"/>
      <c r="T108" s="49"/>
      <c r="U108" s="51"/>
      <c r="V108" s="48"/>
      <c r="W108" s="49"/>
      <c r="X108" s="38"/>
      <c r="Y108" s="51"/>
      <c r="Z108" s="51"/>
      <c r="AA108" s="39"/>
      <c r="AB108" s="105">
        <v>4942</v>
      </c>
    </row>
    <row r="109" spans="1:28" x14ac:dyDescent="0.25">
      <c r="A109" s="47">
        <v>47453</v>
      </c>
      <c r="B109" s="39"/>
      <c r="C109" s="49">
        <v>565</v>
      </c>
      <c r="D109" s="38"/>
      <c r="E109" s="51"/>
      <c r="F109" s="51"/>
      <c r="G109" s="39"/>
      <c r="H109" s="49"/>
      <c r="I109" s="38"/>
      <c r="J109" s="51"/>
      <c r="K109" s="51"/>
      <c r="L109" s="39"/>
      <c r="M109" s="49"/>
      <c r="N109" s="38"/>
      <c r="O109" s="51"/>
      <c r="P109" s="51"/>
      <c r="Q109" s="48"/>
      <c r="R109" s="49">
        <v>11702</v>
      </c>
      <c r="S109" s="104"/>
      <c r="T109" s="49"/>
      <c r="U109" s="51"/>
      <c r="V109" s="48"/>
      <c r="W109" s="49"/>
      <c r="X109" s="38"/>
      <c r="Y109" s="51"/>
      <c r="Z109" s="51"/>
      <c r="AA109" s="39"/>
      <c r="AB109" s="105">
        <v>4942</v>
      </c>
    </row>
    <row r="110" spans="1:28" x14ac:dyDescent="0.25">
      <c r="A110" s="47">
        <v>47484</v>
      </c>
      <c r="B110" s="39"/>
      <c r="C110" s="49">
        <v>565</v>
      </c>
      <c r="D110" s="38"/>
      <c r="E110" s="51"/>
      <c r="F110" s="51"/>
      <c r="G110" s="39"/>
      <c r="H110" s="49"/>
      <c r="I110" s="38"/>
      <c r="J110" s="51"/>
      <c r="K110" s="51"/>
      <c r="L110" s="39"/>
      <c r="M110" s="49"/>
      <c r="N110" s="38"/>
      <c r="O110" s="51"/>
      <c r="P110" s="51"/>
      <c r="Q110" s="48"/>
      <c r="R110" s="49">
        <v>11702</v>
      </c>
      <c r="S110" s="104"/>
      <c r="T110" s="49"/>
      <c r="U110" s="51"/>
      <c r="V110" s="48"/>
      <c r="W110" s="49"/>
      <c r="X110" s="38"/>
      <c r="Y110" s="51"/>
      <c r="Z110" s="51"/>
      <c r="AA110" s="39"/>
      <c r="AB110" s="105">
        <v>4942</v>
      </c>
    </row>
    <row r="111" spans="1:28" x14ac:dyDescent="0.25">
      <c r="A111" s="47">
        <v>47515</v>
      </c>
      <c r="B111" s="39"/>
      <c r="C111" s="49" t="s">
        <v>58</v>
      </c>
      <c r="D111" s="38"/>
      <c r="E111" s="51"/>
      <c r="F111" s="51"/>
      <c r="G111" s="39"/>
      <c r="H111" s="49"/>
      <c r="I111" s="38"/>
      <c r="J111" s="51"/>
      <c r="K111" s="51"/>
      <c r="L111" s="39"/>
      <c r="M111" s="49"/>
      <c r="N111" s="38"/>
      <c r="O111" s="51"/>
      <c r="P111" s="51"/>
      <c r="Q111" s="48"/>
      <c r="R111" s="49">
        <v>11702</v>
      </c>
      <c r="S111" s="104"/>
      <c r="T111" s="49"/>
      <c r="U111" s="51"/>
      <c r="V111" s="48"/>
      <c r="W111" s="49"/>
      <c r="X111" s="38"/>
      <c r="Y111" s="51"/>
      <c r="Z111" s="51"/>
      <c r="AA111" s="39"/>
      <c r="AB111" s="105">
        <v>4942</v>
      </c>
    </row>
    <row r="112" spans="1:28" x14ac:dyDescent="0.25">
      <c r="A112" s="47">
        <v>47543</v>
      </c>
      <c r="B112" s="39"/>
      <c r="C112" s="49" t="s">
        <v>58</v>
      </c>
      <c r="D112" s="38"/>
      <c r="E112" s="51"/>
      <c r="F112" s="51"/>
      <c r="G112" s="39"/>
      <c r="H112" s="49"/>
      <c r="I112" s="38"/>
      <c r="J112" s="51"/>
      <c r="K112" s="51"/>
      <c r="L112" s="39"/>
      <c r="M112" s="49"/>
      <c r="N112" s="38"/>
      <c r="O112" s="51"/>
      <c r="P112" s="51"/>
      <c r="Q112" s="48"/>
      <c r="R112" s="49">
        <v>11702</v>
      </c>
      <c r="S112" s="104"/>
      <c r="T112" s="49"/>
      <c r="U112" s="51"/>
      <c r="V112" s="48"/>
      <c r="W112" s="49"/>
      <c r="X112" s="38"/>
      <c r="Y112" s="51"/>
      <c r="Z112" s="51"/>
      <c r="AA112" s="39"/>
      <c r="AB112" s="105">
        <v>4942</v>
      </c>
    </row>
    <row r="113" spans="1:28" x14ac:dyDescent="0.25">
      <c r="A113" s="47">
        <v>47574</v>
      </c>
      <c r="B113" s="39"/>
      <c r="C113" s="49" t="s">
        <v>58</v>
      </c>
      <c r="D113" s="38"/>
      <c r="E113" s="51"/>
      <c r="F113" s="51"/>
      <c r="G113" s="39"/>
      <c r="H113" s="49"/>
      <c r="I113" s="38"/>
      <c r="J113" s="51"/>
      <c r="K113" s="51"/>
      <c r="L113" s="39"/>
      <c r="M113" s="49"/>
      <c r="N113" s="38"/>
      <c r="O113" s="51"/>
      <c r="P113" s="51"/>
      <c r="Q113" s="48"/>
      <c r="R113" s="49">
        <v>11702</v>
      </c>
      <c r="S113" s="104"/>
      <c r="T113" s="49"/>
      <c r="U113" s="51"/>
      <c r="V113" s="48"/>
      <c r="W113" s="49"/>
      <c r="X113" s="38"/>
      <c r="Y113" s="51"/>
      <c r="Z113" s="51"/>
      <c r="AA113" s="39"/>
      <c r="AB113" s="105">
        <v>4942</v>
      </c>
    </row>
    <row r="114" spans="1:28" x14ac:dyDescent="0.25">
      <c r="A114" s="47">
        <v>47604</v>
      </c>
      <c r="B114" s="39"/>
      <c r="C114" s="49" t="s">
        <v>58</v>
      </c>
      <c r="D114" s="38"/>
      <c r="E114" s="51"/>
      <c r="F114" s="51"/>
      <c r="G114" s="39"/>
      <c r="H114" s="49"/>
      <c r="I114" s="38"/>
      <c r="J114" s="51"/>
      <c r="K114" s="51"/>
      <c r="L114" s="39"/>
      <c r="M114" s="49"/>
      <c r="N114" s="38"/>
      <c r="O114" s="51"/>
      <c r="P114" s="51"/>
      <c r="Q114" s="48"/>
      <c r="R114" s="49">
        <v>11702</v>
      </c>
      <c r="S114" s="104"/>
      <c r="T114" s="49"/>
      <c r="U114" s="51"/>
      <c r="V114" s="48"/>
      <c r="W114" s="49"/>
      <c r="X114" s="38"/>
      <c r="Y114" s="51"/>
      <c r="Z114" s="51"/>
      <c r="AA114" s="39"/>
      <c r="AB114" s="105">
        <v>4942</v>
      </c>
    </row>
    <row r="115" spans="1:28" x14ac:dyDescent="0.25">
      <c r="A115" s="47">
        <v>47635</v>
      </c>
      <c r="B115" s="39"/>
      <c r="C115" s="49" t="s">
        <v>58</v>
      </c>
      <c r="D115" s="38"/>
      <c r="E115" s="51"/>
      <c r="F115" s="51"/>
      <c r="G115" s="39"/>
      <c r="H115" s="49"/>
      <c r="I115" s="38"/>
      <c r="J115" s="51"/>
      <c r="K115" s="51"/>
      <c r="L115" s="39"/>
      <c r="M115" s="49"/>
      <c r="N115" s="38"/>
      <c r="O115" s="51"/>
      <c r="P115" s="51"/>
      <c r="Q115" s="48"/>
      <c r="R115" s="49">
        <v>11702</v>
      </c>
      <c r="S115" s="104"/>
      <c r="T115" s="49"/>
      <c r="U115" s="51"/>
      <c r="V115" s="48"/>
      <c r="W115" s="49"/>
      <c r="X115" s="38"/>
      <c r="Y115" s="51"/>
      <c r="Z115" s="51"/>
      <c r="AA115" s="39"/>
      <c r="AB115" s="105">
        <v>4942</v>
      </c>
    </row>
    <row r="116" spans="1:28" x14ac:dyDescent="0.25">
      <c r="A116" s="47">
        <v>47665</v>
      </c>
      <c r="B116" s="39"/>
      <c r="C116" s="49" t="s">
        <v>58</v>
      </c>
      <c r="D116" s="38"/>
      <c r="E116" s="51"/>
      <c r="F116" s="51"/>
      <c r="G116" s="39"/>
      <c r="H116" s="49"/>
      <c r="I116" s="38"/>
      <c r="J116" s="51"/>
      <c r="K116" s="51"/>
      <c r="L116" s="39"/>
      <c r="M116" s="49"/>
      <c r="N116" s="38"/>
      <c r="O116" s="51"/>
      <c r="P116" s="51"/>
      <c r="Q116" s="48"/>
      <c r="R116" s="49">
        <v>11302</v>
      </c>
      <c r="S116" s="104"/>
      <c r="T116" s="49"/>
      <c r="U116" s="51"/>
      <c r="V116" s="48"/>
      <c r="W116" s="49"/>
      <c r="X116" s="38"/>
      <c r="Y116" s="51"/>
      <c r="Z116" s="51"/>
      <c r="AA116" s="39"/>
      <c r="AB116" s="105">
        <v>4942</v>
      </c>
    </row>
    <row r="117" spans="1:28" x14ac:dyDescent="0.25">
      <c r="A117" s="47">
        <v>47696</v>
      </c>
      <c r="B117" s="39"/>
      <c r="C117" s="49" t="s">
        <v>58</v>
      </c>
      <c r="D117" s="38"/>
      <c r="E117" s="51"/>
      <c r="F117" s="51"/>
      <c r="G117" s="39"/>
      <c r="H117" s="49"/>
      <c r="I117" s="38"/>
      <c r="J117" s="51"/>
      <c r="K117" s="51"/>
      <c r="L117" s="39"/>
      <c r="M117" s="49"/>
      <c r="N117" s="38"/>
      <c r="O117" s="51"/>
      <c r="P117" s="51"/>
      <c r="Q117" s="48"/>
      <c r="R117" s="49">
        <v>8899</v>
      </c>
      <c r="S117" s="104"/>
      <c r="T117" s="49"/>
      <c r="U117" s="51"/>
      <c r="V117" s="48"/>
      <c r="W117" s="49"/>
      <c r="X117" s="38"/>
      <c r="Y117" s="51"/>
      <c r="Z117" s="51"/>
      <c r="AA117" s="39"/>
      <c r="AB117" s="105">
        <v>4942</v>
      </c>
    </row>
    <row r="118" spans="1:28" x14ac:dyDescent="0.25">
      <c r="A118" s="47">
        <v>47727</v>
      </c>
      <c r="B118" s="39"/>
      <c r="C118" s="49" t="s">
        <v>58</v>
      </c>
      <c r="D118" s="38"/>
      <c r="E118" s="51"/>
      <c r="F118" s="51"/>
      <c r="G118" s="39"/>
      <c r="H118" s="49"/>
      <c r="I118" s="38"/>
      <c r="J118" s="51"/>
      <c r="K118" s="51"/>
      <c r="L118" s="39"/>
      <c r="M118" s="49"/>
      <c r="N118" s="38"/>
      <c r="O118" s="51"/>
      <c r="P118" s="51"/>
      <c r="Q118" s="48"/>
      <c r="R118" s="49">
        <v>5351</v>
      </c>
      <c r="S118" s="104"/>
      <c r="T118" s="49"/>
      <c r="U118" s="51"/>
      <c r="V118" s="48"/>
      <c r="W118" s="49"/>
      <c r="X118" s="38"/>
      <c r="Y118" s="51"/>
      <c r="Z118" s="51"/>
      <c r="AA118" s="39"/>
      <c r="AB118" s="105">
        <v>4942</v>
      </c>
    </row>
    <row r="119" spans="1:28" x14ac:dyDescent="0.25">
      <c r="A119" s="47">
        <v>47757</v>
      </c>
      <c r="B119" s="39"/>
      <c r="C119" s="49" t="s">
        <v>58</v>
      </c>
      <c r="D119" s="38"/>
      <c r="E119" s="51"/>
      <c r="F119" s="51"/>
      <c r="G119" s="39"/>
      <c r="H119" s="49"/>
      <c r="I119" s="38"/>
      <c r="J119" s="51"/>
      <c r="K119" s="51"/>
      <c r="L119" s="39"/>
      <c r="M119" s="49"/>
      <c r="N119" s="38"/>
      <c r="O119" s="51"/>
      <c r="P119" s="51"/>
      <c r="Q119" s="48"/>
      <c r="R119" s="49">
        <v>760</v>
      </c>
      <c r="S119" s="104"/>
      <c r="T119" s="49"/>
      <c r="U119" s="51"/>
      <c r="V119" s="48"/>
      <c r="W119" s="49"/>
      <c r="X119" s="38"/>
      <c r="Y119" s="51"/>
      <c r="Z119" s="51"/>
      <c r="AA119" s="39"/>
      <c r="AB119" s="105">
        <v>2522</v>
      </c>
    </row>
    <row r="120" spans="1:28" x14ac:dyDescent="0.25">
      <c r="A120" s="47">
        <v>47788</v>
      </c>
      <c r="B120" s="39"/>
      <c r="C120" s="49" t="s">
        <v>58</v>
      </c>
      <c r="D120" s="38"/>
      <c r="E120" s="51"/>
      <c r="F120" s="51"/>
      <c r="G120" s="39"/>
      <c r="H120" s="49"/>
      <c r="I120" s="38"/>
      <c r="J120" s="51"/>
      <c r="K120" s="51"/>
      <c r="L120" s="39"/>
      <c r="M120" s="49"/>
      <c r="N120" s="38"/>
      <c r="O120" s="51"/>
      <c r="P120" s="51"/>
      <c r="Q120" s="48"/>
      <c r="R120" s="49">
        <v>350</v>
      </c>
      <c r="S120" s="104"/>
      <c r="T120" s="49"/>
      <c r="U120" s="51"/>
      <c r="V120" s="48"/>
      <c r="W120" s="49"/>
      <c r="X120" s="38"/>
      <c r="Y120" s="51"/>
      <c r="Z120" s="51"/>
      <c r="AA120" s="39"/>
      <c r="AB120" s="105">
        <v>637</v>
      </c>
    </row>
    <row r="121" spans="1:28" x14ac:dyDescent="0.25">
      <c r="A121" s="47">
        <v>47818</v>
      </c>
      <c r="B121" s="52"/>
      <c r="C121" s="53" t="s">
        <v>58</v>
      </c>
      <c r="D121" s="54"/>
      <c r="E121" s="55"/>
      <c r="F121" s="55"/>
      <c r="G121" s="52"/>
      <c r="H121" s="53"/>
      <c r="I121" s="54"/>
      <c r="J121" s="55"/>
      <c r="K121" s="55"/>
      <c r="L121" s="52"/>
      <c r="M121" s="53"/>
      <c r="N121" s="54"/>
      <c r="O121" s="55"/>
      <c r="P121" s="55"/>
      <c r="Q121" s="56"/>
      <c r="R121" s="53">
        <v>350</v>
      </c>
      <c r="S121" s="106"/>
      <c r="T121" s="53"/>
      <c r="U121" s="55"/>
      <c r="V121" s="56"/>
      <c r="W121" s="53"/>
      <c r="X121" s="54"/>
      <c r="Y121" s="55"/>
      <c r="Z121" s="55"/>
      <c r="AA121" s="52"/>
      <c r="AB121" s="107">
        <v>637</v>
      </c>
    </row>
  </sheetData>
  <conditionalFormatting sqref="A10:AB121">
    <cfRule type="expression" dxfId="0" priority="1">
      <formula>AND(    MONTH($A10) = MONTH($A$1),    YEAR($A10) = YEAR($A$1) 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inputs</vt:lpstr>
      <vt:lpstr>resumo</vt:lpstr>
      <vt:lpstr>unis</vt:lpstr>
      <vt:lpstr>viabs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2025-12-16T16:44:59Z</dcterms:modified>
</cp:coreProperties>
</file>