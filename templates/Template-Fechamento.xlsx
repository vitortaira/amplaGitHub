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678" documentId="8_{C6C56A3F-2425-44CF-8BE3-ECE51A50A5D5}" xr6:coauthVersionLast="47" xr6:coauthVersionMax="47" xr10:uidLastSave="{1E78B04C-CB6A-44DF-A416-05198A944BB2}"/>
  <bookViews>
    <workbookView xWindow="-120" yWindow="-120" windowWidth="29040" windowHeight="15840" activeTab="1" xr2:uid="{64F819E7-7F57-40CB-9E6A-E429C8DACEE8}"/>
  </bookViews>
  <sheets>
    <sheet name="inputs" sheetId="2" r:id="rId1"/>
    <sheet name="viabs" sheetId="12" r:id="rId2"/>
    <sheet name="resumo" sheetId="3" r:id="rId3"/>
    <sheet name="unis" sheetId="5" r:id="rId4"/>
    <sheet name="rec.uni" sheetId="10" r:id="rId5"/>
    <sheet name="in.ecns" sheetId="8" r:id="rId6"/>
    <sheet name="in.r9" sheetId="7" r:id="rId7"/>
    <sheet name="in.rec" sheetId="9" r:id="rId8"/>
    <sheet name="in.unis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3" l="1"/>
  <c r="J13" i="3"/>
  <c r="I13" i="3"/>
  <c r="H13" i="3"/>
  <c r="G13" i="3"/>
  <c r="M17" i="3"/>
  <c r="M15" i="3"/>
  <c r="M13" i="3"/>
  <c r="M11" i="3"/>
  <c r="M9" i="3"/>
  <c r="M7" i="3"/>
  <c r="M5" i="3"/>
  <c r="K15" i="3"/>
  <c r="J15" i="3"/>
  <c r="I15" i="3"/>
  <c r="H15" i="3"/>
  <c r="G15" i="3"/>
  <c r="F15" i="3"/>
  <c r="E15" i="3"/>
  <c r="D15" i="3"/>
  <c r="C15" i="3"/>
  <c r="K17" i="3"/>
  <c r="J17" i="3"/>
  <c r="I17" i="3"/>
  <c r="H17" i="3"/>
  <c r="G17" i="3"/>
  <c r="K11" i="3"/>
  <c r="J11" i="3"/>
  <c r="I11" i="3"/>
  <c r="H11" i="3"/>
  <c r="G11" i="3"/>
  <c r="K9" i="3"/>
  <c r="J9" i="3"/>
  <c r="I9" i="3"/>
  <c r="H9" i="3"/>
  <c r="G9" i="3"/>
  <c r="F9" i="3"/>
  <c r="E9" i="3"/>
  <c r="D9" i="3"/>
  <c r="C9" i="3"/>
  <c r="K7" i="3"/>
  <c r="J7" i="3"/>
  <c r="I7" i="3"/>
  <c r="H7" i="3"/>
  <c r="G7" i="3"/>
  <c r="F7" i="3"/>
  <c r="E7" i="3"/>
  <c r="D7" i="3"/>
  <c r="C7" i="3"/>
  <c r="K5" i="3"/>
  <c r="J5" i="3"/>
  <c r="I5" i="3"/>
  <c r="H5" i="3"/>
  <c r="G5" i="3"/>
  <c r="F5" i="3"/>
  <c r="E5" i="3"/>
  <c r="D5" i="3"/>
  <c r="C5" i="3"/>
  <c r="AP9" i="12"/>
  <c r="AO9" i="12"/>
  <c r="AN9" i="12"/>
  <c r="AP8" i="12"/>
  <c r="AO8" i="12"/>
  <c r="AN8" i="12"/>
  <c r="AL9" i="12"/>
  <c r="AK9" i="12"/>
  <c r="AJ9" i="12"/>
  <c r="AI9" i="12"/>
  <c r="AH9" i="12"/>
  <c r="AG9" i="12"/>
  <c r="AL8" i="12"/>
  <c r="AK8" i="12"/>
  <c r="AJ8" i="12"/>
  <c r="AI8" i="12"/>
  <c r="AH8" i="12"/>
  <c r="AG8" i="12"/>
  <c r="AE9" i="12"/>
  <c r="AD9" i="12"/>
  <c r="AE8" i="12"/>
  <c r="AD8" i="12"/>
  <c r="AB9" i="12"/>
  <c r="AB8" i="12"/>
  <c r="Z9" i="12"/>
  <c r="Y9" i="12"/>
  <c r="X9" i="12"/>
  <c r="Z8" i="12"/>
  <c r="Y8" i="12"/>
  <c r="X8" i="12"/>
  <c r="V9" i="12"/>
  <c r="U9" i="12"/>
  <c r="T9" i="12"/>
  <c r="S9" i="12"/>
  <c r="R9" i="12"/>
  <c r="Q9" i="12"/>
  <c r="V8" i="12"/>
  <c r="U8" i="12"/>
  <c r="T8" i="12"/>
  <c r="T10" i="12" s="1"/>
  <c r="S8" i="12"/>
  <c r="R8" i="12"/>
  <c r="Q8" i="12"/>
  <c r="O9" i="12"/>
  <c r="N9" i="12"/>
  <c r="M9" i="12"/>
  <c r="L9" i="12"/>
  <c r="K9" i="12"/>
  <c r="J9" i="12"/>
  <c r="O8" i="12"/>
  <c r="O10" i="12" s="1"/>
  <c r="N8" i="12"/>
  <c r="M8" i="12"/>
  <c r="M10" i="12" s="1"/>
  <c r="L8" i="12"/>
  <c r="K8" i="12"/>
  <c r="J8" i="12"/>
  <c r="H9" i="12"/>
  <c r="G9" i="12"/>
  <c r="F9" i="12"/>
  <c r="E9" i="12"/>
  <c r="D9" i="12"/>
  <c r="H8" i="12"/>
  <c r="G8" i="12"/>
  <c r="F8" i="12"/>
  <c r="E8" i="12"/>
  <c r="D8" i="12"/>
  <c r="P8" i="12"/>
  <c r="P9" i="12" s="1"/>
  <c r="AM8" i="12"/>
  <c r="AF8" i="12"/>
  <c r="AF9" i="12" s="1"/>
  <c r="W8" i="12"/>
  <c r="W9" i="12" s="1"/>
  <c r="AM10" i="12"/>
  <c r="AF10" i="12"/>
  <c r="AA10" i="12"/>
  <c r="W10" i="12"/>
  <c r="P10" i="12"/>
  <c r="I10" i="12"/>
  <c r="B10" i="12"/>
  <c r="AP10" i="12"/>
  <c r="AL10" i="12"/>
  <c r="AA8" i="12"/>
  <c r="AA9" i="12" s="1"/>
  <c r="Z10" i="12"/>
  <c r="I8" i="12"/>
  <c r="I9" i="12" s="1"/>
  <c r="H10" i="12"/>
  <c r="B8" i="12"/>
  <c r="B9" i="12" s="1"/>
  <c r="AE10" i="12" l="1"/>
  <c r="F10" i="12"/>
  <c r="AJ10" i="12"/>
  <c r="V10" i="12"/>
  <c r="K10" i="12"/>
  <c r="C8" i="12"/>
  <c r="L10" i="12"/>
  <c r="C9" i="12"/>
  <c r="AC9" i="12"/>
  <c r="AC10" i="12" s="1"/>
  <c r="AM9" i="12"/>
  <c r="O5" i="5"/>
  <c r="N5" i="5"/>
  <c r="L5" i="5"/>
  <c r="L4" i="5"/>
  <c r="K28" i="5"/>
  <c r="J28" i="5"/>
  <c r="I28" i="5"/>
  <c r="K24" i="5"/>
  <c r="J24" i="5"/>
  <c r="I24" i="5"/>
  <c r="K20" i="5"/>
  <c r="J20" i="5"/>
  <c r="I20" i="5"/>
  <c r="K16" i="5"/>
  <c r="J16" i="5"/>
  <c r="I16" i="5"/>
  <c r="K12" i="5"/>
  <c r="J12" i="5"/>
  <c r="I12" i="5"/>
  <c r="K8" i="5"/>
  <c r="J8" i="5"/>
  <c r="I8" i="5"/>
  <c r="K4" i="5"/>
  <c r="J4" i="5"/>
  <c r="I4" i="5"/>
  <c r="K29" i="5"/>
  <c r="J29" i="5"/>
  <c r="I29" i="5"/>
  <c r="K25" i="5"/>
  <c r="J25" i="5"/>
  <c r="I25" i="5"/>
  <c r="K21" i="5"/>
  <c r="J21" i="5"/>
  <c r="I21" i="5"/>
  <c r="K17" i="5"/>
  <c r="J17" i="5"/>
  <c r="I17" i="5"/>
  <c r="K13" i="5"/>
  <c r="J13" i="5"/>
  <c r="I13" i="5"/>
  <c r="K9" i="5"/>
  <c r="J9" i="5"/>
  <c r="I9" i="5"/>
  <c r="K5" i="5"/>
  <c r="J5" i="5"/>
  <c r="I5" i="5"/>
  <c r="H31" i="5"/>
  <c r="H30" i="5"/>
  <c r="H29" i="5"/>
  <c r="H27" i="5"/>
  <c r="H25" i="5"/>
  <c r="H23" i="5"/>
  <c r="H22" i="5"/>
  <c r="H21" i="5"/>
  <c r="H19" i="5"/>
  <c r="H18" i="5"/>
  <c r="H17" i="5"/>
  <c r="H15" i="5"/>
  <c r="H13" i="5"/>
  <c r="H11" i="5"/>
  <c r="H10" i="5"/>
  <c r="H9" i="5"/>
  <c r="H7" i="5"/>
  <c r="H5" i="5"/>
  <c r="G31" i="5"/>
  <c r="G30" i="5"/>
  <c r="G29" i="5"/>
  <c r="G27" i="5"/>
  <c r="G26" i="5"/>
  <c r="H26" i="5" s="1"/>
  <c r="G25" i="5"/>
  <c r="G23" i="5"/>
  <c r="G22" i="5"/>
  <c r="G21" i="5"/>
  <c r="G19" i="5"/>
  <c r="G18" i="5"/>
  <c r="G17" i="5"/>
  <c r="G15" i="5"/>
  <c r="G14" i="5"/>
  <c r="H14" i="5" s="1"/>
  <c r="G13" i="5"/>
  <c r="G11" i="5"/>
  <c r="G10" i="5"/>
  <c r="G9" i="5"/>
  <c r="G7" i="5"/>
  <c r="G6" i="5"/>
  <c r="H6" i="5" s="1"/>
  <c r="G5" i="5"/>
  <c r="F29" i="5"/>
  <c r="E29" i="5"/>
  <c r="D29" i="5"/>
  <c r="C29" i="5"/>
  <c r="F25" i="5"/>
  <c r="E25" i="5"/>
  <c r="D25" i="5"/>
  <c r="C25" i="5"/>
  <c r="F21" i="5"/>
  <c r="E21" i="5"/>
  <c r="D21" i="5"/>
  <c r="C21" i="5"/>
  <c r="F17" i="5"/>
  <c r="E17" i="5"/>
  <c r="D17" i="5"/>
  <c r="C17" i="5"/>
  <c r="F13" i="5"/>
  <c r="E13" i="5"/>
  <c r="D13" i="5"/>
  <c r="C13" i="5"/>
  <c r="F9" i="5"/>
  <c r="E9" i="5"/>
  <c r="D9" i="5"/>
  <c r="C9" i="5"/>
  <c r="E5" i="5"/>
  <c r="F5" i="5"/>
  <c r="D5" i="5"/>
  <c r="C5" i="5"/>
  <c r="AM61" i="2"/>
  <c r="AM60" i="2"/>
  <c r="AM59" i="2"/>
  <c r="AM58" i="2"/>
  <c r="AM57" i="2"/>
  <c r="AM56" i="2"/>
  <c r="AM55" i="2"/>
  <c r="AM54" i="2"/>
  <c r="AM53" i="2"/>
  <c r="AM52" i="2"/>
  <c r="AM51" i="2"/>
  <c r="AM50" i="2"/>
  <c r="AM49" i="2"/>
  <c r="AM48" i="2"/>
  <c r="AM47" i="2"/>
  <c r="AM46" i="2"/>
  <c r="AM45" i="2"/>
  <c r="AM44" i="2"/>
  <c r="AM43" i="2"/>
  <c r="AM42" i="2"/>
  <c r="AM41" i="2"/>
  <c r="AM40" i="2"/>
  <c r="AM39" i="2"/>
  <c r="AM38" i="2"/>
  <c r="AM37" i="2"/>
  <c r="AM36" i="2"/>
  <c r="AM35" i="2"/>
  <c r="AM34" i="2"/>
  <c r="AM33" i="2"/>
  <c r="AM32" i="2"/>
  <c r="AM31" i="2"/>
  <c r="AM30" i="2"/>
  <c r="AM29" i="2"/>
  <c r="AM28" i="2"/>
  <c r="AM27" i="2"/>
  <c r="AM26" i="2"/>
  <c r="AM25" i="2"/>
  <c r="AM24" i="2"/>
  <c r="AM23" i="2"/>
  <c r="AM22" i="2"/>
  <c r="AM21" i="2"/>
  <c r="AM20" i="2"/>
  <c r="AM19" i="2"/>
  <c r="AM18" i="2"/>
  <c r="AM17" i="2"/>
  <c r="AM16" i="2"/>
  <c r="AM15" i="2"/>
  <c r="AM14" i="2"/>
  <c r="AM13" i="2"/>
  <c r="AM12" i="2"/>
  <c r="AM11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AC3" i="2"/>
  <c r="AC2" i="2"/>
  <c r="AC2" i="2" a="1"/>
  <c r="AO5" i="2"/>
  <c r="AO3" i="2"/>
  <c r="AO2" i="2" a="1"/>
  <c r="AO2" i="2" s="1"/>
  <c r="AH5" i="2"/>
  <c r="AH3" i="2"/>
  <c r="AH2" i="2"/>
  <c r="AH2" i="2" a="1"/>
  <c r="Y5" i="2"/>
  <c r="Y3" i="2"/>
  <c r="Y2" i="2" a="1"/>
  <c r="Y2" i="2" s="1"/>
  <c r="R5" i="2"/>
  <c r="R3" i="2"/>
  <c r="R2" i="2"/>
  <c r="R2" i="2" a="1"/>
  <c r="K5" i="2"/>
  <c r="K3" i="2"/>
  <c r="K2" i="2"/>
  <c r="K2" i="2" a="1"/>
  <c r="M8" i="2"/>
  <c r="M10" i="2" s="1"/>
  <c r="O8" i="2"/>
  <c r="O10" i="2" s="1"/>
  <c r="M9" i="2"/>
  <c r="O9" i="2"/>
  <c r="I8" i="2"/>
  <c r="AC122" i="2"/>
  <c r="AC50" i="2"/>
  <c r="AC121" i="2"/>
  <c r="AC113" i="2"/>
  <c r="AC105" i="2"/>
  <c r="AC97" i="2"/>
  <c r="AC89" i="2"/>
  <c r="AC81" i="2"/>
  <c r="AC73" i="2"/>
  <c r="AC65" i="2"/>
  <c r="AC57" i="2"/>
  <c r="AC49" i="2"/>
  <c r="AC41" i="2"/>
  <c r="AC33" i="2"/>
  <c r="AC25" i="2"/>
  <c r="AC17" i="2"/>
  <c r="AC85" i="2"/>
  <c r="AC45" i="2"/>
  <c r="AC116" i="2"/>
  <c r="AC84" i="2"/>
  <c r="AC52" i="2"/>
  <c r="AC20" i="2"/>
  <c r="AC120" i="2"/>
  <c r="AC112" i="2"/>
  <c r="AC104" i="2"/>
  <c r="AC96" i="2"/>
  <c r="AC88" i="2"/>
  <c r="AC80" i="2"/>
  <c r="AC72" i="2"/>
  <c r="AC64" i="2"/>
  <c r="AC56" i="2"/>
  <c r="AC48" i="2"/>
  <c r="AC40" i="2"/>
  <c r="AC32" i="2"/>
  <c r="AC24" i="2"/>
  <c r="AC16" i="2"/>
  <c r="AC101" i="2"/>
  <c r="AC69" i="2"/>
  <c r="AC37" i="2"/>
  <c r="AC108" i="2"/>
  <c r="AC76" i="2"/>
  <c r="AC44" i="2"/>
  <c r="AC26" i="2"/>
  <c r="AC119" i="2"/>
  <c r="AC111" i="2"/>
  <c r="AC103" i="2"/>
  <c r="AC95" i="2"/>
  <c r="AC87" i="2"/>
  <c r="AC79" i="2"/>
  <c r="AC71" i="2"/>
  <c r="AC63" i="2"/>
  <c r="AC55" i="2"/>
  <c r="AC47" i="2"/>
  <c r="AC39" i="2"/>
  <c r="AC31" i="2"/>
  <c r="AC23" i="2"/>
  <c r="AC15" i="2"/>
  <c r="AC93" i="2"/>
  <c r="AC53" i="2"/>
  <c r="AC21" i="2"/>
  <c r="AC92" i="2"/>
  <c r="AC60" i="2"/>
  <c r="AC28" i="2"/>
  <c r="AC118" i="2"/>
  <c r="AC110" i="2"/>
  <c r="AC102" i="2"/>
  <c r="AC94" i="2"/>
  <c r="AC86" i="2"/>
  <c r="AC78" i="2"/>
  <c r="AC70" i="2"/>
  <c r="AC62" i="2"/>
  <c r="AC54" i="2"/>
  <c r="AC46" i="2"/>
  <c r="AC38" i="2"/>
  <c r="AC30" i="2"/>
  <c r="AC22" i="2"/>
  <c r="AC109" i="2"/>
  <c r="AC77" i="2"/>
  <c r="AC61" i="2"/>
  <c r="AC29" i="2"/>
  <c r="AC100" i="2"/>
  <c r="AC68" i="2"/>
  <c r="AC36" i="2"/>
  <c r="AC18" i="2"/>
  <c r="AC117" i="2"/>
  <c r="AC34" i="2"/>
  <c r="AC115" i="2"/>
  <c r="AC107" i="2"/>
  <c r="AC99" i="2"/>
  <c r="AC91" i="2"/>
  <c r="AC83" i="2"/>
  <c r="AC75" i="2"/>
  <c r="AC67" i="2"/>
  <c r="AC59" i="2"/>
  <c r="AC51" i="2"/>
  <c r="AC43" i="2"/>
  <c r="AC35" i="2"/>
  <c r="AC27" i="2"/>
  <c r="AC19" i="2"/>
  <c r="AC114" i="2"/>
  <c r="AC106" i="2"/>
  <c r="AC98" i="2"/>
  <c r="AC90" i="2"/>
  <c r="AC82" i="2"/>
  <c r="AC74" i="2"/>
  <c r="AC66" i="2"/>
  <c r="AC58" i="2"/>
  <c r="AC42" i="2"/>
  <c r="AO10" i="12" l="1"/>
  <c r="AN10" i="12"/>
  <c r="AI10" i="12"/>
  <c r="AH10" i="12"/>
  <c r="U10" i="12"/>
  <c r="Y10" i="12"/>
  <c r="J10" i="12"/>
  <c r="G10" i="12"/>
  <c r="N10" i="12"/>
  <c r="AB10" i="12"/>
  <c r="C10" i="12"/>
  <c r="AD10" i="12"/>
  <c r="Q10" i="12"/>
  <c r="X10" i="12"/>
  <c r="S10" i="12"/>
  <c r="R10" i="12"/>
  <c r="E10" i="12"/>
  <c r="D10" i="12"/>
  <c r="AG10" i="12"/>
  <c r="AK10" i="12"/>
  <c r="B30" i="2"/>
  <c r="D5" i="2"/>
  <c r="D3" i="2"/>
  <c r="D2" i="2" a="1"/>
  <c r="D2" i="2" s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X10" i="5"/>
  <c r="V10" i="5"/>
  <c r="W10" i="5"/>
  <c r="T10" i="5"/>
  <c r="U10" i="5"/>
  <c r="S10" i="5"/>
  <c r="R10" i="5"/>
  <c r="X9" i="5"/>
  <c r="V9" i="5"/>
  <c r="W9" i="5"/>
  <c r="T9" i="5"/>
  <c r="U9" i="5"/>
  <c r="S9" i="5"/>
  <c r="R9" i="5"/>
  <c r="X8" i="5"/>
  <c r="V8" i="5"/>
  <c r="W8" i="5"/>
  <c r="T8" i="5"/>
  <c r="U8" i="5"/>
  <c r="S8" i="5"/>
  <c r="R8" i="5"/>
  <c r="X7" i="5"/>
  <c r="V7" i="5"/>
  <c r="W7" i="5"/>
  <c r="T7" i="5"/>
  <c r="U7" i="5"/>
  <c r="S7" i="5"/>
  <c r="R7" i="5"/>
  <c r="X6" i="5"/>
  <c r="V6" i="5"/>
  <c r="W6" i="5"/>
  <c r="T6" i="5"/>
  <c r="U6" i="5"/>
  <c r="S6" i="5"/>
  <c r="R6" i="5"/>
  <c r="X5" i="5"/>
  <c r="V5" i="5"/>
  <c r="W5" i="5"/>
  <c r="T5" i="5"/>
  <c r="U5" i="5"/>
  <c r="S5" i="5"/>
  <c r="R5" i="5"/>
  <c r="X4" i="5"/>
  <c r="V4" i="5"/>
  <c r="W4" i="5"/>
  <c r="T4" i="5"/>
  <c r="U4" i="5"/>
  <c r="S4" i="5"/>
  <c r="R4" i="5"/>
  <c r="A1" i="3"/>
  <c r="AF8" i="2"/>
  <c r="W8" i="2"/>
  <c r="AP9" i="2"/>
  <c r="AL9" i="2"/>
  <c r="AJ9" i="2"/>
  <c r="AE9" i="2"/>
  <c r="Z9" i="2"/>
  <c r="V9" i="2"/>
  <c r="T9" i="2"/>
  <c r="H9" i="2"/>
  <c r="F9" i="2"/>
  <c r="AP8" i="2"/>
  <c r="AL8" i="2"/>
  <c r="AL10" i="2" s="1"/>
  <c r="AJ8" i="2"/>
  <c r="AJ10" i="2" s="1"/>
  <c r="AE8" i="2"/>
  <c r="Z8" i="2"/>
  <c r="V8" i="2"/>
  <c r="V10" i="2" s="1"/>
  <c r="T8" i="2"/>
  <c r="T10" i="2" s="1"/>
  <c r="H8" i="2"/>
  <c r="H10" i="2" s="1"/>
  <c r="F8" i="2"/>
  <c r="F10" i="2" s="1"/>
  <c r="AN98" i="2"/>
  <c r="AN34" i="2"/>
  <c r="AG78" i="2"/>
  <c r="AB122" i="2"/>
  <c r="AB58" i="2"/>
  <c r="X102" i="2"/>
  <c r="X38" i="2"/>
  <c r="Q82" i="2"/>
  <c r="Q18" i="2"/>
  <c r="J62" i="2"/>
  <c r="AN81" i="2"/>
  <c r="AG61" i="2"/>
  <c r="AB41" i="2"/>
  <c r="X29" i="2"/>
  <c r="Q17" i="2"/>
  <c r="AN120" i="2"/>
  <c r="AN56" i="2"/>
  <c r="AG100" i="2"/>
  <c r="AG36" i="2"/>
  <c r="AB80" i="2"/>
  <c r="AB16" i="2"/>
  <c r="X60" i="2"/>
  <c r="Q104" i="2"/>
  <c r="Q40" i="2"/>
  <c r="J84" i="2"/>
  <c r="J20" i="2"/>
  <c r="AB116" i="2"/>
  <c r="Q92" i="2"/>
  <c r="AN103" i="2"/>
  <c r="AN39" i="2"/>
  <c r="AG83" i="2"/>
  <c r="AG19" i="2"/>
  <c r="AB63" i="2"/>
  <c r="X107" i="2"/>
  <c r="X43" i="2"/>
  <c r="Q87" i="2"/>
  <c r="Q23" i="2"/>
  <c r="J67" i="2"/>
  <c r="AN76" i="2"/>
  <c r="AB36" i="2"/>
  <c r="J112" i="2"/>
  <c r="AN86" i="2"/>
  <c r="AN22" i="2"/>
  <c r="AG66" i="2"/>
  <c r="AB110" i="2"/>
  <c r="AB46" i="2"/>
  <c r="X90" i="2"/>
  <c r="X26" i="2"/>
  <c r="Q70" i="2"/>
  <c r="J114" i="2"/>
  <c r="J50" i="2"/>
  <c r="AG120" i="2"/>
  <c r="X96" i="2"/>
  <c r="J88" i="2"/>
  <c r="AN77" i="2"/>
  <c r="AG121" i="2"/>
  <c r="AG57" i="2"/>
  <c r="AB101" i="2"/>
  <c r="AB37" i="2"/>
  <c r="X81" i="2"/>
  <c r="X17" i="2"/>
  <c r="Q61" i="2"/>
  <c r="J105" i="2"/>
  <c r="J41" i="2"/>
  <c r="AG56" i="2"/>
  <c r="Q76" i="2"/>
  <c r="AN91" i="2"/>
  <c r="AN27" i="2"/>
  <c r="AG71" i="2"/>
  <c r="AB115" i="2"/>
  <c r="AB51" i="2"/>
  <c r="X95" i="2"/>
  <c r="X31" i="2"/>
  <c r="Q75" i="2"/>
  <c r="J119" i="2"/>
  <c r="J55" i="2"/>
  <c r="AN73" i="2"/>
  <c r="AG53" i="2"/>
  <c r="AB33" i="2"/>
  <c r="Q105" i="2"/>
  <c r="J85" i="2"/>
  <c r="C81" i="2"/>
  <c r="C85" i="2"/>
  <c r="Y118" i="2"/>
  <c r="AH44" i="2"/>
  <c r="K22" i="2"/>
  <c r="R43" i="2"/>
  <c r="U67" i="2"/>
  <c r="R21" i="2"/>
  <c r="C90" i="2"/>
  <c r="C95" i="2"/>
  <c r="U115" i="2"/>
  <c r="U113" i="2"/>
  <c r="AD70" i="2"/>
  <c r="AK92" i="2"/>
  <c r="N46" i="2"/>
  <c r="AK26" i="2"/>
  <c r="C20" i="2"/>
  <c r="AD81" i="2"/>
  <c r="N25" i="2"/>
  <c r="U26" i="2"/>
  <c r="S38" i="2"/>
  <c r="AK77" i="2"/>
  <c r="U95" i="2"/>
  <c r="Y50" i="2"/>
  <c r="AK39" i="2"/>
  <c r="Y104" i="2"/>
  <c r="AO57" i="2"/>
  <c r="L16" i="2"/>
  <c r="AD15" i="2"/>
  <c r="L46" i="2"/>
  <c r="AO29" i="2"/>
  <c r="C121" i="2"/>
  <c r="C35" i="2"/>
  <c r="AH25" i="2"/>
  <c r="AO31" i="2"/>
  <c r="AO111" i="2"/>
  <c r="AO86" i="2"/>
  <c r="AK81" i="2"/>
  <c r="AD109" i="2"/>
  <c r="U77" i="2"/>
  <c r="AO76" i="2"/>
  <c r="AK60" i="2"/>
  <c r="AK44" i="2"/>
  <c r="R42" i="2"/>
  <c r="AK101" i="2"/>
  <c r="K36" i="2"/>
  <c r="AN90" i="2"/>
  <c r="AN26" i="2"/>
  <c r="AG70" i="2"/>
  <c r="AB114" i="2"/>
  <c r="AB50" i="2"/>
  <c r="X94" i="2"/>
  <c r="X30" i="2"/>
  <c r="Q74" i="2"/>
  <c r="J118" i="2"/>
  <c r="J54" i="2"/>
  <c r="AN65" i="2"/>
  <c r="AG45" i="2"/>
  <c r="AB25" i="2"/>
  <c r="X21" i="2"/>
  <c r="J109" i="2"/>
  <c r="AN112" i="2"/>
  <c r="AN48" i="2"/>
  <c r="AG92" i="2"/>
  <c r="AG28" i="2"/>
  <c r="AB72" i="2"/>
  <c r="X116" i="2"/>
  <c r="X52" i="2"/>
  <c r="Q96" i="2"/>
  <c r="Q32" i="2"/>
  <c r="J76" i="2"/>
  <c r="AN92" i="2"/>
  <c r="AB84" i="2"/>
  <c r="Q60" i="2"/>
  <c r="AN95" i="2"/>
  <c r="AN31" i="2"/>
  <c r="AG75" i="2"/>
  <c r="AB119" i="2"/>
  <c r="AB55" i="2"/>
  <c r="X99" i="2"/>
  <c r="X35" i="2"/>
  <c r="Q79" i="2"/>
  <c r="Q15" i="2"/>
  <c r="J59" i="2"/>
  <c r="AN44" i="2"/>
  <c r="X112" i="2"/>
  <c r="J80" i="2"/>
  <c r="AN78" i="2"/>
  <c r="AG122" i="2"/>
  <c r="AG58" i="2"/>
  <c r="AB102" i="2"/>
  <c r="AB38" i="2"/>
  <c r="X82" i="2"/>
  <c r="X18" i="2"/>
  <c r="Q62" i="2"/>
  <c r="J106" i="2"/>
  <c r="J42" i="2"/>
  <c r="AG88" i="2"/>
  <c r="X64" i="2"/>
  <c r="J72" i="2"/>
  <c r="AN69" i="2"/>
  <c r="AG113" i="2"/>
  <c r="AG49" i="2"/>
  <c r="AB93" i="2"/>
  <c r="AB29" i="2"/>
  <c r="X73" i="2"/>
  <c r="Q117" i="2"/>
  <c r="Q53" i="2"/>
  <c r="J97" i="2"/>
  <c r="J33" i="2"/>
  <c r="AG16" i="2"/>
  <c r="Q36" i="2"/>
  <c r="AN83" i="2"/>
  <c r="AN19" i="2"/>
  <c r="AG63" i="2"/>
  <c r="AB107" i="2"/>
  <c r="AB43" i="2"/>
  <c r="X87" i="2"/>
  <c r="X23" i="2"/>
  <c r="Q67" i="2"/>
  <c r="J111" i="2"/>
  <c r="J47" i="2"/>
  <c r="AN57" i="2"/>
  <c r="AG37" i="2"/>
  <c r="AB17" i="2"/>
  <c r="Q89" i="2"/>
  <c r="J69" i="2"/>
  <c r="C17" i="2"/>
  <c r="C21" i="2"/>
  <c r="N33" i="2"/>
  <c r="U97" i="2"/>
  <c r="U109" i="2"/>
  <c r="AK76" i="2"/>
  <c r="AH54" i="2"/>
  <c r="AD78" i="2"/>
  <c r="C26" i="2"/>
  <c r="C31" i="2"/>
  <c r="AO52" i="2"/>
  <c r="AH30" i="2"/>
  <c r="N39" i="2"/>
  <c r="S52" i="2"/>
  <c r="AH33" i="2"/>
  <c r="C82" i="2"/>
  <c r="C87" i="2"/>
  <c r="AI30" i="2"/>
  <c r="AO48" i="2"/>
  <c r="AO18" i="2"/>
  <c r="AO110" i="2"/>
  <c r="N103" i="2"/>
  <c r="AD63" i="2"/>
  <c r="AK99" i="2"/>
  <c r="U90" i="2"/>
  <c r="AO30" i="2"/>
  <c r="AD68" i="2"/>
  <c r="Y116" i="2"/>
  <c r="AD56" i="2"/>
  <c r="S25" i="2"/>
  <c r="K30" i="2"/>
  <c r="C57" i="2"/>
  <c r="C61" i="2"/>
  <c r="AO88" i="2"/>
  <c r="L41" i="2"/>
  <c r="R58" i="2"/>
  <c r="AI39" i="2"/>
  <c r="Y31" i="2"/>
  <c r="AO122" i="2"/>
  <c r="N30" i="2"/>
  <c r="AO116" i="2"/>
  <c r="AN82" i="2"/>
  <c r="AN18" i="2"/>
  <c r="AG62" i="2"/>
  <c r="AB106" i="2"/>
  <c r="AB42" i="2"/>
  <c r="X86" i="2"/>
  <c r="X22" i="2"/>
  <c r="Q66" i="2"/>
  <c r="J110" i="2"/>
  <c r="J46" i="2"/>
  <c r="AN49" i="2"/>
  <c r="AG29" i="2"/>
  <c r="X117" i="2"/>
  <c r="Q113" i="2"/>
  <c r="J93" i="2"/>
  <c r="AN104" i="2"/>
  <c r="AN40" i="2"/>
  <c r="AG84" i="2"/>
  <c r="AG20" i="2"/>
  <c r="AB64" i="2"/>
  <c r="X108" i="2"/>
  <c r="X44" i="2"/>
  <c r="Q88" i="2"/>
  <c r="Q24" i="2"/>
  <c r="J68" i="2"/>
  <c r="AN84" i="2"/>
  <c r="AB60" i="2"/>
  <c r="Q28" i="2"/>
  <c r="AN87" i="2"/>
  <c r="AN23" i="2"/>
  <c r="AG67" i="2"/>
  <c r="AB111" i="2"/>
  <c r="AB47" i="2"/>
  <c r="X91" i="2"/>
  <c r="X27" i="2"/>
  <c r="Q71" i="2"/>
  <c r="J115" i="2"/>
  <c r="J51" i="2"/>
  <c r="AG112" i="2"/>
  <c r="X80" i="2"/>
  <c r="J48" i="2"/>
  <c r="AN70" i="2"/>
  <c r="AG114" i="2"/>
  <c r="AG50" i="2"/>
  <c r="AB94" i="2"/>
  <c r="AB30" i="2"/>
  <c r="X74" i="2"/>
  <c r="Q118" i="2"/>
  <c r="Q54" i="2"/>
  <c r="J98" i="2"/>
  <c r="J34" i="2"/>
  <c r="AG64" i="2"/>
  <c r="X40" i="2"/>
  <c r="J40" i="2"/>
  <c r="AN61" i="2"/>
  <c r="AG105" i="2"/>
  <c r="AG41" i="2"/>
  <c r="AB85" i="2"/>
  <c r="AB21" i="2"/>
  <c r="X65" i="2"/>
  <c r="Q109" i="2"/>
  <c r="Q45" i="2"/>
  <c r="J89" i="2"/>
  <c r="J25" i="2"/>
  <c r="AB92" i="2"/>
  <c r="J96" i="2"/>
  <c r="AN75" i="2"/>
  <c r="AG119" i="2"/>
  <c r="AG55" i="2"/>
  <c r="AB99" i="2"/>
  <c r="AB35" i="2"/>
  <c r="X79" i="2"/>
  <c r="X15" i="2"/>
  <c r="Q59" i="2"/>
  <c r="J103" i="2"/>
  <c r="J39" i="2"/>
  <c r="AN41" i="2"/>
  <c r="AG21" i="2"/>
  <c r="X109" i="2"/>
  <c r="Q73" i="2"/>
  <c r="J53" i="2"/>
  <c r="C120" i="2"/>
  <c r="C43" i="2"/>
  <c r="N44" i="2"/>
  <c r="AH26" i="2"/>
  <c r="N118" i="2"/>
  <c r="S48" i="2"/>
  <c r="AD88" i="2"/>
  <c r="R41" i="2"/>
  <c r="C67" i="2"/>
  <c r="C115" i="2"/>
  <c r="N71" i="2"/>
  <c r="AO104" i="2"/>
  <c r="AK70" i="2"/>
  <c r="N68" i="2"/>
  <c r="U94" i="2"/>
  <c r="C18" i="2"/>
  <c r="C23" i="2"/>
  <c r="Y117" i="2"/>
  <c r="S19" i="2"/>
  <c r="AI17" i="2"/>
  <c r="R29" i="2"/>
  <c r="L32" i="2"/>
  <c r="K32" i="2"/>
  <c r="AO46" i="2"/>
  <c r="U89" i="2"/>
  <c r="AH47" i="2"/>
  <c r="N40" i="2"/>
  <c r="S53" i="2"/>
  <c r="AD20" i="2"/>
  <c r="AI43" i="2"/>
  <c r="AK30" i="2"/>
  <c r="C38" i="2"/>
  <c r="C100" i="2"/>
  <c r="L22" i="2"/>
  <c r="AK67" i="2"/>
  <c r="Y112" i="2"/>
  <c r="AK42" i="2"/>
  <c r="R4" i="2"/>
  <c r="AD37" i="2"/>
  <c r="N79" i="2"/>
  <c r="AD36" i="2"/>
  <c r="AN74" i="2"/>
  <c r="AG118" i="2"/>
  <c r="AG54" i="2"/>
  <c r="AB98" i="2"/>
  <c r="AB34" i="2"/>
  <c r="X78" i="2"/>
  <c r="Q122" i="2"/>
  <c r="Q58" i="2"/>
  <c r="J102" i="2"/>
  <c r="J38" i="2"/>
  <c r="AN33" i="2"/>
  <c r="AB121" i="2"/>
  <c r="X101" i="2"/>
  <c r="Q97" i="2"/>
  <c r="J77" i="2"/>
  <c r="AN96" i="2"/>
  <c r="AN32" i="2"/>
  <c r="AG76" i="2"/>
  <c r="AB120" i="2"/>
  <c r="AB56" i="2"/>
  <c r="X100" i="2"/>
  <c r="X36" i="2"/>
  <c r="Q80" i="2"/>
  <c r="Q16" i="2"/>
  <c r="J60" i="2"/>
  <c r="AN52" i="2"/>
  <c r="AB28" i="2"/>
  <c r="J104" i="2"/>
  <c r="AN79" i="2"/>
  <c r="AN15" i="2"/>
  <c r="AG59" i="2"/>
  <c r="AB103" i="2"/>
  <c r="AB39" i="2"/>
  <c r="X83" i="2"/>
  <c r="X19" i="2"/>
  <c r="Q63" i="2"/>
  <c r="J107" i="2"/>
  <c r="J43" i="2"/>
  <c r="AG80" i="2"/>
  <c r="X56" i="2"/>
  <c r="J24" i="2"/>
  <c r="AN62" i="2"/>
  <c r="AG106" i="2"/>
  <c r="AG42" i="2"/>
  <c r="AB86" i="2"/>
  <c r="AB22" i="2"/>
  <c r="X66" i="2"/>
  <c r="Q110" i="2"/>
  <c r="Q46" i="2"/>
  <c r="J90" i="2"/>
  <c r="J26" i="2"/>
  <c r="AG24" i="2"/>
  <c r="X16" i="2"/>
  <c r="AN117" i="2"/>
  <c r="AN53" i="2"/>
  <c r="AG97" i="2"/>
  <c r="AG33" i="2"/>
  <c r="AB77" i="2"/>
  <c r="X121" i="2"/>
  <c r="X57" i="2"/>
  <c r="Q101" i="2"/>
  <c r="Q37" i="2"/>
  <c r="J81" i="2"/>
  <c r="J17" i="2"/>
  <c r="AB52" i="2"/>
  <c r="J56" i="2"/>
  <c r="AN67" i="2"/>
  <c r="AG111" i="2"/>
  <c r="AG47" i="2"/>
  <c r="AB91" i="2"/>
  <c r="AB27" i="2"/>
  <c r="X71" i="2"/>
  <c r="Q115" i="2"/>
  <c r="Q51" i="2"/>
  <c r="J95" i="2"/>
  <c r="J31" i="2"/>
  <c r="AN25" i="2"/>
  <c r="AB113" i="2"/>
  <c r="X93" i="2"/>
  <c r="Q57" i="2"/>
  <c r="J37" i="2"/>
  <c r="C56" i="2"/>
  <c r="AO93" i="2"/>
  <c r="AO81" i="2"/>
  <c r="U25" i="2"/>
  <c r="Y115" i="2"/>
  <c r="AD112" i="2"/>
  <c r="AK61" i="2"/>
  <c r="U22" i="2"/>
  <c r="C73" i="2"/>
  <c r="C77" i="2"/>
  <c r="Y88" i="2"/>
  <c r="S55" i="2"/>
  <c r="AO27" i="2"/>
  <c r="S27" i="2"/>
  <c r="Y34" i="2"/>
  <c r="C27" i="2"/>
  <c r="C75" i="2"/>
  <c r="AH58" i="2"/>
  <c r="U24" i="2"/>
  <c r="N101" i="2"/>
  <c r="AK75" i="2"/>
  <c r="AK91" i="2"/>
  <c r="AK66" i="2"/>
  <c r="U36" i="2"/>
  <c r="K16" i="2"/>
  <c r="AK59" i="2"/>
  <c r="Y57" i="2"/>
  <c r="L34" i="2"/>
  <c r="K4" i="2"/>
  <c r="U74" i="2"/>
  <c r="U64" i="2"/>
  <c r="C96" i="2"/>
  <c r="AD25" i="2"/>
  <c r="AD16" i="2"/>
  <c r="K60" i="2"/>
  <c r="Y121" i="2"/>
  <c r="AH23" i="2"/>
  <c r="AI38" i="2"/>
  <c r="AO50" i="2"/>
  <c r="U86" i="2"/>
  <c r="AO20" i="2"/>
  <c r="AH20" i="2"/>
  <c r="R30" i="2"/>
  <c r="AH21" i="2"/>
  <c r="AK62" i="2"/>
  <c r="AO39" i="2"/>
  <c r="AN122" i="2"/>
  <c r="AN58" i="2"/>
  <c r="AG102" i="2"/>
  <c r="AG38" i="2"/>
  <c r="AB82" i="2"/>
  <c r="AB18" i="2"/>
  <c r="X62" i="2"/>
  <c r="Q106" i="2"/>
  <c r="Q42" i="2"/>
  <c r="J86" i="2"/>
  <c r="J22" i="2"/>
  <c r="AG109" i="2"/>
  <c r="AB89" i="2"/>
  <c r="X77" i="2"/>
  <c r="Q65" i="2"/>
  <c r="J45" i="2"/>
  <c r="AN80" i="2"/>
  <c r="AN16" i="2"/>
  <c r="AG60" i="2"/>
  <c r="AB104" i="2"/>
  <c r="AB40" i="2"/>
  <c r="X84" i="2"/>
  <c r="X20" i="2"/>
  <c r="Q64" i="2"/>
  <c r="J108" i="2"/>
  <c r="J44" i="2"/>
  <c r="AG104" i="2"/>
  <c r="X72" i="2"/>
  <c r="J32" i="2"/>
  <c r="AN63" i="2"/>
  <c r="AG107" i="2"/>
  <c r="AG43" i="2"/>
  <c r="AB87" i="2"/>
  <c r="AB23" i="2"/>
  <c r="X67" i="2"/>
  <c r="Q111" i="2"/>
  <c r="Q47" i="2"/>
  <c r="J91" i="2"/>
  <c r="J27" i="2"/>
  <c r="AG32" i="2"/>
  <c r="Q84" i="2"/>
  <c r="AN110" i="2"/>
  <c r="AN46" i="2"/>
  <c r="AG90" i="2"/>
  <c r="AG26" i="2"/>
  <c r="AB70" i="2"/>
  <c r="X114" i="2"/>
  <c r="X50" i="2"/>
  <c r="Q94" i="2"/>
  <c r="Q30" i="2"/>
  <c r="J74" i="2"/>
  <c r="AN100" i="2"/>
  <c r="AB68" i="2"/>
  <c r="Q68" i="2"/>
  <c r="AN101" i="2"/>
  <c r="AN37" i="2"/>
  <c r="AG81" i="2"/>
  <c r="AG17" i="2"/>
  <c r="AB61" i="2"/>
  <c r="X105" i="2"/>
  <c r="X41" i="2"/>
  <c r="Q85" i="2"/>
  <c r="Q21" i="2"/>
  <c r="J65" i="2"/>
  <c r="AN60" i="2"/>
  <c r="X88" i="2"/>
  <c r="AN115" i="2"/>
  <c r="AN51" i="2"/>
  <c r="AG95" i="2"/>
  <c r="AG31" i="2"/>
  <c r="AB75" i="2"/>
  <c r="X119" i="2"/>
  <c r="X55" i="2"/>
  <c r="Q99" i="2"/>
  <c r="Q35" i="2"/>
  <c r="J79" i="2"/>
  <c r="J15" i="2"/>
  <c r="AG101" i="2"/>
  <c r="AB81" i="2"/>
  <c r="X53" i="2"/>
  <c r="Q25" i="2"/>
  <c r="C98" i="2"/>
  <c r="C103" i="2"/>
  <c r="U69" i="2"/>
  <c r="U20" i="2"/>
  <c r="U68" i="2"/>
  <c r="U49" i="2"/>
  <c r="N17" i="2"/>
  <c r="AK28" i="2"/>
  <c r="U47" i="2"/>
  <c r="C112" i="2"/>
  <c r="AD98" i="2"/>
  <c r="S54" i="2"/>
  <c r="R31" i="2"/>
  <c r="AO56" i="2"/>
  <c r="R15" i="2"/>
  <c r="U111" i="2"/>
  <c r="C70" i="2"/>
  <c r="C108" i="2"/>
  <c r="AH40" i="2"/>
  <c r="N60" i="2"/>
  <c r="R25" i="2"/>
  <c r="AD111" i="2"/>
  <c r="U103" i="2"/>
  <c r="Y26" i="2"/>
  <c r="Y25" i="2"/>
  <c r="AD116" i="2"/>
  <c r="AD57" i="2"/>
  <c r="AH22" i="2"/>
  <c r="Y92" i="2"/>
  <c r="AO69" i="2"/>
  <c r="N97" i="2"/>
  <c r="AI21" i="2"/>
  <c r="C83" i="2"/>
  <c r="N90" i="2"/>
  <c r="AH35" i="2"/>
  <c r="AO33" i="2"/>
  <c r="AI33" i="2"/>
  <c r="AK58" i="2"/>
  <c r="S39" i="2"/>
  <c r="Y84" i="2"/>
  <c r="U121" i="2"/>
  <c r="AG86" i="2"/>
  <c r="X118" i="2"/>
  <c r="Q50" i="2"/>
  <c r="AN97" i="2"/>
  <c r="X61" i="2"/>
  <c r="AN88" i="2"/>
  <c r="AG44" i="2"/>
  <c r="X76" i="2"/>
  <c r="J116" i="2"/>
  <c r="AG40" i="2"/>
  <c r="AN55" i="2"/>
  <c r="AB95" i="2"/>
  <c r="X51" i="2"/>
  <c r="J83" i="2"/>
  <c r="X24" i="2"/>
  <c r="AN30" i="2"/>
  <c r="AB62" i="2"/>
  <c r="Q102" i="2"/>
  <c r="J58" i="2"/>
  <c r="Q44" i="2"/>
  <c r="AG89" i="2"/>
  <c r="AB45" i="2"/>
  <c r="Q77" i="2"/>
  <c r="AN116" i="2"/>
  <c r="AN99" i="2"/>
  <c r="AG23" i="2"/>
  <c r="X63" i="2"/>
  <c r="Q19" i="2"/>
  <c r="AG85" i="2"/>
  <c r="Q41" i="2"/>
  <c r="C44" i="2"/>
  <c r="AK96" i="2"/>
  <c r="AD61" i="2"/>
  <c r="C60" i="2"/>
  <c r="AK68" i="2"/>
  <c r="R32" i="2"/>
  <c r="N15" i="2"/>
  <c r="AD23" i="2"/>
  <c r="S51" i="2"/>
  <c r="AK36" i="2"/>
  <c r="AO71" i="2"/>
  <c r="S24" i="2"/>
  <c r="U52" i="2"/>
  <c r="AK19" i="2"/>
  <c r="Y73" i="2"/>
  <c r="AK47" i="2"/>
  <c r="AI15" i="2"/>
  <c r="L45" i="2"/>
  <c r="Y98" i="2"/>
  <c r="AK100" i="2"/>
  <c r="C49" i="2"/>
  <c r="C53" i="2"/>
  <c r="U108" i="2"/>
  <c r="AD104" i="2"/>
  <c r="AK34" i="2"/>
  <c r="Y83" i="2"/>
  <c r="AD34" i="2"/>
  <c r="U117" i="2"/>
  <c r="AO55" i="2"/>
  <c r="N38" i="2"/>
  <c r="U72" i="2"/>
  <c r="U84" i="2"/>
  <c r="C22" i="2"/>
  <c r="AD117" i="2"/>
  <c r="AO26" i="2"/>
  <c r="AI44" i="2"/>
  <c r="Y77" i="2"/>
  <c r="S37" i="2"/>
  <c r="N115" i="2"/>
  <c r="AO51" i="2"/>
  <c r="AH16" i="2"/>
  <c r="AI22" i="2"/>
  <c r="S30" i="2"/>
  <c r="L27" i="2"/>
  <c r="R53" i="2"/>
  <c r="K58" i="2"/>
  <c r="N51" i="2"/>
  <c r="U99" i="2"/>
  <c r="AO45" i="2"/>
  <c r="K23" i="2"/>
  <c r="L47" i="2"/>
  <c r="N112" i="2"/>
  <c r="AO4" i="2"/>
  <c r="AI24" i="2"/>
  <c r="AI58" i="2"/>
  <c r="Y107" i="2"/>
  <c r="AH49" i="2"/>
  <c r="R55" i="2"/>
  <c r="N67" i="2"/>
  <c r="AD95" i="2"/>
  <c r="U61" i="2"/>
  <c r="U37" i="2"/>
  <c r="AK114" i="2"/>
  <c r="R54" i="2"/>
  <c r="AO91" i="2"/>
  <c r="AK78" i="2"/>
  <c r="AH39" i="2"/>
  <c r="N57" i="2"/>
  <c r="Y51" i="2"/>
  <c r="AI37" i="2"/>
  <c r="Y55" i="2"/>
  <c r="K17" i="2"/>
  <c r="AD74" i="2"/>
  <c r="AK57" i="2"/>
  <c r="U87" i="2"/>
  <c r="S20" i="2"/>
  <c r="R57" i="2"/>
  <c r="Y108" i="2"/>
  <c r="R19" i="2"/>
  <c r="R59" i="2"/>
  <c r="N45" i="2"/>
  <c r="L48" i="2"/>
  <c r="Y30" i="2"/>
  <c r="L26" i="2"/>
  <c r="AD67" i="2"/>
  <c r="K43" i="2"/>
  <c r="AD47" i="2"/>
  <c r="L15" i="2"/>
  <c r="N41" i="2"/>
  <c r="Y93" i="2"/>
  <c r="AD113" i="2"/>
  <c r="AH48" i="2"/>
  <c r="R35" i="2"/>
  <c r="R39" i="2"/>
  <c r="R28" i="2"/>
  <c r="L40" i="2"/>
  <c r="Y49" i="2"/>
  <c r="AK97" i="2"/>
  <c r="L54" i="2"/>
  <c r="AH19" i="2"/>
  <c r="Y109" i="2"/>
  <c r="K51" i="2"/>
  <c r="AN114" i="2"/>
  <c r="AG46" i="2"/>
  <c r="X110" i="2"/>
  <c r="Q34" i="2"/>
  <c r="AN17" i="2"/>
  <c r="X45" i="2"/>
  <c r="AN72" i="2"/>
  <c r="AB112" i="2"/>
  <c r="X68" i="2"/>
  <c r="J100" i="2"/>
  <c r="X104" i="2"/>
  <c r="AN47" i="2"/>
  <c r="AB79" i="2"/>
  <c r="Q119" i="2"/>
  <c r="J75" i="2"/>
  <c r="Q52" i="2"/>
  <c r="AG98" i="2"/>
  <c r="AB54" i="2"/>
  <c r="Q86" i="2"/>
  <c r="J18" i="2"/>
  <c r="J120" i="2"/>
  <c r="AG73" i="2"/>
  <c r="X113" i="2"/>
  <c r="Q69" i="2"/>
  <c r="AN20" i="2"/>
  <c r="AN59" i="2"/>
  <c r="AG15" i="2"/>
  <c r="X47" i="2"/>
  <c r="J87" i="2"/>
  <c r="AG69" i="2"/>
  <c r="J117" i="2"/>
  <c r="AK46" i="2"/>
  <c r="AH37" i="2"/>
  <c r="S36" i="2"/>
  <c r="C116" i="2"/>
  <c r="AO106" i="2"/>
  <c r="L31" i="2"/>
  <c r="Y45" i="2"/>
  <c r="N31" i="2"/>
  <c r="S46" i="2"/>
  <c r="AK88" i="2"/>
  <c r="Y99" i="2"/>
  <c r="C74" i="2"/>
  <c r="AO108" i="2"/>
  <c r="K48" i="2"/>
  <c r="AK89" i="2"/>
  <c r="AK41" i="2"/>
  <c r="Y38" i="2"/>
  <c r="Y21" i="2"/>
  <c r="AK102" i="2"/>
  <c r="L55" i="2"/>
  <c r="C76" i="2"/>
  <c r="C92" i="2"/>
  <c r="AO87" i="2"/>
  <c r="U93" i="2"/>
  <c r="AD33" i="2"/>
  <c r="AO89" i="2"/>
  <c r="S18" i="2"/>
  <c r="AO96" i="2"/>
  <c r="AD100" i="2"/>
  <c r="R51" i="2"/>
  <c r="S34" i="2"/>
  <c r="AI18" i="2"/>
  <c r="C46" i="2"/>
  <c r="N109" i="2"/>
  <c r="AI56" i="2"/>
  <c r="U116" i="2"/>
  <c r="Y96" i="2"/>
  <c r="C50" i="2"/>
  <c r="N43" i="2"/>
  <c r="AD96" i="2"/>
  <c r="N99" i="2"/>
  <c r="AD89" i="2"/>
  <c r="U91" i="2"/>
  <c r="S61" i="2"/>
  <c r="AO97" i="2"/>
  <c r="AO80" i="2"/>
  <c r="AK45" i="2"/>
  <c r="N35" i="2"/>
  <c r="AK43" i="2"/>
  <c r="AK73" i="2"/>
  <c r="AD64" i="2"/>
  <c r="AO77" i="2"/>
  <c r="U19" i="2"/>
  <c r="S47" i="2"/>
  <c r="AD42" i="2"/>
  <c r="Y120" i="2"/>
  <c r="U76" i="2"/>
  <c r="AD17" i="2"/>
  <c r="AK29" i="2"/>
  <c r="Y54" i="2"/>
  <c r="S28" i="2"/>
  <c r="U62" i="2"/>
  <c r="AK115" i="2"/>
  <c r="R36" i="2"/>
  <c r="AO101" i="2"/>
  <c r="Y111" i="2"/>
  <c r="L19" i="2"/>
  <c r="Y79" i="2"/>
  <c r="AH4" i="2"/>
  <c r="AD45" i="2"/>
  <c r="U51" i="2"/>
  <c r="AH24" i="2"/>
  <c r="AI19" i="2"/>
  <c r="K38" i="2"/>
  <c r="Y33" i="2"/>
  <c r="AK55" i="2"/>
  <c r="AK80" i="2"/>
  <c r="AI32" i="2"/>
  <c r="AO75" i="2"/>
  <c r="AK98" i="2"/>
  <c r="L23" i="2"/>
  <c r="R16" i="2"/>
  <c r="C111" i="2"/>
  <c r="AO85" i="2"/>
  <c r="N104" i="2"/>
  <c r="N102" i="2"/>
  <c r="R50" i="2"/>
  <c r="N83" i="2"/>
  <c r="AK106" i="2"/>
  <c r="N53" i="2"/>
  <c r="Y44" i="2"/>
  <c r="AD21" i="2"/>
  <c r="S17" i="2"/>
  <c r="C109" i="2"/>
  <c r="Y106" i="2"/>
  <c r="AN106" i="2"/>
  <c r="AG30" i="2"/>
  <c r="X70" i="2"/>
  <c r="Q26" i="2"/>
  <c r="AG93" i="2"/>
  <c r="Q81" i="2"/>
  <c r="AN64" i="2"/>
  <c r="AB96" i="2"/>
  <c r="X28" i="2"/>
  <c r="J92" i="2"/>
  <c r="X48" i="2"/>
  <c r="AG115" i="2"/>
  <c r="AB71" i="2"/>
  <c r="Q103" i="2"/>
  <c r="J35" i="2"/>
  <c r="Q20" i="2"/>
  <c r="AG82" i="2"/>
  <c r="X122" i="2"/>
  <c r="Q78" i="2"/>
  <c r="AN68" i="2"/>
  <c r="AN109" i="2"/>
  <c r="AG65" i="2"/>
  <c r="X97" i="2"/>
  <c r="Q29" i="2"/>
  <c r="AG96" i="2"/>
  <c r="AN43" i="2"/>
  <c r="AB83" i="2"/>
  <c r="X39" i="2"/>
  <c r="J71" i="2"/>
  <c r="AB97" i="2"/>
  <c r="J101" i="2"/>
  <c r="AD82" i="2"/>
  <c r="L37" i="2"/>
  <c r="AO62" i="2"/>
  <c r="N121" i="2"/>
  <c r="AI40" i="2"/>
  <c r="K34" i="2"/>
  <c r="AD102" i="2"/>
  <c r="K21" i="2"/>
  <c r="AO68" i="2"/>
  <c r="AO17" i="2"/>
  <c r="U46" i="2"/>
  <c r="C94" i="2"/>
  <c r="N76" i="2"/>
  <c r="U102" i="2"/>
  <c r="AK54" i="2"/>
  <c r="AO53" i="2"/>
  <c r="N111" i="2"/>
  <c r="AH42" i="2"/>
  <c r="AD52" i="2"/>
  <c r="AD97" i="2"/>
  <c r="C88" i="2"/>
  <c r="C58" i="2"/>
  <c r="AO15" i="2"/>
  <c r="Y74" i="2"/>
  <c r="Y60" i="2"/>
  <c r="Y42" i="2"/>
  <c r="Y82" i="2"/>
  <c r="AD99" i="2"/>
  <c r="AD59" i="2"/>
  <c r="AO79" i="2"/>
  <c r="AD28" i="2"/>
  <c r="U15" i="2"/>
  <c r="R40" i="2"/>
  <c r="AO82" i="2"/>
  <c r="AD94" i="2"/>
  <c r="AH51" i="2"/>
  <c r="AD115" i="2"/>
  <c r="C41" i="2"/>
  <c r="AK56" i="2"/>
  <c r="N74" i="2"/>
  <c r="AH18" i="2"/>
  <c r="L44" i="2"/>
  <c r="S40" i="2"/>
  <c r="AH57" i="2"/>
  <c r="AH52" i="2"/>
  <c r="Y39" i="2"/>
  <c r="Y114" i="2"/>
  <c r="AK86" i="2"/>
  <c r="U29" i="2"/>
  <c r="U92" i="2"/>
  <c r="C42" i="2"/>
  <c r="AK113" i="2"/>
  <c r="U119" i="2"/>
  <c r="N89" i="2"/>
  <c r="N122" i="2"/>
  <c r="R23" i="2"/>
  <c r="K45" i="2"/>
  <c r="AD87" i="2"/>
  <c r="AK53" i="2"/>
  <c r="U110" i="2"/>
  <c r="AO19" i="2"/>
  <c r="Y22" i="2"/>
  <c r="C54" i="2"/>
  <c r="Y46" i="2"/>
  <c r="K52" i="2"/>
  <c r="R37" i="2"/>
  <c r="Y52" i="2"/>
  <c r="U30" i="2"/>
  <c r="N26" i="2"/>
  <c r="AK74" i="2"/>
  <c r="AK31" i="2"/>
  <c r="K53" i="2"/>
  <c r="AK48" i="2"/>
  <c r="Y72" i="2"/>
  <c r="AO84" i="2"/>
  <c r="AD31" i="2"/>
  <c r="AH31" i="2"/>
  <c r="C97" i="2"/>
  <c r="AH45" i="2"/>
  <c r="AO24" i="2"/>
  <c r="AI31" i="2"/>
  <c r="R34" i="2"/>
  <c r="L18" i="2"/>
  <c r="AD84" i="2"/>
  <c r="AD24" i="2"/>
  <c r="AI60" i="2"/>
  <c r="AK35" i="2"/>
  <c r="AD51" i="2"/>
  <c r="AO90" i="2"/>
  <c r="N75" i="2"/>
  <c r="N61" i="2"/>
  <c r="K50" i="2"/>
  <c r="AD73" i="2"/>
  <c r="U43" i="2"/>
  <c r="K31" i="2"/>
  <c r="AD85" i="2"/>
  <c r="AN66" i="2"/>
  <c r="AG22" i="2"/>
  <c r="X54" i="2"/>
  <c r="J94" i="2"/>
  <c r="AG77" i="2"/>
  <c r="Q49" i="2"/>
  <c r="AN24" i="2"/>
  <c r="AB88" i="2"/>
  <c r="Q120" i="2"/>
  <c r="J52" i="2"/>
  <c r="Q116" i="2"/>
  <c r="AG99" i="2"/>
  <c r="AB31" i="2"/>
  <c r="Q95" i="2"/>
  <c r="J19" i="2"/>
  <c r="AN118" i="2"/>
  <c r="AG74" i="2"/>
  <c r="X106" i="2"/>
  <c r="Q38" i="2"/>
  <c r="AN36" i="2"/>
  <c r="AN93" i="2"/>
  <c r="AG25" i="2"/>
  <c r="X89" i="2"/>
  <c r="J121" i="2"/>
  <c r="AB20" i="2"/>
  <c r="AN35" i="2"/>
  <c r="AB67" i="2"/>
  <c r="Q107" i="2"/>
  <c r="J63" i="2"/>
  <c r="AB65" i="2"/>
  <c r="J21" i="2"/>
  <c r="N105" i="2"/>
  <c r="AI61" i="2"/>
  <c r="AD86" i="2"/>
  <c r="U118" i="2"/>
  <c r="N54" i="2"/>
  <c r="C65" i="2"/>
  <c r="N19" i="2"/>
  <c r="K44" i="2"/>
  <c r="AK110" i="2"/>
  <c r="AD19" i="2"/>
  <c r="L20" i="2"/>
  <c r="C32" i="2"/>
  <c r="S33" i="2"/>
  <c r="AK107" i="2"/>
  <c r="Y27" i="2"/>
  <c r="R46" i="2"/>
  <c r="AD22" i="2"/>
  <c r="N91" i="2"/>
  <c r="N108" i="2"/>
  <c r="AD49" i="2"/>
  <c r="C24" i="2"/>
  <c r="C89" i="2"/>
  <c r="Y67" i="2"/>
  <c r="S26" i="2"/>
  <c r="U73" i="2"/>
  <c r="R56" i="2"/>
  <c r="AD69" i="2"/>
  <c r="U16" i="2"/>
  <c r="U60" i="2"/>
  <c r="Y86" i="2"/>
  <c r="AI27" i="2"/>
  <c r="U70" i="2"/>
  <c r="L24" i="2"/>
  <c r="AD119" i="2"/>
  <c r="AK103" i="2"/>
  <c r="C52" i="2"/>
  <c r="K47" i="2"/>
  <c r="C64" i="2"/>
  <c r="Y122" i="2"/>
  <c r="U122" i="2"/>
  <c r="AO65" i="2"/>
  <c r="AI46" i="2"/>
  <c r="K29" i="2"/>
  <c r="N72" i="2"/>
  <c r="Y20" i="2"/>
  <c r="AK49" i="2"/>
  <c r="U53" i="2"/>
  <c r="L58" i="2"/>
  <c r="U57" i="2"/>
  <c r="S35" i="2"/>
  <c r="C33" i="2"/>
  <c r="AH36" i="2"/>
  <c r="U83" i="2"/>
  <c r="AO37" i="2"/>
  <c r="L53" i="2"/>
  <c r="AK117" i="2"/>
  <c r="L56" i="2"/>
  <c r="N65" i="2"/>
  <c r="AD32" i="2"/>
  <c r="Y91" i="2"/>
  <c r="C62" i="2"/>
  <c r="L60" i="2"/>
  <c r="C25" i="2"/>
  <c r="AH34" i="2"/>
  <c r="AH38" i="2"/>
  <c r="AK87" i="2"/>
  <c r="AK37" i="2"/>
  <c r="N28" i="2"/>
  <c r="R18" i="2"/>
  <c r="AO66" i="2"/>
  <c r="N58" i="2"/>
  <c r="Y17" i="2"/>
  <c r="C28" i="2"/>
  <c r="AK112" i="2"/>
  <c r="AO58" i="2"/>
  <c r="Y101" i="2"/>
  <c r="AK79" i="2"/>
  <c r="Y32" i="2"/>
  <c r="K37" i="2"/>
  <c r="AK69" i="2"/>
  <c r="AI29" i="2"/>
  <c r="R44" i="2"/>
  <c r="AD91" i="2"/>
  <c r="U39" i="2"/>
  <c r="Y47" i="2"/>
  <c r="L39" i="2"/>
  <c r="AK121" i="2"/>
  <c r="AI36" i="2"/>
  <c r="Y81" i="2"/>
  <c r="AD76" i="2"/>
  <c r="AO25" i="2"/>
  <c r="R24" i="2"/>
  <c r="R45" i="2"/>
  <c r="AH28" i="2"/>
  <c r="C101" i="2"/>
  <c r="C105" i="2"/>
  <c r="Y95" i="2"/>
  <c r="S31" i="2"/>
  <c r="N63" i="2"/>
  <c r="U18" i="2"/>
  <c r="N85" i="2"/>
  <c r="Y66" i="2"/>
  <c r="AG94" i="2"/>
  <c r="Q90" i="2"/>
  <c r="X85" i="2"/>
  <c r="AG52" i="2"/>
  <c r="Q48" i="2"/>
  <c r="AN71" i="2"/>
  <c r="X59" i="2"/>
  <c r="AB76" i="2"/>
  <c r="AB78" i="2"/>
  <c r="J66" i="2"/>
  <c r="AN21" i="2"/>
  <c r="Q93" i="2"/>
  <c r="AN107" i="2"/>
  <c r="X103" i="2"/>
  <c r="AG117" i="2"/>
  <c r="C39" i="2"/>
  <c r="Y102" i="2"/>
  <c r="AO32" i="2"/>
  <c r="AO100" i="2"/>
  <c r="AO35" i="2"/>
  <c r="U32" i="2"/>
  <c r="AH43" i="2"/>
  <c r="L35" i="2"/>
  <c r="N95" i="2"/>
  <c r="N27" i="2"/>
  <c r="C113" i="2"/>
  <c r="U96" i="2"/>
  <c r="U34" i="2"/>
  <c r="N52" i="2"/>
  <c r="N62" i="2"/>
  <c r="AO43" i="2"/>
  <c r="R20" i="2"/>
  <c r="U48" i="2"/>
  <c r="N49" i="2"/>
  <c r="U79" i="2"/>
  <c r="AD58" i="2"/>
  <c r="AD62" i="2"/>
  <c r="N100" i="2"/>
  <c r="AD50" i="2"/>
  <c r="R60" i="2"/>
  <c r="Y71" i="2"/>
  <c r="AO105" i="2"/>
  <c r="S32" i="2"/>
  <c r="AH53" i="2"/>
  <c r="U17" i="2"/>
  <c r="AI35" i="2"/>
  <c r="U31" i="2"/>
  <c r="AK18" i="2"/>
  <c r="K28" i="2"/>
  <c r="AK25" i="2"/>
  <c r="N117" i="2"/>
  <c r="K54" i="2"/>
  <c r="N78" i="2"/>
  <c r="L51" i="2"/>
  <c r="AO114" i="2"/>
  <c r="U50" i="2"/>
  <c r="AI50" i="2"/>
  <c r="N119" i="2"/>
  <c r="AI57" i="2"/>
  <c r="AK72" i="2"/>
  <c r="AO44" i="2"/>
  <c r="K33" i="2"/>
  <c r="U120" i="2"/>
  <c r="N106" i="2"/>
  <c r="AI59" i="2"/>
  <c r="AO109" i="2"/>
  <c r="N84" i="2"/>
  <c r="AI47" i="2"/>
  <c r="N24" i="2"/>
  <c r="K15" i="2"/>
  <c r="Y37" i="2"/>
  <c r="N42" i="2"/>
  <c r="AO92" i="2"/>
  <c r="AN113" i="2"/>
  <c r="AG72" i="2"/>
  <c r="J99" i="2"/>
  <c r="AB53" i="2"/>
  <c r="Q121" i="2"/>
  <c r="N70" i="2"/>
  <c r="AI49" i="2"/>
  <c r="AD65" i="2"/>
  <c r="K19" i="2"/>
  <c r="AH15" i="2"/>
  <c r="Y15" i="2"/>
  <c r="C36" i="2"/>
  <c r="AK64" i="2"/>
  <c r="AD29" i="2"/>
  <c r="AO94" i="2"/>
  <c r="Y43" i="2"/>
  <c r="U100" i="2"/>
  <c r="AK94" i="2"/>
  <c r="AI34" i="2"/>
  <c r="AO112" i="2"/>
  <c r="X46" i="2"/>
  <c r="Q112" i="2"/>
  <c r="AG34" i="2"/>
  <c r="AB59" i="2"/>
  <c r="AO40" i="2"/>
  <c r="U21" i="2"/>
  <c r="N80" i="2"/>
  <c r="AD108" i="2"/>
  <c r="Y80" i="2"/>
  <c r="N96" i="2"/>
  <c r="AH61" i="2"/>
  <c r="U54" i="2"/>
  <c r="AK83" i="2"/>
  <c r="AO59" i="2"/>
  <c r="AI28" i="2"/>
  <c r="N86" i="2"/>
  <c r="Y63" i="2"/>
  <c r="N87" i="2"/>
  <c r="AN42" i="2"/>
  <c r="Q72" i="2"/>
  <c r="X115" i="2"/>
  <c r="X33" i="2"/>
  <c r="C107" i="2"/>
  <c r="L57" i="2"/>
  <c r="U88" i="2"/>
  <c r="Y70" i="2"/>
  <c r="K35" i="2"/>
  <c r="AO113" i="2"/>
  <c r="AH50" i="2"/>
  <c r="N36" i="2"/>
  <c r="N59" i="2"/>
  <c r="Y24" i="2"/>
  <c r="AI55" i="2"/>
  <c r="L30" i="2"/>
  <c r="AH46" i="2"/>
  <c r="AK93" i="2"/>
  <c r="AG110" i="2"/>
  <c r="AN111" i="2"/>
  <c r="AB118" i="2"/>
  <c r="J16" i="2"/>
  <c r="AN89" i="2"/>
  <c r="C69" i="2"/>
  <c r="Y90" i="2"/>
  <c r="C93" i="2"/>
  <c r="S16" i="2"/>
  <c r="AO103" i="2"/>
  <c r="AK108" i="2"/>
  <c r="AD120" i="2"/>
  <c r="AO118" i="2"/>
  <c r="AO78" i="2"/>
  <c r="S60" i="2"/>
  <c r="AD106" i="2"/>
  <c r="AK90" i="2"/>
  <c r="L17" i="2"/>
  <c r="AB90" i="2"/>
  <c r="J78" i="2"/>
  <c r="Q33" i="2"/>
  <c r="AB48" i="2"/>
  <c r="J36" i="2"/>
  <c r="AG91" i="2"/>
  <c r="Q55" i="2"/>
  <c r="AN102" i="2"/>
  <c r="X98" i="2"/>
  <c r="AB100" i="2"/>
  <c r="AB117" i="2"/>
  <c r="J113" i="2"/>
  <c r="AG103" i="2"/>
  <c r="Q91" i="2"/>
  <c r="AB49" i="2"/>
  <c r="K20" i="2"/>
  <c r="AD41" i="2"/>
  <c r="AD71" i="2"/>
  <c r="R22" i="2"/>
  <c r="AK38" i="2"/>
  <c r="U78" i="2"/>
  <c r="AD103" i="2"/>
  <c r="R48" i="2"/>
  <c r="U107" i="2"/>
  <c r="Y29" i="2"/>
  <c r="C51" i="2"/>
  <c r="AK50" i="2"/>
  <c r="U58" i="2"/>
  <c r="AD27" i="2"/>
  <c r="L33" i="2"/>
  <c r="U63" i="2"/>
  <c r="S49" i="2"/>
  <c r="Y89" i="2"/>
  <c r="N55" i="2"/>
  <c r="AD26" i="2"/>
  <c r="AO121" i="2"/>
  <c r="S58" i="2"/>
  <c r="L50" i="2"/>
  <c r="AI52" i="2"/>
  <c r="AD90" i="2"/>
  <c r="C16" i="2"/>
  <c r="AK119" i="2"/>
  <c r="AH59" i="2"/>
  <c r="U85" i="2"/>
  <c r="K27" i="2"/>
  <c r="Y16" i="2"/>
  <c r="C110" i="2"/>
  <c r="AK82" i="2"/>
  <c r="R47" i="2"/>
  <c r="U82" i="2"/>
  <c r="N88" i="2"/>
  <c r="C68" i="2"/>
  <c r="AK63" i="2"/>
  <c r="AO119" i="2"/>
  <c r="AO70" i="2"/>
  <c r="C80" i="2"/>
  <c r="AI54" i="2"/>
  <c r="N94" i="2"/>
  <c r="L49" i="2"/>
  <c r="R38" i="2"/>
  <c r="N92" i="2"/>
  <c r="N34" i="2"/>
  <c r="AK20" i="2"/>
  <c r="AI45" i="2"/>
  <c r="AK40" i="2"/>
  <c r="AN121" i="2"/>
  <c r="AN38" i="2"/>
  <c r="Q100" i="2"/>
  <c r="Q27" i="2"/>
  <c r="C48" i="2"/>
  <c r="Y85" i="2"/>
  <c r="AI42" i="2"/>
  <c r="L43" i="2"/>
  <c r="AO63" i="2"/>
  <c r="AO34" i="2"/>
  <c r="N22" i="2"/>
  <c r="L36" i="2"/>
  <c r="Y105" i="2"/>
  <c r="AD48" i="2"/>
  <c r="AO23" i="2"/>
  <c r="AO120" i="2"/>
  <c r="AN50" i="2"/>
  <c r="AB15" i="2"/>
  <c r="X32" i="2"/>
  <c r="N23" i="2"/>
  <c r="C79" i="2"/>
  <c r="AK120" i="2"/>
  <c r="N32" i="2"/>
  <c r="C55" i="2"/>
  <c r="R17" i="2"/>
  <c r="N93" i="2"/>
  <c r="AH41" i="2"/>
  <c r="U75" i="2"/>
  <c r="U59" i="2"/>
  <c r="C114" i="2"/>
  <c r="AD55" i="2"/>
  <c r="C119" i="2"/>
  <c r="AB73" i="2"/>
  <c r="AG18" i="2"/>
  <c r="Q108" i="2"/>
  <c r="AO42" i="2"/>
  <c r="AD83" i="2"/>
  <c r="S57" i="2"/>
  <c r="N66" i="2"/>
  <c r="AD30" i="2"/>
  <c r="S56" i="2"/>
  <c r="AD60" i="2"/>
  <c r="K55" i="2"/>
  <c r="Y69" i="2"/>
  <c r="AO60" i="2"/>
  <c r="N21" i="2"/>
  <c r="C106" i="2"/>
  <c r="AO47" i="2"/>
  <c r="AG68" i="2"/>
  <c r="X75" i="2"/>
  <c r="X25" i="2"/>
  <c r="Y119" i="2"/>
  <c r="Y56" i="2"/>
  <c r="AH60" i="2"/>
  <c r="AK24" i="2"/>
  <c r="Y103" i="2"/>
  <c r="AD46" i="2"/>
  <c r="AK122" i="2"/>
  <c r="N50" i="2"/>
  <c r="C84" i="2"/>
  <c r="N110" i="2"/>
  <c r="U80" i="2"/>
  <c r="AB74" i="2"/>
  <c r="J70" i="2"/>
  <c r="J61" i="2"/>
  <c r="AB32" i="2"/>
  <c r="J28" i="2"/>
  <c r="AG51" i="2"/>
  <c r="Q39" i="2"/>
  <c r="AN94" i="2"/>
  <c r="X58" i="2"/>
  <c r="AB44" i="2"/>
  <c r="AB109" i="2"/>
  <c r="J73" i="2"/>
  <c r="AG87" i="2"/>
  <c r="Q83" i="2"/>
  <c r="X69" i="2"/>
  <c r="U27" i="2"/>
  <c r="Y40" i="2"/>
  <c r="AO38" i="2"/>
  <c r="S21" i="2"/>
  <c r="AO99" i="2"/>
  <c r="AK33" i="2"/>
  <c r="AD77" i="2"/>
  <c r="N114" i="2"/>
  <c r="K42" i="2"/>
  <c r="AI48" i="2"/>
  <c r="C71" i="2"/>
  <c r="S43" i="2"/>
  <c r="U114" i="2"/>
  <c r="AD92" i="2"/>
  <c r="AD44" i="2"/>
  <c r="Y59" i="2"/>
  <c r="AO21" i="2"/>
  <c r="K56" i="2"/>
  <c r="AK85" i="2"/>
  <c r="Y62" i="2"/>
  <c r="K46" i="2"/>
  <c r="Y48" i="2"/>
  <c r="AI20" i="2"/>
  <c r="AK51" i="2"/>
  <c r="AH17" i="2"/>
  <c r="C47" i="2"/>
  <c r="U105" i="2"/>
  <c r="U44" i="2"/>
  <c r="Y68" i="2"/>
  <c r="N64" i="2"/>
  <c r="N77" i="2"/>
  <c r="C86" i="2"/>
  <c r="AK65" i="2"/>
  <c r="U71" i="2"/>
  <c r="R27" i="2"/>
  <c r="AK109" i="2"/>
  <c r="L42" i="2"/>
  <c r="AD122" i="2"/>
  <c r="AO83" i="2"/>
  <c r="Y65" i="2"/>
  <c r="AD105" i="2"/>
  <c r="Y58" i="2"/>
  <c r="K61" i="2"/>
  <c r="N48" i="2"/>
  <c r="AK116" i="2"/>
  <c r="Y35" i="2"/>
  <c r="R49" i="2"/>
  <c r="Y75" i="2"/>
  <c r="AD75" i="2"/>
  <c r="AK118" i="2"/>
  <c r="S44" i="2"/>
  <c r="AD110" i="2"/>
  <c r="L38" i="2"/>
  <c r="K59" i="2"/>
  <c r="J49" i="2"/>
  <c r="Y87" i="2"/>
  <c r="AD107" i="2"/>
  <c r="AO74" i="2"/>
  <c r="AD72" i="2"/>
  <c r="N69" i="2"/>
  <c r="AI25" i="2"/>
  <c r="K41" i="2"/>
  <c r="K57" i="2"/>
  <c r="C59" i="2"/>
  <c r="Y53" i="2"/>
  <c r="U56" i="2"/>
  <c r="AG116" i="2"/>
  <c r="AN108" i="2"/>
  <c r="AN85" i="2"/>
  <c r="J23" i="2"/>
  <c r="AD39" i="2"/>
  <c r="S45" i="2"/>
  <c r="AK16" i="2"/>
  <c r="N81" i="2"/>
  <c r="Y36" i="2"/>
  <c r="AD43" i="2"/>
  <c r="AI26" i="2"/>
  <c r="K24" i="2"/>
  <c r="AH56" i="2"/>
  <c r="Y28" i="2"/>
  <c r="AK71" i="2"/>
  <c r="N113" i="2"/>
  <c r="AG108" i="2"/>
  <c r="J122" i="2"/>
  <c r="AB19" i="2"/>
  <c r="U40" i="2"/>
  <c r="C15" i="2"/>
  <c r="C66" i="2"/>
  <c r="AK27" i="2"/>
  <c r="C45" i="2"/>
  <c r="AK21" i="2"/>
  <c r="U41" i="2"/>
  <c r="AK32" i="2"/>
  <c r="L59" i="2"/>
  <c r="C122" i="2"/>
  <c r="AO72" i="2"/>
  <c r="AK15" i="2"/>
  <c r="S23" i="2"/>
  <c r="AB57" i="2"/>
  <c r="J82" i="2"/>
  <c r="C30" i="2"/>
  <c r="U101" i="2"/>
  <c r="AK23" i="2"/>
  <c r="U106" i="2"/>
  <c r="AO107" i="2"/>
  <c r="AO41" i="2"/>
  <c r="AD80" i="2"/>
  <c r="U42" i="2"/>
  <c r="AK105" i="2"/>
  <c r="N73" i="2"/>
  <c r="Y23" i="2"/>
  <c r="AO16" i="2"/>
  <c r="R61" i="2"/>
  <c r="AB66" i="2"/>
  <c r="J30" i="2"/>
  <c r="J29" i="2"/>
  <c r="AB24" i="2"/>
  <c r="AN28" i="2"/>
  <c r="AG35" i="2"/>
  <c r="Q31" i="2"/>
  <c r="AN54" i="2"/>
  <c r="X42" i="2"/>
  <c r="X120" i="2"/>
  <c r="AB69" i="2"/>
  <c r="J57" i="2"/>
  <c r="AG79" i="2"/>
  <c r="Q43" i="2"/>
  <c r="X37" i="2"/>
  <c r="Y61" i="2"/>
  <c r="C102" i="2"/>
  <c r="AD54" i="2"/>
  <c r="AO22" i="2"/>
  <c r="Y100" i="2"/>
  <c r="R26" i="2"/>
  <c r="K25" i="2"/>
  <c r="Y41" i="2"/>
  <c r="N47" i="2"/>
  <c r="AD18" i="2"/>
  <c r="C118" i="2"/>
  <c r="K26" i="2"/>
  <c r="S50" i="2"/>
  <c r="AI53" i="2"/>
  <c r="N20" i="2"/>
  <c r="U65" i="2"/>
  <c r="AD93" i="2"/>
  <c r="L25" i="2"/>
  <c r="U66" i="2"/>
  <c r="U98" i="2"/>
  <c r="AI41" i="2"/>
  <c r="Y94" i="2"/>
  <c r="AO54" i="2"/>
  <c r="AH27" i="2"/>
  <c r="C91" i="2"/>
  <c r="C37" i="2"/>
  <c r="U33" i="2"/>
  <c r="N82" i="2"/>
  <c r="K18" i="2"/>
  <c r="Y19" i="2"/>
  <c r="Y97" i="2"/>
  <c r="C29" i="2"/>
  <c r="AD101" i="2"/>
  <c r="AD114" i="2"/>
  <c r="AK95" i="2"/>
  <c r="AK22" i="2"/>
  <c r="AO115" i="2"/>
  <c r="K49" i="2"/>
  <c r="Y64" i="2"/>
  <c r="AO95" i="2"/>
  <c r="AD40" i="2"/>
  <c r="U112" i="2"/>
  <c r="N116" i="2"/>
  <c r="U28" i="2"/>
  <c r="Y76" i="2"/>
  <c r="L29" i="2"/>
  <c r="Y110" i="2"/>
  <c r="Y113" i="2"/>
  <c r="AO28" i="2"/>
  <c r="AK52" i="2"/>
  <c r="S15" i="2"/>
  <c r="AO67" i="2"/>
  <c r="L21" i="2"/>
  <c r="R33" i="2"/>
  <c r="AB26" i="2"/>
  <c r="X92" i="2"/>
  <c r="AG27" i="2"/>
  <c r="X34" i="2"/>
  <c r="AG39" i="2"/>
  <c r="AI23" i="2"/>
  <c r="U104" i="2"/>
  <c r="S59" i="2"/>
  <c r="C117" i="2"/>
  <c r="AD35" i="2"/>
  <c r="K39" i="2"/>
  <c r="AD79" i="2"/>
  <c r="U23" i="2"/>
  <c r="K40" i="2"/>
  <c r="AH29" i="2"/>
  <c r="AI51" i="2"/>
  <c r="AD121" i="2"/>
  <c r="AO64" i="2"/>
  <c r="U45" i="2"/>
  <c r="N29" i="2"/>
  <c r="AO102" i="2"/>
  <c r="AB105" i="2"/>
  <c r="J64" i="2"/>
  <c r="Q22" i="2"/>
  <c r="X49" i="2"/>
  <c r="C34" i="2"/>
  <c r="C104" i="2"/>
  <c r="L61" i="2"/>
  <c r="C72" i="2"/>
  <c r="AK104" i="2"/>
  <c r="C19" i="2"/>
  <c r="AO117" i="2"/>
  <c r="Y78" i="2"/>
  <c r="S42" i="2"/>
  <c r="AD53" i="2"/>
  <c r="AD66" i="2"/>
  <c r="AH32" i="2"/>
  <c r="AH55" i="2"/>
  <c r="S41" i="2"/>
  <c r="U35" i="2"/>
  <c r="L52" i="2"/>
  <c r="Q114" i="2"/>
  <c r="AN119" i="2"/>
  <c r="AG48" i="2"/>
  <c r="AN45" i="2"/>
  <c r="AN105" i="2"/>
  <c r="C40" i="2"/>
  <c r="Y18" i="2"/>
  <c r="C63" i="2"/>
  <c r="N37" i="2"/>
  <c r="L28" i="2"/>
  <c r="AO73" i="2"/>
  <c r="S22" i="2"/>
  <c r="U55" i="2"/>
  <c r="AK84" i="2"/>
  <c r="S29" i="2"/>
  <c r="N120" i="2"/>
  <c r="C99" i="2"/>
  <c r="N107" i="2"/>
  <c r="AO36" i="2"/>
  <c r="Q98" i="2"/>
  <c r="Q56" i="2"/>
  <c r="AB108" i="2"/>
  <c r="AN29" i="2"/>
  <c r="X111" i="2"/>
  <c r="AK17" i="2"/>
  <c r="AI16" i="2"/>
  <c r="C78" i="2"/>
  <c r="AO61" i="2"/>
  <c r="U81" i="2"/>
  <c r="AD118" i="2"/>
  <c r="N56" i="2"/>
  <c r="AK111" i="2"/>
  <c r="AO49" i="2"/>
  <c r="N16" i="2"/>
  <c r="R52" i="2"/>
  <c r="AD38" i="2"/>
  <c r="Y4" i="2"/>
  <c r="N18" i="2"/>
  <c r="U38" i="2"/>
  <c r="AO98" i="2"/>
  <c r="N98" i="2"/>
  <c r="K8" i="2" l="1"/>
  <c r="K10" i="2" s="1"/>
  <c r="N9" i="2"/>
  <c r="L8" i="2"/>
  <c r="L10" i="2" s="1"/>
  <c r="N8" i="2"/>
  <c r="J8" i="2"/>
  <c r="J9" i="2"/>
  <c r="B8" i="2"/>
  <c r="AM8" i="2"/>
  <c r="AA8" i="2"/>
  <c r="P8" i="2"/>
  <c r="AP10" i="2"/>
  <c r="AN8" i="2"/>
  <c r="AE10" i="2"/>
  <c r="Z10" i="2"/>
  <c r="AG8" i="2"/>
  <c r="AC9" i="2"/>
  <c r="AB9" i="2"/>
  <c r="I12" i="3" s="1"/>
  <c r="C9" i="2"/>
  <c r="Q8" i="2"/>
  <c r="X8" i="2"/>
  <c r="X9" i="2"/>
  <c r="Q9" i="2"/>
  <c r="AN9" i="2"/>
  <c r="C8" i="2"/>
  <c r="H4" i="3" s="1"/>
  <c r="AG9" i="2"/>
  <c r="AB8" i="2"/>
  <c r="J16" i="3"/>
  <c r="J10" i="3"/>
  <c r="J8" i="3"/>
  <c r="K16" i="3"/>
  <c r="K14" i="3"/>
  <c r="K12" i="3"/>
  <c r="K10" i="3"/>
  <c r="K8" i="3"/>
  <c r="K6" i="3"/>
  <c r="K4" i="3"/>
  <c r="F6" i="3"/>
  <c r="F4" i="3"/>
  <c r="L5" i="3"/>
  <c r="J14" i="3"/>
  <c r="J12" i="3"/>
  <c r="J6" i="3"/>
  <c r="J4" i="3"/>
  <c r="F14" i="3"/>
  <c r="F8" i="3"/>
  <c r="L15" i="3"/>
  <c r="L13" i="3"/>
  <c r="F28" i="5"/>
  <c r="D28" i="5"/>
  <c r="C28" i="5"/>
  <c r="F24" i="5"/>
  <c r="C24" i="5"/>
  <c r="F20" i="5"/>
  <c r="D20" i="5"/>
  <c r="F16" i="5"/>
  <c r="C16" i="5"/>
  <c r="F12" i="5"/>
  <c r="C12" i="5"/>
  <c r="F8" i="5"/>
  <c r="C4" i="5"/>
  <c r="L9" i="3"/>
  <c r="L11" i="3" l="1"/>
  <c r="L17" i="3"/>
  <c r="G28" i="5"/>
  <c r="H28" i="5" s="1"/>
  <c r="J10" i="2"/>
  <c r="N10" i="2"/>
  <c r="D6" i="3"/>
  <c r="L7" i="3"/>
  <c r="AC10" i="2"/>
  <c r="G12" i="3" s="1"/>
  <c r="AG10" i="2"/>
  <c r="AN10" i="2"/>
  <c r="AB10" i="2"/>
  <c r="C10" i="2"/>
  <c r="Q10" i="2"/>
  <c r="X10" i="2"/>
  <c r="D12" i="5"/>
  <c r="I8" i="3"/>
  <c r="Y5" i="5"/>
  <c r="E16" i="5"/>
  <c r="E4" i="5"/>
  <c r="X11" i="5"/>
  <c r="D16" i="5"/>
  <c r="E20" i="5"/>
  <c r="G20" i="5" s="1"/>
  <c r="H20" i="5" s="1"/>
  <c r="Y10" i="5"/>
  <c r="H8" i="3"/>
  <c r="I16" i="3"/>
  <c r="I14" i="3"/>
  <c r="Y9" i="5"/>
  <c r="D8" i="5"/>
  <c r="E12" i="5"/>
  <c r="I10" i="3"/>
  <c r="D4" i="5"/>
  <c r="E8" i="5"/>
  <c r="I4" i="3"/>
  <c r="T11" i="5"/>
  <c r="W11" i="5"/>
  <c r="Y8" i="5"/>
  <c r="D24" i="5"/>
  <c r="E28" i="5"/>
  <c r="C20" i="5"/>
  <c r="I6" i="3"/>
  <c r="V11" i="5"/>
  <c r="E24" i="5"/>
  <c r="F4" i="5"/>
  <c r="C8" i="5"/>
  <c r="Y4" i="5"/>
  <c r="Y6" i="5"/>
  <c r="Y7" i="5"/>
  <c r="R11" i="5"/>
  <c r="S11" i="5"/>
  <c r="U11" i="5"/>
  <c r="G107" i="2"/>
  <c r="G96" i="2"/>
  <c r="E43" i="2"/>
  <c r="G23" i="2"/>
  <c r="G80" i="2"/>
  <c r="G72" i="2"/>
  <c r="D42" i="2"/>
  <c r="G48" i="2"/>
  <c r="E20" i="2"/>
  <c r="G60" i="2"/>
  <c r="D34" i="2"/>
  <c r="G116" i="2"/>
  <c r="D48" i="2"/>
  <c r="D53" i="2"/>
  <c r="E28" i="2"/>
  <c r="D33" i="2"/>
  <c r="E32" i="2"/>
  <c r="D30" i="2"/>
  <c r="G82" i="2"/>
  <c r="D31" i="2"/>
  <c r="G69" i="2"/>
  <c r="G65" i="2"/>
  <c r="G73" i="2"/>
  <c r="G21" i="2"/>
  <c r="G27" i="2"/>
  <c r="G88" i="2"/>
  <c r="G20" i="2"/>
  <c r="E41" i="2"/>
  <c r="D39" i="2"/>
  <c r="D18" i="2"/>
  <c r="G75" i="2"/>
  <c r="G64" i="2"/>
  <c r="E48" i="2"/>
  <c r="D50" i="2"/>
  <c r="G94" i="2"/>
  <c r="D52" i="2"/>
  <c r="D54" i="2"/>
  <c r="E34" i="2"/>
  <c r="E36" i="2"/>
  <c r="E24" i="2"/>
  <c r="G31" i="2"/>
  <c r="D29" i="2"/>
  <c r="G91" i="2"/>
  <c r="E50" i="2"/>
  <c r="G114" i="2"/>
  <c r="G16" i="2"/>
  <c r="E31" i="2"/>
  <c r="D27" i="2"/>
  <c r="D59" i="2"/>
  <c r="D32" i="2"/>
  <c r="G37" i="2"/>
  <c r="E21" i="2"/>
  <c r="G95" i="2"/>
  <c r="G89" i="2"/>
  <c r="E44" i="2"/>
  <c r="D46" i="2"/>
  <c r="D26" i="2"/>
  <c r="G49" i="2"/>
  <c r="G59" i="2"/>
  <c r="E49" i="2"/>
  <c r="E35" i="2"/>
  <c r="G53" i="2"/>
  <c r="D57" i="2"/>
  <c r="E26" i="2"/>
  <c r="D24" i="2"/>
  <c r="G33" i="2"/>
  <c r="D4" i="2"/>
  <c r="E23" i="2"/>
  <c r="G81" i="2"/>
  <c r="G76" i="2"/>
  <c r="G106" i="2"/>
  <c r="G110" i="2"/>
  <c r="G62" i="2"/>
  <c r="G39" i="2"/>
  <c r="G109" i="2"/>
  <c r="G71" i="2"/>
  <c r="D61" i="2"/>
  <c r="D47" i="2"/>
  <c r="G92" i="2"/>
  <c r="D56" i="2"/>
  <c r="G78" i="2"/>
  <c r="E55" i="2"/>
  <c r="E53" i="2"/>
  <c r="G54" i="2"/>
  <c r="G66" i="2"/>
  <c r="D41" i="2"/>
  <c r="G83" i="2"/>
  <c r="E51" i="2"/>
  <c r="D43" i="2"/>
  <c r="E33" i="2"/>
  <c r="G67" i="2"/>
  <c r="G93" i="2"/>
  <c r="G57" i="2"/>
  <c r="E52" i="2"/>
  <c r="G40" i="2"/>
  <c r="G43" i="2"/>
  <c r="G32" i="2"/>
  <c r="E27" i="2"/>
  <c r="G63" i="2"/>
  <c r="G68" i="2"/>
  <c r="D25" i="2"/>
  <c r="D58" i="2"/>
  <c r="G113" i="2"/>
  <c r="G35" i="2"/>
  <c r="G101" i="2"/>
  <c r="G98" i="2"/>
  <c r="E57" i="2"/>
  <c r="E30" i="2"/>
  <c r="D28" i="2"/>
  <c r="G117" i="2"/>
  <c r="G90" i="2"/>
  <c r="G118" i="2"/>
  <c r="G18" i="2"/>
  <c r="D36" i="2"/>
  <c r="D49" i="2"/>
  <c r="G111" i="2"/>
  <c r="G42" i="2"/>
  <c r="G36" i="2"/>
  <c r="D15" i="2"/>
  <c r="D40" i="2"/>
  <c r="G100" i="2"/>
  <c r="G70" i="2"/>
  <c r="E25" i="2"/>
  <c r="G120" i="2"/>
  <c r="G84" i="2"/>
  <c r="G102" i="2"/>
  <c r="G34" i="2"/>
  <c r="E58" i="2"/>
  <c r="E56" i="2"/>
  <c r="E54" i="2"/>
  <c r="D23" i="2"/>
  <c r="G46" i="2"/>
  <c r="D35" i="2"/>
  <c r="G51" i="2"/>
  <c r="G99" i="2"/>
  <c r="E42" i="2"/>
  <c r="G17" i="2"/>
  <c r="G30" i="2"/>
  <c r="E46" i="2"/>
  <c r="G26" i="2"/>
  <c r="G103" i="2"/>
  <c r="G61" i="2"/>
  <c r="G108" i="2"/>
  <c r="G22" i="2"/>
  <c r="D19" i="2"/>
  <c r="G119" i="2"/>
  <c r="E19" i="2"/>
  <c r="G50" i="2"/>
  <c r="E45" i="2"/>
  <c r="G58" i="2"/>
  <c r="E47" i="2"/>
  <c r="G52" i="2"/>
  <c r="E17" i="2"/>
  <c r="G41" i="2"/>
  <c r="G28" i="2"/>
  <c r="D37" i="2"/>
  <c r="G86" i="2"/>
  <c r="G25" i="2"/>
  <c r="G45" i="2"/>
  <c r="E39" i="2"/>
  <c r="E18" i="2"/>
  <c r="G105" i="2"/>
  <c r="G121" i="2"/>
  <c r="G47" i="2"/>
  <c r="E60" i="2"/>
  <c r="G79" i="2"/>
  <c r="D22" i="2"/>
  <c r="G122" i="2"/>
  <c r="G29" i="2"/>
  <c r="G85" i="2"/>
  <c r="D44" i="2"/>
  <c r="E38" i="2"/>
  <c r="G87" i="2"/>
  <c r="E29" i="2"/>
  <c r="G74" i="2"/>
  <c r="G115" i="2"/>
  <c r="D20" i="2"/>
  <c r="E37" i="2"/>
  <c r="G15" i="2"/>
  <c r="D38" i="2"/>
  <c r="D55" i="2"/>
  <c r="G24" i="2"/>
  <c r="G104" i="2"/>
  <c r="E15" i="2"/>
  <c r="E61" i="2"/>
  <c r="E16" i="2"/>
  <c r="E59" i="2"/>
  <c r="D21" i="2"/>
  <c r="D16" i="2"/>
  <c r="G77" i="2"/>
  <c r="D45" i="2"/>
  <c r="G97" i="2"/>
  <c r="G55" i="2"/>
  <c r="G44" i="2"/>
  <c r="G56" i="2"/>
  <c r="D51" i="2"/>
  <c r="D60" i="2"/>
  <c r="D17" i="2"/>
  <c r="G112" i="2"/>
  <c r="E22" i="2"/>
  <c r="G19" i="2"/>
  <c r="E40" i="2"/>
  <c r="G38" i="2"/>
  <c r="G24" i="5" l="1"/>
  <c r="H24" i="5" s="1"/>
  <c r="AF10" i="2" s="1"/>
  <c r="AF9" i="2" s="1"/>
  <c r="G16" i="5"/>
  <c r="H16" i="5" s="1"/>
  <c r="W10" i="2" s="1"/>
  <c r="W9" i="2" s="1"/>
  <c r="G8" i="5"/>
  <c r="H8" i="5" s="1"/>
  <c r="I10" i="2" s="1"/>
  <c r="I9" i="2" s="1"/>
  <c r="G12" i="5"/>
  <c r="H12" i="5" s="1"/>
  <c r="P10" i="2" s="1"/>
  <c r="P9" i="2" s="1"/>
  <c r="AM10" i="2"/>
  <c r="AM9" i="2" s="1"/>
  <c r="AD8" i="2"/>
  <c r="G6" i="3"/>
  <c r="AO8" i="2"/>
  <c r="AI8" i="2"/>
  <c r="AH8" i="2"/>
  <c r="C14" i="3" s="1"/>
  <c r="Y9" i="2"/>
  <c r="AK9" i="2"/>
  <c r="G9" i="2"/>
  <c r="G14" i="3"/>
  <c r="R8" i="2"/>
  <c r="C8" i="3" s="1"/>
  <c r="S8" i="2"/>
  <c r="U9" i="2"/>
  <c r="E8" i="2"/>
  <c r="E4" i="3" s="1"/>
  <c r="AD9" i="2"/>
  <c r="U8" i="2"/>
  <c r="AO9" i="2"/>
  <c r="G8" i="3"/>
  <c r="Y8" i="2"/>
  <c r="G16" i="3"/>
  <c r="G8" i="2"/>
  <c r="G10" i="3"/>
  <c r="AK8" i="2"/>
  <c r="D8" i="2"/>
  <c r="C4" i="3" s="1"/>
  <c r="AA10" i="2"/>
  <c r="AA9" i="2" s="1"/>
  <c r="G4" i="5"/>
  <c r="H4" i="5" s="1"/>
  <c r="B10" i="2" s="1"/>
  <c r="B9" i="2" s="1"/>
  <c r="H16" i="3"/>
  <c r="Y11" i="5"/>
  <c r="H6" i="3"/>
  <c r="H14" i="3"/>
  <c r="H10" i="3"/>
  <c r="H12" i="3"/>
  <c r="L12" i="3" s="1"/>
  <c r="E6" i="3"/>
  <c r="L16" i="3" l="1"/>
  <c r="AH9" i="2"/>
  <c r="AD10" i="2"/>
  <c r="S10" i="2"/>
  <c r="R9" i="2"/>
  <c r="R10" i="2" s="1"/>
  <c r="G10" i="2"/>
  <c r="E10" i="2"/>
  <c r="E8" i="3"/>
  <c r="AK10" i="2"/>
  <c r="U10" i="2"/>
  <c r="D9" i="2"/>
  <c r="D10" i="2" s="1"/>
  <c r="AI10" i="2"/>
  <c r="E14" i="3"/>
  <c r="Y10" i="2"/>
  <c r="L10" i="3"/>
  <c r="AO10" i="2"/>
  <c r="C6" i="3"/>
  <c r="L6" i="3" s="1"/>
  <c r="D8" i="3" l="1"/>
  <c r="L8" i="3" s="1"/>
  <c r="AH10" i="2"/>
  <c r="D14" i="3"/>
  <c r="L14" i="3" s="1"/>
  <c r="D4" i="3"/>
  <c r="G4" i="3"/>
  <c r="L4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tc={1164DBE1-DE77-4A00-815E-51F8BFD51909}</author>
  </authors>
  <commentList>
    <comment ref="G12" authorId="0" shapeId="0" xr:uid="{1164DBE1-DE77-4A00-815E-51F8BFD519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<sst xmlns="http://schemas.openxmlformats.org/spreadsheetml/2006/main" count="789" uniqueCount="298">
  <si>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</si>
  <si>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</si>
  <si>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</si>
  <si>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</si>
  <si>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</si>
  <si>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</si>
  <si>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</si>
  <si>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</si>
  <si>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</si>
  <si>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</si>
  <si>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</si>
  <si>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</si>
  <si>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</si>
  <si>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</si>
  <si>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</si>
  <si>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</si>
  <si>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</si>
  <si>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</si>
  <si>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</si>
  <si>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</si>
  <si>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</si>
  <si>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</si>
  <si>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</si>
  <si>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</si>
  <si>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</si>
  <si>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</si>
  <si>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</si>
  <si>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</si>
  <si>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</si>
  <si>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</si>
  <si>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</si>
  <si>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</si>
  <si>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</si>
  <si>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</si>
  <si>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</si>
  <si>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</si>
  <si>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</si>
  <si>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</si>
  <si>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</si>
  <si>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</si>
  <si>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</si>
  <si>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</si>
  <si>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</si>
  <si>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</si>
  <si>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</si>
  <si>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 xml:space="preserve">  - 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</si>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</sst>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64" formatCode="dd/mmm/yyyy"/>
  </numFmts>
  <fonts count="1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sz val="9"/>
      <color indexed="81"/>
      <name val="Segoe UI"/>
      <charset val="1"/>
    </font>
  </fonts>
  <fills count="2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thin">
        <color auto="1"/>
      </right>
      <top style="hair">
        <color theme="0" tint="-0.1499679555650502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63">
    <xf numFmtId="0" fontId="0" fillId="0" borderId="0" xfId="0"/>
    <xf numFmtId="164" fontId="1" fillId="2" borderId="0" xfId="1" applyNumberFormat="1" applyFont="1" applyFill="1" applyAlignment="1">
      <alignment horizontal="center" vertical="center"/>
    </xf>
    <xf numFmtId="0" fontId="5" fillId="3" borderId="1" xfId="1" applyFont="1" applyFill="1" applyBorder="1" applyAlignment="1">
      <alignment horizontal="centerContinuous"/>
    </xf>
    <xf numFmtId="0" fontId="5" fillId="3" borderId="2" xfId="1" applyFont="1" applyFill="1" applyBorder="1" applyAlignment="1">
      <alignment horizontal="centerContinuous"/>
    </xf>
    <xf numFmtId="0" fontId="5" fillId="3" borderId="0" xfId="1" applyFont="1" applyFill="1" applyAlignment="1">
      <alignment horizontal="centerContinuous"/>
    </xf>
    <xf numFmtId="0" fontId="5" fillId="3" borderId="3" xfId="1" applyFont="1" applyFill="1" applyBorder="1" applyAlignment="1">
      <alignment horizontal="centerContinuous"/>
    </xf>
    <xf numFmtId="0" fontId="4" fillId="0" borderId="0" xfId="1"/>
    <xf numFmtId="0" fontId="6" fillId="4" borderId="4" xfId="1" applyFont="1" applyFill="1" applyBorder="1"/>
    <xf numFmtId="0" fontId="4" fillId="4" borderId="0" xfId="1" applyFill="1"/>
    <xf numFmtId="41" fontId="7" fillId="4" borderId="5" xfId="1" applyNumberFormat="1" applyFont="1" applyFill="1" applyBorder="1" applyAlignment="1">
      <alignment horizontal="center" vertical="center"/>
    </xf>
    <xf numFmtId="0" fontId="4" fillId="0" borderId="6" xfId="1" applyBorder="1"/>
    <xf numFmtId="0" fontId="4" fillId="4" borderId="7" xfId="1" applyFill="1" applyBorder="1"/>
    <xf numFmtId="164" fontId="8" fillId="5" borderId="4" xfId="1" applyNumberFormat="1" applyFont="1" applyFill="1" applyBorder="1"/>
    <xf numFmtId="0" fontId="4" fillId="5" borderId="0" xfId="1" applyFill="1"/>
    <xf numFmtId="0" fontId="7" fillId="5" borderId="5" xfId="1" applyFont="1" applyFill="1" applyBorder="1" applyAlignment="1">
      <alignment horizontal="center" vertical="center"/>
    </xf>
    <xf numFmtId="0" fontId="4" fillId="5" borderId="7" xfId="1" applyFill="1" applyBorder="1"/>
    <xf numFmtId="0" fontId="4" fillId="0" borderId="4" xfId="1" applyBorder="1"/>
    <xf numFmtId="164" fontId="8" fillId="5" borderId="8" xfId="1" applyNumberFormat="1" applyFont="1" applyFill="1" applyBorder="1"/>
    <xf numFmtId="0" fontId="4" fillId="5" borderId="9" xfId="1" applyFill="1" applyBorder="1"/>
    <xf numFmtId="0" fontId="7" fillId="5" borderId="10" xfId="1" applyFont="1" applyFill="1" applyBorder="1" applyAlignment="1">
      <alignment horizontal="center" vertical="center"/>
    </xf>
    <xf numFmtId="0" fontId="4" fillId="0" borderId="11" xfId="1" applyBorder="1"/>
    <xf numFmtId="0" fontId="4" fillId="5" borderId="12" xfId="1" applyFill="1" applyBorder="1"/>
    <xf numFmtId="164" fontId="2" fillId="0" borderId="8" xfId="1" applyNumberFormat="1" applyFont="1" applyBorder="1"/>
    <xf numFmtId="0" fontId="4" fillId="0" borderId="12" xfId="1" applyBorder="1"/>
    <xf numFmtId="0" fontId="6" fillId="0" borderId="0" xfId="1" applyFont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5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14" fontId="4" fillId="0" borderId="17" xfId="1" applyNumberFormat="1" applyBorder="1" applyAlignment="1">
      <alignment horizontal="center" vertical="center" wrapText="1"/>
    </xf>
    <xf numFmtId="14" fontId="4" fillId="0" borderId="18" xfId="1" applyNumberFormat="1" applyBorder="1" applyAlignment="1">
      <alignment horizontal="center" vertical="center" wrapText="1"/>
    </xf>
    <xf numFmtId="0" fontId="4" fillId="0" borderId="19" xfId="1" applyBorder="1" applyAlignment="1">
      <alignment horizontal="center" vertical="center" wrapText="1"/>
    </xf>
    <xf numFmtId="0" fontId="4" fillId="0" borderId="20" xfId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1" fontId="4" fillId="6" borderId="17" xfId="1" applyNumberFormat="1" applyFill="1" applyBorder="1" applyAlignment="1">
      <alignment horizontal="center" vertical="center"/>
    </xf>
    <xf numFmtId="43" fontId="4" fillId="6" borderId="18" xfId="1" applyNumberFormat="1" applyFill="1" applyBorder="1" applyAlignment="1">
      <alignment horizontal="center" vertical="center"/>
    </xf>
    <xf numFmtId="43" fontId="4" fillId="6" borderId="19" xfId="1" applyNumberFormat="1" applyFill="1" applyBorder="1" applyAlignment="1">
      <alignment horizontal="center" vertical="center"/>
    </xf>
    <xf numFmtId="43" fontId="4" fillId="6" borderId="20" xfId="1" applyNumberFormat="1" applyFill="1" applyBorder="1" applyAlignment="1">
      <alignment horizontal="center" vertical="center"/>
    </xf>
    <xf numFmtId="43" fontId="4" fillId="7" borderId="18" xfId="1" applyNumberFormat="1" applyFill="1" applyBorder="1" applyAlignment="1">
      <alignment horizontal="center" vertical="center"/>
    </xf>
    <xf numFmtId="1" fontId="4" fillId="7" borderId="17" xfId="1" applyNumberFormat="1" applyFill="1" applyBorder="1" applyAlignment="1">
      <alignment horizontal="center" vertical="center"/>
    </xf>
    <xf numFmtId="43" fontId="4" fillId="7" borderId="21" xfId="1" applyNumberFormat="1" applyFill="1" applyBorder="1" applyAlignment="1">
      <alignment horizontal="center" vertical="center"/>
    </xf>
    <xf numFmtId="43" fontId="4" fillId="7" borderId="22" xfId="1" applyNumberFormat="1" applyFill="1" applyBorder="1" applyAlignment="1">
      <alignment horizontal="center" vertical="center"/>
    </xf>
    <xf numFmtId="43" fontId="4" fillId="7" borderId="23" xfId="1" applyNumberFormat="1" applyFill="1" applyBorder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43" fontId="3" fillId="8" borderId="24" xfId="1" applyNumberFormat="1" applyFont="1" applyFill="1" applyBorder="1" applyAlignment="1">
      <alignment horizontal="center" vertical="center"/>
    </xf>
    <xf numFmtId="43" fontId="3" fillId="8" borderId="25" xfId="1" applyNumberFormat="1" applyFont="1" applyFill="1" applyBorder="1" applyAlignment="1">
      <alignment horizontal="center" vertical="center"/>
    </xf>
    <xf numFmtId="43" fontId="3" fillId="8" borderId="26" xfId="1" applyNumberFormat="1" applyFont="1" applyFill="1" applyBorder="1" applyAlignment="1">
      <alignment horizontal="center" vertical="center"/>
    </xf>
    <xf numFmtId="17" fontId="4" fillId="0" borderId="0" xfId="1" applyNumberFormat="1" applyAlignment="1">
      <alignment horizontal="center" vertical="center"/>
    </xf>
    <xf numFmtId="1" fontId="4" fillId="0" borderId="17" xfId="1" applyNumberFormat="1" applyBorder="1" applyAlignment="1">
      <alignment horizontal="center" vertical="center"/>
    </xf>
    <xf numFmtId="43" fontId="4" fillId="0" borderId="18" xfId="1" applyNumberFormat="1" applyBorder="1" applyAlignment="1">
      <alignment horizontal="center" vertical="center"/>
    </xf>
    <xf numFmtId="43" fontId="4" fillId="0" borderId="20" xfId="1" applyNumberFormat="1" applyBorder="1" applyAlignment="1">
      <alignment horizontal="center" vertical="center"/>
    </xf>
    <xf numFmtId="43" fontId="4" fillId="7" borderId="27" xfId="1" applyNumberFormat="1" applyFill="1" applyBorder="1" applyAlignment="1">
      <alignment horizontal="center" vertical="center"/>
    </xf>
    <xf numFmtId="1" fontId="4" fillId="7" borderId="28" xfId="1" applyNumberFormat="1" applyFill="1" applyBorder="1" applyAlignment="1">
      <alignment horizontal="center" vertical="center"/>
    </xf>
    <xf numFmtId="43" fontId="4" fillId="0" borderId="29" xfId="1" applyNumberFormat="1" applyBorder="1" applyAlignment="1">
      <alignment horizontal="center" vertical="center"/>
    </xf>
    <xf numFmtId="43" fontId="4" fillId="7" borderId="29" xfId="1" applyNumberFormat="1" applyFill="1" applyBorder="1" applyAlignment="1">
      <alignment horizontal="center" vertical="center"/>
    </xf>
    <xf numFmtId="43" fontId="4" fillId="7" borderId="30" xfId="1" applyNumberFormat="1" applyFill="1" applyBorder="1" applyAlignment="1">
      <alignment horizontal="center" vertical="center"/>
    </xf>
    <xf numFmtId="1" fontId="4" fillId="0" borderId="28" xfId="1" applyNumberFormat="1" applyBorder="1" applyAlignment="1">
      <alignment horizontal="center" vertical="center"/>
    </xf>
    <xf numFmtId="0" fontId="10" fillId="0" borderId="0" xfId="1" applyFont="1"/>
    <xf numFmtId="0" fontId="4" fillId="0" borderId="0" xfId="1" applyAlignment="1">
      <alignment horizontal="center" vertical="center"/>
    </xf>
    <xf numFmtId="0" fontId="11" fillId="0" borderId="0" xfId="1" applyFont="1" applyAlignment="1">
      <alignment horizontal="center"/>
    </xf>
    <xf numFmtId="0" fontId="11" fillId="0" borderId="0" xfId="1" applyFont="1" applyAlignment="1">
      <alignment horizontal="center" wrapText="1"/>
    </xf>
    <xf numFmtId="0" fontId="4" fillId="0" borderId="31" xfId="1" applyBorder="1" applyAlignment="1">
      <alignment horizontal="center" vertical="center"/>
    </xf>
    <xf numFmtId="0" fontId="3" fillId="3" borderId="31" xfId="1" applyFont="1" applyFill="1" applyBorder="1" applyAlignment="1">
      <alignment horizontal="center" vertical="center" wrapText="1"/>
    </xf>
    <xf numFmtId="0" fontId="4" fillId="9" borderId="31" xfId="1" applyFill="1" applyBorder="1" applyAlignment="1">
      <alignment horizontal="center" vertical="center" wrapText="1"/>
    </xf>
    <xf numFmtId="0" fontId="12" fillId="9" borderId="31" xfId="1" applyFont="1" applyFill="1" applyBorder="1" applyAlignment="1">
      <alignment horizontal="center" vertical="center" wrapText="1"/>
    </xf>
    <xf numFmtId="0" fontId="4" fillId="0" borderId="31" xfId="1" applyBorder="1" applyAlignment="1">
      <alignment horizontal="center" vertical="center" wrapText="1"/>
    </xf>
    <xf numFmtId="0" fontId="4" fillId="0" borderId="32" xfId="1" applyBorder="1" applyAlignment="1">
      <alignment horizontal="center" vertical="center"/>
    </xf>
    <xf numFmtId="0" fontId="4" fillId="0" borderId="33" xfId="1" applyBorder="1" applyAlignment="1">
      <alignment horizontal="center" vertical="center"/>
    </xf>
    <xf numFmtId="41" fontId="4" fillId="0" borderId="33" xfId="1" applyNumberFormat="1" applyBorder="1" applyAlignment="1">
      <alignment horizontal="center" vertical="center"/>
    </xf>
    <xf numFmtId="0" fontId="4" fillId="0" borderId="35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0" borderId="38" xfId="1" applyBorder="1" applyAlignment="1">
      <alignment horizontal="center" vertical="center"/>
    </xf>
    <xf numFmtId="0" fontId="4" fillId="0" borderId="39" xfId="1" applyBorder="1" applyAlignment="1">
      <alignment horizontal="center" vertical="center"/>
    </xf>
    <xf numFmtId="41" fontId="4" fillId="0" borderId="39" xfId="1" applyNumberFormat="1" applyBorder="1" applyAlignment="1">
      <alignment horizontal="center" vertical="center"/>
    </xf>
    <xf numFmtId="41" fontId="4" fillId="7" borderId="39" xfId="1" applyNumberFormat="1" applyFill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4" fillId="6" borderId="31" xfId="1" applyFill="1" applyBorder="1" applyAlignment="1">
      <alignment horizontal="center" vertical="center"/>
    </xf>
    <xf numFmtId="0" fontId="7" fillId="6" borderId="31" xfId="1" applyFont="1" applyFill="1" applyBorder="1" applyAlignment="1">
      <alignment horizontal="center" vertical="center"/>
    </xf>
    <xf numFmtId="0" fontId="7" fillId="7" borderId="31" xfId="1" applyFont="1" applyFill="1" applyBorder="1" applyAlignment="1">
      <alignment horizontal="center" vertical="center" wrapText="1"/>
    </xf>
    <xf numFmtId="0" fontId="7" fillId="10" borderId="31" xfId="1" applyFont="1" applyFill="1" applyBorder="1" applyAlignment="1">
      <alignment horizontal="center" vertical="center" wrapText="1"/>
    </xf>
    <xf numFmtId="41" fontId="4" fillId="10" borderId="39" xfId="1" applyNumberFormat="1" applyFill="1" applyBorder="1" applyAlignment="1">
      <alignment horizontal="center" vertical="center"/>
    </xf>
    <xf numFmtId="41" fontId="4" fillId="10" borderId="33" xfId="1" applyNumberFormat="1" applyFill="1" applyBorder="1" applyAlignment="1">
      <alignment horizontal="center" vertical="center"/>
    </xf>
    <xf numFmtId="1" fontId="4" fillId="10" borderId="33" xfId="1" applyNumberFormat="1" applyFill="1" applyBorder="1" applyAlignment="1">
      <alignment horizontal="center" vertical="center"/>
    </xf>
    <xf numFmtId="41" fontId="4" fillId="13" borderId="34" xfId="1" applyNumberFormat="1" applyFill="1" applyBorder="1" applyAlignment="1">
      <alignment horizontal="center" vertical="center"/>
    </xf>
    <xf numFmtId="41" fontId="4" fillId="13" borderId="40" xfId="1" applyNumberFormat="1" applyFill="1" applyBorder="1" applyAlignment="1">
      <alignment horizontal="center" vertical="center"/>
    </xf>
    <xf numFmtId="0" fontId="2" fillId="0" borderId="0" xfId="0" applyFont="1"/>
    <xf numFmtId="0" fontId="14" fillId="0" borderId="0" xfId="1" applyFont="1"/>
    <xf numFmtId="0" fontId="15" fillId="14" borderId="45" xfId="0" applyFont="1" applyFill="1" applyBorder="1" applyAlignment="1">
      <alignment horizontal="center" vertical="center"/>
    </xf>
    <xf numFmtId="0" fontId="16" fillId="15" borderId="45" xfId="0" applyFont="1" applyFill="1" applyBorder="1" applyAlignment="1">
      <alignment horizontal="center" vertical="center"/>
    </xf>
    <xf numFmtId="41" fontId="4" fillId="13" borderId="36" xfId="1" applyNumberFormat="1" applyFill="1" applyBorder="1" applyAlignment="1">
      <alignment horizontal="center" vertical="center"/>
    </xf>
    <xf numFmtId="1" fontId="4" fillId="13" borderId="36" xfId="1" applyNumberFormat="1" applyFill="1" applyBorder="1" applyAlignment="1">
      <alignment horizontal="center" vertical="center"/>
    </xf>
    <xf numFmtId="0" fontId="4" fillId="0" borderId="20" xfId="1" applyFill="1" applyBorder="1" applyAlignment="1">
      <alignment horizontal="center" vertical="center"/>
    </xf>
    <xf numFmtId="0" fontId="4" fillId="0" borderId="43" xfId="1" applyFill="1" applyBorder="1" applyAlignment="1">
      <alignment horizontal="center" vertical="center"/>
    </xf>
    <xf numFmtId="0" fontId="4" fillId="0" borderId="27" xfId="1" applyFill="1" applyBorder="1" applyAlignment="1">
      <alignment horizontal="center" vertical="center"/>
    </xf>
    <xf numFmtId="0" fontId="4" fillId="0" borderId="13" xfId="1" applyFill="1" applyBorder="1" applyAlignment="1">
      <alignment horizontal="center" vertical="center"/>
    </xf>
    <xf numFmtId="0" fontId="4" fillId="0" borderId="14" xfId="1" applyFill="1" applyBorder="1" applyAlignment="1">
      <alignment horizontal="center" vertical="center"/>
    </xf>
    <xf numFmtId="0" fontId="4" fillId="0" borderId="16" xfId="1" applyFill="1" applyBorder="1" applyAlignment="1">
      <alignment horizontal="center" vertical="center"/>
    </xf>
    <xf numFmtId="0" fontId="4" fillId="0" borderId="17" xfId="1" applyFill="1" applyBorder="1" applyAlignment="1">
      <alignment horizontal="center" vertical="center"/>
    </xf>
    <xf numFmtId="0" fontId="4" fillId="0" borderId="18" xfId="1" applyFill="1" applyBorder="1" applyAlignment="1">
      <alignment horizontal="center" vertical="center"/>
    </xf>
    <xf numFmtId="0" fontId="4" fillId="0" borderId="28" xfId="1" applyFill="1" applyBorder="1" applyAlignment="1">
      <alignment horizontal="center" vertical="center"/>
    </xf>
    <xf numFmtId="0" fontId="4" fillId="0" borderId="29" xfId="1" applyFill="1" applyBorder="1" applyAlignment="1">
      <alignment horizontal="center" vertical="center"/>
    </xf>
    <xf numFmtId="0" fontId="4" fillId="2" borderId="29" xfId="1" applyFill="1" applyBorder="1" applyAlignment="1">
      <alignment horizontal="center" vertical="center"/>
    </xf>
    <xf numFmtId="0" fontId="4" fillId="2" borderId="44" xfId="1" applyFill="1" applyBorder="1" applyAlignment="1">
      <alignment horizontal="center" vertical="center"/>
    </xf>
    <xf numFmtId="0" fontId="4" fillId="2" borderId="30" xfId="1" applyFill="1" applyBorder="1" applyAlignment="1">
      <alignment horizontal="center" vertical="center"/>
    </xf>
    <xf numFmtId="0" fontId="4" fillId="0" borderId="41" xfId="1" applyFill="1" applyBorder="1" applyAlignment="1">
      <alignment horizontal="center" vertical="center"/>
    </xf>
    <xf numFmtId="0" fontId="4" fillId="2" borderId="42" xfId="1" applyFill="1" applyBorder="1" applyAlignment="1">
      <alignment horizontal="center" vertical="center"/>
    </xf>
    <xf numFmtId="0" fontId="7" fillId="0" borderId="52" xfId="1" applyFont="1" applyFill="1" applyBorder="1" applyAlignment="1">
      <alignment horizontal="center" vertical="center" wrapText="1"/>
    </xf>
    <xf numFmtId="0" fontId="7" fillId="0" borderId="53" xfId="1" applyFont="1" applyFill="1" applyBorder="1" applyAlignment="1">
      <alignment horizontal="center" vertical="center" wrapText="1"/>
    </xf>
    <xf numFmtId="0" fontId="7" fillId="18" borderId="53" xfId="1" applyFont="1" applyFill="1" applyBorder="1" applyAlignment="1">
      <alignment horizontal="center" vertical="center" wrapText="1"/>
    </xf>
    <xf numFmtId="0" fontId="7" fillId="0" borderId="55" xfId="1" applyFont="1" applyFill="1" applyBorder="1" applyAlignment="1">
      <alignment horizontal="center" vertical="center" wrapText="1"/>
    </xf>
    <xf numFmtId="0" fontId="7" fillId="0" borderId="56" xfId="1" applyFont="1" applyFill="1" applyBorder="1" applyAlignment="1">
      <alignment horizontal="center" vertical="center" wrapText="1"/>
    </xf>
    <xf numFmtId="0" fontId="7" fillId="18" borderId="57" xfId="1" applyFont="1" applyFill="1" applyBorder="1" applyAlignment="1">
      <alignment horizontal="center" vertical="center" wrapText="1"/>
    </xf>
    <xf numFmtId="0" fontId="7" fillId="17" borderId="53" xfId="1" applyFont="1" applyFill="1" applyBorder="1" applyAlignment="1">
      <alignment horizontal="center" vertical="center" wrapText="1"/>
    </xf>
    <xf numFmtId="0" fontId="7" fillId="17" borderId="58" xfId="1" applyFont="1" applyFill="1" applyBorder="1" applyAlignment="1">
      <alignment horizontal="center" vertical="center" wrapText="1"/>
    </xf>
    <xf numFmtId="0" fontId="4" fillId="0" borderId="47" xfId="1" applyFill="1" applyBorder="1" applyAlignment="1">
      <alignment horizontal="center" vertical="center"/>
    </xf>
    <xf numFmtId="0" fontId="4" fillId="0" borderId="59" xfId="1" applyFill="1" applyBorder="1" applyAlignment="1">
      <alignment horizontal="center" vertical="center"/>
    </xf>
    <xf numFmtId="0" fontId="4" fillId="0" borderId="60" xfId="1" applyFill="1" applyBorder="1" applyAlignment="1">
      <alignment horizontal="center" vertical="center"/>
    </xf>
    <xf numFmtId="0" fontId="4" fillId="0" borderId="48" xfId="1" applyFill="1" applyBorder="1" applyAlignment="1">
      <alignment horizontal="center" vertical="center"/>
    </xf>
    <xf numFmtId="0" fontId="4" fillId="0" borderId="49" xfId="1" applyFill="1" applyBorder="1" applyAlignment="1">
      <alignment horizontal="center" vertical="center"/>
    </xf>
    <xf numFmtId="0" fontId="4" fillId="0" borderId="61" xfId="1" applyFill="1" applyBorder="1" applyAlignment="1">
      <alignment horizontal="center" vertical="center"/>
    </xf>
    <xf numFmtId="0" fontId="4" fillId="0" borderId="62" xfId="1" applyFill="1" applyBorder="1" applyAlignment="1">
      <alignment horizontal="center" vertical="center"/>
    </xf>
    <xf numFmtId="0" fontId="4" fillId="0" borderId="50" xfId="1" applyFill="1" applyBorder="1" applyAlignment="1">
      <alignment horizontal="center" vertical="center"/>
    </xf>
    <xf numFmtId="0" fontId="4" fillId="0" borderId="51" xfId="1" applyFill="1" applyBorder="1" applyAlignment="1">
      <alignment horizontal="center" vertical="center"/>
    </xf>
    <xf numFmtId="0" fontId="1" fillId="19" borderId="53" xfId="1" applyFont="1" applyFill="1" applyBorder="1" applyAlignment="1">
      <alignment horizontal="center" vertical="center" wrapText="1"/>
    </xf>
    <xf numFmtId="0" fontId="7" fillId="7" borderId="53" xfId="1" applyFont="1" applyFill="1" applyBorder="1" applyAlignment="1">
      <alignment horizontal="center" vertical="center" wrapText="1"/>
    </xf>
    <xf numFmtId="0" fontId="7" fillId="16" borderId="53" xfId="1" applyFont="1" applyFill="1" applyBorder="1" applyAlignment="1">
      <alignment horizontal="center" vertical="center" wrapText="1"/>
    </xf>
    <xf numFmtId="0" fontId="7" fillId="10" borderId="54" xfId="1" applyFont="1" applyFill="1" applyBorder="1" applyAlignment="1">
      <alignment horizontal="center" vertical="center" wrapText="1"/>
    </xf>
    <xf numFmtId="0" fontId="13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46" xfId="1" applyFont="1" applyFill="1" applyBorder="1" applyAlignment="1">
      <alignment horizontal="centerContinuous" vertical="center"/>
    </xf>
    <xf numFmtId="0" fontId="3" fillId="12" borderId="46" xfId="1" applyFont="1" applyFill="1" applyBorder="1" applyAlignment="1">
      <alignment horizontal="centerContinuous" vertical="center"/>
    </xf>
    <xf numFmtId="0" fontId="1" fillId="2" borderId="46" xfId="1" applyFont="1" applyFill="1" applyBorder="1" applyAlignment="1">
      <alignment horizontal="centerContinuous" vertical="center"/>
    </xf>
    <xf numFmtId="0" fontId="3" fillId="2" borderId="46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7" xfId="1" applyFill="1" applyBorder="1" applyAlignment="1">
      <alignment horizontal="center" vertical="center"/>
    </xf>
    <xf numFmtId="0" fontId="4" fillId="13" borderId="41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31" xfId="1" applyFont="1" applyFill="1" applyBorder="1" applyAlignment="1">
      <alignment horizontal="center" vertical="center" wrapText="1"/>
    </xf>
    <xf numFmtId="0" fontId="7" fillId="16" borderId="31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43" fontId="4" fillId="7" borderId="20" xfId="1" applyNumberFormat="1" applyFill="1" applyBorder="1" applyAlignment="1">
      <alignment horizontal="center" vertical="center"/>
    </xf>
    <xf numFmtId="43" fontId="4" fillId="7" borderId="44" xfId="1" applyNumberFormat="1" applyFill="1" applyBorder="1" applyAlignment="1">
      <alignment horizontal="center" vertical="center"/>
    </xf>
    <xf numFmtId="1" fontId="4" fillId="13" borderId="17" xfId="1" applyNumberFormat="1" applyFill="1" applyBorder="1" applyAlignment="1">
      <alignment horizontal="center" vertical="center"/>
    </xf>
    <xf numFmtId="43" fontId="4" fillId="13" borderId="18" xfId="1" applyNumberFormat="1" applyFill="1" applyBorder="1" applyAlignment="1">
      <alignment horizontal="center" vertical="center"/>
    </xf>
    <xf numFmtId="43" fontId="4" fillId="13" borderId="20" xfId="1" applyNumberFormat="1" applyFill="1" applyBorder="1" applyAlignment="1">
      <alignment horizontal="center" vertical="center"/>
    </xf>
    <xf numFmtId="43" fontId="4" fillId="13" borderId="27" xfId="1" applyNumberFormat="1" applyFill="1" applyBorder="1" applyAlignment="1">
      <alignment horizontal="center" vertical="center"/>
    </xf>
    <xf numFmtId="1" fontId="4" fillId="13" borderId="28" xfId="1" applyNumberFormat="1" applyFill="1" applyBorder="1" applyAlignment="1">
      <alignment horizontal="center" vertical="center"/>
    </xf>
    <xf numFmtId="43" fontId="4" fillId="13" borderId="29" xfId="1" applyNumberFormat="1" applyFill="1" applyBorder="1" applyAlignment="1">
      <alignment horizontal="center" vertical="center"/>
    </xf>
    <xf numFmtId="43" fontId="4" fillId="13" borderId="30" xfId="1" applyNumberFormat="1" applyFill="1" applyBorder="1" applyAlignment="1">
      <alignment horizontal="center" vertical="center"/>
    </xf>
    <xf numFmtId="43" fontId="4" fillId="13" borderId="44" xfId="1" applyNumberFormat="1" applyFill="1" applyBorder="1" applyAlignment="1">
      <alignment horizontal="center" vertical="center"/>
    </xf>
    <xf numFmtId="43" fontId="4" fillId="6" borderId="21" xfId="1" applyNumberFormat="1" applyFill="1" applyBorder="1" applyAlignment="1">
      <alignment horizontal="center" vertical="center"/>
    </xf>
    <xf numFmtId="43" fontId="4" fillId="6" borderId="22" xfId="1" applyNumberFormat="1" applyFill="1" applyBorder="1" applyAlignment="1">
      <alignment horizontal="center" vertical="center"/>
    </xf>
    <xf numFmtId="43" fontId="4" fillId="6" borderId="23" xfId="1" applyNumberFormat="1" applyFill="1" applyBorder="1" applyAlignment="1">
      <alignment horizontal="center" vertical="center"/>
    </xf>
    <xf numFmtId="41" fontId="7" fillId="13" borderId="5" xfId="1" applyNumberFormat="1" applyFont="1" applyFill="1" applyBorder="1" applyAlignment="1">
      <alignment horizontal="center" vertical="center"/>
    </xf>
    <xf numFmtId="0" fontId="7" fillId="13" borderId="5" xfId="1" applyFont="1" applyFill="1" applyBorder="1" applyAlignment="1">
      <alignment horizontal="center" vertical="center"/>
    </xf>
    <xf numFmtId="41" fontId="7" fillId="11" borderId="5" xfId="1" applyNumberFormat="1" applyFont="1" applyFill="1" applyBorder="1" applyAlignment="1">
      <alignment horizontal="center" vertical="center"/>
    </xf>
    <xf numFmtId="0" fontId="7" fillId="11" borderId="10" xfId="1" applyFont="1" applyFill="1" applyBorder="1" applyAlignment="1">
      <alignment horizontal="center" vertical="center"/>
    </xf>
    <xf numFmtId="41" fontId="4" fillId="11" borderId="36" xfId="1" applyNumberFormat="1" applyFill="1" applyBorder="1" applyAlignment="1">
      <alignment horizontal="center" vertical="center"/>
    </xf>
    <xf numFmtId="41" fontId="4" fillId="0" borderId="36" xfId="1" applyNumberFormat="1" applyFill="1" applyBorder="1" applyAlignment="1">
      <alignment horizontal="center" vertical="center"/>
    </xf>
    <xf numFmtId="41" fontId="4" fillId="0" borderId="37" xfId="1" applyNumberFormat="1" applyFill="1" applyBorder="1" applyAlignment="1">
      <alignment horizontal="center" vertical="center"/>
    </xf>
  </cellXfs>
  <cellStyles count="2">
    <cellStyle name="Normal" xfId="0" builtinId="0"/>
    <cellStyle name="Normal 2" xfId="1" xr:uid="{939B727E-EA1D-42DC-9C68-5A1B244A46B7}"/>
  </cellStyles>
  <dxfs count="16"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resumo!$L$3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resumo!$L$4:$L$17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25897159</c:v>
                </c:pt>
                <c:pt idx="2">
                  <c:v>0</c:v>
                </c:pt>
                <c:pt idx="3">
                  <c:v>41582807</c:v>
                </c:pt>
                <c:pt idx="4">
                  <c:v>0</c:v>
                </c:pt>
                <c:pt idx="5">
                  <c:v>47237829</c:v>
                </c:pt>
                <c:pt idx="6">
                  <c:v>0</c:v>
                </c:pt>
                <c:pt idx="7">
                  <c:v>36723359</c:v>
                </c:pt>
                <c:pt idx="8">
                  <c:v>0</c:v>
                </c:pt>
                <c:pt idx="9">
                  <c:v>25916903</c:v>
                </c:pt>
                <c:pt idx="10">
                  <c:v>0</c:v>
                </c:pt>
                <c:pt idx="11">
                  <c:v>60385343.730000004</c:v>
                </c:pt>
                <c:pt idx="12">
                  <c:v>0</c:v>
                </c:pt>
                <c:pt idx="13">
                  <c:v>54551492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resumo!$C$3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resumo!$C$4:$C$17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10969791</c:v>
                      </c:pt>
                      <c:pt idx="2">
                        <c:v>0</c:v>
                      </c:pt>
                      <c:pt idx="3">
                        <c:v>18611890</c:v>
                      </c:pt>
                      <c:pt idx="4">
                        <c:v>0</c:v>
                      </c:pt>
                      <c:pt idx="5">
                        <c:v>4747377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6607255</c:v>
                      </c:pt>
                      <c:pt idx="12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resumo!$D$4:$D$17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2411486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17101428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25947554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resumo!$E$4:$E$17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2076560</c:v>
                      </c:pt>
                      <c:pt idx="2">
                        <c:v>0</c:v>
                      </c:pt>
                      <c:pt idx="3">
                        <c:v>3812440</c:v>
                      </c:pt>
                      <c:pt idx="4">
                        <c:v>0</c:v>
                      </c:pt>
                      <c:pt idx="5">
                        <c:v>4683225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6328879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resumo!$F$4:$F$17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163842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148936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  <c:pt idx="11">
                        <c:v>369231</c:v>
                      </c:pt>
                      <c:pt idx="12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resumo!$G$4:$G$17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13476430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resumo!$H$4:$H$17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5441368</c:v>
                      </c:pt>
                      <c:pt idx="2">
                        <c:v>0</c:v>
                      </c:pt>
                      <c:pt idx="3">
                        <c:v>17547728</c:v>
                      </c:pt>
                      <c:pt idx="4">
                        <c:v>0</c:v>
                      </c:pt>
                      <c:pt idx="5">
                        <c:v>8224551</c:v>
                      </c:pt>
                      <c:pt idx="6">
                        <c:v>0</c:v>
                      </c:pt>
                      <c:pt idx="7">
                        <c:v>1155519</c:v>
                      </c:pt>
                      <c:pt idx="8">
                        <c:v>0</c:v>
                      </c:pt>
                      <c:pt idx="9">
                        <c:v>8478046</c:v>
                      </c:pt>
                      <c:pt idx="10">
                        <c:v>0</c:v>
                      </c:pt>
                      <c:pt idx="11">
                        <c:v>11982013.73</c:v>
                      </c:pt>
                      <c:pt idx="12">
                        <c:v>0</c:v>
                      </c:pt>
                      <c:pt idx="13">
                        <c:v>4070583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resumo!$I$4:$I$17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2532963</c:v>
                      </c:pt>
                      <c:pt idx="2">
                        <c:v>0</c:v>
                      </c:pt>
                      <c:pt idx="3">
                        <c:v>42900</c:v>
                      </c:pt>
                      <c:pt idx="4">
                        <c:v>0</c:v>
                      </c:pt>
                      <c:pt idx="5">
                        <c:v>6883519</c:v>
                      </c:pt>
                      <c:pt idx="6">
                        <c:v>0</c:v>
                      </c:pt>
                      <c:pt idx="7">
                        <c:v>5494622</c:v>
                      </c:pt>
                      <c:pt idx="8">
                        <c:v>0</c:v>
                      </c:pt>
                      <c:pt idx="9">
                        <c:v>3542427</c:v>
                      </c:pt>
                      <c:pt idx="10">
                        <c:v>0</c:v>
                      </c:pt>
                      <c:pt idx="11">
                        <c:v>6927535</c:v>
                      </c:pt>
                      <c:pt idx="12">
                        <c:v>0</c:v>
                      </c:pt>
                      <c:pt idx="13">
                        <c:v>14956888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resumo!$K$4:$K$17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2301149</c:v>
                      </c:pt>
                      <c:pt idx="2">
                        <c:v>0</c:v>
                      </c:pt>
                      <c:pt idx="3">
                        <c:v>1567849</c:v>
                      </c:pt>
                      <c:pt idx="4">
                        <c:v>0</c:v>
                      </c:pt>
                      <c:pt idx="5">
                        <c:v>5448793</c:v>
                      </c:pt>
                      <c:pt idx="6">
                        <c:v>0</c:v>
                      </c:pt>
                      <c:pt idx="7">
                        <c:v>30073218</c:v>
                      </c:pt>
                      <c:pt idx="8">
                        <c:v>0</c:v>
                      </c:pt>
                      <c:pt idx="9">
                        <c:v>420000</c:v>
                      </c:pt>
                      <c:pt idx="10">
                        <c:v>0</c:v>
                      </c:pt>
                      <c:pt idx="11">
                        <c:v>2222876</c:v>
                      </c:pt>
                      <c:pt idx="12">
                        <c:v>0</c:v>
                      </c:pt>
                      <c:pt idx="13">
                        <c:v>35524021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resumo!$C$3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resumo!$C$4:$C$17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10969791</c:v>
                </c:pt>
                <c:pt idx="2">
                  <c:v>0</c:v>
                </c:pt>
                <c:pt idx="3">
                  <c:v>18611890</c:v>
                </c:pt>
                <c:pt idx="4">
                  <c:v>0</c:v>
                </c:pt>
                <c:pt idx="5">
                  <c:v>4747377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6607255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resumo!$D$3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resumo!$D$4:$D$17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2411486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17101428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25947554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resumo!$E$3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resumo!$E$4:$E$17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2076560</c:v>
                </c:pt>
                <c:pt idx="2">
                  <c:v>0</c:v>
                </c:pt>
                <c:pt idx="3">
                  <c:v>3812440</c:v>
                </c:pt>
                <c:pt idx="4">
                  <c:v>0</c:v>
                </c:pt>
                <c:pt idx="5">
                  <c:v>4683225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6328879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resumo!$F$3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resumo!$F$4:$F$17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163842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148936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369231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resumo!$G$3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resumo!$G$4:$G$17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13476430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resumo!$H$3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resumo!$H$4:$H$17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5441368</c:v>
                </c:pt>
                <c:pt idx="2">
                  <c:v>0</c:v>
                </c:pt>
                <c:pt idx="3">
                  <c:v>17547728</c:v>
                </c:pt>
                <c:pt idx="4">
                  <c:v>0</c:v>
                </c:pt>
                <c:pt idx="5">
                  <c:v>8224551</c:v>
                </c:pt>
                <c:pt idx="6">
                  <c:v>0</c:v>
                </c:pt>
                <c:pt idx="7">
                  <c:v>1155519</c:v>
                </c:pt>
                <c:pt idx="8">
                  <c:v>0</c:v>
                </c:pt>
                <c:pt idx="9">
                  <c:v>8478046</c:v>
                </c:pt>
                <c:pt idx="10">
                  <c:v>0</c:v>
                </c:pt>
                <c:pt idx="11">
                  <c:v>11982013.73</c:v>
                </c:pt>
                <c:pt idx="12">
                  <c:v>0</c:v>
                </c:pt>
                <c:pt idx="13">
                  <c:v>4070583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resumo!$I$3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resumo!$I$4:$I$17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2532963</c:v>
                </c:pt>
                <c:pt idx="2">
                  <c:v>0</c:v>
                </c:pt>
                <c:pt idx="3">
                  <c:v>42900</c:v>
                </c:pt>
                <c:pt idx="4">
                  <c:v>0</c:v>
                </c:pt>
                <c:pt idx="5">
                  <c:v>6883519</c:v>
                </c:pt>
                <c:pt idx="6">
                  <c:v>0</c:v>
                </c:pt>
                <c:pt idx="7">
                  <c:v>5494622</c:v>
                </c:pt>
                <c:pt idx="8">
                  <c:v>0</c:v>
                </c:pt>
                <c:pt idx="9">
                  <c:v>3542427</c:v>
                </c:pt>
                <c:pt idx="10">
                  <c:v>0</c:v>
                </c:pt>
                <c:pt idx="11">
                  <c:v>6927535</c:v>
                </c:pt>
                <c:pt idx="12">
                  <c:v>0</c:v>
                </c:pt>
                <c:pt idx="13">
                  <c:v>14956888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resumo!$K$3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resumo!$K$4:$K$17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2301149</c:v>
                </c:pt>
                <c:pt idx="2">
                  <c:v>0</c:v>
                </c:pt>
                <c:pt idx="3">
                  <c:v>1567849</c:v>
                </c:pt>
                <c:pt idx="4">
                  <c:v>0</c:v>
                </c:pt>
                <c:pt idx="5">
                  <c:v>5448793</c:v>
                </c:pt>
                <c:pt idx="6">
                  <c:v>0</c:v>
                </c:pt>
                <c:pt idx="7">
                  <c:v>30073218</c:v>
                </c:pt>
                <c:pt idx="8">
                  <c:v>0</c:v>
                </c:pt>
                <c:pt idx="9">
                  <c:v>420000</c:v>
                </c:pt>
                <c:pt idx="10">
                  <c:v>0</c:v>
                </c:pt>
                <c:pt idx="11">
                  <c:v>2222876</c:v>
                </c:pt>
                <c:pt idx="12">
                  <c:v>0</c:v>
                </c:pt>
                <c:pt idx="13">
                  <c:v>35524021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resumo!$L$3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resumo!$L$4:$L$17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25897159</c:v>
                      </c:pt>
                      <c:pt idx="2">
                        <c:v>0</c:v>
                      </c:pt>
                      <c:pt idx="3">
                        <c:v>41582807</c:v>
                      </c:pt>
                      <c:pt idx="4">
                        <c:v>0</c:v>
                      </c:pt>
                      <c:pt idx="5">
                        <c:v>47237829</c:v>
                      </c:pt>
                      <c:pt idx="6">
                        <c:v>0</c:v>
                      </c:pt>
                      <c:pt idx="7">
                        <c:v>36723359</c:v>
                      </c:pt>
                      <c:pt idx="8">
                        <c:v>0</c:v>
                      </c:pt>
                      <c:pt idx="9">
                        <c:v>25916903</c:v>
                      </c:pt>
                      <c:pt idx="10">
                        <c:v>0</c:v>
                      </c:pt>
                      <c:pt idx="11">
                        <c:v>60385343.730000004</c:v>
                      </c:pt>
                      <c:pt idx="12">
                        <c:v>0</c:v>
                      </c:pt>
                      <c:pt idx="13">
                        <c:v>54551492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26</xdr:row>
      <xdr:rowOff>0</xdr:rowOff>
    </xdr:from>
    <xdr:to>
      <xdr:col>50</xdr:col>
      <xdr:colOff>571499</xdr:colOff>
      <xdr:row>50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19</xdr:row>
      <xdr:rowOff>0</xdr:rowOff>
    </xdr:from>
    <xdr:to>
      <xdr:col>9</xdr:col>
      <xdr:colOff>392906</xdr:colOff>
      <xdr:row>40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19</xdr:row>
      <xdr:rowOff>0</xdr:rowOff>
    </xdr:from>
    <xdr:to>
      <xdr:col>20</xdr:col>
      <xdr:colOff>130969</xdr:colOff>
      <xdr:row>40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in.ecns" displayName="in.ecns" ref="A1:L2" insertRow="1" totalsRowShown="0" headerRowDxfId="15" dataDxfId="14">
  <autoFilter ref="A1:L2" xr:uid="{E04C97D4-C6EC-4BA2-BDB8-ED5F99D32C7B}"/>
  <tableColumns count="12">
    <tableColumn id="1" xr3:uid="{B5DFC91C-E081-4C3D-92BC-96E63DBDA06E}" name="empresa" dataDxfId="13"/>
    <tableColumn id="2" xr3:uid="{FA8F031D-9B1D-4B80-B82B-8AD3A6BAC081}" name="contrato.cef.5" dataDxfId="12"/>
    <tableColumn id="3" xr3:uid="{AA23661F-0E86-454B-B6FA-A33BA6F0CD1B}" name="repasse.cef.total" dataDxfId="11"/>
    <tableColumn id="4" xr3:uid="{EE24BE11-7DE0-4865-9425-57AA4E53C3E7}" name="repasse.cef.incorrido" dataDxfId="10"/>
    <tableColumn id="5" xr3:uid="{0F4302C0-1CDD-4B4D-A83B-6214CFBCD2EA}" name="repasse.cef.a.incorrer" dataDxfId="9"/>
    <tableColumn id="6" xr3:uid="{9D6ADF16-5B0C-4F1A-AEEF-585B9E5F5755}" name="repasse.cef.fin" dataDxfId="8"/>
    <tableColumn id="7" xr3:uid="{37A1F46E-AFA9-4CD2-A308-F4D6219EF875}" name="repasse.cef.desc.subs" dataDxfId="7"/>
    <tableColumn id="8" xr3:uid="{E6BABD7C-7C5B-4C88-A5BF-AF4E450F389B}" name="repasse.cef.fgts" dataDxfId="6"/>
    <tableColumn id="9" xr3:uid="{A2FE521F-3077-4FE2-BEC6-79AE0FCEB217}" name="repasse.cef.rec.prop" dataDxfId="5"/>
    <tableColumn id="10" xr3:uid="{68CE88C2-EF45-4F98-8368-487AAE13F73A}" name="repasse.cef.terreno.acum" dataDxfId="4"/>
    <tableColumn id="11" xr3:uid="{6013DC4F-C554-47DC-9D7B-BF1FFA36C501}" name="repasse.cef.obra.acum" dataDxfId="3"/>
    <tableColumn id="12" xr3:uid="{2706354C-F402-4E95-A801-2AA598F4077D}" name="arquivo" dataDxfId="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in.r9" displayName="in.r9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in.rec" displayName="in.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in.unis" displayName="in.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2" dT="2025-12-18T19:02:02.16" personId="{42E265A3-45EC-48D4-9B29-0671EDA53BA5}" id="{1164DBE1-DE77-4A00-815E-51F8BFD51909}">
    <text>Valor total do financiamento do ABC (incorrido + a incorrer)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F7D0-C757-40DC-8660-28D2472786D9}">
  <sheetPr>
    <tabColor rgb="FFFFFF00"/>
  </sheetPr>
  <dimension ref="A1:AP122"/>
  <sheetViews>
    <sheetView workbookViewId="0"/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9" cm="1">
        <f t="array" ref="D2">SUMPRODUCT(
   in.r9[Preço Tab.] *
   (in.r9[empresa]=D$6) *
   ((in.r9[Status]="Disponível") + (in.r9[Status]="Reservada") + (in.r9[Status]="Em negociação"))
)</f>
        <v>0</v>
      </c>
      <c r="H2" s="10"/>
      <c r="I2" s="7" t="s">
        <v>7</v>
      </c>
      <c r="J2" s="11"/>
      <c r="K2" s="9" cm="1">
        <f t="array" ref="K2">SUMPRODUCT(
   in.r9[Preço Tab.] *
   (in.r9[empresa]=K$6) *
   ((in.r9[Status]="Disponível") + (in.r9[Status]="Reservada") + (in.r9[Status]="Em negociação"))
)</f>
        <v>0</v>
      </c>
      <c r="O2" s="10"/>
      <c r="P2" s="7" t="s">
        <v>7</v>
      </c>
      <c r="Q2" s="11"/>
      <c r="R2" s="9" cm="1">
        <f t="array" ref="R2">SUMPRODUCT(
   in.r9[Preço Tab.] *
   (in.r9[empresa]=R$6) *
   ((in.r9[Status]="Disponível") + (in.r9[Status]="Reservada") + (in.r9[Status]="Em negociação"))
)</f>
        <v>0</v>
      </c>
      <c r="V2" s="10"/>
      <c r="W2" s="7" t="s">
        <v>7</v>
      </c>
      <c r="X2" s="11"/>
      <c r="Y2" s="9" cm="1">
        <f t="array" ref="Y2">SUMPRODUCT(
   in.r9[Preço Tab.] *
   (in.r9[empresa]=Y$6) *
   ((in.r9[Status]="Disponível") + (in.r9[Status]="Reservada") + (in.r9[Status]="Em negociação"))
)</f>
        <v>0</v>
      </c>
      <c r="Z2" s="10"/>
      <c r="AA2" s="7" t="s">
        <v>7</v>
      </c>
      <c r="AB2" s="11"/>
      <c r="AC2" s="9" cm="1">
        <f t="array" ref="AC2">SUMPRODUCT(
   in.r9[Preço Tab.] *
   (in.r9[empresa]=AC$6) *
   ((in.r9[Status]="Disponível") + (in.r9[Status]="Reservada") + (in.r9[Status]="Em negociação"))
)</f>
        <v>0</v>
      </c>
      <c r="AE2" s="10"/>
      <c r="AF2" s="7" t="s">
        <v>7</v>
      </c>
      <c r="AG2" s="11"/>
      <c r="AH2" s="9" cm="1">
        <f t="array" ref="AH2">SUMPRODUCT(
   in.r9[Preço Tab.] *
   (in.r9[empresa]=AH$6) *
   ((in.r9[Status]="Disponível") + (in.r9[Status]="Reservada") + (in.r9[Status]="Em negociação"))
)</f>
        <v>0</v>
      </c>
      <c r="AL2" s="10"/>
      <c r="AM2" s="7" t="s">
        <v>7</v>
      </c>
      <c r="AN2" s="11"/>
      <c r="AO2" s="9" cm="1">
        <f t="array" ref="AO2">SUMPRODUCT(
   in.r9[Preço Tab.] *
   (in.r9[empresa]=AO$6) *
   ((in.r9[Status]="Disponível") + (in.r9[Status]="Reservada") + (in.r9[Status]="Em negociação"))
)</f>
        <v>0</v>
      </c>
      <c r="AP2" s="10"/>
    </row>
    <row r="3" spans="1:42" ht="15.75" x14ac:dyDescent="0.25">
      <c r="B3" s="12" t="s">
        <v>8</v>
      </c>
      <c r="C3" s="13"/>
      <c r="D3" s="14">
        <f>COUNTIFS(in.r9[empresa], D$6, in.r9[Status], "Disponível")
+
COUNTIFS(in.r9[empresa], D$6, in.r9[Status], "Reservada")
+
COUNTIFS(in.r9[empresa], D$6, in.r9[Status], "Em negociação")</f>
        <v>0</v>
      </c>
      <c r="H3" s="10"/>
      <c r="I3" s="12" t="s">
        <v>8</v>
      </c>
      <c r="J3" s="15"/>
      <c r="K3" s="14">
        <f>COUNTIFS(in.r9[empresa], K$6, in.r9[Status], "Disponível")
+
COUNTIFS(in.r9[empresa], K$6, in.r9[Status], "Reservada")
+
COUNTIFS(in.r9[empresa], K$6, in.r9[Status], "Em negociação")</f>
        <v>0</v>
      </c>
      <c r="O3" s="10"/>
      <c r="P3" s="12" t="s">
        <v>8</v>
      </c>
      <c r="Q3" s="15"/>
      <c r="R3" s="14">
        <f>COUNTIFS(in.r9[empresa], R$6, in.r9[Status], "Disponível")
+
COUNTIFS(in.r9[empresa], R$6, in.r9[Status], "Reservada")
+
COUNTIFS(in.r9[empresa], R$6, in.r9[Status], "Em negociação")</f>
        <v>0</v>
      </c>
      <c r="V3" s="10"/>
      <c r="W3" s="12" t="s">
        <v>8</v>
      </c>
      <c r="X3" s="15"/>
      <c r="Y3" s="14">
        <f>COUNTIFS(in.r9[empresa], Y$6, in.r9[Status], "Disponível")
+
COUNTIFS(in.r9[empresa], Y$6, in.r9[Status], "Reservada")
+
COUNTIFS(in.r9[empresa], Y$6, in.r9[Status], "Em negociação")</f>
        <v>0</v>
      </c>
      <c r="Z3" s="10"/>
      <c r="AA3" s="12" t="s">
        <v>8</v>
      </c>
      <c r="AB3" s="15"/>
      <c r="AC3" s="14">
        <f>COUNTIFS(in.r9[empresa], AC$6, in.r9[Status], "Disponível")
+
COUNTIFS(in.r9[empresa], AC$6, in.r9[Status], "Reservada")
+
COUNTIFS(in.r9[empresa], AC$6, in.r9[Status], "Em negociação")</f>
        <v>0</v>
      </c>
      <c r="AE3" s="10"/>
      <c r="AF3" s="12" t="s">
        <v>8</v>
      </c>
      <c r="AG3" s="15"/>
      <c r="AH3" s="14">
        <f>COUNTIFS(in.r9[empresa], AH$6, in.r9[Status], "Disponível")
+
COUNTIFS(in.r9[empresa], AH$6, in.r9[Status], "Reservada")
+
COUNTIFS(in.r9[empresa], AH$6, in.r9[Status], "Em negociação")</f>
        <v>0</v>
      </c>
      <c r="AL3" s="10"/>
      <c r="AM3" s="12" t="s">
        <v>8</v>
      </c>
      <c r="AN3" s="15"/>
      <c r="AO3" s="14">
        <f>COUNTIFS(in.r9[empresa], AO$6, in.r9[Status], "Disponível")
+
COUNTIFS(in.r9[empresa], AO$6, in.r9[Status], "Reservada")
+
COUNTIFS(in.r9[empresa], AO$6, in.r9[Status], "Em negociação")</f>
        <v>0</v>
      </c>
      <c r="AP3" s="10"/>
    </row>
    <row r="4" spans="1:42" ht="15.75" x14ac:dyDescent="0.25">
      <c r="B4" s="7" t="s">
        <v>9</v>
      </c>
      <c r="C4" s="8"/>
      <c r="D4" s="9">
        <f ca="1">SUMIFS(rec.uni[soma.meses],
INDIRECT("rec.uni[natureza]"),"parcela.cef.assinar",
INDIRECT("rec.uni[empresa]"),D$6)</f>
        <v>0</v>
      </c>
      <c r="H4" s="10"/>
      <c r="I4" s="7" t="s">
        <v>9</v>
      </c>
      <c r="J4" s="11"/>
      <c r="K4" s="9">
        <f ca="1">SUMIFS(rec.uni[soma.meses],
INDIRECT("rec.uni[natureza]"),"parcela.cef.assinar",
INDIRECT("rec.uni[empresa]"),K$6)</f>
        <v>0</v>
      </c>
      <c r="O4" s="10"/>
      <c r="P4" s="7" t="s">
        <v>9</v>
      </c>
      <c r="Q4" s="11"/>
      <c r="R4" s="9">
        <f ca="1">SUMIFS(rec.uni[soma.meses],
INDIRECT("rec.uni[natureza]"),"parcela.cef.assinar",
INDIRECT("rec.uni[empresa]"),R$6)</f>
        <v>0</v>
      </c>
      <c r="V4" s="10"/>
      <c r="W4" s="7" t="s">
        <v>9</v>
      </c>
      <c r="X4" s="11"/>
      <c r="Y4" s="9">
        <f ca="1">SUMIFS(rec.uni[soma.meses],
INDIRECT("rec.uni[natureza]"),"parcela.cef.assinar",
INDIRECT("rec.uni[empresa]"),Y$6)</f>
        <v>0</v>
      </c>
      <c r="Z4" s="10"/>
      <c r="AA4" s="16"/>
      <c r="AE4" s="10"/>
      <c r="AF4" s="7" t="s">
        <v>9</v>
      </c>
      <c r="AG4" s="11"/>
      <c r="AH4" s="9">
        <f ca="1">SUMIFS(rec.uni[soma.meses],
INDIRECT("rec.uni[natureza]"),"parcela.cef.assinar",
INDIRECT("rec.uni[empresa]"),AH$6)</f>
        <v>0</v>
      </c>
      <c r="AL4" s="10"/>
      <c r="AM4" s="7" t="s">
        <v>9</v>
      </c>
      <c r="AN4" s="11"/>
      <c r="AO4" s="9">
        <f ca="1">SUMIFS(rec.uni[soma.meses],
INDIRECT("rec.uni[natureza]"),"parcela.cef.assinar",
INDIRECT("rec.uni[empresa]"),AO$6)</f>
        <v>0</v>
      </c>
      <c r="AP4" s="10"/>
    </row>
    <row r="5" spans="1:42" ht="15.75" x14ac:dyDescent="0.25">
      <c r="B5" s="17" t="s">
        <v>10</v>
      </c>
      <c r="C5" s="18"/>
      <c r="D5" s="19">
        <f>COUNTIFS(
   rec.uni[empresa],D$6,
   rec.uni[natureza],"parcela.cef.assinar"
)</f>
        <v>0</v>
      </c>
      <c r="H5" s="20"/>
      <c r="I5" s="17" t="s">
        <v>10</v>
      </c>
      <c r="J5" s="21"/>
      <c r="K5" s="19">
        <f>COUNTIFS(
   rec.uni[empresa],K$6,
   rec.uni[natureza],"parcela.cef.assinar"
)</f>
        <v>0</v>
      </c>
      <c r="O5" s="20"/>
      <c r="P5" s="17" t="s">
        <v>10</v>
      </c>
      <c r="Q5" s="21"/>
      <c r="R5" s="19">
        <f>COUNTIFS(
   rec.uni[empresa],R$6,
   rec.uni[natureza],"parcela.cef.assinar"
)</f>
        <v>0</v>
      </c>
      <c r="V5" s="20"/>
      <c r="W5" s="17" t="s">
        <v>10</v>
      </c>
      <c r="X5" s="21"/>
      <c r="Y5" s="19">
        <f>COUNTIFS(
   rec.uni[empresa],Y$6,
   rec.uni[natureza],"parcela.cef.assinar"
)</f>
        <v>0</v>
      </c>
      <c r="Z5" s="20"/>
      <c r="AA5" s="22"/>
      <c r="AB5" s="23"/>
      <c r="AE5" s="20"/>
      <c r="AF5" s="17" t="s">
        <v>10</v>
      </c>
      <c r="AG5" s="21"/>
      <c r="AH5" s="19">
        <f>COUNTIFS(
   rec.uni[empresa],AH$6,
   rec.uni[natureza],"parcela.cef.assinar"
)</f>
        <v>0</v>
      </c>
      <c r="AL5" s="20"/>
      <c r="AM5" s="17" t="s">
        <v>10</v>
      </c>
      <c r="AN5" s="21"/>
      <c r="AO5" s="19">
        <f>COUNTIFS(
   rec.uni[empresa],AO$6,
   rec.uni[natureza],"parcela.cef.assinar"
)</f>
        <v>0</v>
      </c>
      <c r="AP5" s="20"/>
    </row>
    <row r="6" spans="1:42" ht="15.75" x14ac:dyDescent="0.25">
      <c r="A6" s="24" t="s">
        <v>11</v>
      </c>
      <c r="B6" s="25" t="s">
        <v>12</v>
      </c>
      <c r="C6" s="26" t="s">
        <v>12</v>
      </c>
      <c r="D6" s="26" t="s">
        <v>12</v>
      </c>
      <c r="E6" s="26" t="s">
        <v>12</v>
      </c>
      <c r="F6" s="27" t="s">
        <v>12</v>
      </c>
      <c r="G6" s="26" t="s">
        <v>12</v>
      </c>
      <c r="H6" s="28" t="s">
        <v>12</v>
      </c>
      <c r="I6" s="25" t="s">
        <v>13</v>
      </c>
      <c r="J6" s="26" t="s">
        <v>13</v>
      </c>
      <c r="K6" s="26" t="s">
        <v>13</v>
      </c>
      <c r="L6" s="26" t="s">
        <v>13</v>
      </c>
      <c r="M6" s="26" t="s">
        <v>13</v>
      </c>
      <c r="N6" s="26" t="s">
        <v>13</v>
      </c>
      <c r="O6" s="28" t="s">
        <v>13</v>
      </c>
      <c r="P6" s="25" t="s">
        <v>14</v>
      </c>
      <c r="Q6" s="26" t="s">
        <v>14</v>
      </c>
      <c r="R6" s="26" t="s">
        <v>14</v>
      </c>
      <c r="S6" s="26" t="s">
        <v>14</v>
      </c>
      <c r="T6" s="26" t="s">
        <v>14</v>
      </c>
      <c r="U6" s="26" t="s">
        <v>14</v>
      </c>
      <c r="V6" s="28" t="s">
        <v>14</v>
      </c>
      <c r="W6" s="25" t="s">
        <v>15</v>
      </c>
      <c r="X6" s="26" t="s">
        <v>15</v>
      </c>
      <c r="Y6" s="26" t="s">
        <v>15</v>
      </c>
      <c r="Z6" s="28" t="s">
        <v>15</v>
      </c>
      <c r="AA6" s="25" t="s">
        <v>16</v>
      </c>
      <c r="AB6" s="26" t="s">
        <v>16</v>
      </c>
      <c r="AC6" s="26" t="s">
        <v>16</v>
      </c>
      <c r="AD6" s="26" t="s">
        <v>16</v>
      </c>
      <c r="AE6" s="28" t="s">
        <v>16</v>
      </c>
      <c r="AF6" s="25" t="s">
        <v>17</v>
      </c>
      <c r="AG6" s="26" t="s">
        <v>17</v>
      </c>
      <c r="AH6" s="26" t="s">
        <v>17</v>
      </c>
      <c r="AI6" s="26" t="s">
        <v>17</v>
      </c>
      <c r="AJ6" s="26" t="s">
        <v>17</v>
      </c>
      <c r="AK6" s="26" t="s">
        <v>17</v>
      </c>
      <c r="AL6" s="28" t="s">
        <v>17</v>
      </c>
      <c r="AM6" s="25" t="s">
        <v>18</v>
      </c>
      <c r="AN6" s="26" t="s">
        <v>18</v>
      </c>
      <c r="AO6" s="26" t="s">
        <v>18</v>
      </c>
      <c r="AP6" s="28" t="s">
        <v>18</v>
      </c>
    </row>
    <row r="7" spans="1:42" ht="30" x14ac:dyDescent="0.25">
      <c r="A7" s="24" t="s">
        <v>19</v>
      </c>
      <c r="B7" s="29" t="s">
        <v>20</v>
      </c>
      <c r="C7" s="30" t="s">
        <v>21</v>
      </c>
      <c r="D7" s="30" t="s">
        <v>22</v>
      </c>
      <c r="E7" s="30" t="s">
        <v>23</v>
      </c>
      <c r="F7" s="31" t="s">
        <v>24</v>
      </c>
      <c r="G7" s="30" t="s">
        <v>25</v>
      </c>
      <c r="H7" s="32" t="s">
        <v>26</v>
      </c>
      <c r="I7" s="29" t="s">
        <v>20</v>
      </c>
      <c r="J7" s="30" t="s">
        <v>21</v>
      </c>
      <c r="K7" s="30" t="s">
        <v>22</v>
      </c>
      <c r="L7" s="30" t="s">
        <v>23</v>
      </c>
      <c r="M7" s="31" t="s">
        <v>24</v>
      </c>
      <c r="N7" s="30" t="s">
        <v>25</v>
      </c>
      <c r="O7" s="32" t="s">
        <v>26</v>
      </c>
      <c r="P7" s="29" t="s">
        <v>20</v>
      </c>
      <c r="Q7" s="30" t="s">
        <v>21</v>
      </c>
      <c r="R7" s="30" t="s">
        <v>22</v>
      </c>
      <c r="S7" s="30" t="s">
        <v>23</v>
      </c>
      <c r="T7" s="31" t="s">
        <v>24</v>
      </c>
      <c r="U7" s="30" t="s">
        <v>25</v>
      </c>
      <c r="V7" s="32" t="s">
        <v>26</v>
      </c>
      <c r="W7" s="29" t="s">
        <v>20</v>
      </c>
      <c r="X7" s="30" t="s">
        <v>21</v>
      </c>
      <c r="Y7" s="30" t="s">
        <v>25</v>
      </c>
      <c r="Z7" s="32" t="s">
        <v>26</v>
      </c>
      <c r="AA7" s="29" t="s">
        <v>20</v>
      </c>
      <c r="AB7" s="30" t="s">
        <v>21</v>
      </c>
      <c r="AC7" s="30" t="s">
        <v>27</v>
      </c>
      <c r="AD7" s="30" t="s">
        <v>25</v>
      </c>
      <c r="AE7" s="32" t="s">
        <v>26</v>
      </c>
      <c r="AF7" s="29" t="s">
        <v>20</v>
      </c>
      <c r="AG7" s="30" t="s">
        <v>21</v>
      </c>
      <c r="AH7" s="30" t="s">
        <v>22</v>
      </c>
      <c r="AI7" s="30" t="s">
        <v>23</v>
      </c>
      <c r="AJ7" s="31" t="s">
        <v>24</v>
      </c>
      <c r="AK7" s="30" t="s">
        <v>25</v>
      </c>
      <c r="AL7" s="32" t="s">
        <v>26</v>
      </c>
      <c r="AM7" s="29" t="s">
        <v>20</v>
      </c>
      <c r="AN7" s="30" t="s">
        <v>21</v>
      </c>
      <c r="AO7" s="30" t="s">
        <v>25</v>
      </c>
      <c r="AP7" s="32" t="s">
        <v>26</v>
      </c>
    </row>
    <row r="8" spans="1:42" ht="15.75" x14ac:dyDescent="0.25">
      <c r="A8" s="33" t="s">
        <v>28</v>
      </c>
      <c r="B8" s="34">
        <f t="shared" ref="B8:N8" si="0">SUMIF($A$11:$A$122,"&lt;="&amp;$A$1,B$11:B$122)</f>
        <v>0</v>
      </c>
      <c r="C8" s="35">
        <f t="shared" ca="1" si="0"/>
        <v>0</v>
      </c>
      <c r="D8" s="35">
        <f t="shared" ca="1" si="0"/>
        <v>0</v>
      </c>
      <c r="E8" s="35">
        <f t="shared" ca="1" si="0"/>
        <v>0</v>
      </c>
      <c r="F8" s="36">
        <f t="shared" si="0"/>
        <v>4623285.8899999997</v>
      </c>
      <c r="G8" s="35">
        <f t="shared" ca="1" si="0"/>
        <v>0</v>
      </c>
      <c r="H8" s="37">
        <f>SUMIF($A$11:$A$122,"&lt;="&amp;$A$1,H$11:H$122)</f>
        <v>0</v>
      </c>
      <c r="I8" s="34">
        <f t="shared" si="0"/>
        <v>0</v>
      </c>
      <c r="J8" s="35">
        <f t="shared" ca="1" si="0"/>
        <v>0</v>
      </c>
      <c r="K8" s="35">
        <f t="shared" ca="1" si="0"/>
        <v>0</v>
      </c>
      <c r="L8" s="35">
        <f t="shared" ca="1" si="0"/>
        <v>0</v>
      </c>
      <c r="M8" s="36">
        <f t="shared" si="0"/>
        <v>5133141.9800000004</v>
      </c>
      <c r="N8" s="35">
        <f t="shared" ca="1" si="0"/>
        <v>0</v>
      </c>
      <c r="O8" s="37">
        <f>SUMIF($A$11:$A$122,"&lt;="&amp;$A$1,O$11:O$122)</f>
        <v>0</v>
      </c>
      <c r="P8" s="34">
        <f>SUMIF($A$11:$A$122,"&lt;="&amp;$A$1,P$11:P$122)</f>
        <v>0</v>
      </c>
      <c r="Q8" s="35">
        <f ca="1">SUMIF($A$11:$A$122,"&lt;="&amp;$A$1,Q$11:Q$122)</f>
        <v>0</v>
      </c>
      <c r="R8" s="35">
        <f ca="1">SUMIF($A$11:$A$122,"&lt;="&amp;$A$1,R$11:R$122)</f>
        <v>0</v>
      </c>
      <c r="S8" s="35">
        <f ca="1">SUMIF($A$11:$A$122,"&lt;="&amp;$A$1,S$11:S$122)</f>
        <v>0</v>
      </c>
      <c r="T8" s="36">
        <f t="shared" ref="T8:AP8" si="1">SUMIF($A$11:$A$122,"&lt;="&amp;$A$1,T$11:T$122)</f>
        <v>2247103.94</v>
      </c>
      <c r="U8" s="35">
        <f t="shared" ca="1" si="1"/>
        <v>0</v>
      </c>
      <c r="V8" s="37">
        <f t="shared" si="1"/>
        <v>0</v>
      </c>
      <c r="W8" s="34">
        <f t="shared" si="1"/>
        <v>0</v>
      </c>
      <c r="X8" s="35">
        <f t="shared" ca="1" si="1"/>
        <v>0</v>
      </c>
      <c r="Y8" s="35">
        <f t="shared" ca="1" si="1"/>
        <v>0</v>
      </c>
      <c r="Z8" s="37">
        <f t="shared" si="1"/>
        <v>0</v>
      </c>
      <c r="AA8" s="34">
        <f t="shared" si="1"/>
        <v>0</v>
      </c>
      <c r="AB8" s="35">
        <f t="shared" ca="1" si="1"/>
        <v>0</v>
      </c>
      <c r="AC8" s="38" t="s">
        <v>44</v>
      </c>
      <c r="AD8" s="35">
        <f t="shared" ca="1" si="1"/>
        <v>0</v>
      </c>
      <c r="AE8" s="37">
        <f t="shared" si="1"/>
        <v>0</v>
      </c>
      <c r="AF8" s="34">
        <f t="shared" si="1"/>
        <v>0</v>
      </c>
      <c r="AG8" s="35">
        <f t="shared" ca="1" si="1"/>
        <v>0</v>
      </c>
      <c r="AH8" s="35">
        <f t="shared" ca="1" si="1"/>
        <v>0</v>
      </c>
      <c r="AI8" s="35">
        <f t="shared" ca="1" si="1"/>
        <v>0</v>
      </c>
      <c r="AJ8" s="36">
        <f t="shared" si="1"/>
        <v>2873902.3600000003</v>
      </c>
      <c r="AK8" s="35">
        <f t="shared" ca="1" si="1"/>
        <v>0</v>
      </c>
      <c r="AL8" s="37">
        <f t="shared" si="1"/>
        <v>0</v>
      </c>
      <c r="AM8" s="34">
        <f t="shared" si="1"/>
        <v>0</v>
      </c>
      <c r="AN8" s="35">
        <f t="shared" ca="1" si="1"/>
        <v>0</v>
      </c>
      <c r="AO8" s="35">
        <f t="shared" ca="1" si="1"/>
        <v>0</v>
      </c>
      <c r="AP8" s="37">
        <f t="shared" si="1"/>
        <v>0</v>
      </c>
    </row>
    <row r="9" spans="1:42" ht="15.75" x14ac:dyDescent="0.25">
      <c r="A9" s="33" t="s">
        <v>29</v>
      </c>
      <c r="B9" s="39">
        <f>B$10-B$8</f>
        <v>0</v>
      </c>
      <c r="C9" s="35">
        <f ca="1">SUMIF($A$11:$A$122,"&gt;"&amp;$A$1,C$11:C$122)</f>
        <v>0</v>
      </c>
      <c r="D9" s="40">
        <f ca="1">IFERROR(SUMIF(in.ecns[empresa], D$6,in.ecns[repasse.cef.total])
-E$8
-E$9
-D$8,0)</f>
        <v>0</v>
      </c>
      <c r="E9" s="40">
        <v>0</v>
      </c>
      <c r="F9" s="41">
        <f>SUMIF($A$11:$A$122,"&gt;"&amp;$A$1,F$11:F$122)</f>
        <v>0</v>
      </c>
      <c r="G9" s="35">
        <f ca="1">SUMIF($A$11:$A$122,"&gt;"&amp;$A$1,G$11:G$122)</f>
        <v>0</v>
      </c>
      <c r="H9" s="42">
        <f>SUMIF($A$11:$A$122,"&gt;"&amp;$A$1,H$11:H$122)</f>
        <v>0</v>
      </c>
      <c r="I9" s="39">
        <f>I$10-I$8</f>
        <v>0</v>
      </c>
      <c r="J9" s="35">
        <f ca="1">SUMIF($A$11:$A$122,"&gt;"&amp;$A$1,J$11:J$122)</f>
        <v>0</v>
      </c>
      <c r="K9" s="40">
        <v>0</v>
      </c>
      <c r="L9" s="40">
        <v>0</v>
      </c>
      <c r="M9" s="41">
        <f>SUMIF($A$11:$A$122,"&gt;"&amp;$A$1,M$11:M$122)</f>
        <v>0</v>
      </c>
      <c r="N9" s="35">
        <f ca="1">SUMIF($A$11:$A$122,"&gt;"&amp;$A$1,N$11:N$122)</f>
        <v>0</v>
      </c>
      <c r="O9" s="42">
        <f>SUMIF($A$11:$A$122,"&gt;"&amp;$A$1,O$11:O$122)</f>
        <v>0</v>
      </c>
      <c r="P9" s="39">
        <f>P$10-P$8</f>
        <v>0</v>
      </c>
      <c r="Q9" s="35">
        <f ca="1">SUMIF($A$11:$A$122,"&gt;"&amp;$A$1,Q$11:Q$122)</f>
        <v>0</v>
      </c>
      <c r="R9" s="40">
        <f ca="1">IFERROR(SUMIF(in.ecns[empresa], R$6,in.ecns[repasse.cef.total])
-S$8
-S$9
-R$8,0)</f>
        <v>0</v>
      </c>
      <c r="S9" s="40">
        <v>0</v>
      </c>
      <c r="T9" s="41">
        <f>SUMIF($A$11:$A$122,"&gt;"&amp;$A$1,T$11:T$122)</f>
        <v>0</v>
      </c>
      <c r="U9" s="35">
        <f ca="1">SUMIF($A$11:$A$122,"&gt;"&amp;$A$1,U$11:U$122)</f>
        <v>0</v>
      </c>
      <c r="V9" s="42">
        <f>SUMIF($A$11:$A$122,"&gt;"&amp;$A$1,V$11:V$122)</f>
        <v>0</v>
      </c>
      <c r="W9" s="39">
        <f>W$10-W$8</f>
        <v>0</v>
      </c>
      <c r="X9" s="35">
        <f ca="1">SUMIF($A$11:$A$122,"&gt;"&amp;$A$1,X$11:X$122)</f>
        <v>0</v>
      </c>
      <c r="Y9" s="35">
        <f ca="1">SUMIF($A$11:$A$122,"&gt;"&amp;$A$1,Y$11:Y$122)</f>
        <v>0</v>
      </c>
      <c r="Z9" s="42">
        <f>SUMIF($A$11:$A$122,"&gt;"&amp;$A$1,Z$11:Z$122)</f>
        <v>0</v>
      </c>
      <c r="AA9" s="39">
        <f>AA$10-AA$8</f>
        <v>0</v>
      </c>
      <c r="AB9" s="35">
        <f ca="1">SUMIF($A$11:$A$122,"&gt;"&amp;$A$1,AB$11:AB$122)</f>
        <v>0</v>
      </c>
      <c r="AC9" s="40">
        <f ca="1">SUMIF($A$11:$A$122,"&gt;"&amp;$A$1,AC$11:AC$122)</f>
        <v>0</v>
      </c>
      <c r="AD9" s="35">
        <f ca="1">SUMIF($A$11:$A$122,"&gt;"&amp;$A$1,AD$11:AD$122)</f>
        <v>0</v>
      </c>
      <c r="AE9" s="42">
        <f>SUMIF($A$11:$A$122,"&gt;"&amp;$A$1,AE$11:AE$122)</f>
        <v>0</v>
      </c>
      <c r="AF9" s="39">
        <f>AF$10-AF$8</f>
        <v>0</v>
      </c>
      <c r="AG9" s="35">
        <f ca="1">SUMIF($A$11:$A$122,"&gt;"&amp;$A$1,AG$11:AG$122)</f>
        <v>0</v>
      </c>
      <c r="AH9" s="40">
        <f ca="1">IFERROR(SUMIF(in.ecns[empresa], AH$6,in.ecns[repasse.cef.total])
-AI$8
-AI$9
-AH$8,0)</f>
        <v>0</v>
      </c>
      <c r="AI9" s="40">
        <v>0</v>
      </c>
      <c r="AJ9" s="41">
        <f>SUMIF($A$11:$A$122,"&gt;"&amp;$A$1,AJ$11:AJ$122)</f>
        <v>0</v>
      </c>
      <c r="AK9" s="35">
        <f ca="1">SUMIF($A$11:$A$122,"&gt;"&amp;$A$1,AK$11:AK$122)</f>
        <v>0</v>
      </c>
      <c r="AL9" s="42">
        <f>SUMIF($A$11:$A$122,"&gt;"&amp;$A$1,AL$11:AL$122)</f>
        <v>0</v>
      </c>
      <c r="AM9" s="39">
        <f>AM$10-AM$8</f>
        <v>0</v>
      </c>
      <c r="AN9" s="35">
        <f ca="1">SUMIF($A$11:$A$122,"&gt;"&amp;$A$1,AN$11:AN$122)</f>
        <v>0</v>
      </c>
      <c r="AO9" s="35">
        <f ca="1">SUMIF($A$11:$A$122,"&gt;"&amp;$A$1,AO$11:AO$122)</f>
        <v>0</v>
      </c>
      <c r="AP9" s="42">
        <f>SUMIF($A$11:$A$122,"&gt;"&amp;$A$1,AP$11:AP$122)</f>
        <v>0</v>
      </c>
    </row>
    <row r="10" spans="1:42" ht="15.75" x14ac:dyDescent="0.25">
      <c r="A10" s="43" t="s">
        <v>30</v>
      </c>
      <c r="B10" s="39">
        <f>unis!H4</f>
        <v>0</v>
      </c>
      <c r="C10" s="44">
        <f t="shared" ref="C10:H10" ca="1" si="2">SUM(C8:C9)</f>
        <v>0</v>
      </c>
      <c r="D10" s="44">
        <f t="shared" ca="1" si="2"/>
        <v>0</v>
      </c>
      <c r="E10" s="44">
        <f t="shared" ca="1" si="2"/>
        <v>0</v>
      </c>
      <c r="F10" s="45">
        <f t="shared" si="2"/>
        <v>4623285.8899999997</v>
      </c>
      <c r="G10" s="44">
        <f t="shared" ca="1" si="2"/>
        <v>0</v>
      </c>
      <c r="H10" s="46">
        <f t="shared" si="2"/>
        <v>0</v>
      </c>
      <c r="I10" s="39">
        <f>unis!H8</f>
        <v>0</v>
      </c>
      <c r="J10" s="44">
        <f t="shared" ref="J10:O10" ca="1" si="3">SUM(J8:J9)</f>
        <v>0</v>
      </c>
      <c r="K10" s="44">
        <f t="shared" ca="1" si="3"/>
        <v>0</v>
      </c>
      <c r="L10" s="44">
        <f t="shared" ca="1" si="3"/>
        <v>0</v>
      </c>
      <c r="M10" s="45">
        <f t="shared" si="3"/>
        <v>5133141.9800000004</v>
      </c>
      <c r="N10" s="44">
        <f t="shared" ca="1" si="3"/>
        <v>0</v>
      </c>
      <c r="O10" s="46">
        <f t="shared" si="3"/>
        <v>0</v>
      </c>
      <c r="P10" s="39">
        <f>unis!H12</f>
        <v>0</v>
      </c>
      <c r="Q10" s="44">
        <f t="shared" ref="Q10:V10" ca="1" si="4">SUM(Q8:Q9)</f>
        <v>0</v>
      </c>
      <c r="R10" s="44">
        <f t="shared" ca="1" si="4"/>
        <v>0</v>
      </c>
      <c r="S10" s="44">
        <f t="shared" ca="1" si="4"/>
        <v>0</v>
      </c>
      <c r="T10" s="45">
        <f t="shared" si="4"/>
        <v>2247103.94</v>
      </c>
      <c r="U10" s="44">
        <f t="shared" ca="1" si="4"/>
        <v>0</v>
      </c>
      <c r="V10" s="46">
        <f t="shared" si="4"/>
        <v>0</v>
      </c>
      <c r="W10" s="39">
        <f>unis!H16</f>
        <v>0</v>
      </c>
      <c r="X10" s="44">
        <f ca="1">SUM(X8:X9)</f>
        <v>0</v>
      </c>
      <c r="Y10" s="44">
        <f ca="1">SUM(Y8:Y9)</f>
        <v>0</v>
      </c>
      <c r="Z10" s="46">
        <f>SUM(Z8:Z9)</f>
        <v>0</v>
      </c>
      <c r="AA10" s="39">
        <f>unis!H20</f>
        <v>0</v>
      </c>
      <c r="AB10" s="44">
        <f ca="1">SUM(AB8:AB9)</f>
        <v>0</v>
      </c>
      <c r="AC10" s="44">
        <f ca="1">SUM(AC8:AC9)</f>
        <v>0</v>
      </c>
      <c r="AD10" s="44">
        <f ca="1">SUM(AD8:AD9)</f>
        <v>0</v>
      </c>
      <c r="AE10" s="46">
        <f>SUM(AE8:AE9)</f>
        <v>0</v>
      </c>
      <c r="AF10" s="39">
        <f>unis!H24</f>
        <v>0</v>
      </c>
      <c r="AG10" s="44">
        <f t="shared" ref="AG10:AL10" ca="1" si="5">SUM(AG8:AG9)</f>
        <v>0</v>
      </c>
      <c r="AH10" s="44">
        <f t="shared" ca="1" si="5"/>
        <v>0</v>
      </c>
      <c r="AI10" s="44">
        <f t="shared" ca="1" si="5"/>
        <v>0</v>
      </c>
      <c r="AJ10" s="45">
        <f t="shared" si="5"/>
        <v>2873902.3600000003</v>
      </c>
      <c r="AK10" s="44">
        <f t="shared" ca="1" si="5"/>
        <v>0</v>
      </c>
      <c r="AL10" s="46">
        <f t="shared" si="5"/>
        <v>0</v>
      </c>
      <c r="AM10" s="39">
        <f>unis!H28</f>
        <v>0</v>
      </c>
      <c r="AN10" s="44">
        <f ca="1">SUM(AN8:AN9)</f>
        <v>0</v>
      </c>
      <c r="AO10" s="44">
        <f ca="1">SUM(AO8:AO9)</f>
        <v>0</v>
      </c>
      <c r="AP10" s="46">
        <f>SUM(AP8:AP9)</f>
        <v>0</v>
      </c>
    </row>
    <row r="11" spans="1:42" x14ac:dyDescent="0.25">
      <c r="A11" s="47">
        <v>44440</v>
      </c>
      <c r="B11" s="48">
        <f>COUNTIFS(
    in.r9[empresa], B$6,
    in.r9[Data da venda / reserva], "&gt;=" &amp; $A11,
    in.r9[Data da venda / reserva], "&lt;"  &amp; EOMONTH($A11,0) + 1
)</f>
        <v>0</v>
      </c>
      <c r="C11" s="49">
        <v>0</v>
      </c>
      <c r="D11" s="49">
        <v>0</v>
      </c>
      <c r="E11" s="49">
        <v>0</v>
      </c>
      <c r="F11" s="49">
        <v>0</v>
      </c>
      <c r="G11" s="49">
        <v>0</v>
      </c>
      <c r="H11" s="50"/>
      <c r="I11" s="48">
        <f>COUNTIFS(
    in.r9[empresa], I$6,
    in.r9[Data da venda / reserva], "&gt;=" &amp; $A11,
    in.r9[Data da venda / reserva], "&lt;"  &amp; EOMONTH($A11,0) + 1
)</f>
        <v>0</v>
      </c>
      <c r="J11" s="49">
        <v>0</v>
      </c>
      <c r="K11" s="49">
        <v>0</v>
      </c>
      <c r="L11" s="49">
        <v>0</v>
      </c>
      <c r="M11" s="49">
        <v>0</v>
      </c>
      <c r="N11" s="49">
        <v>0</v>
      </c>
      <c r="O11" s="50"/>
      <c r="P11" s="48">
        <f>COUNTIFS(
    in.r9[empresa], P$6,
    in.r9[Data da venda / reserva], "&gt;=" &amp; $A11,
    in.r9[Data da venda / reserva], "&lt;"  &amp; EOMONTH($A11,0) + 1
)</f>
        <v>0</v>
      </c>
      <c r="Q11" s="49">
        <v>0</v>
      </c>
      <c r="R11" s="49">
        <v>0</v>
      </c>
      <c r="S11" s="49">
        <v>0</v>
      </c>
      <c r="T11" s="49">
        <v>0</v>
      </c>
      <c r="U11" s="49">
        <v>0</v>
      </c>
      <c r="V11" s="50"/>
      <c r="W11" s="48">
        <f>COUNTIFS(
    in.r9[empresa], W$6,
    in.r9[Data da venda / reserva], "&gt;=" &amp; $A11,
    in.r9[Data da venda / reserva], "&lt;"  &amp; EOMONTH($A11,0) + 1
)</f>
        <v>0</v>
      </c>
      <c r="X11" s="49">
        <v>0</v>
      </c>
      <c r="Y11" s="49">
        <v>0</v>
      </c>
      <c r="Z11" s="50"/>
      <c r="AA11" s="48">
        <f>COUNTIFS(
    in.r9[empresa], AA$6,
    in.r9[Data da venda / reserva], "&gt;=" &amp; $A11,
    in.r9[Data da venda / reserva], "&lt;"  &amp; EOMONTH($A11,0) + 1
)</f>
        <v>0</v>
      </c>
      <c r="AB11" s="49">
        <v>0</v>
      </c>
      <c r="AC11" s="38">
        <v>0</v>
      </c>
      <c r="AD11" s="49">
        <v>0</v>
      </c>
      <c r="AE11" s="50"/>
      <c r="AF11" s="48">
        <f>COUNTIFS(
    in.r9[empresa], AF$6,
    in.r9[Data da venda / reserva], "&gt;=" &amp; $A11,
    in.r9[Data da venda / reserva], "&lt;"  &amp; EOMONTH($A11,0) + 1
)</f>
        <v>0</v>
      </c>
      <c r="AG11" s="49">
        <v>0</v>
      </c>
      <c r="AH11" s="49">
        <v>0</v>
      </c>
      <c r="AI11" s="49">
        <v>0</v>
      </c>
      <c r="AJ11" s="49">
        <v>0</v>
      </c>
      <c r="AK11" s="49">
        <v>0</v>
      </c>
      <c r="AL11" s="50"/>
      <c r="AM11" s="48">
        <f>COUNTIFS(
    in.r9[empresa], AM$6,
    in.r9[Data da venda / reserva], "&gt;=" &amp; $A11,
    in.r9[Data da venda / reserva], "&lt;"  &amp; EOMONTH($A11,0) + 1
)</f>
        <v>0</v>
      </c>
      <c r="AN11" s="49">
        <v>0</v>
      </c>
      <c r="AO11" s="49">
        <v>0</v>
      </c>
      <c r="AP11" s="50"/>
    </row>
    <row r="12" spans="1:42" x14ac:dyDescent="0.25">
      <c r="A12" s="47">
        <v>44470</v>
      </c>
      <c r="B12" s="48">
        <f>COUNTIFS(
    in.r9[empresa], B$6,
    in.r9[Data da venda / reserva], "&gt;=" &amp; $A12,
    in.r9[Data da venda / reserva], "&lt;"  &amp; EOMONTH($A12,0) + 1
)</f>
        <v>0</v>
      </c>
      <c r="C12" s="49">
        <v>0</v>
      </c>
      <c r="D12" s="49">
        <v>0</v>
      </c>
      <c r="E12" s="49">
        <v>0</v>
      </c>
      <c r="F12" s="49">
        <v>0</v>
      </c>
      <c r="G12" s="49">
        <v>0</v>
      </c>
      <c r="H12" s="50"/>
      <c r="I12" s="48">
        <f>COUNTIFS(
    in.r9[empresa], I$6,
    in.r9[Data da venda / reserva], "&gt;=" &amp; $A12,
    in.r9[Data da venda / reserva], "&lt;"  &amp; EOMONTH($A12,0) + 1
)</f>
        <v>0</v>
      </c>
      <c r="J12" s="49">
        <v>0</v>
      </c>
      <c r="K12" s="49">
        <v>0</v>
      </c>
      <c r="L12" s="49">
        <v>0</v>
      </c>
      <c r="M12" s="49">
        <v>0</v>
      </c>
      <c r="N12" s="49">
        <v>0</v>
      </c>
      <c r="O12" s="50"/>
      <c r="P12" s="48">
        <f>COUNTIFS(
    in.r9[empresa], P$6,
    in.r9[Data da venda / reserva], "&gt;=" &amp; $A12,
    in.r9[Data da venda / reserva], "&lt;"  &amp; EOMONTH($A12,0) + 1
)</f>
        <v>0</v>
      </c>
      <c r="Q12" s="49">
        <v>0</v>
      </c>
      <c r="R12" s="49">
        <v>0</v>
      </c>
      <c r="S12" s="49">
        <v>0</v>
      </c>
      <c r="T12" s="49">
        <v>0</v>
      </c>
      <c r="U12" s="49">
        <v>0</v>
      </c>
      <c r="V12" s="50"/>
      <c r="W12" s="48">
        <f>COUNTIFS(
    in.r9[empresa], W$6,
    in.r9[Data da venda / reserva], "&gt;=" &amp; $A12,
    in.r9[Data da venda / reserva], "&lt;"  &amp; EOMONTH($A12,0) + 1
)</f>
        <v>0</v>
      </c>
      <c r="X12" s="49">
        <v>0</v>
      </c>
      <c r="Y12" s="49">
        <v>0</v>
      </c>
      <c r="Z12" s="50"/>
      <c r="AA12" s="48">
        <f>COUNTIFS(
    in.r9[empresa], AA$6,
    in.r9[Data da venda / reserva], "&gt;=" &amp; $A12,
    in.r9[Data da venda / reserva], "&lt;"  &amp; EOMONTH($A12,0) + 1
)</f>
        <v>0</v>
      </c>
      <c r="AB12" s="49">
        <v>0</v>
      </c>
      <c r="AC12" s="38">
        <v>0</v>
      </c>
      <c r="AD12" s="49">
        <v>0</v>
      </c>
      <c r="AE12" s="50"/>
      <c r="AF12" s="48">
        <f>COUNTIFS(
    in.r9[empresa], AF$6,
    in.r9[Data da venda / reserva], "&gt;=" &amp; $A12,
    in.r9[Data da venda / reserva], "&lt;"  &amp; EOMONTH($A12,0) + 1
)</f>
        <v>0</v>
      </c>
      <c r="AG12" s="49">
        <v>0</v>
      </c>
      <c r="AH12" s="49">
        <v>0</v>
      </c>
      <c r="AI12" s="49">
        <v>0</v>
      </c>
      <c r="AJ12" s="49">
        <v>0</v>
      </c>
      <c r="AK12" s="49">
        <v>0</v>
      </c>
      <c r="AL12" s="50"/>
      <c r="AM12" s="48">
        <f>COUNTIFS(
    in.r9[empresa], AM$6,
    in.r9[Data da venda / reserva], "&gt;=" &amp; $A12,
    in.r9[Data da venda / reserva], "&lt;"  &amp; EOMONTH($A12,0) + 1
)</f>
        <v>0</v>
      </c>
      <c r="AN12" s="49">
        <v>0</v>
      </c>
      <c r="AO12" s="49">
        <v>0</v>
      </c>
      <c r="AP12" s="50"/>
    </row>
    <row r="13" spans="1:42" x14ac:dyDescent="0.25">
      <c r="A13" s="47">
        <v>44501</v>
      </c>
      <c r="B13" s="48">
        <f>COUNTIFS(
    in.r9[empresa], B$6,
    in.r9[Data da venda / reserva], "&gt;=" &amp; $A13,
    in.r9[Data da venda / reserva], "&lt;"  &amp; EOMONTH($A13,0) + 1
)</f>
        <v>0</v>
      </c>
      <c r="C13" s="49">
        <v>0</v>
      </c>
      <c r="D13" s="49">
        <v>0</v>
      </c>
      <c r="E13" s="49">
        <v>0</v>
      </c>
      <c r="F13" s="49">
        <v>0</v>
      </c>
      <c r="G13" s="49">
        <v>0</v>
      </c>
      <c r="H13" s="50"/>
      <c r="I13" s="48">
        <f>COUNTIFS(
    in.r9[empresa], I$6,
    in.r9[Data da venda / reserva], "&gt;=" &amp; $A13,
    in.r9[Data da venda / reserva], "&lt;"  &amp; EOMONTH($A13,0) + 1
)</f>
        <v>0</v>
      </c>
      <c r="J13" s="49">
        <v>0</v>
      </c>
      <c r="K13" s="49">
        <v>0</v>
      </c>
      <c r="L13" s="49">
        <v>0</v>
      </c>
      <c r="M13" s="49">
        <v>0</v>
      </c>
      <c r="N13" s="49">
        <v>0</v>
      </c>
      <c r="O13" s="50"/>
      <c r="P13" s="48">
        <f>COUNTIFS(
    in.r9[empresa], P$6,
    in.r9[Data da venda / reserva], "&gt;=" &amp; $A13,
    in.r9[Data da venda / reserva], "&lt;"  &amp; EOMONTH($A13,0) + 1
)</f>
        <v>0</v>
      </c>
      <c r="Q13" s="49">
        <v>0</v>
      </c>
      <c r="R13" s="49">
        <v>0</v>
      </c>
      <c r="S13" s="49">
        <v>0</v>
      </c>
      <c r="T13" s="49">
        <v>0</v>
      </c>
      <c r="U13" s="49">
        <v>0</v>
      </c>
      <c r="V13" s="50"/>
      <c r="W13" s="48">
        <f>COUNTIFS(
    in.r9[empresa], W$6,
    in.r9[Data da venda / reserva], "&gt;=" &amp; $A13,
    in.r9[Data da venda / reserva], "&lt;"  &amp; EOMONTH($A13,0) + 1
)</f>
        <v>0</v>
      </c>
      <c r="X13" s="49">
        <v>0</v>
      </c>
      <c r="Y13" s="49">
        <v>0</v>
      </c>
      <c r="Z13" s="50"/>
      <c r="AA13" s="48">
        <f>COUNTIFS(
    in.r9[empresa], AA$6,
    in.r9[Data da venda / reserva], "&gt;=" &amp; $A13,
    in.r9[Data da venda / reserva], "&lt;"  &amp; EOMONTH($A13,0) + 1
)</f>
        <v>0</v>
      </c>
      <c r="AB13" s="49">
        <v>0</v>
      </c>
      <c r="AC13" s="38">
        <v>0</v>
      </c>
      <c r="AD13" s="49">
        <v>0</v>
      </c>
      <c r="AE13" s="50"/>
      <c r="AF13" s="48">
        <f>COUNTIFS(
    in.r9[empresa], AF$6,
    in.r9[Data da venda / reserva], "&gt;=" &amp; $A13,
    in.r9[Data da venda / reserva], "&lt;"  &amp; EOMONTH($A13,0) + 1
)</f>
        <v>0</v>
      </c>
      <c r="AG13" s="49">
        <v>0</v>
      </c>
      <c r="AH13" s="49">
        <v>0</v>
      </c>
      <c r="AI13" s="49">
        <v>0</v>
      </c>
      <c r="AJ13" s="49">
        <v>0</v>
      </c>
      <c r="AK13" s="49">
        <v>0</v>
      </c>
      <c r="AL13" s="50"/>
      <c r="AM13" s="48">
        <f>COUNTIFS(
    in.r9[empresa], AM$6,
    in.r9[Data da venda / reserva], "&gt;=" &amp; $A13,
    in.r9[Data da venda / reserva], "&lt;"  &amp; EOMONTH($A13,0) + 1
)</f>
        <v>0</v>
      </c>
      <c r="AN13" s="49">
        <v>0</v>
      </c>
      <c r="AO13" s="49">
        <v>0</v>
      </c>
      <c r="AP13" s="50"/>
    </row>
    <row r="14" spans="1:42" x14ac:dyDescent="0.25">
      <c r="A14" s="47">
        <v>44531</v>
      </c>
      <c r="B14" s="48">
        <f>COUNTIFS(
    in.r9[empresa], B$6,
    in.r9[Data da venda / reserva], "&gt;=" &amp; $A14,
    in.r9[Data da venda / reserva], "&lt;"  &amp; EOMONTH($A14,0) + 1
)</f>
        <v>0</v>
      </c>
      <c r="C14" s="49">
        <v>0</v>
      </c>
      <c r="D14" s="49">
        <v>0</v>
      </c>
      <c r="E14" s="49">
        <v>0</v>
      </c>
      <c r="F14" s="49">
        <v>0</v>
      </c>
      <c r="G14" s="49">
        <v>0</v>
      </c>
      <c r="H14" s="50"/>
      <c r="I14" s="48">
        <f>COUNTIFS(
    in.r9[empresa], I$6,
    in.r9[Data da venda / reserva], "&gt;=" &amp; $A14,
    in.r9[Data da venda / reserva], "&lt;"  &amp; EOMONTH($A14,0) + 1
)</f>
        <v>0</v>
      </c>
      <c r="J14" s="49">
        <v>0</v>
      </c>
      <c r="K14" s="49">
        <v>0</v>
      </c>
      <c r="L14" s="49">
        <v>0</v>
      </c>
      <c r="M14" s="49">
        <v>0</v>
      </c>
      <c r="N14" s="49">
        <v>0</v>
      </c>
      <c r="O14" s="50"/>
      <c r="P14" s="48">
        <f>COUNTIFS(
    in.r9[empresa], P$6,
    in.r9[Data da venda / reserva], "&gt;=" &amp; $A14,
    in.r9[Data da venda / reserva], "&lt;"  &amp; EOMONTH($A14,0) + 1
)</f>
        <v>0</v>
      </c>
      <c r="Q14" s="49">
        <v>0</v>
      </c>
      <c r="R14" s="49">
        <v>0</v>
      </c>
      <c r="S14" s="49">
        <v>0</v>
      </c>
      <c r="T14" s="49">
        <v>0</v>
      </c>
      <c r="U14" s="49">
        <v>0</v>
      </c>
      <c r="V14" s="50"/>
      <c r="W14" s="48">
        <f>COUNTIFS(
    in.r9[empresa], W$6,
    in.r9[Data da venda / reserva], "&gt;=" &amp; $A14,
    in.r9[Data da venda / reserva], "&lt;"  &amp; EOMONTH($A14,0) + 1
)</f>
        <v>0</v>
      </c>
      <c r="X14" s="49">
        <v>0</v>
      </c>
      <c r="Y14" s="49">
        <v>0</v>
      </c>
      <c r="Z14" s="50"/>
      <c r="AA14" s="48">
        <f>COUNTIFS(
    in.r9[empresa], AA$6,
    in.r9[Data da venda / reserva], "&gt;=" &amp; $A14,
    in.r9[Data da venda / reserva], "&lt;"  &amp; EOMONTH($A14,0) + 1
)</f>
        <v>0</v>
      </c>
      <c r="AB14" s="49">
        <v>0</v>
      </c>
      <c r="AC14" s="38">
        <v>0</v>
      </c>
      <c r="AD14" s="49">
        <v>0</v>
      </c>
      <c r="AE14" s="50"/>
      <c r="AF14" s="48">
        <f>COUNTIFS(
    in.r9[empresa], AF$6,
    in.r9[Data da venda / reserva], "&gt;=" &amp; $A14,
    in.r9[Data da venda / reserva], "&lt;"  &amp; EOMONTH($A14,0) + 1
)</f>
        <v>0</v>
      </c>
      <c r="AG14" s="49">
        <v>0</v>
      </c>
      <c r="AH14" s="49">
        <v>0</v>
      </c>
      <c r="AI14" s="49">
        <v>0</v>
      </c>
      <c r="AJ14" s="49">
        <v>0</v>
      </c>
      <c r="AK14" s="49">
        <v>0</v>
      </c>
      <c r="AL14" s="50"/>
      <c r="AM14" s="48">
        <f>COUNTIFS(
    in.r9[empresa], AM$6,
    in.r9[Data da venda / reserva], "&gt;=" &amp; $A14,
    in.r9[Data da venda / reserva], "&lt;"  &amp; EOMONTH($A14,0) + 1
)</f>
        <v>0</v>
      </c>
      <c r="AN14" s="49">
        <v>0</v>
      </c>
      <c r="AO14" s="49">
        <v>0</v>
      </c>
      <c r="AP14" s="50"/>
    </row>
    <row r="15" spans="1:42" x14ac:dyDescent="0.25">
      <c r="A15" s="47">
        <v>44562</v>
      </c>
      <c r="B15" s="48">
        <f>COUNTIFS(
    in.r9[empresa], B$6,
    in.r9[Data da venda / reserva], "&gt;=" &amp; $A15,
    in.r9[Data da venda / reserva], "&lt;"  &amp; EOMONTH($A15,0) + 1
)</f>
        <v>0</v>
      </c>
      <c r="C15" s="49">
        <f ca="1">SUMIFS(rec.uni[2022-01-01],
INDIRECT("rec.uni[natureza]"),"pro.soluto",
INDIRECT("rec.uni[empresa]"),C$6)</f>
        <v>0</v>
      </c>
      <c r="D15" s="49">
        <f ca="1">SUMIFS(rec.uni[2022-01-01],
INDIRECT("rec.uni[natureza]"),"repasse.cef.obra",
INDIRECT("rec.uni[empresa]"),D$6)</f>
        <v>0</v>
      </c>
      <c r="E15" s="49">
        <f ca="1">SUMIFS(rec.uni[2022-01-01],
INDIRECT("rec.uni[natureza]"),"repasse.cef.terreno",
INDIRECT("rec.uni[empresa]"),E$6)</f>
        <v>0</v>
      </c>
      <c r="F15" s="49">
        <v>0</v>
      </c>
      <c r="G15" s="49">
        <f ca="1">SUMIFS(rec.uni[2022-01-01],
INDIRECT("rec.uni[natureza]"),"taxa.extra",
INDIRECT("rec.uni[empresa]"),G$6)</f>
        <v>0</v>
      </c>
      <c r="H15" s="50"/>
      <c r="I15" s="48">
        <f>COUNTIFS(
    in.r9[empresa], I$6,
    in.r9[Data da venda / reserva], "&gt;=" &amp; $A15,
    in.r9[Data da venda / reserva], "&lt;"  &amp; EOMONTH($A15,0) + 1
)</f>
        <v>0</v>
      </c>
      <c r="J15" s="49">
        <f ca="1">SUMIFS(rec.uni[2022-01-01],
INDIRECT("rec.uni[natureza]"),"pro.soluto",
INDIRECT("rec.uni[empresa]"),J$6)</f>
        <v>0</v>
      </c>
      <c r="K15" s="49">
        <f ca="1">SUMIFS(rec.uni[2022-01-01],
INDIRECT("rec.uni[natureza]"),"repasse.cef.obra",
INDIRECT("rec.uni[empresa]"),K$6)</f>
        <v>0</v>
      </c>
      <c r="L15" s="49">
        <f ca="1">SUMIFS(rec.uni[2022-01-01],
INDIRECT("rec.uni[natureza]"),"repasse.cef.terreno",
INDIRECT("rec.uni[empresa]"),L$6)</f>
        <v>0</v>
      </c>
      <c r="M15" s="49">
        <v>0</v>
      </c>
      <c r="N15" s="49">
        <f ca="1">SUMIFS(rec.uni[2022-01-01],
INDIRECT("rec.uni[natureza]"),"taxa.extra",
INDIRECT("rec.uni[empresa]"),N$6)</f>
        <v>0</v>
      </c>
      <c r="O15" s="50"/>
      <c r="P15" s="48">
        <f>COUNTIFS(
    in.r9[empresa], P$6,
    in.r9[Data da venda / reserva], "&gt;=" &amp; $A15,
    in.r9[Data da venda / reserva], "&lt;"  &amp; EOMONTH($A15,0) + 1
)</f>
        <v>0</v>
      </c>
      <c r="Q15" s="49">
        <f ca="1">SUMIFS(rec.uni[2022-01-01],
INDIRECT("rec.uni[natureza]"),"pro.soluto",
INDIRECT("rec.uni[empresa]"),Q$6)</f>
        <v>0</v>
      </c>
      <c r="R15" s="49">
        <f ca="1">SUMIFS(rec.uni[2022-01-01],
INDIRECT("rec.uni[natureza]"),"repasse.cef.obra",
INDIRECT("rec.uni[empresa]"),R$6)</f>
        <v>0</v>
      </c>
      <c r="S15" s="49">
        <f ca="1">SUMIFS(rec.uni[2022-01-01],
INDIRECT("rec.uni[natureza]"),"repasse.cef.terreno",
INDIRECT("rec.uni[empresa]"),S$6)</f>
        <v>0</v>
      </c>
      <c r="T15" s="49">
        <v>0</v>
      </c>
      <c r="U15" s="49">
        <f ca="1">SUMIFS(rec.uni[2022-01-01],
INDIRECT("rec.uni[natureza]"),"taxa.extra",
INDIRECT("rec.uni[empresa]"),U$6)</f>
        <v>0</v>
      </c>
      <c r="V15" s="50"/>
      <c r="W15" s="48">
        <f>COUNTIFS(
    in.r9[empresa], W$6,
    in.r9[Data da venda / reserva], "&gt;=" &amp; $A15,
    in.r9[Data da venda / reserva], "&lt;"  &amp; EOMONTH($A15,0) + 1
)</f>
        <v>0</v>
      </c>
      <c r="X15" s="49">
        <f ca="1">SUMIFS(rec.uni[2022-01-01],
INDIRECT("rec.uni[natureza]"),"pro.soluto",
INDIRECT("rec.uni[empresa]"),X$6)</f>
        <v>0</v>
      </c>
      <c r="Y15" s="49">
        <f ca="1">SUMIFS(rec.uni[2022-01-01],
INDIRECT("rec.uni[natureza]"),"taxa.extra",
INDIRECT("rec.uni[empresa]"),Y$6)</f>
        <v>0</v>
      </c>
      <c r="Z15" s="50"/>
      <c r="AA15" s="48">
        <f>COUNTIFS(
    in.r9[empresa], AA$6,
    in.r9[Data da venda / reserva], "&gt;=" &amp; $A15,
    in.r9[Data da venda / reserva], "&lt;"  &amp; EOMONTH($A15,0) + 1
)</f>
        <v>0</v>
      </c>
      <c r="AB15" s="49">
        <f ca="1">SUMIFS(rec.uni[2022-01-01],
INDIRECT("rec.uni[natureza]"),"pro.soluto",
INDIRECT("rec.uni[empresa]"),AB$6)</f>
        <v>0</v>
      </c>
      <c r="AC15" s="38">
        <f ca="1">SUMIFS(rec.uni[2022-01-01],
INDIRECT("rec.uni[natureza]"),"parcela.fin.total.ik",
INDIRECT("rec.uni[empresa]"),AC$6)</f>
        <v>0</v>
      </c>
      <c r="AD15" s="49">
        <f ca="1">SUMIFS(rec.uni[2022-01-01],
INDIRECT("rec.uni[natureza]"),"taxa.extra",
INDIRECT("rec.uni[empresa]"),AD$6)</f>
        <v>0</v>
      </c>
      <c r="AE15" s="50"/>
      <c r="AF15" s="48">
        <f>COUNTIFS(
    in.r9[empresa], AF$6,
    in.r9[Data da venda / reserva], "&gt;=" &amp; $A15,
    in.r9[Data da venda / reserva], "&lt;"  &amp; EOMONTH($A15,0) + 1
)</f>
        <v>0</v>
      </c>
      <c r="AG15" s="49">
        <f ca="1">SUMIFS(rec.uni[2022-01-01],
INDIRECT("rec.uni[natureza]"),"pro.soluto",
INDIRECT("rec.uni[empresa]"),AG$6)</f>
        <v>0</v>
      </c>
      <c r="AH15" s="49">
        <f ca="1">SUMIFS(rec.uni[2022-01-01],
INDIRECT("rec.uni[natureza]"),"repasse.cef.obra",
INDIRECT("rec.uni[empresa]"),AH$6)</f>
        <v>0</v>
      </c>
      <c r="AI15" s="49">
        <f ca="1">SUMIFS(rec.uni[2022-01-01],
INDIRECT("rec.uni[natureza]"),"repasse.cef.terreno",
INDIRECT("rec.uni[empresa]"),AI$6)</f>
        <v>0</v>
      </c>
      <c r="AJ15" s="49">
        <v>0</v>
      </c>
      <c r="AK15" s="49">
        <f ca="1">SUMIFS(rec.uni[2022-01-01],
INDIRECT("rec.uni[natureza]"),"taxa.extra",
INDIRECT("rec.uni[empresa]"),AK$6)</f>
        <v>0</v>
      </c>
      <c r="AL15" s="50"/>
      <c r="AM15" s="48">
        <f>COUNTIFS(
    in.r9[empresa], AM$6,
    in.r9[Data da venda / reserva], "&gt;=" &amp; $A15,
    in.r9[Data da venda / reserva], "&lt;"  &amp; EOMONTH($A15,0) + 1
)</f>
        <v>0</v>
      </c>
      <c r="AN15" s="49">
        <f ca="1">SUMIFS(rec.uni[2022-01-01],
INDIRECT("rec.uni[natureza]"),"pro.soluto",
INDIRECT("rec.uni[empresa]"),AN$6)</f>
        <v>0</v>
      </c>
      <c r="AO15" s="49">
        <f ca="1">SUMIFS(rec.uni[2022-01-01],
INDIRECT("rec.uni[natureza]"),"taxa.extra",
INDIRECT("rec.uni[empresa]"),AO$6)</f>
        <v>0</v>
      </c>
      <c r="AP15" s="50"/>
    </row>
    <row r="16" spans="1:42" x14ac:dyDescent="0.25">
      <c r="A16" s="47">
        <v>44593</v>
      </c>
      <c r="B16" s="48">
        <f>COUNTIFS(
    in.r9[empresa], B$6,
    in.r9[Data da venda / reserva], "&gt;=" &amp; $A16,
    in.r9[Data da venda / reserva], "&lt;"  &amp; EOMONTH($A16,0) + 1
)</f>
        <v>0</v>
      </c>
      <c r="C16" s="49">
        <f ca="1">SUMIFS(rec.uni[2022-02-01],
INDIRECT("rec.uni[natureza]"),"pro.soluto",
INDIRECT("rec.uni[empresa]"),C$6)</f>
        <v>0</v>
      </c>
      <c r="D16" s="49">
        <f ca="1">SUMIFS(rec.uni[2022-02-01],
INDIRECT("rec.uni[natureza]"),"repasse.cef.obra",
INDIRECT("rec.uni[empresa]"),D$6)</f>
        <v>0</v>
      </c>
      <c r="E16" s="49">
        <f ca="1">SUMIFS(rec.uni[2022-02-01],
INDIRECT("rec.uni[natureza]"),"repasse.cef.terreno",
INDIRECT("rec.uni[empresa]"),E$6)</f>
        <v>0</v>
      </c>
      <c r="F16" s="49">
        <v>0</v>
      </c>
      <c r="G16" s="49">
        <f ca="1">SUMIFS(rec.uni[2022-02-01],
INDIRECT("rec.uni[natureza]"),"taxa.extra",
INDIRECT("rec.uni[empresa]"),G$6)</f>
        <v>0</v>
      </c>
      <c r="H16" s="50"/>
      <c r="I16" s="48">
        <f>COUNTIFS(
    in.r9[empresa], I$6,
    in.r9[Data da venda / reserva], "&gt;=" &amp; $A16,
    in.r9[Data da venda / reserva], "&lt;"  &amp; EOMONTH($A16,0) + 1
)</f>
        <v>0</v>
      </c>
      <c r="J16" s="49">
        <f ca="1">SUMIFS(rec.uni[2022-02-01],
INDIRECT("rec.uni[natureza]"),"pro.soluto",
INDIRECT("rec.uni[empresa]"),J$6)</f>
        <v>0</v>
      </c>
      <c r="K16" s="49">
        <f ca="1">SUMIFS(rec.uni[2022-02-01],
INDIRECT("rec.uni[natureza]"),"repasse.cef.obra",
INDIRECT("rec.uni[empresa]"),K$6)</f>
        <v>0</v>
      </c>
      <c r="L16" s="49">
        <f ca="1">SUMIFS(rec.uni[2022-02-01],
INDIRECT("rec.uni[natureza]"),"repasse.cef.terreno",
INDIRECT("rec.uni[empresa]"),L$6)</f>
        <v>0</v>
      </c>
      <c r="M16" s="49">
        <v>0</v>
      </c>
      <c r="N16" s="49">
        <f ca="1">SUMIFS(rec.uni[2022-02-01],
INDIRECT("rec.uni[natureza]"),"taxa.extra",
INDIRECT("rec.uni[empresa]"),N$6)</f>
        <v>0</v>
      </c>
      <c r="O16" s="50"/>
      <c r="P16" s="48">
        <f>COUNTIFS(
    in.r9[empresa], P$6,
    in.r9[Data da venda / reserva], "&gt;=" &amp; $A16,
    in.r9[Data da venda / reserva], "&lt;"  &amp; EOMONTH($A16,0) + 1
)</f>
        <v>0</v>
      </c>
      <c r="Q16" s="49">
        <f ca="1">SUMIFS(rec.uni[2022-02-01],
INDIRECT("rec.uni[natureza]"),"pro.soluto",
INDIRECT("rec.uni[empresa]"),Q$6)</f>
        <v>0</v>
      </c>
      <c r="R16" s="49">
        <f ca="1">SUMIFS(rec.uni[2022-02-01],
INDIRECT("rec.uni[natureza]"),"repasse.cef.obra",
INDIRECT("rec.uni[empresa]"),R$6)</f>
        <v>0</v>
      </c>
      <c r="S16" s="49">
        <f ca="1">SUMIFS(rec.uni[2022-02-01],
INDIRECT("rec.uni[natureza]"),"repasse.cef.terreno",
INDIRECT("rec.uni[empresa]"),S$6)</f>
        <v>0</v>
      </c>
      <c r="T16" s="49">
        <v>0</v>
      </c>
      <c r="U16" s="49">
        <f ca="1">SUMIFS(rec.uni[2022-02-01],
INDIRECT("rec.uni[natureza]"),"taxa.extra",
INDIRECT("rec.uni[empresa]"),U$6)</f>
        <v>0</v>
      </c>
      <c r="V16" s="50"/>
      <c r="W16" s="48">
        <f>COUNTIFS(
    in.r9[empresa], W$6,
    in.r9[Data da venda / reserva], "&gt;=" &amp; $A16,
    in.r9[Data da venda / reserva], "&lt;"  &amp; EOMONTH($A16,0) + 1
)</f>
        <v>0</v>
      </c>
      <c r="X16" s="49">
        <f ca="1">SUMIFS(rec.uni[2022-02-01],
INDIRECT("rec.uni[natureza]"),"pro.soluto",
INDIRECT("rec.uni[empresa]"),X$6)</f>
        <v>0</v>
      </c>
      <c r="Y16" s="49">
        <f ca="1">SUMIFS(rec.uni[2022-02-01],
INDIRECT("rec.uni[natureza]"),"taxa.extra",
INDIRECT("rec.uni[empresa]"),Y$6)</f>
        <v>0</v>
      </c>
      <c r="Z16" s="50"/>
      <c r="AA16" s="48">
        <f>COUNTIFS(
    in.r9[empresa], AA$6,
    in.r9[Data da venda / reserva], "&gt;=" &amp; $A16,
    in.r9[Data da venda / reserva], "&lt;"  &amp; EOMONTH($A16,0) + 1
)</f>
        <v>0</v>
      </c>
      <c r="AB16" s="49">
        <f ca="1">SUMIFS(rec.uni[2022-02-01],
INDIRECT("rec.uni[natureza]"),"pro.soluto",
INDIRECT("rec.uni[empresa]"),AB$6)</f>
        <v>0</v>
      </c>
      <c r="AC16" s="38">
        <f ca="1">SUMIFS(rec.uni[2022-02-01],
INDIRECT("rec.uni[natureza]"),"parcela.fin.total.ik",
INDIRECT("rec.uni[empresa]"),AC$6)</f>
        <v>0</v>
      </c>
      <c r="AD16" s="49">
        <f ca="1">SUMIFS(rec.uni[2022-02-01],
INDIRECT("rec.uni[natureza]"),"taxa.extra",
INDIRECT("rec.uni[empresa]"),AD$6)</f>
        <v>0</v>
      </c>
      <c r="AE16" s="50"/>
      <c r="AF16" s="48">
        <f>COUNTIFS(
    in.r9[empresa], AF$6,
    in.r9[Data da venda / reserva], "&gt;=" &amp; $A16,
    in.r9[Data da venda / reserva], "&lt;"  &amp; EOMONTH($A16,0) + 1
)</f>
        <v>0</v>
      </c>
      <c r="AG16" s="49">
        <f ca="1">SUMIFS(rec.uni[2022-02-01],
INDIRECT("rec.uni[natureza]"),"pro.soluto",
INDIRECT("rec.uni[empresa]"),AG$6)</f>
        <v>0</v>
      </c>
      <c r="AH16" s="49">
        <f ca="1">SUMIFS(rec.uni[2022-02-01],
INDIRECT("rec.uni[natureza]"),"repasse.cef.obra",
INDIRECT("rec.uni[empresa]"),AH$6)</f>
        <v>0</v>
      </c>
      <c r="AI16" s="49">
        <f ca="1">SUMIFS(rec.uni[2022-02-01],
INDIRECT("rec.uni[natureza]"),"repasse.cef.terreno",
INDIRECT("rec.uni[empresa]"),AI$6)</f>
        <v>0</v>
      </c>
      <c r="AJ16" s="49">
        <v>0</v>
      </c>
      <c r="AK16" s="49">
        <f ca="1">SUMIFS(rec.uni[2022-02-01],
INDIRECT("rec.uni[natureza]"),"taxa.extra",
INDIRECT("rec.uni[empresa]"),AK$6)</f>
        <v>0</v>
      </c>
      <c r="AL16" s="50"/>
      <c r="AM16" s="48">
        <f>COUNTIFS(
    in.r9[empresa], AM$6,
    in.r9[Data da venda / reserva], "&gt;=" &amp; $A16,
    in.r9[Data da venda / reserva], "&lt;"  &amp; EOMONTH($A16,0) + 1
)</f>
        <v>0</v>
      </c>
      <c r="AN16" s="49">
        <f ca="1">SUMIFS(rec.uni[2022-02-01],
INDIRECT("rec.uni[natureza]"),"pro.soluto",
INDIRECT("rec.uni[empresa]"),AN$6)</f>
        <v>0</v>
      </c>
      <c r="AO16" s="49">
        <f ca="1">SUMIFS(rec.uni[2022-02-01],
INDIRECT("rec.uni[natureza]"),"taxa.extra",
INDIRECT("rec.uni[empresa]"),AO$6)</f>
        <v>0</v>
      </c>
      <c r="AP16" s="50"/>
    </row>
    <row r="17" spans="1:42" x14ac:dyDescent="0.25">
      <c r="A17" s="47">
        <v>44621</v>
      </c>
      <c r="B17" s="48">
        <f>COUNTIFS(
    in.r9[empresa], B$6,
    in.r9[Data da venda / reserva], "&gt;=" &amp; $A17,
    in.r9[Data da venda / reserva], "&lt;"  &amp; EOMONTH($A17,0) + 1
)</f>
        <v>0</v>
      </c>
      <c r="C17" s="49">
        <f ca="1">SUMIFS(rec.uni[2022-03-01],
INDIRECT("rec.uni[natureza]"),"pro.soluto",
INDIRECT("rec.uni[empresa]"),C$6)</f>
        <v>0</v>
      </c>
      <c r="D17" s="49">
        <f ca="1">SUMIFS(rec.uni[2022-03-01],
INDIRECT("rec.uni[natureza]"),"repasse.cef.obra",
INDIRECT("rec.uni[empresa]"),D$6)</f>
        <v>0</v>
      </c>
      <c r="E17" s="49">
        <f ca="1">SUMIFS(rec.uni[2022-03-01],
INDIRECT("rec.uni[natureza]"),"repasse.cef.terreno",
INDIRECT("rec.uni[empresa]"),E$6)</f>
        <v>0</v>
      </c>
      <c r="F17" s="49">
        <v>0</v>
      </c>
      <c r="G17" s="49">
        <f ca="1">SUMIFS(rec.uni[2022-03-01],
INDIRECT("rec.uni[natureza]"),"taxa.extra",
INDIRECT("rec.uni[empresa]"),G$6)</f>
        <v>0</v>
      </c>
      <c r="H17" s="50"/>
      <c r="I17" s="48">
        <f>COUNTIFS(
    in.r9[empresa], I$6,
    in.r9[Data da venda / reserva], "&gt;=" &amp; $A17,
    in.r9[Data da venda / reserva], "&lt;"  &amp; EOMONTH($A17,0) + 1
)</f>
        <v>0</v>
      </c>
      <c r="J17" s="49">
        <f ca="1">SUMIFS(rec.uni[2022-03-01],
INDIRECT("rec.uni[natureza]"),"pro.soluto",
INDIRECT("rec.uni[empresa]"),J$6)</f>
        <v>0</v>
      </c>
      <c r="K17" s="49">
        <f ca="1">SUMIFS(rec.uni[2022-03-01],
INDIRECT("rec.uni[natureza]"),"repasse.cef.obra",
INDIRECT("rec.uni[empresa]"),K$6)</f>
        <v>0</v>
      </c>
      <c r="L17" s="49">
        <f ca="1">SUMIFS(rec.uni[2022-03-01],
INDIRECT("rec.uni[natureza]"),"repasse.cef.terreno",
INDIRECT("rec.uni[empresa]"),L$6)</f>
        <v>0</v>
      </c>
      <c r="M17" s="49">
        <v>0</v>
      </c>
      <c r="N17" s="49">
        <f ca="1">SUMIFS(rec.uni[2022-03-01],
INDIRECT("rec.uni[natureza]"),"taxa.extra",
INDIRECT("rec.uni[empresa]"),N$6)</f>
        <v>0</v>
      </c>
      <c r="O17" s="50"/>
      <c r="P17" s="48">
        <f>COUNTIFS(
    in.r9[empresa], P$6,
    in.r9[Data da venda / reserva], "&gt;=" &amp; $A17,
    in.r9[Data da venda / reserva], "&lt;"  &amp; EOMONTH($A17,0) + 1
)</f>
        <v>0</v>
      </c>
      <c r="Q17" s="49">
        <f ca="1">SUMIFS(rec.uni[2022-03-01],
INDIRECT("rec.uni[natureza]"),"pro.soluto",
INDIRECT("rec.uni[empresa]"),Q$6)</f>
        <v>0</v>
      </c>
      <c r="R17" s="49">
        <f ca="1">SUMIFS(rec.uni[2022-03-01],
INDIRECT("rec.uni[natureza]"),"repasse.cef.obra",
INDIRECT("rec.uni[empresa]"),R$6)</f>
        <v>0</v>
      </c>
      <c r="S17" s="49">
        <f ca="1">SUMIFS(rec.uni[2022-03-01],
INDIRECT("rec.uni[natureza]"),"repasse.cef.terreno",
INDIRECT("rec.uni[empresa]"),S$6)</f>
        <v>0</v>
      </c>
      <c r="T17" s="49">
        <v>0</v>
      </c>
      <c r="U17" s="49">
        <f ca="1">SUMIFS(rec.uni[2022-03-01],
INDIRECT("rec.uni[natureza]"),"taxa.extra",
INDIRECT("rec.uni[empresa]"),U$6)</f>
        <v>0</v>
      </c>
      <c r="V17" s="50"/>
      <c r="W17" s="48">
        <f>COUNTIFS(
    in.r9[empresa], W$6,
    in.r9[Data da venda / reserva], "&gt;=" &amp; $A17,
    in.r9[Data da venda / reserva], "&lt;"  &amp; EOMONTH($A17,0) + 1
)</f>
        <v>0</v>
      </c>
      <c r="X17" s="49">
        <f ca="1">SUMIFS(rec.uni[2022-03-01],
INDIRECT("rec.uni[natureza]"),"pro.soluto",
INDIRECT("rec.uni[empresa]"),X$6)</f>
        <v>0</v>
      </c>
      <c r="Y17" s="49">
        <f ca="1">SUMIFS(rec.uni[2022-03-01],
INDIRECT("rec.uni[natureza]"),"taxa.extra",
INDIRECT("rec.uni[empresa]"),Y$6)</f>
        <v>0</v>
      </c>
      <c r="Z17" s="50"/>
      <c r="AA17" s="48">
        <f>COUNTIFS(
    in.r9[empresa], AA$6,
    in.r9[Data da venda / reserva], "&gt;=" &amp; $A17,
    in.r9[Data da venda / reserva], "&lt;"  &amp; EOMONTH($A17,0) + 1
)</f>
        <v>0</v>
      </c>
      <c r="AB17" s="49">
        <f ca="1">SUMIFS(rec.uni[2022-03-01],
INDIRECT("rec.uni[natureza]"),"pro.soluto",
INDIRECT("rec.uni[empresa]"),AB$6)</f>
        <v>0</v>
      </c>
      <c r="AC17" s="38">
        <f ca="1">SUMIFS(rec.uni[2022-03-01],
INDIRECT("rec.uni[natureza]"),"parcela.fin.total.ik",
INDIRECT("rec.uni[empresa]"),AC$6)</f>
        <v>0</v>
      </c>
      <c r="AD17" s="49">
        <f ca="1">SUMIFS(rec.uni[2022-03-01],
INDIRECT("rec.uni[natureza]"),"taxa.extra",
INDIRECT("rec.uni[empresa]"),AD$6)</f>
        <v>0</v>
      </c>
      <c r="AE17" s="50"/>
      <c r="AF17" s="48">
        <f>COUNTIFS(
    in.r9[empresa], AF$6,
    in.r9[Data da venda / reserva], "&gt;=" &amp; $A17,
    in.r9[Data da venda / reserva], "&lt;"  &amp; EOMONTH($A17,0) + 1
)</f>
        <v>0</v>
      </c>
      <c r="AG17" s="49">
        <f ca="1">SUMIFS(rec.uni[2022-03-01],
INDIRECT("rec.uni[natureza]"),"pro.soluto",
INDIRECT("rec.uni[empresa]"),AG$6)</f>
        <v>0</v>
      </c>
      <c r="AH17" s="49">
        <f ca="1">SUMIFS(rec.uni[2022-03-01],
INDIRECT("rec.uni[natureza]"),"repasse.cef.obra",
INDIRECT("rec.uni[empresa]"),AH$6)</f>
        <v>0</v>
      </c>
      <c r="AI17" s="49">
        <f ca="1">SUMIFS(rec.uni[2022-03-01],
INDIRECT("rec.uni[natureza]"),"repasse.cef.terreno",
INDIRECT("rec.uni[empresa]"),AI$6)</f>
        <v>0</v>
      </c>
      <c r="AJ17" s="49">
        <v>0</v>
      </c>
      <c r="AK17" s="49">
        <f ca="1">SUMIFS(rec.uni[2022-03-01],
INDIRECT("rec.uni[natureza]"),"taxa.extra",
INDIRECT("rec.uni[empresa]"),AK$6)</f>
        <v>0</v>
      </c>
      <c r="AL17" s="50"/>
      <c r="AM17" s="48">
        <f>COUNTIFS(
    in.r9[empresa], AM$6,
    in.r9[Data da venda / reserva], "&gt;=" &amp; $A17,
    in.r9[Data da venda / reserva], "&lt;"  &amp; EOMONTH($A17,0) + 1
)</f>
        <v>0</v>
      </c>
      <c r="AN17" s="49">
        <f ca="1">SUMIFS(rec.uni[2022-03-01],
INDIRECT("rec.uni[natureza]"),"pro.soluto",
INDIRECT("rec.uni[empresa]"),AN$6)</f>
        <v>0</v>
      </c>
      <c r="AO17" s="49">
        <f ca="1">SUMIFS(rec.uni[2022-03-01],
INDIRECT("rec.uni[natureza]"),"taxa.extra",
INDIRECT("rec.uni[empresa]"),AO$6)</f>
        <v>0</v>
      </c>
      <c r="AP17" s="50"/>
    </row>
    <row r="18" spans="1:42" x14ac:dyDescent="0.25">
      <c r="A18" s="47">
        <v>44652</v>
      </c>
      <c r="B18" s="48">
        <f>COUNTIFS(
    in.r9[empresa], B$6,
    in.r9[Data da venda / reserva], "&gt;=" &amp; $A18,
    in.r9[Data da venda / reserva], "&lt;"  &amp; EOMONTH($A18,0) + 1
)</f>
        <v>0</v>
      </c>
      <c r="C18" s="49">
        <f ca="1">SUMIFS(rec.uni[2022-04-01],
INDIRECT("rec.uni[natureza]"),"pro.soluto",
INDIRECT("rec.uni[empresa]"),C$6)</f>
        <v>0</v>
      </c>
      <c r="D18" s="49">
        <f ca="1">SUMIFS(rec.uni[2022-04-01],
INDIRECT("rec.uni[natureza]"),"repasse.cef.obra",
INDIRECT("rec.uni[empresa]"),D$6)</f>
        <v>0</v>
      </c>
      <c r="E18" s="49">
        <f ca="1">SUMIFS(rec.uni[2022-04-01],
INDIRECT("rec.uni[natureza]"),"repasse.cef.terreno",
INDIRECT("rec.uni[empresa]"),E$6)</f>
        <v>0</v>
      </c>
      <c r="F18" s="49">
        <v>0</v>
      </c>
      <c r="G18" s="49">
        <f ca="1">SUMIFS(rec.uni[2022-04-01],
INDIRECT("rec.uni[natureza]"),"taxa.extra",
INDIRECT("rec.uni[empresa]"),G$6)</f>
        <v>0</v>
      </c>
      <c r="H18" s="50"/>
      <c r="I18" s="48">
        <f>COUNTIFS(
    in.r9[empresa], I$6,
    in.r9[Data da venda / reserva], "&gt;=" &amp; $A18,
    in.r9[Data da venda / reserva], "&lt;"  &amp; EOMONTH($A18,0) + 1
)</f>
        <v>0</v>
      </c>
      <c r="J18" s="49">
        <f ca="1">SUMIFS(rec.uni[2022-04-01],
INDIRECT("rec.uni[natureza]"),"pro.soluto",
INDIRECT("rec.uni[empresa]"),J$6)</f>
        <v>0</v>
      </c>
      <c r="K18" s="49">
        <f ca="1">SUMIFS(rec.uni[2022-04-01],
INDIRECT("rec.uni[natureza]"),"repasse.cef.obra",
INDIRECT("rec.uni[empresa]"),K$6)</f>
        <v>0</v>
      </c>
      <c r="L18" s="49">
        <f ca="1">SUMIFS(rec.uni[2022-04-01],
INDIRECT("rec.uni[natureza]"),"repasse.cef.terreno",
INDIRECT("rec.uni[empresa]"),L$6)</f>
        <v>0</v>
      </c>
      <c r="M18" s="49">
        <v>0</v>
      </c>
      <c r="N18" s="49">
        <f ca="1">SUMIFS(rec.uni[2022-04-01],
INDIRECT("rec.uni[natureza]"),"taxa.extra",
INDIRECT("rec.uni[empresa]"),N$6)</f>
        <v>0</v>
      </c>
      <c r="O18" s="50"/>
      <c r="P18" s="48">
        <f>COUNTIFS(
    in.r9[empresa], P$6,
    in.r9[Data da venda / reserva], "&gt;=" &amp; $A18,
    in.r9[Data da venda / reserva], "&lt;"  &amp; EOMONTH($A18,0) + 1
)</f>
        <v>0</v>
      </c>
      <c r="Q18" s="49">
        <f ca="1">SUMIFS(rec.uni[2022-04-01],
INDIRECT("rec.uni[natureza]"),"pro.soluto",
INDIRECT("rec.uni[empresa]"),Q$6)</f>
        <v>0</v>
      </c>
      <c r="R18" s="49">
        <f ca="1">SUMIFS(rec.uni[2022-04-01],
INDIRECT("rec.uni[natureza]"),"repasse.cef.obra",
INDIRECT("rec.uni[empresa]"),R$6)</f>
        <v>0</v>
      </c>
      <c r="S18" s="49">
        <f ca="1">SUMIFS(rec.uni[2022-04-01],
INDIRECT("rec.uni[natureza]"),"repasse.cef.terreno",
INDIRECT("rec.uni[empresa]"),S$6)</f>
        <v>0</v>
      </c>
      <c r="T18" s="49">
        <v>0</v>
      </c>
      <c r="U18" s="49">
        <f ca="1">SUMIFS(rec.uni[2022-04-01],
INDIRECT("rec.uni[natureza]"),"taxa.extra",
INDIRECT("rec.uni[empresa]"),U$6)</f>
        <v>0</v>
      </c>
      <c r="V18" s="50"/>
      <c r="W18" s="48">
        <f>COUNTIFS(
    in.r9[empresa], W$6,
    in.r9[Data da venda / reserva], "&gt;=" &amp; $A18,
    in.r9[Data da venda / reserva], "&lt;"  &amp; EOMONTH($A18,0) + 1
)</f>
        <v>0</v>
      </c>
      <c r="X18" s="49">
        <f ca="1">SUMIFS(rec.uni[2022-04-01],
INDIRECT("rec.uni[natureza]"),"pro.soluto",
INDIRECT("rec.uni[empresa]"),X$6)</f>
        <v>0</v>
      </c>
      <c r="Y18" s="49">
        <f ca="1">SUMIFS(rec.uni[2022-04-01],
INDIRECT("rec.uni[natureza]"),"taxa.extra",
INDIRECT("rec.uni[empresa]"),Y$6)</f>
        <v>0</v>
      </c>
      <c r="Z18" s="50"/>
      <c r="AA18" s="48">
        <f>COUNTIFS(
    in.r9[empresa], AA$6,
    in.r9[Data da venda / reserva], "&gt;=" &amp; $A18,
    in.r9[Data da venda / reserva], "&lt;"  &amp; EOMONTH($A18,0) + 1
)</f>
        <v>0</v>
      </c>
      <c r="AB18" s="49">
        <f ca="1">SUMIFS(rec.uni[2022-04-01],
INDIRECT("rec.uni[natureza]"),"pro.soluto",
INDIRECT("rec.uni[empresa]"),AB$6)</f>
        <v>0</v>
      </c>
      <c r="AC18" s="38">
        <f ca="1">SUMIFS(rec.uni[2022-04-01],
INDIRECT("rec.uni[natureza]"),"parcela.fin.total.ik",
INDIRECT("rec.uni[empresa]"),AC$6)</f>
        <v>0</v>
      </c>
      <c r="AD18" s="49">
        <f ca="1">SUMIFS(rec.uni[2022-04-01],
INDIRECT("rec.uni[natureza]"),"taxa.extra",
INDIRECT("rec.uni[empresa]"),AD$6)</f>
        <v>0</v>
      </c>
      <c r="AE18" s="50"/>
      <c r="AF18" s="48">
        <f>COUNTIFS(
    in.r9[empresa], AF$6,
    in.r9[Data da venda / reserva], "&gt;=" &amp; $A18,
    in.r9[Data da venda / reserva], "&lt;"  &amp; EOMONTH($A18,0) + 1
)</f>
        <v>0</v>
      </c>
      <c r="AG18" s="49">
        <f ca="1">SUMIFS(rec.uni[2022-04-01],
INDIRECT("rec.uni[natureza]"),"pro.soluto",
INDIRECT("rec.uni[empresa]"),AG$6)</f>
        <v>0</v>
      </c>
      <c r="AH18" s="49">
        <f ca="1">SUMIFS(rec.uni[2022-04-01],
INDIRECT("rec.uni[natureza]"),"repasse.cef.obra",
INDIRECT("rec.uni[empresa]"),AH$6)</f>
        <v>0</v>
      </c>
      <c r="AI18" s="49">
        <f ca="1">SUMIFS(rec.uni[2022-04-01],
INDIRECT("rec.uni[natureza]"),"repasse.cef.terreno",
INDIRECT("rec.uni[empresa]"),AI$6)</f>
        <v>0</v>
      </c>
      <c r="AJ18" s="49">
        <v>0</v>
      </c>
      <c r="AK18" s="49">
        <f ca="1">SUMIFS(rec.uni[2022-04-01],
INDIRECT("rec.uni[natureza]"),"taxa.extra",
INDIRECT("rec.uni[empresa]"),AK$6)</f>
        <v>0</v>
      </c>
      <c r="AL18" s="50"/>
      <c r="AM18" s="48">
        <f>COUNTIFS(
    in.r9[empresa], AM$6,
    in.r9[Data da venda / reserva], "&gt;=" &amp; $A18,
    in.r9[Data da venda / reserva], "&lt;"  &amp; EOMONTH($A18,0) + 1
)</f>
        <v>0</v>
      </c>
      <c r="AN18" s="49">
        <f ca="1">SUMIFS(rec.uni[2022-04-01],
INDIRECT("rec.uni[natureza]"),"pro.soluto",
INDIRECT("rec.uni[empresa]"),AN$6)</f>
        <v>0</v>
      </c>
      <c r="AO18" s="49">
        <f ca="1">SUMIFS(rec.uni[2022-04-01],
INDIRECT("rec.uni[natureza]"),"taxa.extra",
INDIRECT("rec.uni[empresa]"),AO$6)</f>
        <v>0</v>
      </c>
      <c r="AP18" s="50"/>
    </row>
    <row r="19" spans="1:42" x14ac:dyDescent="0.25">
      <c r="A19" s="47">
        <v>44682</v>
      </c>
      <c r="B19" s="48">
        <f>COUNTIFS(
    in.r9[empresa], B$6,
    in.r9[Data da venda / reserva], "&gt;=" &amp; $A19,
    in.r9[Data da venda / reserva], "&lt;"  &amp; EOMONTH($A19,0) + 1
)</f>
        <v>0</v>
      </c>
      <c r="C19" s="49">
        <f ca="1">SUMIFS(rec.uni[2022-05-01],
INDIRECT("rec.uni[natureza]"),"pro.soluto",
INDIRECT("rec.uni[empresa]"),C$6)</f>
        <v>0</v>
      </c>
      <c r="D19" s="49">
        <f ca="1">SUMIFS(rec.uni[2022-05-01],
INDIRECT("rec.uni[natureza]"),"repasse.cef.obra",
INDIRECT("rec.uni[empresa]"),D$6)</f>
        <v>0</v>
      </c>
      <c r="E19" s="49">
        <f ca="1">SUMIFS(rec.uni[2022-05-01],
INDIRECT("rec.uni[natureza]"),"repasse.cef.terreno",
INDIRECT("rec.uni[empresa]"),E$6)</f>
        <v>0</v>
      </c>
      <c r="F19" s="49">
        <v>0</v>
      </c>
      <c r="G19" s="49">
        <f ca="1">SUMIFS(rec.uni[2022-05-01],
INDIRECT("rec.uni[natureza]"),"taxa.extra",
INDIRECT("rec.uni[empresa]"),G$6)</f>
        <v>0</v>
      </c>
      <c r="H19" s="50"/>
      <c r="I19" s="48">
        <f>COUNTIFS(
    in.r9[empresa], I$6,
    in.r9[Data da venda / reserva], "&gt;=" &amp; $A19,
    in.r9[Data da venda / reserva], "&lt;"  &amp; EOMONTH($A19,0) + 1
)</f>
        <v>0</v>
      </c>
      <c r="J19" s="49">
        <f ca="1">SUMIFS(rec.uni[2022-05-01],
INDIRECT("rec.uni[natureza]"),"pro.soluto",
INDIRECT("rec.uni[empresa]"),J$6)</f>
        <v>0</v>
      </c>
      <c r="K19" s="49">
        <f ca="1">SUMIFS(rec.uni[2022-05-01],
INDIRECT("rec.uni[natureza]"),"repasse.cef.obra",
INDIRECT("rec.uni[empresa]"),K$6)</f>
        <v>0</v>
      </c>
      <c r="L19" s="49">
        <f ca="1">SUMIFS(rec.uni[2022-05-01],
INDIRECT("rec.uni[natureza]"),"repasse.cef.terreno",
INDIRECT("rec.uni[empresa]"),L$6)</f>
        <v>0</v>
      </c>
      <c r="M19" s="49">
        <v>0</v>
      </c>
      <c r="N19" s="49">
        <f ca="1">SUMIFS(rec.uni[2022-05-01],
INDIRECT("rec.uni[natureza]"),"taxa.extra",
INDIRECT("rec.uni[empresa]"),N$6)</f>
        <v>0</v>
      </c>
      <c r="O19" s="50"/>
      <c r="P19" s="48">
        <f>COUNTIFS(
    in.r9[empresa], P$6,
    in.r9[Data da venda / reserva], "&gt;=" &amp; $A19,
    in.r9[Data da venda / reserva], "&lt;"  &amp; EOMONTH($A19,0) + 1
)</f>
        <v>0</v>
      </c>
      <c r="Q19" s="49">
        <f ca="1">SUMIFS(rec.uni[2022-05-01],
INDIRECT("rec.uni[natureza]"),"pro.soluto",
INDIRECT("rec.uni[empresa]"),Q$6)</f>
        <v>0</v>
      </c>
      <c r="R19" s="49">
        <f ca="1">SUMIFS(rec.uni[2022-05-01],
INDIRECT("rec.uni[natureza]"),"repasse.cef.obra",
INDIRECT("rec.uni[empresa]"),R$6)</f>
        <v>0</v>
      </c>
      <c r="S19" s="49">
        <f ca="1">SUMIFS(rec.uni[2022-05-01],
INDIRECT("rec.uni[natureza]"),"repasse.cef.terreno",
INDIRECT("rec.uni[empresa]"),S$6)</f>
        <v>0</v>
      </c>
      <c r="T19" s="49">
        <v>0</v>
      </c>
      <c r="U19" s="49">
        <f ca="1">SUMIFS(rec.uni[2022-05-01],
INDIRECT("rec.uni[natureza]"),"taxa.extra",
INDIRECT("rec.uni[empresa]"),U$6)</f>
        <v>0</v>
      </c>
      <c r="V19" s="50"/>
      <c r="W19" s="48">
        <f>COUNTIFS(
    in.r9[empresa], W$6,
    in.r9[Data da venda / reserva], "&gt;=" &amp; $A19,
    in.r9[Data da venda / reserva], "&lt;"  &amp; EOMONTH($A19,0) + 1
)</f>
        <v>0</v>
      </c>
      <c r="X19" s="49">
        <f ca="1">SUMIFS(rec.uni[2022-05-01],
INDIRECT("rec.uni[natureza]"),"pro.soluto",
INDIRECT("rec.uni[empresa]"),X$6)</f>
        <v>0</v>
      </c>
      <c r="Y19" s="49">
        <f ca="1">SUMIFS(rec.uni[2022-05-01],
INDIRECT("rec.uni[natureza]"),"taxa.extra",
INDIRECT("rec.uni[empresa]"),Y$6)</f>
        <v>0</v>
      </c>
      <c r="Z19" s="50"/>
      <c r="AA19" s="48">
        <f>COUNTIFS(
    in.r9[empresa], AA$6,
    in.r9[Data da venda / reserva], "&gt;=" &amp; $A19,
    in.r9[Data da venda / reserva], "&lt;"  &amp; EOMONTH($A19,0) + 1
)</f>
        <v>0</v>
      </c>
      <c r="AB19" s="49">
        <f ca="1">SUMIFS(rec.uni[2022-05-01],
INDIRECT("rec.uni[natureza]"),"pro.soluto",
INDIRECT("rec.uni[empresa]"),AB$6)</f>
        <v>0</v>
      </c>
      <c r="AC19" s="38">
        <f ca="1">SUMIFS(rec.uni[2022-05-01],
INDIRECT("rec.uni[natureza]"),"parcela.fin.total.ik",
INDIRECT("rec.uni[empresa]"),AC$6)</f>
        <v>0</v>
      </c>
      <c r="AD19" s="49">
        <f ca="1">SUMIFS(rec.uni[2022-05-01],
INDIRECT("rec.uni[natureza]"),"taxa.extra",
INDIRECT("rec.uni[empresa]"),AD$6)</f>
        <v>0</v>
      </c>
      <c r="AE19" s="50"/>
      <c r="AF19" s="48">
        <f>COUNTIFS(
    in.r9[empresa], AF$6,
    in.r9[Data da venda / reserva], "&gt;=" &amp; $A19,
    in.r9[Data da venda / reserva], "&lt;"  &amp; EOMONTH($A19,0) + 1
)</f>
        <v>0</v>
      </c>
      <c r="AG19" s="49">
        <f ca="1">SUMIFS(rec.uni[2022-05-01],
INDIRECT("rec.uni[natureza]"),"pro.soluto",
INDIRECT("rec.uni[empresa]"),AG$6)</f>
        <v>0</v>
      </c>
      <c r="AH19" s="49">
        <f ca="1">SUMIFS(rec.uni[2022-05-01],
INDIRECT("rec.uni[natureza]"),"repasse.cef.obra",
INDIRECT("rec.uni[empresa]"),AH$6)</f>
        <v>0</v>
      </c>
      <c r="AI19" s="49">
        <f ca="1">SUMIFS(rec.uni[2022-05-01],
INDIRECT("rec.uni[natureza]"),"repasse.cef.terreno",
INDIRECT("rec.uni[empresa]"),AI$6)</f>
        <v>0</v>
      </c>
      <c r="AJ19" s="49">
        <v>0</v>
      </c>
      <c r="AK19" s="49">
        <f ca="1">SUMIFS(rec.uni[2022-05-01],
INDIRECT("rec.uni[natureza]"),"taxa.extra",
INDIRECT("rec.uni[empresa]"),AK$6)</f>
        <v>0</v>
      </c>
      <c r="AL19" s="50"/>
      <c r="AM19" s="48">
        <f>COUNTIFS(
    in.r9[empresa], AM$6,
    in.r9[Data da venda / reserva], "&gt;=" &amp; $A19,
    in.r9[Data da venda / reserva], "&lt;"  &amp; EOMONTH($A19,0) + 1
)</f>
        <v>0</v>
      </c>
      <c r="AN19" s="49">
        <f ca="1">SUMIFS(rec.uni[2022-05-01],
INDIRECT("rec.uni[natureza]"),"pro.soluto",
INDIRECT("rec.uni[empresa]"),AN$6)</f>
        <v>0</v>
      </c>
      <c r="AO19" s="49">
        <f ca="1">SUMIFS(rec.uni[2022-05-01],
INDIRECT("rec.uni[natureza]"),"taxa.extra",
INDIRECT("rec.uni[empresa]"),AO$6)</f>
        <v>0</v>
      </c>
      <c r="AP19" s="50"/>
    </row>
    <row r="20" spans="1:42" x14ac:dyDescent="0.25">
      <c r="A20" s="47">
        <v>44713</v>
      </c>
      <c r="B20" s="48">
        <f>COUNTIFS(
    in.r9[empresa], B$6,
    in.r9[Data da venda / reserva], "&gt;=" &amp; $A20,
    in.r9[Data da venda / reserva], "&lt;"  &amp; EOMONTH($A20,0) + 1
)</f>
        <v>0</v>
      </c>
      <c r="C20" s="49">
        <f ca="1">SUMIFS(rec.uni[2022-06-01],
INDIRECT("rec.uni[natureza]"),"pro.soluto",
INDIRECT("rec.uni[empresa]"),C$6)</f>
        <v>0</v>
      </c>
      <c r="D20" s="49">
        <f ca="1">SUMIFS(rec.uni[2022-06-01],
INDIRECT("rec.uni[natureza]"),"repasse.cef.obra",
INDIRECT("rec.uni[empresa]"),D$6)</f>
        <v>0</v>
      </c>
      <c r="E20" s="49">
        <f ca="1">SUMIFS(rec.uni[2022-06-01],
INDIRECT("rec.uni[natureza]"),"repasse.cef.terreno",
INDIRECT("rec.uni[empresa]"),E$6)</f>
        <v>0</v>
      </c>
      <c r="F20" s="49">
        <v>0</v>
      </c>
      <c r="G20" s="49">
        <f ca="1">SUMIFS(rec.uni[2022-06-01],
INDIRECT("rec.uni[natureza]"),"taxa.extra",
INDIRECT("rec.uni[empresa]"),G$6)</f>
        <v>0</v>
      </c>
      <c r="H20" s="50"/>
      <c r="I20" s="48">
        <f>COUNTIFS(
    in.r9[empresa], I$6,
    in.r9[Data da venda / reserva], "&gt;=" &amp; $A20,
    in.r9[Data da venda / reserva], "&lt;"  &amp; EOMONTH($A20,0) + 1
)</f>
        <v>0</v>
      </c>
      <c r="J20" s="49">
        <f ca="1">SUMIFS(rec.uni[2022-06-01],
INDIRECT("rec.uni[natureza]"),"pro.soluto",
INDIRECT("rec.uni[empresa]"),J$6)</f>
        <v>0</v>
      </c>
      <c r="K20" s="49">
        <f ca="1">SUMIFS(rec.uni[2022-06-01],
INDIRECT("rec.uni[natureza]"),"repasse.cef.obra",
INDIRECT("rec.uni[empresa]"),K$6)</f>
        <v>0</v>
      </c>
      <c r="L20" s="49">
        <f ca="1">SUMIFS(rec.uni[2022-06-01],
INDIRECT("rec.uni[natureza]"),"repasse.cef.terreno",
INDIRECT("rec.uni[empresa]"),L$6)</f>
        <v>0</v>
      </c>
      <c r="M20" s="49">
        <v>0</v>
      </c>
      <c r="N20" s="49">
        <f ca="1">SUMIFS(rec.uni[2022-06-01],
INDIRECT("rec.uni[natureza]"),"taxa.extra",
INDIRECT("rec.uni[empresa]"),N$6)</f>
        <v>0</v>
      </c>
      <c r="O20" s="50"/>
      <c r="P20" s="48">
        <f>COUNTIFS(
    in.r9[empresa], P$6,
    in.r9[Data da venda / reserva], "&gt;=" &amp; $A20,
    in.r9[Data da venda / reserva], "&lt;"  &amp; EOMONTH($A20,0) + 1
)</f>
        <v>0</v>
      </c>
      <c r="Q20" s="49">
        <f ca="1">SUMIFS(rec.uni[2022-06-01],
INDIRECT("rec.uni[natureza]"),"pro.soluto",
INDIRECT("rec.uni[empresa]"),Q$6)</f>
        <v>0</v>
      </c>
      <c r="R20" s="49">
        <f ca="1">SUMIFS(rec.uni[2022-06-01],
INDIRECT("rec.uni[natureza]"),"repasse.cef.obra",
INDIRECT("rec.uni[empresa]"),R$6)</f>
        <v>0</v>
      </c>
      <c r="S20" s="49">
        <f ca="1">SUMIFS(rec.uni[2022-06-01],
INDIRECT("rec.uni[natureza]"),"repasse.cef.terreno",
INDIRECT("rec.uni[empresa]"),S$6)</f>
        <v>0</v>
      </c>
      <c r="T20" s="49">
        <v>0</v>
      </c>
      <c r="U20" s="49">
        <f ca="1">SUMIFS(rec.uni[2022-06-01],
INDIRECT("rec.uni[natureza]"),"taxa.extra",
INDIRECT("rec.uni[empresa]"),U$6)</f>
        <v>0</v>
      </c>
      <c r="V20" s="50"/>
      <c r="W20" s="48">
        <f>COUNTIFS(
    in.r9[empresa], W$6,
    in.r9[Data da venda / reserva], "&gt;=" &amp; $A20,
    in.r9[Data da venda / reserva], "&lt;"  &amp; EOMONTH($A20,0) + 1
)</f>
        <v>0</v>
      </c>
      <c r="X20" s="49">
        <f ca="1">SUMIFS(rec.uni[2022-06-01],
INDIRECT("rec.uni[natureza]"),"pro.soluto",
INDIRECT("rec.uni[empresa]"),X$6)</f>
        <v>0</v>
      </c>
      <c r="Y20" s="49">
        <f ca="1">SUMIFS(rec.uni[2022-06-01],
INDIRECT("rec.uni[natureza]"),"taxa.extra",
INDIRECT("rec.uni[empresa]"),Y$6)</f>
        <v>0</v>
      </c>
      <c r="Z20" s="50"/>
      <c r="AA20" s="48">
        <f>COUNTIFS(
    in.r9[empresa], AA$6,
    in.r9[Data da venda / reserva], "&gt;=" &amp; $A20,
    in.r9[Data da venda / reserva], "&lt;"  &amp; EOMONTH($A20,0) + 1
)</f>
        <v>0</v>
      </c>
      <c r="AB20" s="49">
        <f ca="1">SUMIFS(rec.uni[2022-06-01],
INDIRECT("rec.uni[natureza]"),"pro.soluto",
INDIRECT("rec.uni[empresa]"),AB$6)</f>
        <v>0</v>
      </c>
      <c r="AC20" s="38">
        <f ca="1">SUMIFS(rec.uni[2022-06-01],
INDIRECT("rec.uni[natureza]"),"parcela.fin.total.ik",
INDIRECT("rec.uni[empresa]"),AC$6)</f>
        <v>0</v>
      </c>
      <c r="AD20" s="49">
        <f ca="1">SUMIFS(rec.uni[2022-06-01],
INDIRECT("rec.uni[natureza]"),"taxa.extra",
INDIRECT("rec.uni[empresa]"),AD$6)</f>
        <v>0</v>
      </c>
      <c r="AE20" s="50"/>
      <c r="AF20" s="48">
        <f>COUNTIFS(
    in.r9[empresa], AF$6,
    in.r9[Data da venda / reserva], "&gt;=" &amp; $A20,
    in.r9[Data da venda / reserva], "&lt;"  &amp; EOMONTH($A20,0) + 1
)</f>
        <v>0</v>
      </c>
      <c r="AG20" s="49">
        <f ca="1">SUMIFS(rec.uni[2022-06-01],
INDIRECT("rec.uni[natureza]"),"pro.soluto",
INDIRECT("rec.uni[empresa]"),AG$6)</f>
        <v>0</v>
      </c>
      <c r="AH20" s="49">
        <f ca="1">SUMIFS(rec.uni[2022-06-01],
INDIRECT("rec.uni[natureza]"),"repasse.cef.obra",
INDIRECT("rec.uni[empresa]"),AH$6)</f>
        <v>0</v>
      </c>
      <c r="AI20" s="49">
        <f ca="1">SUMIFS(rec.uni[2022-06-01],
INDIRECT("rec.uni[natureza]"),"repasse.cef.terreno",
INDIRECT("rec.uni[empresa]"),AI$6)</f>
        <v>0</v>
      </c>
      <c r="AJ20" s="49">
        <v>0</v>
      </c>
      <c r="AK20" s="49">
        <f ca="1">SUMIFS(rec.uni[2022-06-01],
INDIRECT("rec.uni[natureza]"),"taxa.extra",
INDIRECT("rec.uni[empresa]"),AK$6)</f>
        <v>0</v>
      </c>
      <c r="AL20" s="50"/>
      <c r="AM20" s="48">
        <f>COUNTIFS(
    in.r9[empresa], AM$6,
    in.r9[Data da venda / reserva], "&gt;=" &amp; $A20,
    in.r9[Data da venda / reserva], "&lt;"  &amp; EOMONTH($A20,0) + 1
)</f>
        <v>0</v>
      </c>
      <c r="AN20" s="49">
        <f ca="1">SUMIFS(rec.uni[2022-06-01],
INDIRECT("rec.uni[natureza]"),"pro.soluto",
INDIRECT("rec.uni[empresa]"),AN$6)</f>
        <v>0</v>
      </c>
      <c r="AO20" s="49">
        <f ca="1">SUMIFS(rec.uni[2022-06-01],
INDIRECT("rec.uni[natureza]"),"taxa.extra",
INDIRECT("rec.uni[empresa]"),AO$6)</f>
        <v>0</v>
      </c>
      <c r="AP20" s="50"/>
    </row>
    <row r="21" spans="1:42" x14ac:dyDescent="0.25">
      <c r="A21" s="47">
        <v>44743</v>
      </c>
      <c r="B21" s="48">
        <f>COUNTIFS(
    in.r9[empresa], B$6,
    in.r9[Data da venda / reserva], "&gt;=" &amp; $A21,
    in.r9[Data da venda / reserva], "&lt;"  &amp; EOMONTH($A21,0) + 1
)</f>
        <v>0</v>
      </c>
      <c r="C21" s="49">
        <f ca="1">SUMIFS(rec.uni[2022-07-01],
INDIRECT("rec.uni[natureza]"),"pro.soluto",
INDIRECT("rec.uni[empresa]"),C$6)</f>
        <v>0</v>
      </c>
      <c r="D21" s="49">
        <f ca="1">SUMIFS(rec.uni[2022-07-01],
INDIRECT("rec.uni[natureza]"),"repasse.cef.obra",
INDIRECT("rec.uni[empresa]"),D$6)</f>
        <v>0</v>
      </c>
      <c r="E21" s="49">
        <f ca="1">SUMIFS(rec.uni[2022-07-01],
INDIRECT("rec.uni[natureza]"),"repasse.cef.terreno",
INDIRECT("rec.uni[empresa]"),E$6)</f>
        <v>0</v>
      </c>
      <c r="F21" s="49">
        <v>0</v>
      </c>
      <c r="G21" s="49">
        <f ca="1">SUMIFS(rec.uni[2022-07-01],
INDIRECT("rec.uni[natureza]"),"taxa.extra",
INDIRECT("rec.uni[empresa]"),G$6)</f>
        <v>0</v>
      </c>
      <c r="H21" s="50"/>
      <c r="I21" s="48">
        <f>COUNTIFS(
    in.r9[empresa], I$6,
    in.r9[Data da venda / reserva], "&gt;=" &amp; $A21,
    in.r9[Data da venda / reserva], "&lt;"  &amp; EOMONTH($A21,0) + 1
)</f>
        <v>0</v>
      </c>
      <c r="J21" s="49">
        <f ca="1">SUMIFS(rec.uni[2022-07-01],
INDIRECT("rec.uni[natureza]"),"pro.soluto",
INDIRECT("rec.uni[empresa]"),J$6)</f>
        <v>0</v>
      </c>
      <c r="K21" s="49">
        <f ca="1">SUMIFS(rec.uni[2022-07-01],
INDIRECT("rec.uni[natureza]"),"repasse.cef.obra",
INDIRECT("rec.uni[empresa]"),K$6)</f>
        <v>0</v>
      </c>
      <c r="L21" s="49">
        <f ca="1">SUMIFS(rec.uni[2022-07-01],
INDIRECT("rec.uni[natureza]"),"repasse.cef.terreno",
INDIRECT("rec.uni[empresa]"),L$6)</f>
        <v>0</v>
      </c>
      <c r="M21" s="49">
        <v>0</v>
      </c>
      <c r="N21" s="49">
        <f ca="1">SUMIFS(rec.uni[2022-07-01],
INDIRECT("rec.uni[natureza]"),"taxa.extra",
INDIRECT("rec.uni[empresa]"),N$6)</f>
        <v>0</v>
      </c>
      <c r="O21" s="50"/>
      <c r="P21" s="48">
        <f>COUNTIFS(
    in.r9[empresa], P$6,
    in.r9[Data da venda / reserva], "&gt;=" &amp; $A21,
    in.r9[Data da venda / reserva], "&lt;"  &amp; EOMONTH($A21,0) + 1
)</f>
        <v>0</v>
      </c>
      <c r="Q21" s="49">
        <f ca="1">SUMIFS(rec.uni[2022-07-01],
INDIRECT("rec.uni[natureza]"),"pro.soluto",
INDIRECT("rec.uni[empresa]"),Q$6)</f>
        <v>0</v>
      </c>
      <c r="R21" s="49">
        <f ca="1">SUMIFS(rec.uni[2022-07-01],
INDIRECT("rec.uni[natureza]"),"repasse.cef.obra",
INDIRECT("rec.uni[empresa]"),R$6)</f>
        <v>0</v>
      </c>
      <c r="S21" s="49">
        <f ca="1">SUMIFS(rec.uni[2022-07-01],
INDIRECT("rec.uni[natureza]"),"repasse.cef.terreno",
INDIRECT("rec.uni[empresa]"),S$6)</f>
        <v>0</v>
      </c>
      <c r="T21" s="49">
        <v>0</v>
      </c>
      <c r="U21" s="49">
        <f ca="1">SUMIFS(rec.uni[2022-07-01],
INDIRECT("rec.uni[natureza]"),"taxa.extra",
INDIRECT("rec.uni[empresa]"),U$6)</f>
        <v>0</v>
      </c>
      <c r="V21" s="50"/>
      <c r="W21" s="48">
        <f>COUNTIFS(
    in.r9[empresa], W$6,
    in.r9[Data da venda / reserva], "&gt;=" &amp; $A21,
    in.r9[Data da venda / reserva], "&lt;"  &amp; EOMONTH($A21,0) + 1
)</f>
        <v>0</v>
      </c>
      <c r="X21" s="49">
        <f ca="1">SUMIFS(rec.uni[2022-07-01],
INDIRECT("rec.uni[natureza]"),"pro.soluto",
INDIRECT("rec.uni[empresa]"),X$6)</f>
        <v>0</v>
      </c>
      <c r="Y21" s="49">
        <f ca="1">SUMIFS(rec.uni[2022-07-01],
INDIRECT("rec.uni[natureza]"),"taxa.extra",
INDIRECT("rec.uni[empresa]"),Y$6)</f>
        <v>0</v>
      </c>
      <c r="Z21" s="50"/>
      <c r="AA21" s="48">
        <f>COUNTIFS(
    in.r9[empresa], AA$6,
    in.r9[Data da venda / reserva], "&gt;=" &amp; $A21,
    in.r9[Data da venda / reserva], "&lt;"  &amp; EOMONTH($A21,0) + 1
)</f>
        <v>0</v>
      </c>
      <c r="AB21" s="49">
        <f ca="1">SUMIFS(rec.uni[2022-07-01],
INDIRECT("rec.uni[natureza]"),"pro.soluto",
INDIRECT("rec.uni[empresa]"),AB$6)</f>
        <v>0</v>
      </c>
      <c r="AC21" s="38">
        <f ca="1">SUMIFS(rec.uni[2022-07-01],
INDIRECT("rec.uni[natureza]"),"parcela.fin.total.ik",
INDIRECT("rec.uni[empresa]"),AC$6)</f>
        <v>0</v>
      </c>
      <c r="AD21" s="49">
        <f ca="1">SUMIFS(rec.uni[2022-07-01],
INDIRECT("rec.uni[natureza]"),"taxa.extra",
INDIRECT("rec.uni[empresa]"),AD$6)</f>
        <v>0</v>
      </c>
      <c r="AE21" s="50"/>
      <c r="AF21" s="48">
        <f>COUNTIFS(
    in.r9[empresa], AF$6,
    in.r9[Data da venda / reserva], "&gt;=" &amp; $A21,
    in.r9[Data da venda / reserva], "&lt;"  &amp; EOMONTH($A21,0) + 1
)</f>
        <v>0</v>
      </c>
      <c r="AG21" s="49">
        <f ca="1">SUMIFS(rec.uni[2022-07-01],
INDIRECT("rec.uni[natureza]"),"pro.soluto",
INDIRECT("rec.uni[empresa]"),AG$6)</f>
        <v>0</v>
      </c>
      <c r="AH21" s="49">
        <f ca="1">SUMIFS(rec.uni[2022-07-01],
INDIRECT("rec.uni[natureza]"),"repasse.cef.obra",
INDIRECT("rec.uni[empresa]"),AH$6)</f>
        <v>0</v>
      </c>
      <c r="AI21" s="49">
        <f ca="1">SUMIFS(rec.uni[2022-07-01],
INDIRECT("rec.uni[natureza]"),"repasse.cef.terreno",
INDIRECT("rec.uni[empresa]"),AI$6)</f>
        <v>0</v>
      </c>
      <c r="AJ21" s="49">
        <v>0</v>
      </c>
      <c r="AK21" s="49">
        <f ca="1">SUMIFS(rec.uni[2022-07-01],
INDIRECT("rec.uni[natureza]"),"taxa.extra",
INDIRECT("rec.uni[empresa]"),AK$6)</f>
        <v>0</v>
      </c>
      <c r="AL21" s="50"/>
      <c r="AM21" s="48">
        <f>COUNTIFS(
    in.r9[empresa], AM$6,
    in.r9[Data da venda / reserva], "&gt;=" &amp; $A21,
    in.r9[Data da venda / reserva], "&lt;"  &amp; EOMONTH($A21,0) + 1
)</f>
        <v>0</v>
      </c>
      <c r="AN21" s="49">
        <f ca="1">SUMIFS(rec.uni[2022-07-01],
INDIRECT("rec.uni[natureza]"),"pro.soluto",
INDIRECT("rec.uni[empresa]"),AN$6)</f>
        <v>0</v>
      </c>
      <c r="AO21" s="49">
        <f ca="1">SUMIFS(rec.uni[2022-07-01],
INDIRECT("rec.uni[natureza]"),"taxa.extra",
INDIRECT("rec.uni[empresa]"),AO$6)</f>
        <v>0</v>
      </c>
      <c r="AP21" s="50"/>
    </row>
    <row r="22" spans="1:42" x14ac:dyDescent="0.25">
      <c r="A22" s="47">
        <v>44774</v>
      </c>
      <c r="B22" s="48">
        <f>COUNTIFS(
    in.r9[empresa], B$6,
    in.r9[Data da venda / reserva], "&gt;=" &amp; $A22,
    in.r9[Data da venda / reserva], "&lt;"  &amp; EOMONTH($A22,0) + 1
)</f>
        <v>0</v>
      </c>
      <c r="C22" s="49">
        <f ca="1">SUMIFS(rec.uni[2022-08-01],
INDIRECT("rec.uni[natureza]"),"pro.soluto",
INDIRECT("rec.uni[empresa]"),C$6)</f>
        <v>0</v>
      </c>
      <c r="D22" s="49">
        <f ca="1">SUMIFS(rec.uni[2022-08-01],
INDIRECT("rec.uni[natureza]"),"repasse.cef.obra",
INDIRECT("rec.uni[empresa]"),D$6)</f>
        <v>0</v>
      </c>
      <c r="E22" s="49">
        <f ca="1">SUMIFS(rec.uni[2022-08-01],
INDIRECT("rec.uni[natureza]"),"repasse.cef.terreno",
INDIRECT("rec.uni[empresa]"),E$6)</f>
        <v>0</v>
      </c>
      <c r="F22" s="49">
        <v>0</v>
      </c>
      <c r="G22" s="49">
        <f ca="1">SUMIFS(rec.uni[2022-08-01],
INDIRECT("rec.uni[natureza]"),"taxa.extra",
INDIRECT("rec.uni[empresa]"),G$6)</f>
        <v>0</v>
      </c>
      <c r="H22" s="50"/>
      <c r="I22" s="48">
        <f>COUNTIFS(
    in.r9[empresa], I$6,
    in.r9[Data da venda / reserva], "&gt;=" &amp; $A22,
    in.r9[Data da venda / reserva], "&lt;"  &amp; EOMONTH($A22,0) + 1
)</f>
        <v>0</v>
      </c>
      <c r="J22" s="49">
        <f ca="1">SUMIFS(rec.uni[2022-08-01],
INDIRECT("rec.uni[natureza]"),"pro.soluto",
INDIRECT("rec.uni[empresa]"),J$6)</f>
        <v>0</v>
      </c>
      <c r="K22" s="49">
        <f ca="1">SUMIFS(rec.uni[2022-08-01],
INDIRECT("rec.uni[natureza]"),"repasse.cef.obra",
INDIRECT("rec.uni[empresa]"),K$6)</f>
        <v>0</v>
      </c>
      <c r="L22" s="49">
        <f ca="1">SUMIFS(rec.uni[2022-08-01],
INDIRECT("rec.uni[natureza]"),"repasse.cef.terreno",
INDIRECT("rec.uni[empresa]"),L$6)</f>
        <v>0</v>
      </c>
      <c r="M22" s="49">
        <v>0</v>
      </c>
      <c r="N22" s="49">
        <f ca="1">SUMIFS(rec.uni[2022-08-01],
INDIRECT("rec.uni[natureza]"),"taxa.extra",
INDIRECT("rec.uni[empresa]"),N$6)</f>
        <v>0</v>
      </c>
      <c r="O22" s="50"/>
      <c r="P22" s="48">
        <f>COUNTIFS(
    in.r9[empresa], P$6,
    in.r9[Data da venda / reserva], "&gt;=" &amp; $A22,
    in.r9[Data da venda / reserva], "&lt;"  &amp; EOMONTH($A22,0) + 1
)</f>
        <v>0</v>
      </c>
      <c r="Q22" s="49">
        <f ca="1">SUMIFS(rec.uni[2022-08-01],
INDIRECT("rec.uni[natureza]"),"pro.soluto",
INDIRECT("rec.uni[empresa]"),Q$6)</f>
        <v>0</v>
      </c>
      <c r="R22" s="49">
        <f ca="1">SUMIFS(rec.uni[2022-08-01],
INDIRECT("rec.uni[natureza]"),"repasse.cef.obra",
INDIRECT("rec.uni[empresa]"),R$6)</f>
        <v>0</v>
      </c>
      <c r="S22" s="49">
        <f ca="1">SUMIFS(rec.uni[2022-08-01],
INDIRECT("rec.uni[natureza]"),"repasse.cef.terreno",
INDIRECT("rec.uni[empresa]"),S$6)</f>
        <v>0</v>
      </c>
      <c r="T22" s="49">
        <v>0</v>
      </c>
      <c r="U22" s="49">
        <f ca="1">SUMIFS(rec.uni[2022-08-01],
INDIRECT("rec.uni[natureza]"),"taxa.extra",
INDIRECT("rec.uni[empresa]"),U$6)</f>
        <v>0</v>
      </c>
      <c r="V22" s="50"/>
      <c r="W22" s="48">
        <f>COUNTIFS(
    in.r9[empresa], W$6,
    in.r9[Data da venda / reserva], "&gt;=" &amp; $A22,
    in.r9[Data da venda / reserva], "&lt;"  &amp; EOMONTH($A22,0) + 1
)</f>
        <v>0</v>
      </c>
      <c r="X22" s="49">
        <f ca="1">SUMIFS(rec.uni[2022-08-01],
INDIRECT("rec.uni[natureza]"),"pro.soluto",
INDIRECT("rec.uni[empresa]"),X$6)</f>
        <v>0</v>
      </c>
      <c r="Y22" s="49">
        <f ca="1">SUMIFS(rec.uni[2022-08-01],
INDIRECT("rec.uni[natureza]"),"taxa.extra",
INDIRECT("rec.uni[empresa]"),Y$6)</f>
        <v>0</v>
      </c>
      <c r="Z22" s="50"/>
      <c r="AA22" s="48">
        <f>COUNTIFS(
    in.r9[empresa], AA$6,
    in.r9[Data da venda / reserva], "&gt;=" &amp; $A22,
    in.r9[Data da venda / reserva], "&lt;"  &amp; EOMONTH($A22,0) + 1
)</f>
        <v>0</v>
      </c>
      <c r="AB22" s="49">
        <f ca="1">SUMIFS(rec.uni[2022-08-01],
INDIRECT("rec.uni[natureza]"),"pro.soluto",
INDIRECT("rec.uni[empresa]"),AB$6)</f>
        <v>0</v>
      </c>
      <c r="AC22" s="38">
        <f ca="1">SUMIFS(rec.uni[2022-08-01],
INDIRECT("rec.uni[natureza]"),"parcela.fin.total.ik",
INDIRECT("rec.uni[empresa]"),AC$6)</f>
        <v>0</v>
      </c>
      <c r="AD22" s="49">
        <f ca="1">SUMIFS(rec.uni[2022-08-01],
INDIRECT("rec.uni[natureza]"),"taxa.extra",
INDIRECT("rec.uni[empresa]"),AD$6)</f>
        <v>0</v>
      </c>
      <c r="AE22" s="50"/>
      <c r="AF22" s="48">
        <f>COUNTIFS(
    in.r9[empresa], AF$6,
    in.r9[Data da venda / reserva], "&gt;=" &amp; $A22,
    in.r9[Data da venda / reserva], "&lt;"  &amp; EOMONTH($A22,0) + 1
)</f>
        <v>0</v>
      </c>
      <c r="AG22" s="49">
        <f ca="1">SUMIFS(rec.uni[2022-08-01],
INDIRECT("rec.uni[natureza]"),"pro.soluto",
INDIRECT("rec.uni[empresa]"),AG$6)</f>
        <v>0</v>
      </c>
      <c r="AH22" s="49">
        <f ca="1">SUMIFS(rec.uni[2022-08-01],
INDIRECT("rec.uni[natureza]"),"repasse.cef.obra",
INDIRECT("rec.uni[empresa]"),AH$6)</f>
        <v>0</v>
      </c>
      <c r="AI22" s="49">
        <f ca="1">SUMIFS(rec.uni[2022-08-01],
INDIRECT("rec.uni[natureza]"),"repasse.cef.terreno",
INDIRECT("rec.uni[empresa]"),AI$6)</f>
        <v>0</v>
      </c>
      <c r="AJ22" s="49">
        <v>0</v>
      </c>
      <c r="AK22" s="49">
        <f ca="1">SUMIFS(rec.uni[2022-08-01],
INDIRECT("rec.uni[natureza]"),"taxa.extra",
INDIRECT("rec.uni[empresa]"),AK$6)</f>
        <v>0</v>
      </c>
      <c r="AL22" s="50"/>
      <c r="AM22" s="48">
        <f>COUNTIFS(
    in.r9[empresa], AM$6,
    in.r9[Data da venda / reserva], "&gt;=" &amp; $A22,
    in.r9[Data da venda / reserva], "&lt;"  &amp; EOMONTH($A22,0) + 1
)</f>
        <v>0</v>
      </c>
      <c r="AN22" s="49">
        <f ca="1">SUMIFS(rec.uni[2022-08-01],
INDIRECT("rec.uni[natureza]"),"pro.soluto",
INDIRECT("rec.uni[empresa]"),AN$6)</f>
        <v>0</v>
      </c>
      <c r="AO22" s="49">
        <f ca="1">SUMIFS(rec.uni[2022-08-01],
INDIRECT("rec.uni[natureza]"),"taxa.extra",
INDIRECT("rec.uni[empresa]"),AO$6)</f>
        <v>0</v>
      </c>
      <c r="AP22" s="50"/>
    </row>
    <row r="23" spans="1:42" x14ac:dyDescent="0.25">
      <c r="A23" s="47">
        <v>44805</v>
      </c>
      <c r="B23" s="48">
        <f>COUNTIFS(
    in.r9[empresa], B$6,
    in.r9[Data da venda / reserva], "&gt;=" &amp; $A23,
    in.r9[Data da venda / reserva], "&lt;"  &amp; EOMONTH($A23,0) + 1
)</f>
        <v>0</v>
      </c>
      <c r="C23" s="49">
        <f ca="1">SUMIFS(rec.uni[2022-09-01],
INDIRECT("rec.uni[natureza]"),"pro.soluto",
INDIRECT("rec.uni[empresa]"),C$6)</f>
        <v>0</v>
      </c>
      <c r="D23" s="49">
        <f ca="1">SUMIFS(rec.uni[2022-09-01],
INDIRECT("rec.uni[natureza]"),"repasse.cef.obra",
INDIRECT("rec.uni[empresa]"),D$6)</f>
        <v>0</v>
      </c>
      <c r="E23" s="49">
        <f ca="1">SUMIFS(rec.uni[2022-09-01],
INDIRECT("rec.uni[natureza]"),"repasse.cef.terreno",
INDIRECT("rec.uni[empresa]"),E$6)</f>
        <v>0</v>
      </c>
      <c r="F23" s="49">
        <v>0</v>
      </c>
      <c r="G23" s="49">
        <f ca="1">SUMIFS(rec.uni[2022-09-01],
INDIRECT("rec.uni[natureza]"),"taxa.extra",
INDIRECT("rec.uni[empresa]"),G$6)</f>
        <v>0</v>
      </c>
      <c r="H23" s="50"/>
      <c r="I23" s="48">
        <f>COUNTIFS(
    in.r9[empresa], I$6,
    in.r9[Data da venda / reserva], "&gt;=" &amp; $A23,
    in.r9[Data da venda / reserva], "&lt;"  &amp; EOMONTH($A23,0) + 1
)</f>
        <v>0</v>
      </c>
      <c r="J23" s="49">
        <f ca="1">SUMIFS(rec.uni[2022-09-01],
INDIRECT("rec.uni[natureza]"),"pro.soluto",
INDIRECT("rec.uni[empresa]"),J$6)</f>
        <v>0</v>
      </c>
      <c r="K23" s="49">
        <f ca="1">SUMIFS(rec.uni[2022-09-01],
INDIRECT("rec.uni[natureza]"),"repasse.cef.obra",
INDIRECT("rec.uni[empresa]"),K$6)</f>
        <v>0</v>
      </c>
      <c r="L23" s="49">
        <f ca="1">SUMIFS(rec.uni[2022-09-01],
INDIRECT("rec.uni[natureza]"),"repasse.cef.terreno",
INDIRECT("rec.uni[empresa]"),L$6)</f>
        <v>0</v>
      </c>
      <c r="M23" s="49">
        <v>0</v>
      </c>
      <c r="N23" s="49">
        <f ca="1">SUMIFS(rec.uni[2022-09-01],
INDIRECT("rec.uni[natureza]"),"taxa.extra",
INDIRECT("rec.uni[empresa]"),N$6)</f>
        <v>0</v>
      </c>
      <c r="O23" s="50"/>
      <c r="P23" s="48">
        <f>COUNTIFS(
    in.r9[empresa], P$6,
    in.r9[Data da venda / reserva], "&gt;=" &amp; $A23,
    in.r9[Data da venda / reserva], "&lt;"  &amp; EOMONTH($A23,0) + 1
)</f>
        <v>0</v>
      </c>
      <c r="Q23" s="49">
        <f ca="1">SUMIFS(rec.uni[2022-09-01],
INDIRECT("rec.uni[natureza]"),"pro.soluto",
INDIRECT("rec.uni[empresa]"),Q$6)</f>
        <v>0</v>
      </c>
      <c r="R23" s="49">
        <f ca="1">SUMIFS(rec.uni[2022-09-01],
INDIRECT("rec.uni[natureza]"),"repasse.cef.obra",
INDIRECT("rec.uni[empresa]"),R$6)</f>
        <v>0</v>
      </c>
      <c r="S23" s="49">
        <f ca="1">SUMIFS(rec.uni[2022-09-01],
INDIRECT("rec.uni[natureza]"),"repasse.cef.terreno",
INDIRECT("rec.uni[empresa]"),S$6)</f>
        <v>0</v>
      </c>
      <c r="T23" s="49">
        <v>0</v>
      </c>
      <c r="U23" s="49">
        <f ca="1">SUMIFS(rec.uni[2022-09-01],
INDIRECT("rec.uni[natureza]"),"taxa.extra",
INDIRECT("rec.uni[empresa]"),U$6)</f>
        <v>0</v>
      </c>
      <c r="V23" s="50"/>
      <c r="W23" s="48">
        <f>COUNTIFS(
    in.r9[empresa], W$6,
    in.r9[Data da venda / reserva], "&gt;=" &amp; $A23,
    in.r9[Data da venda / reserva], "&lt;"  &amp; EOMONTH($A23,0) + 1
)</f>
        <v>0</v>
      </c>
      <c r="X23" s="49">
        <f ca="1">SUMIFS(rec.uni[2022-09-01],
INDIRECT("rec.uni[natureza]"),"pro.soluto",
INDIRECT("rec.uni[empresa]"),X$6)</f>
        <v>0</v>
      </c>
      <c r="Y23" s="49">
        <f ca="1">SUMIFS(rec.uni[2022-09-01],
INDIRECT("rec.uni[natureza]"),"taxa.extra",
INDIRECT("rec.uni[empresa]"),Y$6)</f>
        <v>0</v>
      </c>
      <c r="Z23" s="50"/>
      <c r="AA23" s="48">
        <f>COUNTIFS(
    in.r9[empresa], AA$6,
    in.r9[Data da venda / reserva], "&gt;=" &amp; $A23,
    in.r9[Data da venda / reserva], "&lt;"  &amp; EOMONTH($A23,0) + 1
)</f>
        <v>0</v>
      </c>
      <c r="AB23" s="49">
        <f ca="1">SUMIFS(rec.uni[2022-09-01],
INDIRECT("rec.uni[natureza]"),"pro.soluto",
INDIRECT("rec.uni[empresa]"),AB$6)</f>
        <v>0</v>
      </c>
      <c r="AC23" s="38">
        <f ca="1">SUMIFS(rec.uni[2022-09-01],
INDIRECT("rec.uni[natureza]"),"parcela.fin.total.ik",
INDIRECT("rec.uni[empresa]"),AC$6)</f>
        <v>0</v>
      </c>
      <c r="AD23" s="49">
        <f ca="1">SUMIFS(rec.uni[2022-09-01],
INDIRECT("rec.uni[natureza]"),"taxa.extra",
INDIRECT("rec.uni[empresa]"),AD$6)</f>
        <v>0</v>
      </c>
      <c r="AE23" s="50"/>
      <c r="AF23" s="48">
        <f>COUNTIFS(
    in.r9[empresa], AF$6,
    in.r9[Data da venda / reserva], "&gt;=" &amp; $A23,
    in.r9[Data da venda / reserva], "&lt;"  &amp; EOMONTH($A23,0) + 1
)</f>
        <v>0</v>
      </c>
      <c r="AG23" s="49">
        <f ca="1">SUMIFS(rec.uni[2022-09-01],
INDIRECT("rec.uni[natureza]"),"pro.soluto",
INDIRECT("rec.uni[empresa]"),AG$6)</f>
        <v>0</v>
      </c>
      <c r="AH23" s="49">
        <f ca="1">SUMIFS(rec.uni[2022-09-01],
INDIRECT("rec.uni[natureza]"),"repasse.cef.obra",
INDIRECT("rec.uni[empresa]"),AH$6)</f>
        <v>0</v>
      </c>
      <c r="AI23" s="49">
        <f ca="1">SUMIFS(rec.uni[2022-09-01],
INDIRECT("rec.uni[natureza]"),"repasse.cef.terreno",
INDIRECT("rec.uni[empresa]"),AI$6)</f>
        <v>0</v>
      </c>
      <c r="AJ23" s="49">
        <v>0</v>
      </c>
      <c r="AK23" s="49">
        <f ca="1">SUMIFS(rec.uni[2022-09-01],
INDIRECT("rec.uni[natureza]"),"taxa.extra",
INDIRECT("rec.uni[empresa]"),AK$6)</f>
        <v>0</v>
      </c>
      <c r="AL23" s="50"/>
      <c r="AM23" s="48">
        <f>COUNTIFS(
    in.r9[empresa], AM$6,
    in.r9[Data da venda / reserva], "&gt;=" &amp; $A23,
    in.r9[Data da venda / reserva], "&lt;"  &amp; EOMONTH($A23,0) + 1
)</f>
        <v>0</v>
      </c>
      <c r="AN23" s="49">
        <f ca="1">SUMIFS(rec.uni[2022-09-01],
INDIRECT("rec.uni[natureza]"),"pro.soluto",
INDIRECT("rec.uni[empresa]"),AN$6)</f>
        <v>0</v>
      </c>
      <c r="AO23" s="49">
        <f ca="1">SUMIFS(rec.uni[2022-09-01],
INDIRECT("rec.uni[natureza]"),"taxa.extra",
INDIRECT("rec.uni[empresa]"),AO$6)</f>
        <v>0</v>
      </c>
      <c r="AP23" s="50"/>
    </row>
    <row r="24" spans="1:42" x14ac:dyDescent="0.25">
      <c r="A24" s="47">
        <v>44835</v>
      </c>
      <c r="B24" s="48">
        <f>COUNTIFS(
    in.r9[empresa], B$6,
    in.r9[Data da venda / reserva], "&gt;=" &amp; $A24,
    in.r9[Data da venda / reserva], "&lt;"  &amp; EOMONTH($A24,0) + 1
)</f>
        <v>0</v>
      </c>
      <c r="C24" s="49">
        <f ca="1">SUMIFS(rec.uni[2022-10-01],
INDIRECT("rec.uni[natureza]"),"pro.soluto",
INDIRECT("rec.uni[empresa]"),C$6)</f>
        <v>0</v>
      </c>
      <c r="D24" s="49">
        <f ca="1">SUMIFS(rec.uni[2022-10-01],
INDIRECT("rec.uni[natureza]"),"repasse.cef.obra",
INDIRECT("rec.uni[empresa]"),D$6)</f>
        <v>0</v>
      </c>
      <c r="E24" s="49">
        <f ca="1">SUMIFS(rec.uni[2022-10-01],
INDIRECT("rec.uni[natureza]"),"repasse.cef.terreno",
INDIRECT("rec.uni[empresa]"),E$6)</f>
        <v>0</v>
      </c>
      <c r="F24" s="49">
        <v>0</v>
      </c>
      <c r="G24" s="49">
        <f ca="1">SUMIFS(rec.uni[2022-10-01],
INDIRECT("rec.uni[natureza]"),"taxa.extra",
INDIRECT("rec.uni[empresa]"),G$6)</f>
        <v>0</v>
      </c>
      <c r="H24" s="50"/>
      <c r="I24" s="48">
        <f>COUNTIFS(
    in.r9[empresa], I$6,
    in.r9[Data da venda / reserva], "&gt;=" &amp; $A24,
    in.r9[Data da venda / reserva], "&lt;"  &amp; EOMONTH($A24,0) + 1
)</f>
        <v>0</v>
      </c>
      <c r="J24" s="49">
        <f ca="1">SUMIFS(rec.uni[2022-10-01],
INDIRECT("rec.uni[natureza]"),"pro.soluto",
INDIRECT("rec.uni[empresa]"),J$6)</f>
        <v>0</v>
      </c>
      <c r="K24" s="49">
        <f ca="1">SUMIFS(rec.uni[2022-10-01],
INDIRECT("rec.uni[natureza]"),"repasse.cef.obra",
INDIRECT("rec.uni[empresa]"),K$6)</f>
        <v>0</v>
      </c>
      <c r="L24" s="49">
        <f ca="1">SUMIFS(rec.uni[2022-10-01],
INDIRECT("rec.uni[natureza]"),"repasse.cef.terreno",
INDIRECT("rec.uni[empresa]"),L$6)</f>
        <v>0</v>
      </c>
      <c r="M24" s="49">
        <v>0</v>
      </c>
      <c r="N24" s="49">
        <f ca="1">SUMIFS(rec.uni[2022-10-01],
INDIRECT("rec.uni[natureza]"),"taxa.extra",
INDIRECT("rec.uni[empresa]"),N$6)</f>
        <v>0</v>
      </c>
      <c r="O24" s="50"/>
      <c r="P24" s="48">
        <f>COUNTIFS(
    in.r9[empresa], P$6,
    in.r9[Data da venda / reserva], "&gt;=" &amp; $A24,
    in.r9[Data da venda / reserva], "&lt;"  &amp; EOMONTH($A24,0) + 1
)</f>
        <v>0</v>
      </c>
      <c r="Q24" s="49">
        <f ca="1">SUMIFS(rec.uni[2022-10-01],
INDIRECT("rec.uni[natureza]"),"pro.soluto",
INDIRECT("rec.uni[empresa]"),Q$6)</f>
        <v>0</v>
      </c>
      <c r="R24" s="49">
        <f ca="1">SUMIFS(rec.uni[2022-10-01],
INDIRECT("rec.uni[natureza]"),"repasse.cef.obra",
INDIRECT("rec.uni[empresa]"),R$6)</f>
        <v>0</v>
      </c>
      <c r="S24" s="49">
        <f ca="1">SUMIFS(rec.uni[2022-10-01],
INDIRECT("rec.uni[natureza]"),"repasse.cef.terreno",
INDIRECT("rec.uni[empresa]"),S$6)</f>
        <v>0</v>
      </c>
      <c r="T24" s="49">
        <v>0</v>
      </c>
      <c r="U24" s="49">
        <f ca="1">SUMIFS(rec.uni[2022-10-01],
INDIRECT("rec.uni[natureza]"),"taxa.extra",
INDIRECT("rec.uni[empresa]"),U$6)</f>
        <v>0</v>
      </c>
      <c r="V24" s="50"/>
      <c r="W24" s="48">
        <f>COUNTIFS(
    in.r9[empresa], W$6,
    in.r9[Data da venda / reserva], "&gt;=" &amp; $A24,
    in.r9[Data da venda / reserva], "&lt;"  &amp; EOMONTH($A24,0) + 1
)</f>
        <v>0</v>
      </c>
      <c r="X24" s="49">
        <f ca="1">SUMIFS(rec.uni[2022-10-01],
INDIRECT("rec.uni[natureza]"),"pro.soluto",
INDIRECT("rec.uni[empresa]"),X$6)</f>
        <v>0</v>
      </c>
      <c r="Y24" s="49">
        <f ca="1">SUMIFS(rec.uni[2022-10-01],
INDIRECT("rec.uni[natureza]"),"taxa.extra",
INDIRECT("rec.uni[empresa]"),Y$6)</f>
        <v>0</v>
      </c>
      <c r="Z24" s="50"/>
      <c r="AA24" s="48">
        <f>COUNTIFS(
    in.r9[empresa], AA$6,
    in.r9[Data da venda / reserva], "&gt;=" &amp; $A24,
    in.r9[Data da venda / reserva], "&lt;"  &amp; EOMONTH($A24,0) + 1
)</f>
        <v>0</v>
      </c>
      <c r="AB24" s="49">
        <f ca="1">SUMIFS(rec.uni[2022-10-01],
INDIRECT("rec.uni[natureza]"),"pro.soluto",
INDIRECT("rec.uni[empresa]"),AB$6)</f>
        <v>0</v>
      </c>
      <c r="AC24" s="38">
        <f ca="1">SUMIFS(rec.uni[2022-10-01],
INDIRECT("rec.uni[natureza]"),"parcela.fin.total.ik",
INDIRECT("rec.uni[empresa]"),AC$6)</f>
        <v>0</v>
      </c>
      <c r="AD24" s="49">
        <f ca="1">SUMIFS(rec.uni[2022-10-01],
INDIRECT("rec.uni[natureza]"),"taxa.extra",
INDIRECT("rec.uni[empresa]"),AD$6)</f>
        <v>0</v>
      </c>
      <c r="AE24" s="50"/>
      <c r="AF24" s="48">
        <f>COUNTIFS(
    in.r9[empresa], AF$6,
    in.r9[Data da venda / reserva], "&gt;=" &amp; $A24,
    in.r9[Data da venda / reserva], "&lt;"  &amp; EOMONTH($A24,0) + 1
)</f>
        <v>0</v>
      </c>
      <c r="AG24" s="49">
        <f ca="1">SUMIFS(rec.uni[2022-10-01],
INDIRECT("rec.uni[natureza]"),"pro.soluto",
INDIRECT("rec.uni[empresa]"),AG$6)</f>
        <v>0</v>
      </c>
      <c r="AH24" s="49">
        <f ca="1">SUMIFS(rec.uni[2022-10-01],
INDIRECT("rec.uni[natureza]"),"repasse.cef.obra",
INDIRECT("rec.uni[empresa]"),AH$6)</f>
        <v>0</v>
      </c>
      <c r="AI24" s="49">
        <f ca="1">SUMIFS(rec.uni[2022-10-01],
INDIRECT("rec.uni[natureza]"),"repasse.cef.terreno",
INDIRECT("rec.uni[empresa]"),AI$6)</f>
        <v>0</v>
      </c>
      <c r="AJ24" s="49">
        <v>0</v>
      </c>
      <c r="AK24" s="49">
        <f ca="1">SUMIFS(rec.uni[2022-10-01],
INDIRECT("rec.uni[natureza]"),"taxa.extra",
INDIRECT("rec.uni[empresa]"),AK$6)</f>
        <v>0</v>
      </c>
      <c r="AL24" s="50"/>
      <c r="AM24" s="48">
        <f>COUNTIFS(
    in.r9[empresa], AM$6,
    in.r9[Data da venda / reserva], "&gt;=" &amp; $A24,
    in.r9[Data da venda / reserva], "&lt;"  &amp; EOMONTH($A24,0) + 1
)</f>
        <v>0</v>
      </c>
      <c r="AN24" s="49">
        <f ca="1">SUMIFS(rec.uni[2022-10-01],
INDIRECT("rec.uni[natureza]"),"pro.soluto",
INDIRECT("rec.uni[empresa]"),AN$6)</f>
        <v>0</v>
      </c>
      <c r="AO24" s="49">
        <f ca="1">SUMIFS(rec.uni[2022-10-01],
INDIRECT("rec.uni[natureza]"),"taxa.extra",
INDIRECT("rec.uni[empresa]"),AO$6)</f>
        <v>0</v>
      </c>
      <c r="AP24" s="50"/>
    </row>
    <row r="25" spans="1:42" x14ac:dyDescent="0.25">
      <c r="A25" s="47">
        <v>44866</v>
      </c>
      <c r="B25" s="48">
        <f>COUNTIFS(
    in.r9[empresa], B$6,
    in.r9[Data da venda / reserva], "&gt;=" &amp; $A25,
    in.r9[Data da venda / reserva], "&lt;"  &amp; EOMONTH($A25,0) + 1
)</f>
        <v>0</v>
      </c>
      <c r="C25" s="49">
        <f ca="1">SUMIFS(rec.uni[2022-11-01],
INDIRECT("rec.uni[natureza]"),"pro.soluto",
INDIRECT("rec.uni[empresa]"),C$6)</f>
        <v>0</v>
      </c>
      <c r="D25" s="49">
        <f ca="1">SUMIFS(rec.uni[2022-11-01],
INDIRECT("rec.uni[natureza]"),"repasse.cef.obra",
INDIRECT("rec.uni[empresa]"),D$6)</f>
        <v>0</v>
      </c>
      <c r="E25" s="49">
        <f ca="1">SUMIFS(rec.uni[2022-11-01],
INDIRECT("rec.uni[natureza]"),"repasse.cef.terreno",
INDIRECT("rec.uni[empresa]"),E$6)</f>
        <v>0</v>
      </c>
      <c r="F25" s="49">
        <v>0</v>
      </c>
      <c r="G25" s="49">
        <f ca="1">SUMIFS(rec.uni[2022-11-01],
INDIRECT("rec.uni[natureza]"),"taxa.extra",
INDIRECT("rec.uni[empresa]"),G$6)</f>
        <v>0</v>
      </c>
      <c r="H25" s="50"/>
      <c r="I25" s="48">
        <f>COUNTIFS(
    in.r9[empresa], I$6,
    in.r9[Data da venda / reserva], "&gt;=" &amp; $A25,
    in.r9[Data da venda / reserva], "&lt;"  &amp; EOMONTH($A25,0) + 1
)</f>
        <v>0</v>
      </c>
      <c r="J25" s="49">
        <f ca="1">SUMIFS(rec.uni[2022-11-01],
INDIRECT("rec.uni[natureza]"),"pro.soluto",
INDIRECT("rec.uni[empresa]"),J$6)</f>
        <v>0</v>
      </c>
      <c r="K25" s="49">
        <f ca="1">SUMIFS(rec.uni[2022-11-01],
INDIRECT("rec.uni[natureza]"),"repasse.cef.obra",
INDIRECT("rec.uni[empresa]"),K$6)</f>
        <v>0</v>
      </c>
      <c r="L25" s="49">
        <f ca="1">SUMIFS(rec.uni[2022-11-01],
INDIRECT("rec.uni[natureza]"),"repasse.cef.terreno",
INDIRECT("rec.uni[empresa]"),L$6)</f>
        <v>0</v>
      </c>
      <c r="M25" s="49">
        <v>0</v>
      </c>
      <c r="N25" s="49">
        <f ca="1">SUMIFS(rec.uni[2022-11-01],
INDIRECT("rec.uni[natureza]"),"taxa.extra",
INDIRECT("rec.uni[empresa]"),N$6)</f>
        <v>0</v>
      </c>
      <c r="O25" s="50"/>
      <c r="P25" s="48">
        <f>COUNTIFS(
    in.r9[empresa], P$6,
    in.r9[Data da venda / reserva], "&gt;=" &amp; $A25,
    in.r9[Data da venda / reserva], "&lt;"  &amp; EOMONTH($A25,0) + 1
)</f>
        <v>0</v>
      </c>
      <c r="Q25" s="49">
        <f ca="1">SUMIFS(rec.uni[2022-11-01],
INDIRECT("rec.uni[natureza]"),"pro.soluto",
INDIRECT("rec.uni[empresa]"),Q$6)</f>
        <v>0</v>
      </c>
      <c r="R25" s="49">
        <f ca="1">SUMIFS(rec.uni[2022-11-01],
INDIRECT("rec.uni[natureza]"),"repasse.cef.obra",
INDIRECT("rec.uni[empresa]"),R$6)</f>
        <v>0</v>
      </c>
      <c r="S25" s="49">
        <f ca="1">SUMIFS(rec.uni[2022-11-01],
INDIRECT("rec.uni[natureza]"),"repasse.cef.terreno",
INDIRECT("rec.uni[empresa]"),S$6)</f>
        <v>0</v>
      </c>
      <c r="T25" s="49">
        <v>0</v>
      </c>
      <c r="U25" s="49">
        <f ca="1">SUMIFS(rec.uni[2022-11-01],
INDIRECT("rec.uni[natureza]"),"taxa.extra",
INDIRECT("rec.uni[empresa]"),U$6)</f>
        <v>0</v>
      </c>
      <c r="V25" s="50"/>
      <c r="W25" s="48">
        <f>COUNTIFS(
    in.r9[empresa], W$6,
    in.r9[Data da venda / reserva], "&gt;=" &amp; $A25,
    in.r9[Data da venda / reserva], "&lt;"  &amp; EOMONTH($A25,0) + 1
)</f>
        <v>0</v>
      </c>
      <c r="X25" s="49">
        <f ca="1">SUMIFS(rec.uni[2022-11-01],
INDIRECT("rec.uni[natureza]"),"pro.soluto",
INDIRECT("rec.uni[empresa]"),X$6)</f>
        <v>0</v>
      </c>
      <c r="Y25" s="49">
        <f ca="1">SUMIFS(rec.uni[2022-11-01],
INDIRECT("rec.uni[natureza]"),"taxa.extra",
INDIRECT("rec.uni[empresa]"),Y$6)</f>
        <v>0</v>
      </c>
      <c r="Z25" s="50"/>
      <c r="AA25" s="48">
        <f>COUNTIFS(
    in.r9[empresa], AA$6,
    in.r9[Data da venda / reserva], "&gt;=" &amp; $A25,
    in.r9[Data da venda / reserva], "&lt;"  &amp; EOMONTH($A25,0) + 1
)</f>
        <v>0</v>
      </c>
      <c r="AB25" s="49">
        <f ca="1">SUMIFS(rec.uni[2022-11-01],
INDIRECT("rec.uni[natureza]"),"pro.soluto",
INDIRECT("rec.uni[empresa]"),AB$6)</f>
        <v>0</v>
      </c>
      <c r="AC25" s="38">
        <f ca="1">SUMIFS(rec.uni[2022-11-01],
INDIRECT("rec.uni[natureza]"),"parcela.fin.total.ik",
INDIRECT("rec.uni[empresa]"),AC$6)</f>
        <v>0</v>
      </c>
      <c r="AD25" s="49">
        <f ca="1">SUMIFS(rec.uni[2022-11-01],
INDIRECT("rec.uni[natureza]"),"taxa.extra",
INDIRECT("rec.uni[empresa]"),AD$6)</f>
        <v>0</v>
      </c>
      <c r="AE25" s="50"/>
      <c r="AF25" s="48">
        <f>COUNTIFS(
    in.r9[empresa], AF$6,
    in.r9[Data da venda / reserva], "&gt;=" &amp; $A25,
    in.r9[Data da venda / reserva], "&lt;"  &amp; EOMONTH($A25,0) + 1
)</f>
        <v>0</v>
      </c>
      <c r="AG25" s="49">
        <f ca="1">SUMIFS(rec.uni[2022-11-01],
INDIRECT("rec.uni[natureza]"),"pro.soluto",
INDIRECT("rec.uni[empresa]"),AG$6)</f>
        <v>0</v>
      </c>
      <c r="AH25" s="49">
        <f ca="1">SUMIFS(rec.uni[2022-11-01],
INDIRECT("rec.uni[natureza]"),"repasse.cef.obra",
INDIRECT("rec.uni[empresa]"),AH$6)</f>
        <v>0</v>
      </c>
      <c r="AI25" s="49">
        <f ca="1">SUMIFS(rec.uni[2022-11-01],
INDIRECT("rec.uni[natureza]"),"repasse.cef.terreno",
INDIRECT("rec.uni[empresa]"),AI$6)</f>
        <v>0</v>
      </c>
      <c r="AJ25" s="49">
        <v>0</v>
      </c>
      <c r="AK25" s="49">
        <f ca="1">SUMIFS(rec.uni[2022-11-01],
INDIRECT("rec.uni[natureza]"),"taxa.extra",
INDIRECT("rec.uni[empresa]"),AK$6)</f>
        <v>0</v>
      </c>
      <c r="AL25" s="50"/>
      <c r="AM25" s="48">
        <f>COUNTIFS(
    in.r9[empresa], AM$6,
    in.r9[Data da venda / reserva], "&gt;=" &amp; $A25,
    in.r9[Data da venda / reserva], "&lt;"  &amp; EOMONTH($A25,0) + 1
)</f>
        <v>0</v>
      </c>
      <c r="AN25" s="49">
        <f ca="1">SUMIFS(rec.uni[2022-11-01],
INDIRECT("rec.uni[natureza]"),"pro.soluto",
INDIRECT("rec.uni[empresa]"),AN$6)</f>
        <v>0</v>
      </c>
      <c r="AO25" s="49">
        <f ca="1">SUMIFS(rec.uni[2022-11-01],
INDIRECT("rec.uni[natureza]"),"taxa.extra",
INDIRECT("rec.uni[empresa]"),AO$6)</f>
        <v>0</v>
      </c>
      <c r="AP25" s="50"/>
    </row>
    <row r="26" spans="1:42" x14ac:dyDescent="0.25">
      <c r="A26" s="47">
        <v>44896</v>
      </c>
      <c r="B26" s="48">
        <f>COUNTIFS(
    in.r9[empresa], B$6,
    in.r9[Data da venda / reserva], "&gt;=" &amp; $A26,
    in.r9[Data da venda / reserva], "&lt;"  &amp; EOMONTH($A26,0) + 1
)</f>
        <v>0</v>
      </c>
      <c r="C26" s="49">
        <f ca="1">SUMIFS(rec.uni[2022-12-01],
INDIRECT("rec.uni[natureza]"),"pro.soluto",
INDIRECT("rec.uni[empresa]"),C$6)</f>
        <v>0</v>
      </c>
      <c r="D26" s="49">
        <f ca="1">SUMIFS(rec.uni[2022-12-01],
INDIRECT("rec.uni[natureza]"),"repasse.cef.obra",
INDIRECT("rec.uni[empresa]"),D$6)</f>
        <v>0</v>
      </c>
      <c r="E26" s="49">
        <f ca="1">SUMIFS(rec.uni[2022-12-01],
INDIRECT("rec.uni[natureza]"),"repasse.cef.terreno",
INDIRECT("rec.uni[empresa]"),E$6)</f>
        <v>0</v>
      </c>
      <c r="F26" s="49">
        <v>0</v>
      </c>
      <c r="G26" s="49">
        <f ca="1">SUMIFS(rec.uni[2022-12-01],
INDIRECT("rec.uni[natureza]"),"taxa.extra",
INDIRECT("rec.uni[empresa]"),G$6)</f>
        <v>0</v>
      </c>
      <c r="H26" s="50"/>
      <c r="I26" s="48">
        <f>COUNTIFS(
    in.r9[empresa], I$6,
    in.r9[Data da venda / reserva], "&gt;=" &amp; $A26,
    in.r9[Data da venda / reserva], "&lt;"  &amp; EOMONTH($A26,0) + 1
)</f>
        <v>0</v>
      </c>
      <c r="J26" s="49">
        <f ca="1">SUMIFS(rec.uni[2022-12-01],
INDIRECT("rec.uni[natureza]"),"pro.soluto",
INDIRECT("rec.uni[empresa]"),J$6)</f>
        <v>0</v>
      </c>
      <c r="K26" s="49">
        <f ca="1">SUMIFS(rec.uni[2022-12-01],
INDIRECT("rec.uni[natureza]"),"repasse.cef.obra",
INDIRECT("rec.uni[empresa]"),K$6)</f>
        <v>0</v>
      </c>
      <c r="L26" s="49">
        <f ca="1">SUMIFS(rec.uni[2022-12-01],
INDIRECT("rec.uni[natureza]"),"repasse.cef.terreno",
INDIRECT("rec.uni[empresa]"),L$6)</f>
        <v>0</v>
      </c>
      <c r="M26" s="49">
        <v>0</v>
      </c>
      <c r="N26" s="49">
        <f ca="1">SUMIFS(rec.uni[2022-12-01],
INDIRECT("rec.uni[natureza]"),"taxa.extra",
INDIRECT("rec.uni[empresa]"),N$6)</f>
        <v>0</v>
      </c>
      <c r="O26" s="50"/>
      <c r="P26" s="48">
        <f>COUNTIFS(
    in.r9[empresa], P$6,
    in.r9[Data da venda / reserva], "&gt;=" &amp; $A26,
    in.r9[Data da venda / reserva], "&lt;"  &amp; EOMONTH($A26,0) + 1
)</f>
        <v>0</v>
      </c>
      <c r="Q26" s="49">
        <f ca="1">SUMIFS(rec.uni[2022-12-01],
INDIRECT("rec.uni[natureza]"),"pro.soluto",
INDIRECT("rec.uni[empresa]"),Q$6)</f>
        <v>0</v>
      </c>
      <c r="R26" s="49">
        <f ca="1">SUMIFS(rec.uni[2022-12-01],
INDIRECT("rec.uni[natureza]"),"repasse.cef.obra",
INDIRECT("rec.uni[empresa]"),R$6)</f>
        <v>0</v>
      </c>
      <c r="S26" s="49">
        <f ca="1">SUMIFS(rec.uni[2022-12-01],
INDIRECT("rec.uni[natureza]"),"repasse.cef.terreno",
INDIRECT("rec.uni[empresa]"),S$6)</f>
        <v>0</v>
      </c>
      <c r="T26" s="49">
        <v>0</v>
      </c>
      <c r="U26" s="49">
        <f ca="1">SUMIFS(rec.uni[2022-12-01],
INDIRECT("rec.uni[natureza]"),"taxa.extra",
INDIRECT("rec.uni[empresa]"),U$6)</f>
        <v>0</v>
      </c>
      <c r="V26" s="50"/>
      <c r="W26" s="48">
        <f>COUNTIFS(
    in.r9[empresa], W$6,
    in.r9[Data da venda / reserva], "&gt;=" &amp; $A26,
    in.r9[Data da venda / reserva], "&lt;"  &amp; EOMONTH($A26,0) + 1
)</f>
        <v>0</v>
      </c>
      <c r="X26" s="49">
        <f ca="1">SUMIFS(rec.uni[2022-12-01],
INDIRECT("rec.uni[natureza]"),"pro.soluto",
INDIRECT("rec.uni[empresa]"),X$6)</f>
        <v>0</v>
      </c>
      <c r="Y26" s="49">
        <f ca="1">SUMIFS(rec.uni[2022-12-01],
INDIRECT("rec.uni[natureza]"),"taxa.extra",
INDIRECT("rec.uni[empresa]"),Y$6)</f>
        <v>0</v>
      </c>
      <c r="Z26" s="50"/>
      <c r="AA26" s="48">
        <f>COUNTIFS(
    in.r9[empresa], AA$6,
    in.r9[Data da venda / reserva], "&gt;=" &amp; $A26,
    in.r9[Data da venda / reserva], "&lt;"  &amp; EOMONTH($A26,0) + 1
)</f>
        <v>0</v>
      </c>
      <c r="AB26" s="49">
        <f ca="1">SUMIFS(rec.uni[2022-12-01],
INDIRECT("rec.uni[natureza]"),"pro.soluto",
INDIRECT("rec.uni[empresa]"),AB$6)</f>
        <v>0</v>
      </c>
      <c r="AC26" s="38">
        <f ca="1">SUMIFS(rec.uni[2022-12-01],
INDIRECT("rec.uni[natureza]"),"parcela.fin.total.ik",
INDIRECT("rec.uni[empresa]"),AC$6)</f>
        <v>0</v>
      </c>
      <c r="AD26" s="49">
        <f ca="1">SUMIFS(rec.uni[2022-12-01],
INDIRECT("rec.uni[natureza]"),"taxa.extra",
INDIRECT("rec.uni[empresa]"),AD$6)</f>
        <v>0</v>
      </c>
      <c r="AE26" s="50"/>
      <c r="AF26" s="48">
        <f>COUNTIFS(
    in.r9[empresa], AF$6,
    in.r9[Data da venda / reserva], "&gt;=" &amp; $A26,
    in.r9[Data da venda / reserva], "&lt;"  &amp; EOMONTH($A26,0) + 1
)</f>
        <v>0</v>
      </c>
      <c r="AG26" s="49">
        <f ca="1">SUMIFS(rec.uni[2022-12-01],
INDIRECT("rec.uni[natureza]"),"pro.soluto",
INDIRECT("rec.uni[empresa]"),AG$6)</f>
        <v>0</v>
      </c>
      <c r="AH26" s="49">
        <f ca="1">SUMIFS(rec.uni[2022-12-01],
INDIRECT("rec.uni[natureza]"),"repasse.cef.obra",
INDIRECT("rec.uni[empresa]"),AH$6)</f>
        <v>0</v>
      </c>
      <c r="AI26" s="49">
        <f ca="1">SUMIFS(rec.uni[2022-12-01],
INDIRECT("rec.uni[natureza]"),"repasse.cef.terreno",
INDIRECT("rec.uni[empresa]"),AI$6)</f>
        <v>0</v>
      </c>
      <c r="AJ26" s="49">
        <v>0</v>
      </c>
      <c r="AK26" s="49">
        <f ca="1">SUMIFS(rec.uni[2022-12-01],
INDIRECT("rec.uni[natureza]"),"taxa.extra",
INDIRECT("rec.uni[empresa]"),AK$6)</f>
        <v>0</v>
      </c>
      <c r="AL26" s="50"/>
      <c r="AM26" s="48">
        <f>COUNTIFS(
    in.r9[empresa], AM$6,
    in.r9[Data da venda / reserva], "&gt;=" &amp; $A26,
    in.r9[Data da venda / reserva], "&lt;"  &amp; EOMONTH($A26,0) + 1
)</f>
        <v>0</v>
      </c>
      <c r="AN26" s="49">
        <f ca="1">SUMIFS(rec.uni[2022-12-01],
INDIRECT("rec.uni[natureza]"),"pro.soluto",
INDIRECT("rec.uni[empresa]"),AN$6)</f>
        <v>0</v>
      </c>
      <c r="AO26" s="49">
        <f ca="1">SUMIFS(rec.uni[2022-12-01],
INDIRECT("rec.uni[natureza]"),"taxa.extra",
INDIRECT("rec.uni[empresa]"),AO$6)</f>
        <v>0</v>
      </c>
      <c r="AP26" s="50"/>
    </row>
    <row r="27" spans="1:42" x14ac:dyDescent="0.25">
      <c r="A27" s="47">
        <v>44927</v>
      </c>
      <c r="B27" s="48">
        <f>COUNTIFS(
    in.r9[empresa], B$6,
    in.r9[Data da venda / reserva], "&gt;=" &amp; $A27,
    in.r9[Data da venda / reserva], "&lt;"  &amp; EOMONTH($A27,0) + 1
)</f>
        <v>0</v>
      </c>
      <c r="C27" s="49">
        <f ca="1">SUMIFS(rec.uni[2023-01-01],
INDIRECT("rec.uni[natureza]"),"pro.soluto",
INDIRECT("rec.uni[empresa]"),C$6)</f>
        <v>0</v>
      </c>
      <c r="D27" s="49">
        <f ca="1">SUMIFS(rec.uni[2023-01-01],
INDIRECT("rec.uni[natureza]"),"repasse.cef.obra",
INDIRECT("rec.uni[empresa]"),D$6)</f>
        <v>0</v>
      </c>
      <c r="E27" s="49">
        <f ca="1">SUMIFS(rec.uni[2023-01-01],
INDIRECT("rec.uni[natureza]"),"repasse.cef.terreno",
INDIRECT("rec.uni[empresa]"),E$6)</f>
        <v>0</v>
      </c>
      <c r="F27" s="49">
        <v>0</v>
      </c>
      <c r="G27" s="49">
        <f ca="1">SUMIFS(rec.uni[2023-01-01],
INDIRECT("rec.uni[natureza]"),"taxa.extra",
INDIRECT("rec.uni[empresa]"),G$6)</f>
        <v>0</v>
      </c>
      <c r="H27" s="50"/>
      <c r="I27" s="48">
        <f>COUNTIFS(
    in.r9[empresa], I$6,
    in.r9[Data da venda / reserva], "&gt;=" &amp; $A27,
    in.r9[Data da venda / reserva], "&lt;"  &amp; EOMONTH($A27,0) + 1
)</f>
        <v>0</v>
      </c>
      <c r="J27" s="49">
        <f ca="1">SUMIFS(rec.uni[2023-01-01],
INDIRECT("rec.uni[natureza]"),"pro.soluto",
INDIRECT("rec.uni[empresa]"),J$6)</f>
        <v>0</v>
      </c>
      <c r="K27" s="49">
        <f ca="1">SUMIFS(rec.uni[2023-01-01],
INDIRECT("rec.uni[natureza]"),"repasse.cef.obra",
INDIRECT("rec.uni[empresa]"),K$6)</f>
        <v>0</v>
      </c>
      <c r="L27" s="49">
        <f ca="1">SUMIFS(rec.uni[2023-01-01],
INDIRECT("rec.uni[natureza]"),"repasse.cef.terreno",
INDIRECT("rec.uni[empresa]"),L$6)</f>
        <v>0</v>
      </c>
      <c r="M27" s="49">
        <v>0</v>
      </c>
      <c r="N27" s="49">
        <f ca="1">SUMIFS(rec.uni[2023-01-01],
INDIRECT("rec.uni[natureza]"),"taxa.extra",
INDIRECT("rec.uni[empresa]"),N$6)</f>
        <v>0</v>
      </c>
      <c r="O27" s="50"/>
      <c r="P27" s="48">
        <f>COUNTIFS(
    in.r9[empresa], P$6,
    in.r9[Data da venda / reserva], "&gt;=" &amp; $A27,
    in.r9[Data da venda / reserva], "&lt;"  &amp; EOMONTH($A27,0) + 1
)</f>
        <v>0</v>
      </c>
      <c r="Q27" s="49">
        <f ca="1">SUMIFS(rec.uni[2023-01-01],
INDIRECT("rec.uni[natureza]"),"pro.soluto",
INDIRECT("rec.uni[empresa]"),Q$6)</f>
        <v>0</v>
      </c>
      <c r="R27" s="49">
        <f ca="1">SUMIFS(rec.uni[2023-01-01],
INDIRECT("rec.uni[natureza]"),"repasse.cef.obra",
INDIRECT("rec.uni[empresa]"),R$6)</f>
        <v>0</v>
      </c>
      <c r="S27" s="49">
        <f ca="1">SUMIFS(rec.uni[2023-01-01],
INDIRECT("rec.uni[natureza]"),"repasse.cef.terreno",
INDIRECT("rec.uni[empresa]"),S$6)</f>
        <v>0</v>
      </c>
      <c r="T27" s="49">
        <v>0</v>
      </c>
      <c r="U27" s="49">
        <f ca="1">SUMIFS(rec.uni[2023-01-01],
INDIRECT("rec.uni[natureza]"),"taxa.extra",
INDIRECT("rec.uni[empresa]"),U$6)</f>
        <v>0</v>
      </c>
      <c r="V27" s="50"/>
      <c r="W27" s="48">
        <f>COUNTIFS(
    in.r9[empresa], W$6,
    in.r9[Data da venda / reserva], "&gt;=" &amp; $A27,
    in.r9[Data da venda / reserva], "&lt;"  &amp; EOMONTH($A27,0) + 1
)</f>
        <v>0</v>
      </c>
      <c r="X27" s="49">
        <f ca="1">SUMIFS(rec.uni[2023-01-01],
INDIRECT("rec.uni[natureza]"),"pro.soluto",
INDIRECT("rec.uni[empresa]"),X$6)</f>
        <v>0</v>
      </c>
      <c r="Y27" s="49">
        <f ca="1">SUMIFS(rec.uni[2023-01-01],
INDIRECT("rec.uni[natureza]"),"taxa.extra",
INDIRECT("rec.uni[empresa]"),Y$6)</f>
        <v>0</v>
      </c>
      <c r="Z27" s="50"/>
      <c r="AA27" s="48">
        <f>COUNTIFS(
    in.r9[empresa], AA$6,
    in.r9[Data da venda / reserva], "&gt;=" &amp; $A27,
    in.r9[Data da venda / reserva], "&lt;"  &amp; EOMONTH($A27,0) + 1
)</f>
        <v>0</v>
      </c>
      <c r="AB27" s="49">
        <f ca="1">SUMIFS(rec.uni[2023-01-01],
INDIRECT("rec.uni[natureza]"),"pro.soluto",
INDIRECT("rec.uni[empresa]"),AB$6)</f>
        <v>0</v>
      </c>
      <c r="AC27" s="38">
        <f ca="1">SUMIFS(rec.uni[2023-01-01],
INDIRECT("rec.uni[natureza]"),"parcela.fin.total.ik",
INDIRECT("rec.uni[empresa]"),AC$6)</f>
        <v>0</v>
      </c>
      <c r="AD27" s="49">
        <f ca="1">SUMIFS(rec.uni[2023-01-01],
INDIRECT("rec.uni[natureza]"),"taxa.extra",
INDIRECT("rec.uni[empresa]"),AD$6)</f>
        <v>0</v>
      </c>
      <c r="AE27" s="50"/>
      <c r="AF27" s="48">
        <f>COUNTIFS(
    in.r9[empresa], AF$6,
    in.r9[Data da venda / reserva], "&gt;=" &amp; $A27,
    in.r9[Data da venda / reserva], "&lt;"  &amp; EOMONTH($A27,0) + 1
)</f>
        <v>0</v>
      </c>
      <c r="AG27" s="49">
        <f ca="1">SUMIFS(rec.uni[2023-01-01],
INDIRECT("rec.uni[natureza]"),"pro.soluto",
INDIRECT("rec.uni[empresa]"),AG$6)</f>
        <v>0</v>
      </c>
      <c r="AH27" s="49">
        <f ca="1">SUMIFS(rec.uni[2023-01-01],
INDIRECT("rec.uni[natureza]"),"repasse.cef.obra",
INDIRECT("rec.uni[empresa]"),AH$6)</f>
        <v>0</v>
      </c>
      <c r="AI27" s="49">
        <f ca="1">SUMIFS(rec.uni[2023-01-01],
INDIRECT("rec.uni[natureza]"),"repasse.cef.terreno",
INDIRECT("rec.uni[empresa]"),AI$6)</f>
        <v>0</v>
      </c>
      <c r="AJ27" s="49">
        <v>0</v>
      </c>
      <c r="AK27" s="49">
        <f ca="1">SUMIFS(rec.uni[2023-01-01],
INDIRECT("rec.uni[natureza]"),"taxa.extra",
INDIRECT("rec.uni[empresa]"),AK$6)</f>
        <v>0</v>
      </c>
      <c r="AL27" s="50"/>
      <c r="AM27" s="48">
        <f>COUNTIFS(
    in.r9[empresa], AM$6,
    in.r9[Data da venda / reserva], "&gt;=" &amp; $A27,
    in.r9[Data da venda / reserva], "&lt;"  &amp; EOMONTH($A27,0) + 1
)</f>
        <v>0</v>
      </c>
      <c r="AN27" s="49">
        <f ca="1">SUMIFS(rec.uni[2023-01-01],
INDIRECT("rec.uni[natureza]"),"pro.soluto",
INDIRECT("rec.uni[empresa]"),AN$6)</f>
        <v>0</v>
      </c>
      <c r="AO27" s="49">
        <f ca="1">SUMIFS(rec.uni[2023-01-01],
INDIRECT("rec.uni[natureza]"),"taxa.extra",
INDIRECT("rec.uni[empresa]"),AO$6)</f>
        <v>0</v>
      </c>
      <c r="AP27" s="50"/>
    </row>
    <row r="28" spans="1:42" x14ac:dyDescent="0.25">
      <c r="A28" s="47">
        <v>44958</v>
      </c>
      <c r="B28" s="48">
        <f>COUNTIFS(
    in.r9[empresa], B$6,
    in.r9[Data da venda / reserva], "&gt;=" &amp; $A28,
    in.r9[Data da venda / reserva], "&lt;"  &amp; EOMONTH($A28,0) + 1
)</f>
        <v>0</v>
      </c>
      <c r="C28" s="49">
        <f ca="1">SUMIFS(rec.uni[2023-02-01],
INDIRECT("rec.uni[natureza]"),"pro.soluto",
INDIRECT("rec.uni[empresa]"),C$6)</f>
        <v>0</v>
      </c>
      <c r="D28" s="49">
        <f ca="1">SUMIFS(rec.uni[2023-02-01],
INDIRECT("rec.uni[natureza]"),"repasse.cef.obra",
INDIRECT("rec.uni[empresa]"),D$6)</f>
        <v>0</v>
      </c>
      <c r="E28" s="49">
        <f ca="1">SUMIFS(rec.uni[2023-02-01],
INDIRECT("rec.uni[natureza]"),"repasse.cef.terreno",
INDIRECT("rec.uni[empresa]"),E$6)</f>
        <v>0</v>
      </c>
      <c r="F28" s="49">
        <v>0</v>
      </c>
      <c r="G28" s="49">
        <f ca="1">SUMIFS(rec.uni[2023-02-01],
INDIRECT("rec.uni[natureza]"),"taxa.extra",
INDIRECT("rec.uni[empresa]"),G$6)</f>
        <v>0</v>
      </c>
      <c r="H28" s="50"/>
      <c r="I28" s="48">
        <f>COUNTIFS(
    in.r9[empresa], I$6,
    in.r9[Data da venda / reserva], "&gt;=" &amp; $A28,
    in.r9[Data da venda / reserva], "&lt;"  &amp; EOMONTH($A28,0) + 1
)</f>
        <v>0</v>
      </c>
      <c r="J28" s="49">
        <f ca="1">SUMIFS(rec.uni[2023-02-01],
INDIRECT("rec.uni[natureza]"),"pro.soluto",
INDIRECT("rec.uni[empresa]"),J$6)</f>
        <v>0</v>
      </c>
      <c r="K28" s="49">
        <f ca="1">SUMIFS(rec.uni[2023-02-01],
INDIRECT("rec.uni[natureza]"),"repasse.cef.obra",
INDIRECT("rec.uni[empresa]"),K$6)</f>
        <v>0</v>
      </c>
      <c r="L28" s="49">
        <f ca="1">SUMIFS(rec.uni[2023-02-01],
INDIRECT("rec.uni[natureza]"),"repasse.cef.terreno",
INDIRECT("rec.uni[empresa]"),L$6)</f>
        <v>0</v>
      </c>
      <c r="M28" s="49">
        <v>0</v>
      </c>
      <c r="N28" s="49">
        <f ca="1">SUMIFS(rec.uni[2023-02-01],
INDIRECT("rec.uni[natureza]"),"taxa.extra",
INDIRECT("rec.uni[empresa]"),N$6)</f>
        <v>0</v>
      </c>
      <c r="O28" s="50"/>
      <c r="P28" s="48">
        <f>COUNTIFS(
    in.r9[empresa], P$6,
    in.r9[Data da venda / reserva], "&gt;=" &amp; $A28,
    in.r9[Data da venda / reserva], "&lt;"  &amp; EOMONTH($A28,0) + 1
)</f>
        <v>0</v>
      </c>
      <c r="Q28" s="49">
        <f ca="1">SUMIFS(rec.uni[2023-02-01],
INDIRECT("rec.uni[natureza]"),"pro.soluto",
INDIRECT("rec.uni[empresa]"),Q$6)</f>
        <v>0</v>
      </c>
      <c r="R28" s="49">
        <f ca="1">SUMIFS(rec.uni[2023-02-01],
INDIRECT("rec.uni[natureza]"),"repasse.cef.obra",
INDIRECT("rec.uni[empresa]"),R$6)</f>
        <v>0</v>
      </c>
      <c r="S28" s="49">
        <f ca="1">SUMIFS(rec.uni[2023-02-01],
INDIRECT("rec.uni[natureza]"),"repasse.cef.terreno",
INDIRECT("rec.uni[empresa]"),S$6)</f>
        <v>0</v>
      </c>
      <c r="T28" s="49">
        <v>0</v>
      </c>
      <c r="U28" s="49">
        <f ca="1">SUMIFS(rec.uni[2023-02-01],
INDIRECT("rec.uni[natureza]"),"taxa.extra",
INDIRECT("rec.uni[empresa]"),U$6)</f>
        <v>0</v>
      </c>
      <c r="V28" s="50"/>
      <c r="W28" s="48">
        <f>COUNTIFS(
    in.r9[empresa], W$6,
    in.r9[Data da venda / reserva], "&gt;=" &amp; $A28,
    in.r9[Data da venda / reserva], "&lt;"  &amp; EOMONTH($A28,0) + 1
)</f>
        <v>0</v>
      </c>
      <c r="X28" s="49">
        <f ca="1">SUMIFS(rec.uni[2023-02-01],
INDIRECT("rec.uni[natureza]"),"pro.soluto",
INDIRECT("rec.uni[empresa]"),X$6)</f>
        <v>0</v>
      </c>
      <c r="Y28" s="49">
        <f ca="1">SUMIFS(rec.uni[2023-02-01],
INDIRECT("rec.uni[natureza]"),"taxa.extra",
INDIRECT("rec.uni[empresa]"),Y$6)</f>
        <v>0</v>
      </c>
      <c r="Z28" s="50"/>
      <c r="AA28" s="48">
        <f>COUNTIFS(
    in.r9[empresa], AA$6,
    in.r9[Data da venda / reserva], "&gt;=" &amp; $A28,
    in.r9[Data da venda / reserva], "&lt;"  &amp; EOMONTH($A28,0) + 1
)</f>
        <v>0</v>
      </c>
      <c r="AB28" s="49">
        <f ca="1">SUMIFS(rec.uni[2023-02-01],
INDIRECT("rec.uni[natureza]"),"pro.soluto",
INDIRECT("rec.uni[empresa]"),AB$6)</f>
        <v>0</v>
      </c>
      <c r="AC28" s="38">
        <f ca="1">SUMIFS(rec.uni[2023-02-01],
INDIRECT("rec.uni[natureza]"),"parcela.fin.total.ik",
INDIRECT("rec.uni[empresa]"),AC$6)</f>
        <v>0</v>
      </c>
      <c r="AD28" s="49">
        <f ca="1">SUMIFS(rec.uni[2023-02-01],
INDIRECT("rec.uni[natureza]"),"taxa.extra",
INDIRECT("rec.uni[empresa]"),AD$6)</f>
        <v>0</v>
      </c>
      <c r="AE28" s="50"/>
      <c r="AF28" s="48">
        <f>COUNTIFS(
    in.r9[empresa], AF$6,
    in.r9[Data da venda / reserva], "&gt;=" &amp; $A28,
    in.r9[Data da venda / reserva], "&lt;"  &amp; EOMONTH($A28,0) + 1
)</f>
        <v>0</v>
      </c>
      <c r="AG28" s="49">
        <f ca="1">SUMIFS(rec.uni[2023-02-01],
INDIRECT("rec.uni[natureza]"),"pro.soluto",
INDIRECT("rec.uni[empresa]"),AG$6)</f>
        <v>0</v>
      </c>
      <c r="AH28" s="49">
        <f ca="1">SUMIFS(rec.uni[2023-02-01],
INDIRECT("rec.uni[natureza]"),"repasse.cef.obra",
INDIRECT("rec.uni[empresa]"),AH$6)</f>
        <v>0</v>
      </c>
      <c r="AI28" s="49">
        <f ca="1">SUMIFS(rec.uni[2023-02-01],
INDIRECT("rec.uni[natureza]"),"repasse.cef.terreno",
INDIRECT("rec.uni[empresa]"),AI$6)</f>
        <v>0</v>
      </c>
      <c r="AJ28" s="49">
        <v>0</v>
      </c>
      <c r="AK28" s="49">
        <f ca="1">SUMIFS(rec.uni[2023-02-01],
INDIRECT("rec.uni[natureza]"),"taxa.extra",
INDIRECT("rec.uni[empresa]"),AK$6)</f>
        <v>0</v>
      </c>
      <c r="AL28" s="50"/>
      <c r="AM28" s="48">
        <f>COUNTIFS(
    in.r9[empresa], AM$6,
    in.r9[Data da venda / reserva], "&gt;=" &amp; $A28,
    in.r9[Data da venda / reserva], "&lt;"  &amp; EOMONTH($A28,0) + 1
)</f>
        <v>0</v>
      </c>
      <c r="AN28" s="49">
        <f ca="1">SUMIFS(rec.uni[2023-02-01],
INDIRECT("rec.uni[natureza]"),"pro.soluto",
INDIRECT("rec.uni[empresa]"),AN$6)</f>
        <v>0</v>
      </c>
      <c r="AO28" s="49">
        <f ca="1">SUMIFS(rec.uni[2023-02-01],
INDIRECT("rec.uni[natureza]"),"taxa.extra",
INDIRECT("rec.uni[empresa]"),AO$6)</f>
        <v>0</v>
      </c>
      <c r="AP28" s="50"/>
    </row>
    <row r="29" spans="1:42" x14ac:dyDescent="0.25">
      <c r="A29" s="47">
        <v>44986</v>
      </c>
      <c r="B29" s="48">
        <f>COUNTIFS(
    in.r9[empresa], B$6,
    in.r9[Data da venda / reserva], "&gt;=" &amp; $A29,
    in.r9[Data da venda / reserva], "&lt;"  &amp; EOMONTH($A29,0) + 1
)</f>
        <v>0</v>
      </c>
      <c r="C29" s="49">
        <f ca="1">SUMIFS(rec.uni[2023-03-01],
INDIRECT("rec.uni[natureza]"),"pro.soluto",
INDIRECT("rec.uni[empresa]"),C$6)</f>
        <v>0</v>
      </c>
      <c r="D29" s="49">
        <f ca="1">SUMIFS(rec.uni[2023-03-01],
INDIRECT("rec.uni[natureza]"),"repasse.cef.obra",
INDIRECT("rec.uni[empresa]"),D$6)</f>
        <v>0</v>
      </c>
      <c r="E29" s="49">
        <f ca="1">SUMIFS(rec.uni[2023-03-01],
INDIRECT("rec.uni[natureza]"),"repasse.cef.terreno",
INDIRECT("rec.uni[empresa]"),E$6)</f>
        <v>0</v>
      </c>
      <c r="F29" s="49">
        <v>0</v>
      </c>
      <c r="G29" s="49">
        <f ca="1">SUMIFS(rec.uni[2023-03-01],
INDIRECT("rec.uni[natureza]"),"taxa.extra",
INDIRECT("rec.uni[empresa]"),G$6)</f>
        <v>0</v>
      </c>
      <c r="H29" s="50"/>
      <c r="I29" s="48">
        <f>COUNTIFS(
    in.r9[empresa], I$6,
    in.r9[Data da venda / reserva], "&gt;=" &amp; $A29,
    in.r9[Data da venda / reserva], "&lt;"  &amp; EOMONTH($A29,0) + 1
)</f>
        <v>0</v>
      </c>
      <c r="J29" s="49">
        <f ca="1">SUMIFS(rec.uni[2023-03-01],
INDIRECT("rec.uni[natureza]"),"pro.soluto",
INDIRECT("rec.uni[empresa]"),J$6)</f>
        <v>0</v>
      </c>
      <c r="K29" s="49">
        <f ca="1">SUMIFS(rec.uni[2023-03-01],
INDIRECT("rec.uni[natureza]"),"repasse.cef.obra",
INDIRECT("rec.uni[empresa]"),K$6)</f>
        <v>0</v>
      </c>
      <c r="L29" s="49">
        <f ca="1">SUMIFS(rec.uni[2023-03-01],
INDIRECT("rec.uni[natureza]"),"repasse.cef.terreno",
INDIRECT("rec.uni[empresa]"),L$6)</f>
        <v>0</v>
      </c>
      <c r="M29" s="49">
        <v>0</v>
      </c>
      <c r="N29" s="49">
        <f ca="1">SUMIFS(rec.uni[2023-03-01],
INDIRECT("rec.uni[natureza]"),"taxa.extra",
INDIRECT("rec.uni[empresa]"),N$6)</f>
        <v>0</v>
      </c>
      <c r="O29" s="50"/>
      <c r="P29" s="48">
        <f>COUNTIFS(
    in.r9[empresa], P$6,
    in.r9[Data da venda / reserva], "&gt;=" &amp; $A29,
    in.r9[Data da venda / reserva], "&lt;"  &amp; EOMONTH($A29,0) + 1
)</f>
        <v>0</v>
      </c>
      <c r="Q29" s="49">
        <f ca="1">SUMIFS(rec.uni[2023-03-01],
INDIRECT("rec.uni[natureza]"),"pro.soluto",
INDIRECT("rec.uni[empresa]"),Q$6)</f>
        <v>0</v>
      </c>
      <c r="R29" s="49">
        <f ca="1">SUMIFS(rec.uni[2023-03-01],
INDIRECT("rec.uni[natureza]"),"repasse.cef.obra",
INDIRECT("rec.uni[empresa]"),R$6)</f>
        <v>0</v>
      </c>
      <c r="S29" s="49">
        <f ca="1">SUMIFS(rec.uni[2023-03-01],
INDIRECT("rec.uni[natureza]"),"repasse.cef.terreno",
INDIRECT("rec.uni[empresa]"),S$6)</f>
        <v>0</v>
      </c>
      <c r="T29" s="49">
        <v>0</v>
      </c>
      <c r="U29" s="49">
        <f ca="1">SUMIFS(rec.uni[2023-03-01],
INDIRECT("rec.uni[natureza]"),"taxa.extra",
INDIRECT("rec.uni[empresa]"),U$6)</f>
        <v>0</v>
      </c>
      <c r="V29" s="50"/>
      <c r="W29" s="48">
        <f>COUNTIFS(
    in.r9[empresa], W$6,
    in.r9[Data da venda / reserva], "&gt;=" &amp; $A29,
    in.r9[Data da venda / reserva], "&lt;"  &amp; EOMONTH($A29,0) + 1
)</f>
        <v>0</v>
      </c>
      <c r="X29" s="49">
        <f ca="1">SUMIFS(rec.uni[2023-03-01],
INDIRECT("rec.uni[natureza]"),"pro.soluto",
INDIRECT("rec.uni[empresa]"),X$6)</f>
        <v>0</v>
      </c>
      <c r="Y29" s="49">
        <f ca="1">SUMIFS(rec.uni[2023-03-01],
INDIRECT("rec.uni[natureza]"),"taxa.extra",
INDIRECT("rec.uni[empresa]"),Y$6)</f>
        <v>0</v>
      </c>
      <c r="Z29" s="50"/>
      <c r="AA29" s="48">
        <f>COUNTIFS(
    in.r9[empresa], AA$6,
    in.r9[Data da venda / reserva], "&gt;=" &amp; $A29,
    in.r9[Data da venda / reserva], "&lt;"  &amp; EOMONTH($A29,0) + 1
)</f>
        <v>0</v>
      </c>
      <c r="AB29" s="49">
        <f ca="1">SUMIFS(rec.uni[2023-03-01],
INDIRECT("rec.uni[natureza]"),"pro.soluto",
INDIRECT("rec.uni[empresa]"),AB$6)</f>
        <v>0</v>
      </c>
      <c r="AC29" s="38">
        <f ca="1">SUMIFS(rec.uni[2023-03-01],
INDIRECT("rec.uni[natureza]"),"parcela.fin.total.ik",
INDIRECT("rec.uni[empresa]"),AC$6)</f>
        <v>0</v>
      </c>
      <c r="AD29" s="49">
        <f ca="1">SUMIFS(rec.uni[2023-03-01],
INDIRECT("rec.uni[natureza]"),"taxa.extra",
INDIRECT("rec.uni[empresa]"),AD$6)</f>
        <v>0</v>
      </c>
      <c r="AE29" s="50"/>
      <c r="AF29" s="48">
        <f>COUNTIFS(
    in.r9[empresa], AF$6,
    in.r9[Data da venda / reserva], "&gt;=" &amp; $A29,
    in.r9[Data da venda / reserva], "&lt;"  &amp; EOMONTH($A29,0) + 1
)</f>
        <v>0</v>
      </c>
      <c r="AG29" s="49">
        <f ca="1">SUMIFS(rec.uni[2023-03-01],
INDIRECT("rec.uni[natureza]"),"pro.soluto",
INDIRECT("rec.uni[empresa]"),AG$6)</f>
        <v>0</v>
      </c>
      <c r="AH29" s="49">
        <f ca="1">SUMIFS(rec.uni[2023-03-01],
INDIRECT("rec.uni[natureza]"),"repasse.cef.obra",
INDIRECT("rec.uni[empresa]"),AH$6)</f>
        <v>0</v>
      </c>
      <c r="AI29" s="49">
        <f ca="1">SUMIFS(rec.uni[2023-03-01],
INDIRECT("rec.uni[natureza]"),"repasse.cef.terreno",
INDIRECT("rec.uni[empresa]"),AI$6)</f>
        <v>0</v>
      </c>
      <c r="AJ29" s="49">
        <v>0</v>
      </c>
      <c r="AK29" s="49">
        <f ca="1">SUMIFS(rec.uni[2023-03-01],
INDIRECT("rec.uni[natureza]"),"taxa.extra",
INDIRECT("rec.uni[empresa]"),AK$6)</f>
        <v>0</v>
      </c>
      <c r="AL29" s="50"/>
      <c r="AM29" s="48">
        <f>COUNTIFS(
    in.r9[empresa], AM$6,
    in.r9[Data da venda / reserva], "&gt;=" &amp; $A29,
    in.r9[Data da venda / reserva], "&lt;"  &amp; EOMONTH($A29,0) + 1
)</f>
        <v>0</v>
      </c>
      <c r="AN29" s="49">
        <f ca="1">SUMIFS(rec.uni[2023-03-01],
INDIRECT("rec.uni[natureza]"),"pro.soluto",
INDIRECT("rec.uni[empresa]"),AN$6)</f>
        <v>0</v>
      </c>
      <c r="AO29" s="49">
        <f ca="1">SUMIFS(rec.uni[2023-03-01],
INDIRECT("rec.uni[natureza]"),"taxa.extra",
INDIRECT("rec.uni[empresa]"),AO$6)</f>
        <v>0</v>
      </c>
      <c r="AP29" s="50"/>
    </row>
    <row r="30" spans="1:42" x14ac:dyDescent="0.25">
      <c r="A30" s="47">
        <v>45017</v>
      </c>
      <c r="B30" s="48">
        <f>COUNTIFS(
    in.r9[empresa], B$6,
    in.r9[Data da venda / reserva], "&gt;=" &amp; $A30,
    in.r9[Data da venda / reserva], "&lt;"  &amp; EOMONTH($A30,0) + 1
)</f>
        <v>0</v>
      </c>
      <c r="C30" s="49">
        <f ca="1">SUMIFS(rec.uni[2023-04-01],
INDIRECT("rec.uni[natureza]"),"pro.soluto",
INDIRECT("rec.uni[empresa]"),C$6)</f>
        <v>0</v>
      </c>
      <c r="D30" s="49">
        <f ca="1">SUMIFS(rec.uni[2023-04-01],
INDIRECT("rec.uni[natureza]"),"repasse.cef.obra",
INDIRECT("rec.uni[empresa]"),D$6)</f>
        <v>0</v>
      </c>
      <c r="E30" s="49">
        <f ca="1">SUMIFS(rec.uni[2023-04-01],
INDIRECT("rec.uni[natureza]"),"repasse.cef.terreno",
INDIRECT("rec.uni[empresa]"),E$6)</f>
        <v>0</v>
      </c>
      <c r="F30" s="49">
        <v>0</v>
      </c>
      <c r="G30" s="49">
        <f ca="1">SUMIFS(rec.uni[2023-04-01],
INDIRECT("rec.uni[natureza]"),"taxa.extra",
INDIRECT("rec.uni[empresa]"),G$6)</f>
        <v>0</v>
      </c>
      <c r="H30" s="50"/>
      <c r="I30" s="48">
        <f>COUNTIFS(
    in.r9[empresa], I$6,
    in.r9[Data da venda / reserva], "&gt;=" &amp; $A30,
    in.r9[Data da venda / reserva], "&lt;"  &amp; EOMONTH($A30,0) + 1
)</f>
        <v>0</v>
      </c>
      <c r="J30" s="49">
        <f ca="1">SUMIFS(rec.uni[2023-04-01],
INDIRECT("rec.uni[natureza]"),"pro.soluto",
INDIRECT("rec.uni[empresa]"),J$6)</f>
        <v>0</v>
      </c>
      <c r="K30" s="49">
        <f ca="1">SUMIFS(rec.uni[2023-04-01],
INDIRECT("rec.uni[natureza]"),"repasse.cef.obra",
INDIRECT("rec.uni[empresa]"),K$6)</f>
        <v>0</v>
      </c>
      <c r="L30" s="49">
        <f ca="1">SUMIFS(rec.uni[2023-04-01],
INDIRECT("rec.uni[natureza]"),"repasse.cef.terreno",
INDIRECT("rec.uni[empresa]"),L$6)</f>
        <v>0</v>
      </c>
      <c r="M30" s="49">
        <v>0</v>
      </c>
      <c r="N30" s="49">
        <f ca="1">SUMIFS(rec.uni[2023-04-01],
INDIRECT("rec.uni[natureza]"),"taxa.extra",
INDIRECT("rec.uni[empresa]"),N$6)</f>
        <v>0</v>
      </c>
      <c r="O30" s="50"/>
      <c r="P30" s="48">
        <f>COUNTIFS(
    in.r9[empresa], P$6,
    in.r9[Data da venda / reserva], "&gt;=" &amp; $A30,
    in.r9[Data da venda / reserva], "&lt;"  &amp; EOMONTH($A30,0) + 1
)</f>
        <v>0</v>
      </c>
      <c r="Q30" s="49">
        <f ca="1">SUMIFS(rec.uni[2023-04-01],
INDIRECT("rec.uni[natureza]"),"pro.soluto",
INDIRECT("rec.uni[empresa]"),Q$6)</f>
        <v>0</v>
      </c>
      <c r="R30" s="49">
        <f ca="1">SUMIFS(rec.uni[2023-04-01],
INDIRECT("rec.uni[natureza]"),"repasse.cef.obra",
INDIRECT("rec.uni[empresa]"),R$6)</f>
        <v>0</v>
      </c>
      <c r="S30" s="49">
        <f ca="1">SUMIFS(rec.uni[2023-04-01],
INDIRECT("rec.uni[natureza]"),"repasse.cef.terreno",
INDIRECT("rec.uni[empresa]"),S$6)</f>
        <v>0</v>
      </c>
      <c r="T30" s="49">
        <v>0</v>
      </c>
      <c r="U30" s="49">
        <f ca="1">SUMIFS(rec.uni[2023-04-01],
INDIRECT("rec.uni[natureza]"),"taxa.extra",
INDIRECT("rec.uni[empresa]"),U$6)</f>
        <v>0</v>
      </c>
      <c r="V30" s="50"/>
      <c r="W30" s="48">
        <f>COUNTIFS(
    in.r9[empresa], W$6,
    in.r9[Data da venda / reserva], "&gt;=" &amp; $A30,
    in.r9[Data da venda / reserva], "&lt;"  &amp; EOMONTH($A30,0) + 1
)</f>
        <v>0</v>
      </c>
      <c r="X30" s="49">
        <f ca="1">SUMIFS(rec.uni[2023-04-01],
INDIRECT("rec.uni[natureza]"),"pro.soluto",
INDIRECT("rec.uni[empresa]"),X$6)</f>
        <v>0</v>
      </c>
      <c r="Y30" s="49">
        <f ca="1">SUMIFS(rec.uni[2023-04-01],
INDIRECT("rec.uni[natureza]"),"taxa.extra",
INDIRECT("rec.uni[empresa]"),Y$6)</f>
        <v>0</v>
      </c>
      <c r="Z30" s="50"/>
      <c r="AA30" s="48">
        <f>COUNTIFS(
    in.r9[empresa], AA$6,
    in.r9[Data da venda / reserva], "&gt;=" &amp; $A30,
    in.r9[Data da venda / reserva], "&lt;"  &amp; EOMONTH($A30,0) + 1
)</f>
        <v>0</v>
      </c>
      <c r="AB30" s="49">
        <f ca="1">SUMIFS(rec.uni[2023-04-01],
INDIRECT("rec.uni[natureza]"),"pro.soluto",
INDIRECT("rec.uni[empresa]"),AB$6)</f>
        <v>0</v>
      </c>
      <c r="AC30" s="38">
        <f ca="1">SUMIFS(rec.uni[2023-04-01],
INDIRECT("rec.uni[natureza]"),"parcela.fin.total.ik",
INDIRECT("rec.uni[empresa]"),AC$6)</f>
        <v>0</v>
      </c>
      <c r="AD30" s="49">
        <f ca="1">SUMIFS(rec.uni[2023-04-01],
INDIRECT("rec.uni[natureza]"),"taxa.extra",
INDIRECT("rec.uni[empresa]"),AD$6)</f>
        <v>0</v>
      </c>
      <c r="AE30" s="50"/>
      <c r="AF30" s="48">
        <f>COUNTIFS(
    in.r9[empresa], AF$6,
    in.r9[Data da venda / reserva], "&gt;=" &amp; $A30,
    in.r9[Data da venda / reserva], "&lt;"  &amp; EOMONTH($A30,0) + 1
)</f>
        <v>0</v>
      </c>
      <c r="AG30" s="49">
        <f ca="1">SUMIFS(rec.uni[2023-04-01],
INDIRECT("rec.uni[natureza]"),"pro.soluto",
INDIRECT("rec.uni[empresa]"),AG$6)</f>
        <v>0</v>
      </c>
      <c r="AH30" s="49">
        <f ca="1">SUMIFS(rec.uni[2023-04-01],
INDIRECT("rec.uni[natureza]"),"repasse.cef.obra",
INDIRECT("rec.uni[empresa]"),AH$6)</f>
        <v>0</v>
      </c>
      <c r="AI30" s="49">
        <f ca="1">SUMIFS(rec.uni[2023-04-01],
INDIRECT("rec.uni[natureza]"),"repasse.cef.terreno",
INDIRECT("rec.uni[empresa]"),AI$6)</f>
        <v>0</v>
      </c>
      <c r="AJ30" s="49">
        <v>0</v>
      </c>
      <c r="AK30" s="49">
        <f ca="1">SUMIFS(rec.uni[2023-04-01],
INDIRECT("rec.uni[natureza]"),"taxa.extra",
INDIRECT("rec.uni[empresa]"),AK$6)</f>
        <v>0</v>
      </c>
      <c r="AL30" s="50"/>
      <c r="AM30" s="48">
        <f>COUNTIFS(
    in.r9[empresa], AM$6,
    in.r9[Data da venda / reserva], "&gt;=" &amp; $A30,
    in.r9[Data da venda / reserva], "&lt;"  &amp; EOMONTH($A30,0) + 1
)</f>
        <v>0</v>
      </c>
      <c r="AN30" s="49">
        <f ca="1">SUMIFS(rec.uni[2023-04-01],
INDIRECT("rec.uni[natureza]"),"pro.soluto",
INDIRECT("rec.uni[empresa]"),AN$6)</f>
        <v>0</v>
      </c>
      <c r="AO30" s="49">
        <f ca="1">SUMIFS(rec.uni[2023-04-01],
INDIRECT("rec.uni[natureza]"),"taxa.extra",
INDIRECT("rec.uni[empresa]"),AO$6)</f>
        <v>0</v>
      </c>
      <c r="AP30" s="50"/>
    </row>
    <row r="31" spans="1:42" x14ac:dyDescent="0.25">
      <c r="A31" s="47">
        <v>45047</v>
      </c>
      <c r="B31" s="48">
        <f>COUNTIFS(
    in.r9[empresa], B$6,
    in.r9[Data da venda / reserva], "&gt;=" &amp; $A31,
    in.r9[Data da venda / reserva], "&lt;"  &amp; EOMONTH($A31,0) + 1
)</f>
        <v>0</v>
      </c>
      <c r="C31" s="49">
        <f ca="1">SUMIFS(rec.uni[2023-05-01],
INDIRECT("rec.uni[natureza]"),"pro.soluto",
INDIRECT("rec.uni[empresa]"),C$6)</f>
        <v>0</v>
      </c>
      <c r="D31" s="49">
        <f ca="1">SUMIFS(rec.uni[2023-05-01],
INDIRECT("rec.uni[natureza]"),"repasse.cef.obra",
INDIRECT("rec.uni[empresa]"),D$6)</f>
        <v>0</v>
      </c>
      <c r="E31" s="49">
        <f ca="1">SUMIFS(rec.uni[2023-05-01],
INDIRECT("rec.uni[natureza]"),"repasse.cef.terreno",
INDIRECT("rec.uni[empresa]"),E$6)</f>
        <v>0</v>
      </c>
      <c r="F31" s="49">
        <v>0</v>
      </c>
      <c r="G31" s="49">
        <f ca="1">SUMIFS(rec.uni[2023-05-01],
INDIRECT("rec.uni[natureza]"),"taxa.extra",
INDIRECT("rec.uni[empresa]"),G$6)</f>
        <v>0</v>
      </c>
      <c r="H31" s="50"/>
      <c r="I31" s="48">
        <f>COUNTIFS(
    in.r9[empresa], I$6,
    in.r9[Data da venda / reserva], "&gt;=" &amp; $A31,
    in.r9[Data da venda / reserva], "&lt;"  &amp; EOMONTH($A31,0) + 1
)</f>
        <v>0</v>
      </c>
      <c r="J31" s="49">
        <f ca="1">SUMIFS(rec.uni[2023-05-01],
INDIRECT("rec.uni[natureza]"),"pro.soluto",
INDIRECT("rec.uni[empresa]"),J$6)</f>
        <v>0</v>
      </c>
      <c r="K31" s="49">
        <f ca="1">SUMIFS(rec.uni[2023-05-01],
INDIRECT("rec.uni[natureza]"),"repasse.cef.obra",
INDIRECT("rec.uni[empresa]"),K$6)</f>
        <v>0</v>
      </c>
      <c r="L31" s="49">
        <f ca="1">SUMIFS(rec.uni[2023-05-01],
INDIRECT("rec.uni[natureza]"),"repasse.cef.terreno",
INDIRECT("rec.uni[empresa]"),L$6)</f>
        <v>0</v>
      </c>
      <c r="M31" s="49">
        <v>0</v>
      </c>
      <c r="N31" s="49">
        <f ca="1">SUMIFS(rec.uni[2023-05-01],
INDIRECT("rec.uni[natureza]"),"taxa.extra",
INDIRECT("rec.uni[empresa]"),N$6)</f>
        <v>0</v>
      </c>
      <c r="O31" s="50"/>
      <c r="P31" s="48">
        <f>COUNTIFS(
    in.r9[empresa], P$6,
    in.r9[Data da venda / reserva], "&gt;=" &amp; $A31,
    in.r9[Data da venda / reserva], "&lt;"  &amp; EOMONTH($A31,0) + 1
)</f>
        <v>0</v>
      </c>
      <c r="Q31" s="49">
        <f ca="1">SUMIFS(rec.uni[2023-05-01],
INDIRECT("rec.uni[natureza]"),"pro.soluto",
INDIRECT("rec.uni[empresa]"),Q$6)</f>
        <v>0</v>
      </c>
      <c r="R31" s="49">
        <f ca="1">SUMIFS(rec.uni[2023-05-01],
INDIRECT("rec.uni[natureza]"),"repasse.cef.obra",
INDIRECT("rec.uni[empresa]"),R$6)</f>
        <v>0</v>
      </c>
      <c r="S31" s="49">
        <f ca="1">SUMIFS(rec.uni[2023-05-01],
INDIRECT("rec.uni[natureza]"),"repasse.cef.terreno",
INDIRECT("rec.uni[empresa]"),S$6)</f>
        <v>0</v>
      </c>
      <c r="T31" s="49">
        <v>0</v>
      </c>
      <c r="U31" s="49">
        <f ca="1">SUMIFS(rec.uni[2023-05-01],
INDIRECT("rec.uni[natureza]"),"taxa.extra",
INDIRECT("rec.uni[empresa]"),U$6)</f>
        <v>0</v>
      </c>
      <c r="V31" s="50"/>
      <c r="W31" s="48">
        <f>COUNTIFS(
    in.r9[empresa], W$6,
    in.r9[Data da venda / reserva], "&gt;=" &amp; $A31,
    in.r9[Data da venda / reserva], "&lt;"  &amp; EOMONTH($A31,0) + 1
)</f>
        <v>0</v>
      </c>
      <c r="X31" s="49">
        <f ca="1">SUMIFS(rec.uni[2023-05-01],
INDIRECT("rec.uni[natureza]"),"pro.soluto",
INDIRECT("rec.uni[empresa]"),X$6)</f>
        <v>0</v>
      </c>
      <c r="Y31" s="49">
        <f ca="1">SUMIFS(rec.uni[2023-05-01],
INDIRECT("rec.uni[natureza]"),"taxa.extra",
INDIRECT("rec.uni[empresa]"),Y$6)</f>
        <v>0</v>
      </c>
      <c r="Z31" s="50"/>
      <c r="AA31" s="48">
        <f>COUNTIFS(
    in.r9[empresa], AA$6,
    in.r9[Data da venda / reserva], "&gt;=" &amp; $A31,
    in.r9[Data da venda / reserva], "&lt;"  &amp; EOMONTH($A31,0) + 1
)</f>
        <v>0</v>
      </c>
      <c r="AB31" s="49">
        <f ca="1">SUMIFS(rec.uni[2023-05-01],
INDIRECT("rec.uni[natureza]"),"pro.soluto",
INDIRECT("rec.uni[empresa]"),AB$6)</f>
        <v>0</v>
      </c>
      <c r="AC31" s="38">
        <f ca="1">SUMIFS(rec.uni[2023-05-01],
INDIRECT("rec.uni[natureza]"),"parcela.fin.total.ik",
INDIRECT("rec.uni[empresa]"),AC$6)</f>
        <v>0</v>
      </c>
      <c r="AD31" s="49">
        <f ca="1">SUMIFS(rec.uni[2023-05-01],
INDIRECT("rec.uni[natureza]"),"taxa.extra",
INDIRECT("rec.uni[empresa]"),AD$6)</f>
        <v>0</v>
      </c>
      <c r="AE31" s="50"/>
      <c r="AF31" s="48">
        <f>COUNTIFS(
    in.r9[empresa], AF$6,
    in.r9[Data da venda / reserva], "&gt;=" &amp; $A31,
    in.r9[Data da venda / reserva], "&lt;"  &amp; EOMONTH($A31,0) + 1
)</f>
        <v>0</v>
      </c>
      <c r="AG31" s="49">
        <f ca="1">SUMIFS(rec.uni[2023-05-01],
INDIRECT("rec.uni[natureza]"),"pro.soluto",
INDIRECT("rec.uni[empresa]"),AG$6)</f>
        <v>0</v>
      </c>
      <c r="AH31" s="49">
        <f ca="1">SUMIFS(rec.uni[2023-05-01],
INDIRECT("rec.uni[natureza]"),"repasse.cef.obra",
INDIRECT("rec.uni[empresa]"),AH$6)</f>
        <v>0</v>
      </c>
      <c r="AI31" s="49">
        <f ca="1">SUMIFS(rec.uni[2023-05-01],
INDIRECT("rec.uni[natureza]"),"repasse.cef.terreno",
INDIRECT("rec.uni[empresa]"),AI$6)</f>
        <v>0</v>
      </c>
      <c r="AJ31" s="49">
        <v>0</v>
      </c>
      <c r="AK31" s="49">
        <f ca="1">SUMIFS(rec.uni[2023-05-01],
INDIRECT("rec.uni[natureza]"),"taxa.extra",
INDIRECT("rec.uni[empresa]"),AK$6)</f>
        <v>0</v>
      </c>
      <c r="AL31" s="50"/>
      <c r="AM31" s="48">
        <f>COUNTIFS(
    in.r9[empresa], AM$6,
    in.r9[Data da venda / reserva], "&gt;=" &amp; $A31,
    in.r9[Data da venda / reserva], "&lt;"  &amp; EOMONTH($A31,0) + 1
)</f>
        <v>0</v>
      </c>
      <c r="AN31" s="49">
        <f ca="1">SUMIFS(rec.uni[2023-05-01],
INDIRECT("rec.uni[natureza]"),"pro.soluto",
INDIRECT("rec.uni[empresa]"),AN$6)</f>
        <v>0</v>
      </c>
      <c r="AO31" s="49">
        <f ca="1">SUMIFS(rec.uni[2023-05-01],
INDIRECT("rec.uni[natureza]"),"taxa.extra",
INDIRECT("rec.uni[empresa]"),AO$6)</f>
        <v>0</v>
      </c>
      <c r="AP31" s="50"/>
    </row>
    <row r="32" spans="1:42" x14ac:dyDescent="0.25">
      <c r="A32" s="47">
        <v>45078</v>
      </c>
      <c r="B32" s="48">
        <f>COUNTIFS(
    in.r9[empresa], B$6,
    in.r9[Data da venda / reserva], "&gt;=" &amp; $A32,
    in.r9[Data da venda / reserva], "&lt;"  &amp; EOMONTH($A32,0) + 1
)</f>
        <v>0</v>
      </c>
      <c r="C32" s="49">
        <f ca="1">SUMIFS(rec.uni[2023-06-01],
INDIRECT("rec.uni[natureza]"),"pro.soluto",
INDIRECT("rec.uni[empresa]"),C$6)</f>
        <v>0</v>
      </c>
      <c r="D32" s="49">
        <f ca="1">SUMIFS(rec.uni[2023-06-01],
INDIRECT("rec.uni[natureza]"),"repasse.cef.obra",
INDIRECT("rec.uni[empresa]"),D$6)</f>
        <v>0</v>
      </c>
      <c r="E32" s="49">
        <f ca="1">SUMIFS(rec.uni[2023-06-01],
INDIRECT("rec.uni[natureza]"),"repasse.cef.terreno",
INDIRECT("rec.uni[empresa]"),E$6)</f>
        <v>0</v>
      </c>
      <c r="F32" s="49">
        <v>0</v>
      </c>
      <c r="G32" s="49">
        <f ca="1">SUMIFS(rec.uni[2023-06-01],
INDIRECT("rec.uni[natureza]"),"taxa.extra",
INDIRECT("rec.uni[empresa]"),G$6)</f>
        <v>0</v>
      </c>
      <c r="H32" s="50"/>
      <c r="I32" s="48">
        <f>COUNTIFS(
    in.r9[empresa], I$6,
    in.r9[Data da venda / reserva], "&gt;=" &amp; $A32,
    in.r9[Data da venda / reserva], "&lt;"  &amp; EOMONTH($A32,0) + 1
)</f>
        <v>0</v>
      </c>
      <c r="J32" s="49">
        <f ca="1">SUMIFS(rec.uni[2023-06-01],
INDIRECT("rec.uni[natureza]"),"pro.soluto",
INDIRECT("rec.uni[empresa]"),J$6)</f>
        <v>0</v>
      </c>
      <c r="K32" s="49">
        <f ca="1">SUMIFS(rec.uni[2023-06-01],
INDIRECT("rec.uni[natureza]"),"repasse.cef.obra",
INDIRECT("rec.uni[empresa]"),K$6)</f>
        <v>0</v>
      </c>
      <c r="L32" s="49">
        <f ca="1">SUMIFS(rec.uni[2023-06-01],
INDIRECT("rec.uni[natureza]"),"repasse.cef.terreno",
INDIRECT("rec.uni[empresa]"),L$6)</f>
        <v>0</v>
      </c>
      <c r="M32" s="49">
        <v>0</v>
      </c>
      <c r="N32" s="49">
        <f ca="1">SUMIFS(rec.uni[2023-06-01],
INDIRECT("rec.uni[natureza]"),"taxa.extra",
INDIRECT("rec.uni[empresa]"),N$6)</f>
        <v>0</v>
      </c>
      <c r="O32" s="50"/>
      <c r="P32" s="48">
        <f>COUNTIFS(
    in.r9[empresa], P$6,
    in.r9[Data da venda / reserva], "&gt;=" &amp; $A32,
    in.r9[Data da venda / reserva], "&lt;"  &amp; EOMONTH($A32,0) + 1
)</f>
        <v>0</v>
      </c>
      <c r="Q32" s="49">
        <f ca="1">SUMIFS(rec.uni[2023-06-01],
INDIRECT("rec.uni[natureza]"),"pro.soluto",
INDIRECT("rec.uni[empresa]"),Q$6)</f>
        <v>0</v>
      </c>
      <c r="R32" s="49">
        <f ca="1">SUMIFS(rec.uni[2023-06-01],
INDIRECT("rec.uni[natureza]"),"repasse.cef.obra",
INDIRECT("rec.uni[empresa]"),R$6)</f>
        <v>0</v>
      </c>
      <c r="S32" s="49">
        <f ca="1">SUMIFS(rec.uni[2023-06-01],
INDIRECT("rec.uni[natureza]"),"repasse.cef.terreno",
INDIRECT("rec.uni[empresa]"),S$6)</f>
        <v>0</v>
      </c>
      <c r="T32" s="49">
        <v>0</v>
      </c>
      <c r="U32" s="49">
        <f ca="1">SUMIFS(rec.uni[2023-06-01],
INDIRECT("rec.uni[natureza]"),"taxa.extra",
INDIRECT("rec.uni[empresa]"),U$6)</f>
        <v>0</v>
      </c>
      <c r="V32" s="50"/>
      <c r="W32" s="48">
        <f>COUNTIFS(
    in.r9[empresa], W$6,
    in.r9[Data da venda / reserva], "&gt;=" &amp; $A32,
    in.r9[Data da venda / reserva], "&lt;"  &amp; EOMONTH($A32,0) + 1
)</f>
        <v>0</v>
      </c>
      <c r="X32" s="49">
        <f ca="1">SUMIFS(rec.uni[2023-06-01],
INDIRECT("rec.uni[natureza]"),"pro.soluto",
INDIRECT("rec.uni[empresa]"),X$6)</f>
        <v>0</v>
      </c>
      <c r="Y32" s="49">
        <f ca="1">SUMIFS(rec.uni[2023-06-01],
INDIRECT("rec.uni[natureza]"),"taxa.extra",
INDIRECT("rec.uni[empresa]"),Y$6)</f>
        <v>0</v>
      </c>
      <c r="Z32" s="50"/>
      <c r="AA32" s="48">
        <f>COUNTIFS(
    in.r9[empresa], AA$6,
    in.r9[Data da venda / reserva], "&gt;=" &amp; $A32,
    in.r9[Data da venda / reserva], "&lt;"  &amp; EOMONTH($A32,0) + 1
)</f>
        <v>0</v>
      </c>
      <c r="AB32" s="49">
        <f ca="1">SUMIFS(rec.uni[2023-06-01],
INDIRECT("rec.uni[natureza]"),"pro.soluto",
INDIRECT("rec.uni[empresa]"),AB$6)</f>
        <v>0</v>
      </c>
      <c r="AC32" s="38">
        <f ca="1">SUMIFS(rec.uni[2023-06-01],
INDIRECT("rec.uni[natureza]"),"parcela.fin.total.ik",
INDIRECT("rec.uni[empresa]"),AC$6)</f>
        <v>0</v>
      </c>
      <c r="AD32" s="49">
        <f ca="1">SUMIFS(rec.uni[2023-06-01],
INDIRECT("rec.uni[natureza]"),"taxa.extra",
INDIRECT("rec.uni[empresa]"),AD$6)</f>
        <v>0</v>
      </c>
      <c r="AE32" s="50"/>
      <c r="AF32" s="48">
        <f>COUNTIFS(
    in.r9[empresa], AF$6,
    in.r9[Data da venda / reserva], "&gt;=" &amp; $A32,
    in.r9[Data da venda / reserva], "&lt;"  &amp; EOMONTH($A32,0) + 1
)</f>
        <v>0</v>
      </c>
      <c r="AG32" s="49">
        <f ca="1">SUMIFS(rec.uni[2023-06-01],
INDIRECT("rec.uni[natureza]"),"pro.soluto",
INDIRECT("rec.uni[empresa]"),AG$6)</f>
        <v>0</v>
      </c>
      <c r="AH32" s="49">
        <f ca="1">SUMIFS(rec.uni[2023-06-01],
INDIRECT("rec.uni[natureza]"),"repasse.cef.obra",
INDIRECT("rec.uni[empresa]"),AH$6)</f>
        <v>0</v>
      </c>
      <c r="AI32" s="49">
        <f ca="1">SUMIFS(rec.uni[2023-06-01],
INDIRECT("rec.uni[natureza]"),"repasse.cef.terreno",
INDIRECT("rec.uni[empresa]"),AI$6)</f>
        <v>0</v>
      </c>
      <c r="AJ32" s="49">
        <v>0</v>
      </c>
      <c r="AK32" s="49">
        <f ca="1">SUMIFS(rec.uni[2023-06-01],
INDIRECT("rec.uni[natureza]"),"taxa.extra",
INDIRECT("rec.uni[empresa]"),AK$6)</f>
        <v>0</v>
      </c>
      <c r="AL32" s="50"/>
      <c r="AM32" s="48">
        <f>COUNTIFS(
    in.r9[empresa], AM$6,
    in.r9[Data da venda / reserva], "&gt;=" &amp; $A32,
    in.r9[Data da venda / reserva], "&lt;"  &amp; EOMONTH($A32,0) + 1
)</f>
        <v>0</v>
      </c>
      <c r="AN32" s="49">
        <f ca="1">SUMIFS(rec.uni[2023-06-01],
INDIRECT("rec.uni[natureza]"),"pro.soluto",
INDIRECT("rec.uni[empresa]"),AN$6)</f>
        <v>0</v>
      </c>
      <c r="AO32" s="49">
        <f ca="1">SUMIFS(rec.uni[2023-06-01],
INDIRECT("rec.uni[natureza]"),"taxa.extra",
INDIRECT("rec.uni[empresa]"),AO$6)</f>
        <v>0</v>
      </c>
      <c r="AP32" s="50"/>
    </row>
    <row r="33" spans="1:42" x14ac:dyDescent="0.25">
      <c r="A33" s="47">
        <v>45108</v>
      </c>
      <c r="B33" s="48">
        <f>COUNTIFS(
    in.r9[empresa], B$6,
    in.r9[Data da venda / reserva], "&gt;=" &amp; $A33,
    in.r9[Data da venda / reserva], "&lt;"  &amp; EOMONTH($A33,0) + 1
)</f>
        <v>0</v>
      </c>
      <c r="C33" s="49">
        <f ca="1">SUMIFS(rec.uni[2023-07-01],
INDIRECT("rec.uni[natureza]"),"pro.soluto",
INDIRECT("rec.uni[empresa]"),C$6)</f>
        <v>0</v>
      </c>
      <c r="D33" s="49">
        <f ca="1">SUMIFS(rec.uni[2023-07-01],
INDIRECT("rec.uni[natureza]"),"repasse.cef.obra",
INDIRECT("rec.uni[empresa]"),D$6)</f>
        <v>0</v>
      </c>
      <c r="E33" s="49">
        <f ca="1">SUMIFS(rec.uni[2023-07-01],
INDIRECT("rec.uni[natureza]"),"repasse.cef.terreno",
INDIRECT("rec.uni[empresa]"),E$6)</f>
        <v>0</v>
      </c>
      <c r="F33" s="49">
        <v>0</v>
      </c>
      <c r="G33" s="49">
        <f ca="1">SUMIFS(rec.uni[2023-07-01],
INDIRECT("rec.uni[natureza]"),"taxa.extra",
INDIRECT("rec.uni[empresa]"),G$6)</f>
        <v>0</v>
      </c>
      <c r="H33" s="50"/>
      <c r="I33" s="48">
        <f>COUNTIFS(
    in.r9[empresa], I$6,
    in.r9[Data da venda / reserva], "&gt;=" &amp; $A33,
    in.r9[Data da venda / reserva], "&lt;"  &amp; EOMONTH($A33,0) + 1
)</f>
        <v>0</v>
      </c>
      <c r="J33" s="49">
        <f ca="1">SUMIFS(rec.uni[2023-07-01],
INDIRECT("rec.uni[natureza]"),"pro.soluto",
INDIRECT("rec.uni[empresa]"),J$6)</f>
        <v>0</v>
      </c>
      <c r="K33" s="49">
        <f ca="1">SUMIFS(rec.uni[2023-07-01],
INDIRECT("rec.uni[natureza]"),"repasse.cef.obra",
INDIRECT("rec.uni[empresa]"),K$6)</f>
        <v>0</v>
      </c>
      <c r="L33" s="49">
        <f ca="1">SUMIFS(rec.uni[2023-07-01],
INDIRECT("rec.uni[natureza]"),"repasse.cef.terreno",
INDIRECT("rec.uni[empresa]"),L$6)</f>
        <v>0</v>
      </c>
      <c r="M33" s="49">
        <v>0</v>
      </c>
      <c r="N33" s="49">
        <f ca="1">SUMIFS(rec.uni[2023-07-01],
INDIRECT("rec.uni[natureza]"),"taxa.extra",
INDIRECT("rec.uni[empresa]"),N$6)</f>
        <v>0</v>
      </c>
      <c r="O33" s="50"/>
      <c r="P33" s="48">
        <f>COUNTIFS(
    in.r9[empresa], P$6,
    in.r9[Data da venda / reserva], "&gt;=" &amp; $A33,
    in.r9[Data da venda / reserva], "&lt;"  &amp; EOMONTH($A33,0) + 1
)</f>
        <v>0</v>
      </c>
      <c r="Q33" s="49">
        <f ca="1">SUMIFS(rec.uni[2023-07-01],
INDIRECT("rec.uni[natureza]"),"pro.soluto",
INDIRECT("rec.uni[empresa]"),Q$6)</f>
        <v>0</v>
      </c>
      <c r="R33" s="49">
        <f ca="1">SUMIFS(rec.uni[2023-07-01],
INDIRECT("rec.uni[natureza]"),"repasse.cef.obra",
INDIRECT("rec.uni[empresa]"),R$6)</f>
        <v>0</v>
      </c>
      <c r="S33" s="49">
        <f ca="1">SUMIFS(rec.uni[2023-07-01],
INDIRECT("rec.uni[natureza]"),"repasse.cef.terreno",
INDIRECT("rec.uni[empresa]"),S$6)</f>
        <v>0</v>
      </c>
      <c r="T33" s="49">
        <v>0</v>
      </c>
      <c r="U33" s="49">
        <f ca="1">SUMIFS(rec.uni[2023-07-01],
INDIRECT("rec.uni[natureza]"),"taxa.extra",
INDIRECT("rec.uni[empresa]"),U$6)</f>
        <v>0</v>
      </c>
      <c r="V33" s="50"/>
      <c r="W33" s="48">
        <f>COUNTIFS(
    in.r9[empresa], W$6,
    in.r9[Data da venda / reserva], "&gt;=" &amp; $A33,
    in.r9[Data da venda / reserva], "&lt;"  &amp; EOMONTH($A33,0) + 1
)</f>
        <v>0</v>
      </c>
      <c r="X33" s="49">
        <f ca="1">SUMIFS(rec.uni[2023-07-01],
INDIRECT("rec.uni[natureza]"),"pro.soluto",
INDIRECT("rec.uni[empresa]"),X$6)</f>
        <v>0</v>
      </c>
      <c r="Y33" s="49">
        <f ca="1">SUMIFS(rec.uni[2023-07-01],
INDIRECT("rec.uni[natureza]"),"taxa.extra",
INDIRECT("rec.uni[empresa]"),Y$6)</f>
        <v>0</v>
      </c>
      <c r="Z33" s="50"/>
      <c r="AA33" s="48">
        <f>COUNTIFS(
    in.r9[empresa], AA$6,
    in.r9[Data da venda / reserva], "&gt;=" &amp; $A33,
    in.r9[Data da venda / reserva], "&lt;"  &amp; EOMONTH($A33,0) + 1
)</f>
        <v>0</v>
      </c>
      <c r="AB33" s="49">
        <f ca="1">SUMIFS(rec.uni[2023-07-01],
INDIRECT("rec.uni[natureza]"),"pro.soluto",
INDIRECT("rec.uni[empresa]"),AB$6)</f>
        <v>0</v>
      </c>
      <c r="AC33" s="38">
        <f ca="1">SUMIFS(rec.uni[2023-07-01],
INDIRECT("rec.uni[natureza]"),"parcela.fin.total.ik",
INDIRECT("rec.uni[empresa]"),AC$6)</f>
        <v>0</v>
      </c>
      <c r="AD33" s="49">
        <f ca="1">SUMIFS(rec.uni[2023-07-01],
INDIRECT("rec.uni[natureza]"),"taxa.extra",
INDIRECT("rec.uni[empresa]"),AD$6)</f>
        <v>0</v>
      </c>
      <c r="AE33" s="50"/>
      <c r="AF33" s="48">
        <f>COUNTIFS(
    in.r9[empresa], AF$6,
    in.r9[Data da venda / reserva], "&gt;=" &amp; $A33,
    in.r9[Data da venda / reserva], "&lt;"  &amp; EOMONTH($A33,0) + 1
)</f>
        <v>0</v>
      </c>
      <c r="AG33" s="49">
        <f ca="1">SUMIFS(rec.uni[2023-07-01],
INDIRECT("rec.uni[natureza]"),"pro.soluto",
INDIRECT("rec.uni[empresa]"),AG$6)</f>
        <v>0</v>
      </c>
      <c r="AH33" s="49">
        <f ca="1">SUMIFS(rec.uni[2023-07-01],
INDIRECT("rec.uni[natureza]"),"repasse.cef.obra",
INDIRECT("rec.uni[empresa]"),AH$6)</f>
        <v>0</v>
      </c>
      <c r="AI33" s="49">
        <f ca="1">SUMIFS(rec.uni[2023-07-01],
INDIRECT("rec.uni[natureza]"),"repasse.cef.terreno",
INDIRECT("rec.uni[empresa]"),AI$6)</f>
        <v>0</v>
      </c>
      <c r="AJ33" s="49">
        <v>0</v>
      </c>
      <c r="AK33" s="49">
        <f ca="1">SUMIFS(rec.uni[2023-07-01],
INDIRECT("rec.uni[natureza]"),"taxa.extra",
INDIRECT("rec.uni[empresa]"),AK$6)</f>
        <v>0</v>
      </c>
      <c r="AL33" s="50"/>
      <c r="AM33" s="48">
        <f>COUNTIFS(
    in.r9[empresa], AM$6,
    in.r9[Data da venda / reserva], "&gt;=" &amp; $A33,
    in.r9[Data da venda / reserva], "&lt;"  &amp; EOMONTH($A33,0) + 1
)</f>
        <v>0</v>
      </c>
      <c r="AN33" s="49">
        <f ca="1">SUMIFS(rec.uni[2023-07-01],
INDIRECT("rec.uni[natureza]"),"pro.soluto",
INDIRECT("rec.uni[empresa]"),AN$6)</f>
        <v>0</v>
      </c>
      <c r="AO33" s="49">
        <f ca="1">SUMIFS(rec.uni[2023-07-01],
INDIRECT("rec.uni[natureza]"),"taxa.extra",
INDIRECT("rec.uni[empresa]"),AO$6)</f>
        <v>0</v>
      </c>
      <c r="AP33" s="50"/>
    </row>
    <row r="34" spans="1:42" x14ac:dyDescent="0.25">
      <c r="A34" s="47">
        <v>45139</v>
      </c>
      <c r="B34" s="48">
        <f>COUNTIFS(
    in.r9[empresa], B$6,
    in.r9[Data da venda / reserva], "&gt;=" &amp; $A34,
    in.r9[Data da venda / reserva], "&lt;"  &amp; EOMONTH($A34,0) + 1
)</f>
        <v>0</v>
      </c>
      <c r="C34" s="49">
        <f ca="1">SUMIFS(rec.uni[2023-08-01],
INDIRECT("rec.uni[natureza]"),"pro.soluto",
INDIRECT("rec.uni[empresa]"),C$6)</f>
        <v>0</v>
      </c>
      <c r="D34" s="49">
        <f ca="1">SUMIFS(rec.uni[2023-08-01],
INDIRECT("rec.uni[natureza]"),"repasse.cef.obra",
INDIRECT("rec.uni[empresa]"),D$6)</f>
        <v>0</v>
      </c>
      <c r="E34" s="49">
        <f ca="1">SUMIFS(rec.uni[2023-08-01],
INDIRECT("rec.uni[natureza]"),"repasse.cef.terreno",
INDIRECT("rec.uni[empresa]"),E$6)</f>
        <v>0</v>
      </c>
      <c r="F34" s="49">
        <v>0</v>
      </c>
      <c r="G34" s="49">
        <f ca="1">SUMIFS(rec.uni[2023-08-01],
INDIRECT("rec.uni[natureza]"),"taxa.extra",
INDIRECT("rec.uni[empresa]"),G$6)</f>
        <v>0</v>
      </c>
      <c r="H34" s="50"/>
      <c r="I34" s="48">
        <f>COUNTIFS(
    in.r9[empresa], I$6,
    in.r9[Data da venda / reserva], "&gt;=" &amp; $A34,
    in.r9[Data da venda / reserva], "&lt;"  &amp; EOMONTH($A34,0) + 1
)</f>
        <v>0</v>
      </c>
      <c r="J34" s="49">
        <f ca="1">SUMIFS(rec.uni[2023-08-01],
INDIRECT("rec.uni[natureza]"),"pro.soluto",
INDIRECT("rec.uni[empresa]"),J$6)</f>
        <v>0</v>
      </c>
      <c r="K34" s="49">
        <f ca="1">SUMIFS(rec.uni[2023-08-01],
INDIRECT("rec.uni[natureza]"),"repasse.cef.obra",
INDIRECT("rec.uni[empresa]"),K$6)</f>
        <v>0</v>
      </c>
      <c r="L34" s="49">
        <f ca="1">SUMIFS(rec.uni[2023-08-01],
INDIRECT("rec.uni[natureza]"),"repasse.cef.terreno",
INDIRECT("rec.uni[empresa]"),L$6)</f>
        <v>0</v>
      </c>
      <c r="M34" s="49">
        <v>327575.88</v>
      </c>
      <c r="N34" s="49">
        <f ca="1">SUMIFS(rec.uni[2023-08-01],
INDIRECT("rec.uni[natureza]"),"taxa.extra",
INDIRECT("rec.uni[empresa]"),N$6)</f>
        <v>0</v>
      </c>
      <c r="O34" s="50"/>
      <c r="P34" s="48">
        <f>COUNTIFS(
    in.r9[empresa], P$6,
    in.r9[Data da venda / reserva], "&gt;=" &amp; $A34,
    in.r9[Data da venda / reserva], "&lt;"  &amp; EOMONTH($A34,0) + 1
)</f>
        <v>0</v>
      </c>
      <c r="Q34" s="49">
        <f ca="1">SUMIFS(rec.uni[2023-08-01],
INDIRECT("rec.uni[natureza]"),"pro.soluto",
INDIRECT("rec.uni[empresa]"),Q$6)</f>
        <v>0</v>
      </c>
      <c r="R34" s="49">
        <f ca="1">SUMIFS(rec.uni[2023-08-01],
INDIRECT("rec.uni[natureza]"),"repasse.cef.obra",
INDIRECT("rec.uni[empresa]"),R$6)</f>
        <v>0</v>
      </c>
      <c r="S34" s="49">
        <f ca="1">SUMIFS(rec.uni[2023-08-01],
INDIRECT("rec.uni[natureza]"),"repasse.cef.terreno",
INDIRECT("rec.uni[empresa]"),S$6)</f>
        <v>0</v>
      </c>
      <c r="T34" s="49">
        <v>0</v>
      </c>
      <c r="U34" s="49">
        <f ca="1">SUMIFS(rec.uni[2023-08-01],
INDIRECT("rec.uni[natureza]"),"taxa.extra",
INDIRECT("rec.uni[empresa]"),U$6)</f>
        <v>0</v>
      </c>
      <c r="V34" s="50"/>
      <c r="W34" s="48">
        <f>COUNTIFS(
    in.r9[empresa], W$6,
    in.r9[Data da venda / reserva], "&gt;=" &amp; $A34,
    in.r9[Data da venda / reserva], "&lt;"  &amp; EOMONTH($A34,0) + 1
)</f>
        <v>0</v>
      </c>
      <c r="X34" s="49">
        <f ca="1">SUMIFS(rec.uni[2023-08-01],
INDIRECT("rec.uni[natureza]"),"pro.soluto",
INDIRECT("rec.uni[empresa]"),X$6)</f>
        <v>0</v>
      </c>
      <c r="Y34" s="49">
        <f ca="1">SUMIFS(rec.uni[2023-08-01],
INDIRECT("rec.uni[natureza]"),"taxa.extra",
INDIRECT("rec.uni[empresa]"),Y$6)</f>
        <v>0</v>
      </c>
      <c r="Z34" s="50"/>
      <c r="AA34" s="48">
        <f>COUNTIFS(
    in.r9[empresa], AA$6,
    in.r9[Data da venda / reserva], "&gt;=" &amp; $A34,
    in.r9[Data da venda / reserva], "&lt;"  &amp; EOMONTH($A34,0) + 1
)</f>
        <v>0</v>
      </c>
      <c r="AB34" s="49">
        <f ca="1">SUMIFS(rec.uni[2023-08-01],
INDIRECT("rec.uni[natureza]"),"pro.soluto",
INDIRECT("rec.uni[empresa]"),AB$6)</f>
        <v>0</v>
      </c>
      <c r="AC34" s="38">
        <f ca="1">SUMIFS(rec.uni[2023-08-01],
INDIRECT("rec.uni[natureza]"),"parcela.fin.total.ik",
INDIRECT("rec.uni[empresa]"),AC$6)</f>
        <v>0</v>
      </c>
      <c r="AD34" s="49">
        <f ca="1">SUMIFS(rec.uni[2023-08-01],
INDIRECT("rec.uni[natureza]"),"taxa.extra",
INDIRECT("rec.uni[empresa]"),AD$6)</f>
        <v>0</v>
      </c>
      <c r="AE34" s="50"/>
      <c r="AF34" s="48">
        <f>COUNTIFS(
    in.r9[empresa], AF$6,
    in.r9[Data da venda / reserva], "&gt;=" &amp; $A34,
    in.r9[Data da venda / reserva], "&lt;"  &amp; EOMONTH($A34,0) + 1
)</f>
        <v>0</v>
      </c>
      <c r="AG34" s="49">
        <f ca="1">SUMIFS(rec.uni[2023-08-01],
INDIRECT("rec.uni[natureza]"),"pro.soluto",
INDIRECT("rec.uni[empresa]"),AG$6)</f>
        <v>0</v>
      </c>
      <c r="AH34" s="49">
        <f ca="1">SUMIFS(rec.uni[2023-08-01],
INDIRECT("rec.uni[natureza]"),"repasse.cef.obra",
INDIRECT("rec.uni[empresa]"),AH$6)</f>
        <v>0</v>
      </c>
      <c r="AI34" s="49">
        <f ca="1">SUMIFS(rec.uni[2023-08-01],
INDIRECT("rec.uni[natureza]"),"repasse.cef.terreno",
INDIRECT("rec.uni[empresa]"),AI$6)</f>
        <v>0</v>
      </c>
      <c r="AJ34" s="49">
        <v>0</v>
      </c>
      <c r="AK34" s="49">
        <f ca="1">SUMIFS(rec.uni[2023-08-01],
INDIRECT("rec.uni[natureza]"),"taxa.extra",
INDIRECT("rec.uni[empresa]"),AK$6)</f>
        <v>0</v>
      </c>
      <c r="AL34" s="50"/>
      <c r="AM34" s="48">
        <f>COUNTIFS(
    in.r9[empresa], AM$6,
    in.r9[Data da venda / reserva], "&gt;=" &amp; $A34,
    in.r9[Data da venda / reserva], "&lt;"  &amp; EOMONTH($A34,0) + 1
)</f>
        <v>0</v>
      </c>
      <c r="AN34" s="49">
        <f ca="1">SUMIFS(rec.uni[2023-08-01],
INDIRECT("rec.uni[natureza]"),"pro.soluto",
INDIRECT("rec.uni[empresa]"),AN$6)</f>
        <v>0</v>
      </c>
      <c r="AO34" s="49">
        <f ca="1">SUMIFS(rec.uni[2023-08-01],
INDIRECT("rec.uni[natureza]"),"taxa.extra",
INDIRECT("rec.uni[empresa]"),AO$6)</f>
        <v>0</v>
      </c>
      <c r="AP34" s="50"/>
    </row>
    <row r="35" spans="1:42" x14ac:dyDescent="0.25">
      <c r="A35" s="47">
        <v>45170</v>
      </c>
      <c r="B35" s="48">
        <f>COUNTIFS(
    in.r9[empresa], B$6,
    in.r9[Data da venda / reserva], "&gt;=" &amp; $A35,
    in.r9[Data da venda / reserva], "&lt;"  &amp; EOMONTH($A35,0) + 1
)</f>
        <v>0</v>
      </c>
      <c r="C35" s="49">
        <f ca="1">SUMIFS(rec.uni[2023-09-01],
INDIRECT("rec.uni[natureza]"),"pro.soluto",
INDIRECT("rec.uni[empresa]"),C$6)</f>
        <v>0</v>
      </c>
      <c r="D35" s="49">
        <f ca="1">SUMIFS(rec.uni[2023-09-01],
INDIRECT("rec.uni[natureza]"),"repasse.cef.obra",
INDIRECT("rec.uni[empresa]"),D$6)</f>
        <v>0</v>
      </c>
      <c r="E35" s="49">
        <f ca="1">SUMIFS(rec.uni[2023-09-01],
INDIRECT("rec.uni[natureza]"),"repasse.cef.terreno",
INDIRECT("rec.uni[empresa]"),E$6)</f>
        <v>0</v>
      </c>
      <c r="F35" s="49">
        <v>0</v>
      </c>
      <c r="G35" s="49">
        <f ca="1">SUMIFS(rec.uni[2023-09-01],
INDIRECT("rec.uni[natureza]"),"taxa.extra",
INDIRECT("rec.uni[empresa]"),G$6)</f>
        <v>0</v>
      </c>
      <c r="H35" s="50"/>
      <c r="I35" s="48">
        <f>COUNTIFS(
    in.r9[empresa], I$6,
    in.r9[Data da venda / reserva], "&gt;=" &amp; $A35,
    in.r9[Data da venda / reserva], "&lt;"  &amp; EOMONTH($A35,0) + 1
)</f>
        <v>0</v>
      </c>
      <c r="J35" s="49">
        <f ca="1">SUMIFS(rec.uni[2023-09-01],
INDIRECT("rec.uni[natureza]"),"pro.soluto",
INDIRECT("rec.uni[empresa]"),J$6)</f>
        <v>0</v>
      </c>
      <c r="K35" s="49">
        <f ca="1">SUMIFS(rec.uni[2023-09-01],
INDIRECT("rec.uni[natureza]"),"repasse.cef.obra",
INDIRECT("rec.uni[empresa]"),K$6)</f>
        <v>0</v>
      </c>
      <c r="L35" s="49">
        <f ca="1">SUMIFS(rec.uni[2023-09-01],
INDIRECT("rec.uni[natureza]"),"repasse.cef.terreno",
INDIRECT("rec.uni[empresa]"),L$6)</f>
        <v>0</v>
      </c>
      <c r="M35" s="49">
        <v>445799.01</v>
      </c>
      <c r="N35" s="49">
        <f ca="1">SUMIFS(rec.uni[2023-09-01],
INDIRECT("rec.uni[natureza]"),"taxa.extra",
INDIRECT("rec.uni[empresa]"),N$6)</f>
        <v>0</v>
      </c>
      <c r="O35" s="50"/>
      <c r="P35" s="48">
        <f>COUNTIFS(
    in.r9[empresa], P$6,
    in.r9[Data da venda / reserva], "&gt;=" &amp; $A35,
    in.r9[Data da venda / reserva], "&lt;"  &amp; EOMONTH($A35,0) + 1
)</f>
        <v>0</v>
      </c>
      <c r="Q35" s="49">
        <f ca="1">SUMIFS(rec.uni[2023-09-01],
INDIRECT("rec.uni[natureza]"),"pro.soluto",
INDIRECT("rec.uni[empresa]"),Q$6)</f>
        <v>0</v>
      </c>
      <c r="R35" s="49">
        <f ca="1">SUMIFS(rec.uni[2023-09-01],
INDIRECT("rec.uni[natureza]"),"repasse.cef.obra",
INDIRECT("rec.uni[empresa]"),R$6)</f>
        <v>0</v>
      </c>
      <c r="S35" s="49">
        <f ca="1">SUMIFS(rec.uni[2023-09-01],
INDIRECT("rec.uni[natureza]"),"repasse.cef.terreno",
INDIRECT("rec.uni[empresa]"),S$6)</f>
        <v>0</v>
      </c>
      <c r="T35" s="49">
        <v>0</v>
      </c>
      <c r="U35" s="49">
        <f ca="1">SUMIFS(rec.uni[2023-09-01],
INDIRECT("rec.uni[natureza]"),"taxa.extra",
INDIRECT("rec.uni[empresa]"),U$6)</f>
        <v>0</v>
      </c>
      <c r="V35" s="50"/>
      <c r="W35" s="48">
        <f>COUNTIFS(
    in.r9[empresa], W$6,
    in.r9[Data da venda / reserva], "&gt;=" &amp; $A35,
    in.r9[Data da venda / reserva], "&lt;"  &amp; EOMONTH($A35,0) + 1
)</f>
        <v>0</v>
      </c>
      <c r="X35" s="49">
        <f ca="1">SUMIFS(rec.uni[2023-09-01],
INDIRECT("rec.uni[natureza]"),"pro.soluto",
INDIRECT("rec.uni[empresa]"),X$6)</f>
        <v>0</v>
      </c>
      <c r="Y35" s="49">
        <f ca="1">SUMIFS(rec.uni[2023-09-01],
INDIRECT("rec.uni[natureza]"),"taxa.extra",
INDIRECT("rec.uni[empresa]"),Y$6)</f>
        <v>0</v>
      </c>
      <c r="Z35" s="50"/>
      <c r="AA35" s="48">
        <f>COUNTIFS(
    in.r9[empresa], AA$6,
    in.r9[Data da venda / reserva], "&gt;=" &amp; $A35,
    in.r9[Data da venda / reserva], "&lt;"  &amp; EOMONTH($A35,0) + 1
)</f>
        <v>0</v>
      </c>
      <c r="AB35" s="49">
        <f ca="1">SUMIFS(rec.uni[2023-09-01],
INDIRECT("rec.uni[natureza]"),"pro.soluto",
INDIRECT("rec.uni[empresa]"),AB$6)</f>
        <v>0</v>
      </c>
      <c r="AC35" s="38">
        <f ca="1">SUMIFS(rec.uni[2023-09-01],
INDIRECT("rec.uni[natureza]"),"parcela.fin.total.ik",
INDIRECT("rec.uni[empresa]"),AC$6)</f>
        <v>0</v>
      </c>
      <c r="AD35" s="49">
        <f ca="1">SUMIFS(rec.uni[2023-09-01],
INDIRECT("rec.uni[natureza]"),"taxa.extra",
INDIRECT("rec.uni[empresa]"),AD$6)</f>
        <v>0</v>
      </c>
      <c r="AE35" s="50"/>
      <c r="AF35" s="48">
        <f>COUNTIFS(
    in.r9[empresa], AF$6,
    in.r9[Data da venda / reserva], "&gt;=" &amp; $A35,
    in.r9[Data da venda / reserva], "&lt;"  &amp; EOMONTH($A35,0) + 1
)</f>
        <v>0</v>
      </c>
      <c r="AG35" s="49">
        <f ca="1">SUMIFS(rec.uni[2023-09-01],
INDIRECT("rec.uni[natureza]"),"pro.soluto",
INDIRECT("rec.uni[empresa]"),AG$6)</f>
        <v>0</v>
      </c>
      <c r="AH35" s="49">
        <f ca="1">SUMIFS(rec.uni[2023-09-01],
INDIRECT("rec.uni[natureza]"),"repasse.cef.obra",
INDIRECT("rec.uni[empresa]"),AH$6)</f>
        <v>0</v>
      </c>
      <c r="AI35" s="49">
        <f ca="1">SUMIFS(rec.uni[2023-09-01],
INDIRECT("rec.uni[natureza]"),"repasse.cef.terreno",
INDIRECT("rec.uni[empresa]"),AI$6)</f>
        <v>0</v>
      </c>
      <c r="AJ35" s="49">
        <v>0</v>
      </c>
      <c r="AK35" s="49">
        <f ca="1">SUMIFS(rec.uni[2023-09-01],
INDIRECT("rec.uni[natureza]"),"taxa.extra",
INDIRECT("rec.uni[empresa]"),AK$6)</f>
        <v>0</v>
      </c>
      <c r="AL35" s="50"/>
      <c r="AM35" s="48">
        <f>COUNTIFS(
    in.r9[empresa], AM$6,
    in.r9[Data da venda / reserva], "&gt;=" &amp; $A35,
    in.r9[Data da venda / reserva], "&lt;"  &amp; EOMONTH($A35,0) + 1
)</f>
        <v>0</v>
      </c>
      <c r="AN35" s="49">
        <f ca="1">SUMIFS(rec.uni[2023-09-01],
INDIRECT("rec.uni[natureza]"),"pro.soluto",
INDIRECT("rec.uni[empresa]"),AN$6)</f>
        <v>0</v>
      </c>
      <c r="AO35" s="49">
        <f ca="1">SUMIFS(rec.uni[2023-09-01],
INDIRECT("rec.uni[natureza]"),"taxa.extra",
INDIRECT("rec.uni[empresa]"),AO$6)</f>
        <v>0</v>
      </c>
      <c r="AP35" s="50"/>
    </row>
    <row r="36" spans="1:42" x14ac:dyDescent="0.25">
      <c r="A36" s="47">
        <v>45200</v>
      </c>
      <c r="B36" s="48">
        <f>COUNTIFS(
    in.r9[empresa], B$6,
    in.r9[Data da venda / reserva], "&gt;=" &amp; $A36,
    in.r9[Data da venda / reserva], "&lt;"  &amp; EOMONTH($A36,0) + 1
)</f>
        <v>0</v>
      </c>
      <c r="C36" s="49">
        <f ca="1">SUMIFS(rec.uni[2023-10-01],
INDIRECT("rec.uni[natureza]"),"pro.soluto",
INDIRECT("rec.uni[empresa]"),C$6)</f>
        <v>0</v>
      </c>
      <c r="D36" s="49">
        <f ca="1">SUMIFS(rec.uni[2023-10-01],
INDIRECT("rec.uni[natureza]"),"repasse.cef.obra",
INDIRECT("rec.uni[empresa]"),D$6)</f>
        <v>0</v>
      </c>
      <c r="E36" s="49">
        <f ca="1">SUMIFS(rec.uni[2023-10-01],
INDIRECT("rec.uni[natureza]"),"repasse.cef.terreno",
INDIRECT("rec.uni[empresa]"),E$6)</f>
        <v>0</v>
      </c>
      <c r="F36" s="49">
        <v>0</v>
      </c>
      <c r="G36" s="49">
        <f ca="1">SUMIFS(rec.uni[2023-10-01],
INDIRECT("rec.uni[natureza]"),"taxa.extra",
INDIRECT("rec.uni[empresa]"),G$6)</f>
        <v>0</v>
      </c>
      <c r="H36" s="50"/>
      <c r="I36" s="48">
        <f>COUNTIFS(
    in.r9[empresa], I$6,
    in.r9[Data da venda / reserva], "&gt;=" &amp; $A36,
    in.r9[Data da venda / reserva], "&lt;"  &amp; EOMONTH($A36,0) + 1
)</f>
        <v>0</v>
      </c>
      <c r="J36" s="49">
        <f ca="1">SUMIFS(rec.uni[2023-10-01],
INDIRECT("rec.uni[natureza]"),"pro.soluto",
INDIRECT("rec.uni[empresa]"),J$6)</f>
        <v>0</v>
      </c>
      <c r="K36" s="49">
        <f ca="1">SUMIFS(rec.uni[2023-10-01],
INDIRECT("rec.uni[natureza]"),"repasse.cef.obra",
INDIRECT("rec.uni[empresa]"),K$6)</f>
        <v>0</v>
      </c>
      <c r="L36" s="49">
        <f ca="1">SUMIFS(rec.uni[2023-10-01],
INDIRECT("rec.uni[natureza]"),"repasse.cef.terreno",
INDIRECT("rec.uni[empresa]"),L$6)</f>
        <v>0</v>
      </c>
      <c r="M36" s="49">
        <v>0</v>
      </c>
      <c r="N36" s="49">
        <f ca="1">SUMIFS(rec.uni[2023-10-01],
INDIRECT("rec.uni[natureza]"),"taxa.extra",
INDIRECT("rec.uni[empresa]"),N$6)</f>
        <v>0</v>
      </c>
      <c r="O36" s="50"/>
      <c r="P36" s="48">
        <f>COUNTIFS(
    in.r9[empresa], P$6,
    in.r9[Data da venda / reserva], "&gt;=" &amp; $A36,
    in.r9[Data da venda / reserva], "&lt;"  &amp; EOMONTH($A36,0) + 1
)</f>
        <v>0</v>
      </c>
      <c r="Q36" s="49">
        <f ca="1">SUMIFS(rec.uni[2023-10-01],
INDIRECT("rec.uni[natureza]"),"pro.soluto",
INDIRECT("rec.uni[empresa]"),Q$6)</f>
        <v>0</v>
      </c>
      <c r="R36" s="49">
        <f ca="1">SUMIFS(rec.uni[2023-10-01],
INDIRECT("rec.uni[natureza]"),"repasse.cef.obra",
INDIRECT("rec.uni[empresa]"),R$6)</f>
        <v>0</v>
      </c>
      <c r="S36" s="49">
        <f ca="1">SUMIFS(rec.uni[2023-10-01],
INDIRECT("rec.uni[natureza]"),"repasse.cef.terreno",
INDIRECT("rec.uni[empresa]"),S$6)</f>
        <v>0</v>
      </c>
      <c r="T36" s="49">
        <v>0</v>
      </c>
      <c r="U36" s="49">
        <f ca="1">SUMIFS(rec.uni[2023-10-01],
INDIRECT("rec.uni[natureza]"),"taxa.extra",
INDIRECT("rec.uni[empresa]"),U$6)</f>
        <v>0</v>
      </c>
      <c r="V36" s="50"/>
      <c r="W36" s="48">
        <f>COUNTIFS(
    in.r9[empresa], W$6,
    in.r9[Data da venda / reserva], "&gt;=" &amp; $A36,
    in.r9[Data da venda / reserva], "&lt;"  &amp; EOMONTH($A36,0) + 1
)</f>
        <v>0</v>
      </c>
      <c r="X36" s="49">
        <f ca="1">SUMIFS(rec.uni[2023-10-01],
INDIRECT("rec.uni[natureza]"),"pro.soluto",
INDIRECT("rec.uni[empresa]"),X$6)</f>
        <v>0</v>
      </c>
      <c r="Y36" s="49">
        <f ca="1">SUMIFS(rec.uni[2023-10-01],
INDIRECT("rec.uni[natureza]"),"taxa.extra",
INDIRECT("rec.uni[empresa]"),Y$6)</f>
        <v>0</v>
      </c>
      <c r="Z36" s="50"/>
      <c r="AA36" s="48">
        <f>COUNTIFS(
    in.r9[empresa], AA$6,
    in.r9[Data da venda / reserva], "&gt;=" &amp; $A36,
    in.r9[Data da venda / reserva], "&lt;"  &amp; EOMONTH($A36,0) + 1
)</f>
        <v>0</v>
      </c>
      <c r="AB36" s="49">
        <f ca="1">SUMIFS(rec.uni[2023-10-01],
INDIRECT("rec.uni[natureza]"),"pro.soluto",
INDIRECT("rec.uni[empresa]"),AB$6)</f>
        <v>0</v>
      </c>
      <c r="AC36" s="38">
        <f ca="1">SUMIFS(rec.uni[2023-10-01],
INDIRECT("rec.uni[natureza]"),"parcela.fin.total.ik",
INDIRECT("rec.uni[empresa]"),AC$6)</f>
        <v>0</v>
      </c>
      <c r="AD36" s="49">
        <f ca="1">SUMIFS(rec.uni[2023-10-01],
INDIRECT("rec.uni[natureza]"),"taxa.extra",
INDIRECT("rec.uni[empresa]"),AD$6)</f>
        <v>0</v>
      </c>
      <c r="AE36" s="50"/>
      <c r="AF36" s="48">
        <f>COUNTIFS(
    in.r9[empresa], AF$6,
    in.r9[Data da venda / reserva], "&gt;=" &amp; $A36,
    in.r9[Data da venda / reserva], "&lt;"  &amp; EOMONTH($A36,0) + 1
)</f>
        <v>0</v>
      </c>
      <c r="AG36" s="49">
        <f ca="1">SUMIFS(rec.uni[2023-10-01],
INDIRECT("rec.uni[natureza]"),"pro.soluto",
INDIRECT("rec.uni[empresa]"),AG$6)</f>
        <v>0</v>
      </c>
      <c r="AH36" s="49">
        <f ca="1">SUMIFS(rec.uni[2023-10-01],
INDIRECT("rec.uni[natureza]"),"repasse.cef.obra",
INDIRECT("rec.uni[empresa]"),AH$6)</f>
        <v>0</v>
      </c>
      <c r="AI36" s="49">
        <f ca="1">SUMIFS(rec.uni[2023-10-01],
INDIRECT("rec.uni[natureza]"),"repasse.cef.terreno",
INDIRECT("rec.uni[empresa]"),AI$6)</f>
        <v>0</v>
      </c>
      <c r="AJ36" s="49">
        <v>0</v>
      </c>
      <c r="AK36" s="49">
        <f ca="1">SUMIFS(rec.uni[2023-10-01],
INDIRECT("rec.uni[natureza]"),"taxa.extra",
INDIRECT("rec.uni[empresa]"),AK$6)</f>
        <v>0</v>
      </c>
      <c r="AL36" s="50"/>
      <c r="AM36" s="48">
        <f>COUNTIFS(
    in.r9[empresa], AM$6,
    in.r9[Data da venda / reserva], "&gt;=" &amp; $A36,
    in.r9[Data da venda / reserva], "&lt;"  &amp; EOMONTH($A36,0) + 1
)</f>
        <v>0</v>
      </c>
      <c r="AN36" s="49">
        <f ca="1">SUMIFS(rec.uni[2023-10-01],
INDIRECT("rec.uni[natureza]"),"pro.soluto",
INDIRECT("rec.uni[empresa]"),AN$6)</f>
        <v>0</v>
      </c>
      <c r="AO36" s="49">
        <f ca="1">SUMIFS(rec.uni[2023-10-01],
INDIRECT("rec.uni[natureza]"),"taxa.extra",
INDIRECT("rec.uni[empresa]"),AO$6)</f>
        <v>0</v>
      </c>
      <c r="AP36" s="50"/>
    </row>
    <row r="37" spans="1:42" x14ac:dyDescent="0.25">
      <c r="A37" s="47">
        <v>45231</v>
      </c>
      <c r="B37" s="48">
        <f>COUNTIFS(
    in.r9[empresa], B$6,
    in.r9[Data da venda / reserva], "&gt;=" &amp; $A37,
    in.r9[Data da venda / reserva], "&lt;"  &amp; EOMONTH($A37,0) + 1
)</f>
        <v>0</v>
      </c>
      <c r="C37" s="49">
        <f ca="1">SUMIFS(rec.uni[2023-11-01],
INDIRECT("rec.uni[natureza]"),"pro.soluto",
INDIRECT("rec.uni[empresa]"),C$6)</f>
        <v>0</v>
      </c>
      <c r="D37" s="49">
        <f ca="1">SUMIFS(rec.uni[2023-11-01],
INDIRECT("rec.uni[natureza]"),"repasse.cef.obra",
INDIRECT("rec.uni[empresa]"),D$6)</f>
        <v>0</v>
      </c>
      <c r="E37" s="49">
        <f ca="1">SUMIFS(rec.uni[2023-11-01],
INDIRECT("rec.uni[natureza]"),"repasse.cef.terreno",
INDIRECT("rec.uni[empresa]"),E$6)</f>
        <v>0</v>
      </c>
      <c r="F37" s="49">
        <v>0</v>
      </c>
      <c r="G37" s="49">
        <f ca="1">SUMIFS(rec.uni[2023-11-01],
INDIRECT("rec.uni[natureza]"),"taxa.extra",
INDIRECT("rec.uni[empresa]"),G$6)</f>
        <v>0</v>
      </c>
      <c r="H37" s="50"/>
      <c r="I37" s="48">
        <f>COUNTIFS(
    in.r9[empresa], I$6,
    in.r9[Data da venda / reserva], "&gt;=" &amp; $A37,
    in.r9[Data da venda / reserva], "&lt;"  &amp; EOMONTH($A37,0) + 1
)</f>
        <v>0</v>
      </c>
      <c r="J37" s="49">
        <f ca="1">SUMIFS(rec.uni[2023-11-01],
INDIRECT("rec.uni[natureza]"),"pro.soluto",
INDIRECT("rec.uni[empresa]"),J$6)</f>
        <v>0</v>
      </c>
      <c r="K37" s="49">
        <f ca="1">SUMIFS(rec.uni[2023-11-01],
INDIRECT("rec.uni[natureza]"),"repasse.cef.obra",
INDIRECT("rec.uni[empresa]"),K$6)</f>
        <v>0</v>
      </c>
      <c r="L37" s="49">
        <f ca="1">SUMIFS(rec.uni[2023-11-01],
INDIRECT("rec.uni[natureza]"),"repasse.cef.terreno",
INDIRECT("rec.uni[empresa]"),L$6)</f>
        <v>0</v>
      </c>
      <c r="M37" s="49">
        <v>1455283.7599999998</v>
      </c>
      <c r="N37" s="49">
        <f ca="1">SUMIFS(rec.uni[2023-11-01],
INDIRECT("rec.uni[natureza]"),"taxa.extra",
INDIRECT("rec.uni[empresa]"),N$6)</f>
        <v>0</v>
      </c>
      <c r="O37" s="50"/>
      <c r="P37" s="48">
        <f>COUNTIFS(
    in.r9[empresa], P$6,
    in.r9[Data da venda / reserva], "&gt;=" &amp; $A37,
    in.r9[Data da venda / reserva], "&lt;"  &amp; EOMONTH($A37,0) + 1
)</f>
        <v>0</v>
      </c>
      <c r="Q37" s="49">
        <f ca="1">SUMIFS(rec.uni[2023-11-01],
INDIRECT("rec.uni[natureza]"),"pro.soluto",
INDIRECT("rec.uni[empresa]"),Q$6)</f>
        <v>0</v>
      </c>
      <c r="R37" s="49">
        <f ca="1">SUMIFS(rec.uni[2023-11-01],
INDIRECT("rec.uni[natureza]"),"repasse.cef.obra",
INDIRECT("rec.uni[empresa]"),R$6)</f>
        <v>0</v>
      </c>
      <c r="S37" s="49">
        <f ca="1">SUMIFS(rec.uni[2023-11-01],
INDIRECT("rec.uni[natureza]"),"repasse.cef.terreno",
INDIRECT("rec.uni[empresa]"),S$6)</f>
        <v>0</v>
      </c>
      <c r="T37" s="49">
        <v>0</v>
      </c>
      <c r="U37" s="49">
        <f ca="1">SUMIFS(rec.uni[2023-11-01],
INDIRECT("rec.uni[natureza]"),"taxa.extra",
INDIRECT("rec.uni[empresa]"),U$6)</f>
        <v>0</v>
      </c>
      <c r="V37" s="50"/>
      <c r="W37" s="48">
        <f>COUNTIFS(
    in.r9[empresa], W$6,
    in.r9[Data da venda / reserva], "&gt;=" &amp; $A37,
    in.r9[Data da venda / reserva], "&lt;"  &amp; EOMONTH($A37,0) + 1
)</f>
        <v>0</v>
      </c>
      <c r="X37" s="49">
        <f ca="1">SUMIFS(rec.uni[2023-11-01],
INDIRECT("rec.uni[natureza]"),"pro.soluto",
INDIRECT("rec.uni[empresa]"),X$6)</f>
        <v>0</v>
      </c>
      <c r="Y37" s="49">
        <f ca="1">SUMIFS(rec.uni[2023-11-01],
INDIRECT("rec.uni[natureza]"),"taxa.extra",
INDIRECT("rec.uni[empresa]"),Y$6)</f>
        <v>0</v>
      </c>
      <c r="Z37" s="50"/>
      <c r="AA37" s="48">
        <f>COUNTIFS(
    in.r9[empresa], AA$6,
    in.r9[Data da venda / reserva], "&gt;=" &amp; $A37,
    in.r9[Data da venda / reserva], "&lt;"  &amp; EOMONTH($A37,0) + 1
)</f>
        <v>0</v>
      </c>
      <c r="AB37" s="49">
        <f ca="1">SUMIFS(rec.uni[2023-11-01],
INDIRECT("rec.uni[natureza]"),"pro.soluto",
INDIRECT("rec.uni[empresa]"),AB$6)</f>
        <v>0</v>
      </c>
      <c r="AC37" s="38">
        <f ca="1">SUMIFS(rec.uni[2023-11-01],
INDIRECT("rec.uni[natureza]"),"parcela.fin.total.ik",
INDIRECT("rec.uni[empresa]"),AC$6)</f>
        <v>0</v>
      </c>
      <c r="AD37" s="49">
        <f ca="1">SUMIFS(rec.uni[2023-11-01],
INDIRECT("rec.uni[natureza]"),"taxa.extra",
INDIRECT("rec.uni[empresa]"),AD$6)</f>
        <v>0</v>
      </c>
      <c r="AE37" s="50"/>
      <c r="AF37" s="48">
        <f>COUNTIFS(
    in.r9[empresa], AF$6,
    in.r9[Data da venda / reserva], "&gt;=" &amp; $A37,
    in.r9[Data da venda / reserva], "&lt;"  &amp; EOMONTH($A37,0) + 1
)</f>
        <v>0</v>
      </c>
      <c r="AG37" s="49">
        <f ca="1">SUMIFS(rec.uni[2023-11-01],
INDIRECT("rec.uni[natureza]"),"pro.soluto",
INDIRECT("rec.uni[empresa]"),AG$6)</f>
        <v>0</v>
      </c>
      <c r="AH37" s="49">
        <f ca="1">SUMIFS(rec.uni[2023-11-01],
INDIRECT("rec.uni[natureza]"),"repasse.cef.obra",
INDIRECT("rec.uni[empresa]"),AH$6)</f>
        <v>0</v>
      </c>
      <c r="AI37" s="49">
        <f ca="1">SUMIFS(rec.uni[2023-11-01],
INDIRECT("rec.uni[natureza]"),"repasse.cef.terreno",
INDIRECT("rec.uni[empresa]"),AI$6)</f>
        <v>0</v>
      </c>
      <c r="AJ37" s="49">
        <v>0</v>
      </c>
      <c r="AK37" s="49">
        <f ca="1">SUMIFS(rec.uni[2023-11-01],
INDIRECT("rec.uni[natureza]"),"taxa.extra",
INDIRECT("rec.uni[empresa]"),AK$6)</f>
        <v>0</v>
      </c>
      <c r="AL37" s="50"/>
      <c r="AM37" s="48">
        <f>COUNTIFS(
    in.r9[empresa], AM$6,
    in.r9[Data da venda / reserva], "&gt;=" &amp; $A37,
    in.r9[Data da venda / reserva], "&lt;"  &amp; EOMONTH($A37,0) + 1
)</f>
        <v>0</v>
      </c>
      <c r="AN37" s="49">
        <f ca="1">SUMIFS(rec.uni[2023-11-01],
INDIRECT("rec.uni[natureza]"),"pro.soluto",
INDIRECT("rec.uni[empresa]"),AN$6)</f>
        <v>0</v>
      </c>
      <c r="AO37" s="49">
        <f ca="1">SUMIFS(rec.uni[2023-11-01],
INDIRECT("rec.uni[natureza]"),"taxa.extra",
INDIRECT("rec.uni[empresa]"),AO$6)</f>
        <v>0</v>
      </c>
      <c r="AP37" s="50"/>
    </row>
    <row r="38" spans="1:42" x14ac:dyDescent="0.25">
      <c r="A38" s="47">
        <v>45261</v>
      </c>
      <c r="B38" s="48">
        <f>COUNTIFS(
    in.r9[empresa], B$6,
    in.r9[Data da venda / reserva], "&gt;=" &amp; $A38,
    in.r9[Data da venda / reserva], "&lt;"  &amp; EOMONTH($A38,0) + 1
)</f>
        <v>0</v>
      </c>
      <c r="C38" s="49">
        <f ca="1">SUMIFS(rec.uni[2023-12-01],
INDIRECT("rec.uni[natureza]"),"pro.soluto",
INDIRECT("rec.uni[empresa]"),C$6)</f>
        <v>0</v>
      </c>
      <c r="D38" s="49">
        <f ca="1">SUMIFS(rec.uni[2023-12-01],
INDIRECT("rec.uni[natureza]"),"repasse.cef.obra",
INDIRECT("rec.uni[empresa]"),D$6)</f>
        <v>0</v>
      </c>
      <c r="E38" s="49">
        <f ca="1">SUMIFS(rec.uni[2023-12-01],
INDIRECT("rec.uni[natureza]"),"repasse.cef.terreno",
INDIRECT("rec.uni[empresa]"),E$6)</f>
        <v>0</v>
      </c>
      <c r="F38" s="49">
        <v>0</v>
      </c>
      <c r="G38" s="49">
        <f ca="1">SUMIFS(rec.uni[2023-12-01],
INDIRECT("rec.uni[natureza]"),"taxa.extra",
INDIRECT("rec.uni[empresa]"),G$6)</f>
        <v>0</v>
      </c>
      <c r="H38" s="50"/>
      <c r="I38" s="48">
        <f>COUNTIFS(
    in.r9[empresa], I$6,
    in.r9[Data da venda / reserva], "&gt;=" &amp; $A38,
    in.r9[Data da venda / reserva], "&lt;"  &amp; EOMONTH($A38,0) + 1
)</f>
        <v>0</v>
      </c>
      <c r="J38" s="49">
        <f ca="1">SUMIFS(rec.uni[2023-12-01],
INDIRECT("rec.uni[natureza]"),"pro.soluto",
INDIRECT("rec.uni[empresa]"),J$6)</f>
        <v>0</v>
      </c>
      <c r="K38" s="49">
        <f ca="1">SUMIFS(rec.uni[2023-12-01],
INDIRECT("rec.uni[natureza]"),"repasse.cef.obra",
INDIRECT("rec.uni[empresa]"),K$6)</f>
        <v>0</v>
      </c>
      <c r="L38" s="49">
        <f ca="1">SUMIFS(rec.uni[2023-12-01],
INDIRECT("rec.uni[natureza]"),"repasse.cef.terreno",
INDIRECT("rec.uni[empresa]"),L$6)</f>
        <v>0</v>
      </c>
      <c r="M38" s="49">
        <v>0</v>
      </c>
      <c r="N38" s="49">
        <f ca="1">SUMIFS(rec.uni[2023-12-01],
INDIRECT("rec.uni[natureza]"),"taxa.extra",
INDIRECT("rec.uni[empresa]"),N$6)</f>
        <v>0</v>
      </c>
      <c r="O38" s="50"/>
      <c r="P38" s="48">
        <f>COUNTIFS(
    in.r9[empresa], P$6,
    in.r9[Data da venda / reserva], "&gt;=" &amp; $A38,
    in.r9[Data da venda / reserva], "&lt;"  &amp; EOMONTH($A38,0) + 1
)</f>
        <v>0</v>
      </c>
      <c r="Q38" s="49">
        <f ca="1">SUMIFS(rec.uni[2023-12-01],
INDIRECT("rec.uni[natureza]"),"pro.soluto",
INDIRECT("rec.uni[empresa]"),Q$6)</f>
        <v>0</v>
      </c>
      <c r="R38" s="49">
        <f ca="1">SUMIFS(rec.uni[2023-12-01],
INDIRECT("rec.uni[natureza]"),"repasse.cef.obra",
INDIRECT("rec.uni[empresa]"),R$6)</f>
        <v>0</v>
      </c>
      <c r="S38" s="49">
        <f ca="1">SUMIFS(rec.uni[2023-12-01],
INDIRECT("rec.uni[natureza]"),"repasse.cef.terreno",
INDIRECT("rec.uni[empresa]"),S$6)</f>
        <v>0</v>
      </c>
      <c r="T38" s="49">
        <v>0</v>
      </c>
      <c r="U38" s="49">
        <f ca="1">SUMIFS(rec.uni[2023-12-01],
INDIRECT("rec.uni[natureza]"),"taxa.extra",
INDIRECT("rec.uni[empresa]"),U$6)</f>
        <v>0</v>
      </c>
      <c r="V38" s="50"/>
      <c r="W38" s="48">
        <f>COUNTIFS(
    in.r9[empresa], W$6,
    in.r9[Data da venda / reserva], "&gt;=" &amp; $A38,
    in.r9[Data da venda / reserva], "&lt;"  &amp; EOMONTH($A38,0) + 1
)</f>
        <v>0</v>
      </c>
      <c r="X38" s="49">
        <f ca="1">SUMIFS(rec.uni[2023-12-01],
INDIRECT("rec.uni[natureza]"),"pro.soluto",
INDIRECT("rec.uni[empresa]"),X$6)</f>
        <v>0</v>
      </c>
      <c r="Y38" s="49">
        <f ca="1">SUMIFS(rec.uni[2023-12-01],
INDIRECT("rec.uni[natureza]"),"taxa.extra",
INDIRECT("rec.uni[empresa]"),Y$6)</f>
        <v>0</v>
      </c>
      <c r="Z38" s="50"/>
      <c r="AA38" s="48">
        <f>COUNTIFS(
    in.r9[empresa], AA$6,
    in.r9[Data da venda / reserva], "&gt;=" &amp; $A38,
    in.r9[Data da venda / reserva], "&lt;"  &amp; EOMONTH($A38,0) + 1
)</f>
        <v>0</v>
      </c>
      <c r="AB38" s="49">
        <f ca="1">SUMIFS(rec.uni[2023-12-01],
INDIRECT("rec.uni[natureza]"),"pro.soluto",
INDIRECT("rec.uni[empresa]"),AB$6)</f>
        <v>0</v>
      </c>
      <c r="AC38" s="38">
        <f ca="1">SUMIFS(rec.uni[2023-12-01],
INDIRECT("rec.uni[natureza]"),"parcela.fin.total.ik",
INDIRECT("rec.uni[empresa]"),AC$6)</f>
        <v>0</v>
      </c>
      <c r="AD38" s="49">
        <f ca="1">SUMIFS(rec.uni[2023-12-01],
INDIRECT("rec.uni[natureza]"),"taxa.extra",
INDIRECT("rec.uni[empresa]"),AD$6)</f>
        <v>0</v>
      </c>
      <c r="AE38" s="50"/>
      <c r="AF38" s="48">
        <f>COUNTIFS(
    in.r9[empresa], AF$6,
    in.r9[Data da venda / reserva], "&gt;=" &amp; $A38,
    in.r9[Data da venda / reserva], "&lt;"  &amp; EOMONTH($A38,0) + 1
)</f>
        <v>0</v>
      </c>
      <c r="AG38" s="49">
        <f ca="1">SUMIFS(rec.uni[2023-12-01],
INDIRECT("rec.uni[natureza]"),"pro.soluto",
INDIRECT("rec.uni[empresa]"),AG$6)</f>
        <v>0</v>
      </c>
      <c r="AH38" s="49">
        <f ca="1">SUMIFS(rec.uni[2023-12-01],
INDIRECT("rec.uni[natureza]"),"repasse.cef.obra",
INDIRECT("rec.uni[empresa]"),AH$6)</f>
        <v>0</v>
      </c>
      <c r="AI38" s="49">
        <f ca="1">SUMIFS(rec.uni[2023-12-01],
INDIRECT("rec.uni[natureza]"),"repasse.cef.terreno",
INDIRECT("rec.uni[empresa]"),AI$6)</f>
        <v>0</v>
      </c>
      <c r="AJ38" s="49">
        <v>0</v>
      </c>
      <c r="AK38" s="49">
        <f ca="1">SUMIFS(rec.uni[2023-12-01],
INDIRECT("rec.uni[natureza]"),"taxa.extra",
INDIRECT("rec.uni[empresa]"),AK$6)</f>
        <v>0</v>
      </c>
      <c r="AL38" s="50"/>
      <c r="AM38" s="48">
        <f>COUNTIFS(
    in.r9[empresa], AM$6,
    in.r9[Data da venda / reserva], "&gt;=" &amp; $A38,
    in.r9[Data da venda / reserva], "&lt;"  &amp; EOMONTH($A38,0) + 1
)</f>
        <v>0</v>
      </c>
      <c r="AN38" s="49">
        <f ca="1">SUMIFS(rec.uni[2023-12-01],
INDIRECT("rec.uni[natureza]"),"pro.soluto",
INDIRECT("rec.uni[empresa]"),AN$6)</f>
        <v>0</v>
      </c>
      <c r="AO38" s="49">
        <f ca="1">SUMIFS(rec.uni[2023-12-01],
INDIRECT("rec.uni[natureza]"),"taxa.extra",
INDIRECT("rec.uni[empresa]"),AO$6)</f>
        <v>0</v>
      </c>
      <c r="AP38" s="50"/>
    </row>
    <row r="39" spans="1:42" x14ac:dyDescent="0.25">
      <c r="A39" s="47">
        <v>45292</v>
      </c>
      <c r="B39" s="48">
        <f>COUNTIFS(
    in.r9[empresa], B$6,
    in.r9[Data da venda / reserva], "&gt;=" &amp; $A39,
    in.r9[Data da venda / reserva], "&lt;"  &amp; EOMONTH($A39,0) + 1
)</f>
        <v>0</v>
      </c>
      <c r="C39" s="49">
        <f ca="1">SUMIFS(rec.uni[2024-01-01],
INDIRECT("rec.uni[natureza]"),"pro.soluto",
INDIRECT("rec.uni[empresa]"),C$6)</f>
        <v>0</v>
      </c>
      <c r="D39" s="49">
        <f ca="1">SUMIFS(rec.uni[2024-01-01],
INDIRECT("rec.uni[natureza]"),"repasse.cef.obra",
INDIRECT("rec.uni[empresa]"),D$6)</f>
        <v>0</v>
      </c>
      <c r="E39" s="49">
        <f ca="1">SUMIFS(rec.uni[2024-01-01],
INDIRECT("rec.uni[natureza]"),"repasse.cef.terreno",
INDIRECT("rec.uni[empresa]"),E$6)</f>
        <v>0</v>
      </c>
      <c r="F39" s="49">
        <v>0</v>
      </c>
      <c r="G39" s="49">
        <f ca="1">SUMIFS(rec.uni[2024-01-01],
INDIRECT("rec.uni[natureza]"),"taxa.extra",
INDIRECT("rec.uni[empresa]"),G$6)</f>
        <v>0</v>
      </c>
      <c r="H39" s="50"/>
      <c r="I39" s="48">
        <f>COUNTIFS(
    in.r9[empresa], I$6,
    in.r9[Data da venda / reserva], "&gt;=" &amp; $A39,
    in.r9[Data da venda / reserva], "&lt;"  &amp; EOMONTH($A39,0) + 1
)</f>
        <v>0</v>
      </c>
      <c r="J39" s="49">
        <f ca="1">SUMIFS(rec.uni[2024-01-01],
INDIRECT("rec.uni[natureza]"),"pro.soluto",
INDIRECT("rec.uni[empresa]"),J$6)</f>
        <v>0</v>
      </c>
      <c r="K39" s="49">
        <f ca="1">SUMIFS(rec.uni[2024-01-01],
INDIRECT("rec.uni[natureza]"),"repasse.cef.obra",
INDIRECT("rec.uni[empresa]"),K$6)</f>
        <v>0</v>
      </c>
      <c r="L39" s="49">
        <f ca="1">SUMIFS(rec.uni[2024-01-01],
INDIRECT("rec.uni[natureza]"),"repasse.cef.terreno",
INDIRECT("rec.uni[empresa]"),L$6)</f>
        <v>0</v>
      </c>
      <c r="M39" s="49">
        <v>1292869.73</v>
      </c>
      <c r="N39" s="49">
        <f ca="1">SUMIFS(rec.uni[2024-01-01],
INDIRECT("rec.uni[natureza]"),"taxa.extra",
INDIRECT("rec.uni[empresa]"),N$6)</f>
        <v>0</v>
      </c>
      <c r="O39" s="50"/>
      <c r="P39" s="48">
        <f>COUNTIFS(
    in.r9[empresa], P$6,
    in.r9[Data da venda / reserva], "&gt;=" &amp; $A39,
    in.r9[Data da venda / reserva], "&lt;"  &amp; EOMONTH($A39,0) + 1
)</f>
        <v>0</v>
      </c>
      <c r="Q39" s="49">
        <f ca="1">SUMIFS(rec.uni[2024-01-01],
INDIRECT("rec.uni[natureza]"),"pro.soluto",
INDIRECT("rec.uni[empresa]"),Q$6)</f>
        <v>0</v>
      </c>
      <c r="R39" s="49">
        <f ca="1">SUMIFS(rec.uni[2024-01-01],
INDIRECT("rec.uni[natureza]"),"repasse.cef.obra",
INDIRECT("rec.uni[empresa]"),R$6)</f>
        <v>0</v>
      </c>
      <c r="S39" s="49">
        <f ca="1">SUMIFS(rec.uni[2024-01-01],
INDIRECT("rec.uni[natureza]"),"repasse.cef.terreno",
INDIRECT("rec.uni[empresa]"),S$6)</f>
        <v>0</v>
      </c>
      <c r="T39" s="49">
        <v>0</v>
      </c>
      <c r="U39" s="49">
        <f ca="1">SUMIFS(rec.uni[2024-01-01],
INDIRECT("rec.uni[natureza]"),"taxa.extra",
INDIRECT("rec.uni[empresa]"),U$6)</f>
        <v>0</v>
      </c>
      <c r="V39" s="50"/>
      <c r="W39" s="48">
        <f>COUNTIFS(
    in.r9[empresa], W$6,
    in.r9[Data da venda / reserva], "&gt;=" &amp; $A39,
    in.r9[Data da venda / reserva], "&lt;"  &amp; EOMONTH($A39,0) + 1
)</f>
        <v>0</v>
      </c>
      <c r="X39" s="49">
        <f ca="1">SUMIFS(rec.uni[2024-01-01],
INDIRECT("rec.uni[natureza]"),"pro.soluto",
INDIRECT("rec.uni[empresa]"),X$6)</f>
        <v>0</v>
      </c>
      <c r="Y39" s="49">
        <f ca="1">SUMIFS(rec.uni[2024-01-01],
INDIRECT("rec.uni[natureza]"),"taxa.extra",
INDIRECT("rec.uni[empresa]"),Y$6)</f>
        <v>0</v>
      </c>
      <c r="Z39" s="50"/>
      <c r="AA39" s="48">
        <f>COUNTIFS(
    in.r9[empresa], AA$6,
    in.r9[Data da venda / reserva], "&gt;=" &amp; $A39,
    in.r9[Data da venda / reserva], "&lt;"  &amp; EOMONTH($A39,0) + 1
)</f>
        <v>0</v>
      </c>
      <c r="AB39" s="49">
        <f ca="1">SUMIFS(rec.uni[2024-01-01],
INDIRECT("rec.uni[natureza]"),"pro.soluto",
INDIRECT("rec.uni[empresa]"),AB$6)</f>
        <v>0</v>
      </c>
      <c r="AC39" s="38">
        <f ca="1">SUMIFS(rec.uni[2024-01-01],
INDIRECT("rec.uni[natureza]"),"parcela.fin.total.ik",
INDIRECT("rec.uni[empresa]"),AC$6)</f>
        <v>0</v>
      </c>
      <c r="AD39" s="49">
        <f ca="1">SUMIFS(rec.uni[2024-01-01],
INDIRECT("rec.uni[natureza]"),"taxa.extra",
INDIRECT("rec.uni[empresa]"),AD$6)</f>
        <v>0</v>
      </c>
      <c r="AE39" s="50"/>
      <c r="AF39" s="48">
        <f>COUNTIFS(
    in.r9[empresa], AF$6,
    in.r9[Data da venda / reserva], "&gt;=" &amp; $A39,
    in.r9[Data da venda / reserva], "&lt;"  &amp; EOMONTH($A39,0) + 1
)</f>
        <v>0</v>
      </c>
      <c r="AG39" s="49">
        <f ca="1">SUMIFS(rec.uni[2024-01-01],
INDIRECT("rec.uni[natureza]"),"pro.soluto",
INDIRECT("rec.uni[empresa]"),AG$6)</f>
        <v>0</v>
      </c>
      <c r="AH39" s="49">
        <f ca="1">SUMIFS(rec.uni[2024-01-01],
INDIRECT("rec.uni[natureza]"),"repasse.cef.obra",
INDIRECT("rec.uni[empresa]"),AH$6)</f>
        <v>0</v>
      </c>
      <c r="AI39" s="49">
        <f ca="1">SUMIFS(rec.uni[2024-01-01],
INDIRECT("rec.uni[natureza]"),"repasse.cef.terreno",
INDIRECT("rec.uni[empresa]"),AI$6)</f>
        <v>0</v>
      </c>
      <c r="AJ39" s="49">
        <v>0</v>
      </c>
      <c r="AK39" s="49">
        <f ca="1">SUMIFS(rec.uni[2024-01-01],
INDIRECT("rec.uni[natureza]"),"taxa.extra",
INDIRECT("rec.uni[empresa]"),AK$6)</f>
        <v>0</v>
      </c>
      <c r="AL39" s="50"/>
      <c r="AM39" s="48">
        <f>COUNTIFS(
    in.r9[empresa], AM$6,
    in.r9[Data da venda / reserva], "&gt;=" &amp; $A39,
    in.r9[Data da venda / reserva], "&lt;"  &amp; EOMONTH($A39,0) + 1
)</f>
        <v>0</v>
      </c>
      <c r="AN39" s="49">
        <f ca="1">SUMIFS(rec.uni[2024-01-01],
INDIRECT("rec.uni[natureza]"),"pro.soluto",
INDIRECT("rec.uni[empresa]"),AN$6)</f>
        <v>0</v>
      </c>
      <c r="AO39" s="49">
        <f ca="1">SUMIFS(rec.uni[2024-01-01],
INDIRECT("rec.uni[natureza]"),"taxa.extra",
INDIRECT("rec.uni[empresa]"),AO$6)</f>
        <v>0</v>
      </c>
      <c r="AP39" s="50"/>
    </row>
    <row r="40" spans="1:42" x14ac:dyDescent="0.25">
      <c r="A40" s="47">
        <v>45323</v>
      </c>
      <c r="B40" s="48">
        <f>COUNTIFS(
    in.r9[empresa], B$6,
    in.r9[Data da venda / reserva], "&gt;=" &amp; $A40,
    in.r9[Data da venda / reserva], "&lt;"  &amp; EOMONTH($A40,0) + 1
)</f>
        <v>0</v>
      </c>
      <c r="C40" s="49">
        <f ca="1">SUMIFS(rec.uni[2024-02-01],
INDIRECT("rec.uni[natureza]"),"pro.soluto",
INDIRECT("rec.uni[empresa]"),C$6)</f>
        <v>0</v>
      </c>
      <c r="D40" s="49">
        <f ca="1">SUMIFS(rec.uni[2024-02-01],
INDIRECT("rec.uni[natureza]"),"repasse.cef.obra",
INDIRECT("rec.uni[empresa]"),D$6)</f>
        <v>0</v>
      </c>
      <c r="E40" s="49">
        <f ca="1">SUMIFS(rec.uni[2024-02-01],
INDIRECT("rec.uni[natureza]"),"repasse.cef.terreno",
INDIRECT("rec.uni[empresa]"),E$6)</f>
        <v>0</v>
      </c>
      <c r="F40" s="49">
        <v>0</v>
      </c>
      <c r="G40" s="49">
        <f ca="1">SUMIFS(rec.uni[2024-02-01],
INDIRECT("rec.uni[natureza]"),"taxa.extra",
INDIRECT("rec.uni[empresa]"),G$6)</f>
        <v>0</v>
      </c>
      <c r="H40" s="50"/>
      <c r="I40" s="48">
        <f>COUNTIFS(
    in.r9[empresa], I$6,
    in.r9[Data da venda / reserva], "&gt;=" &amp; $A40,
    in.r9[Data da venda / reserva], "&lt;"  &amp; EOMONTH($A40,0) + 1
)</f>
        <v>0</v>
      </c>
      <c r="J40" s="49">
        <f ca="1">SUMIFS(rec.uni[2024-02-01],
INDIRECT("rec.uni[natureza]"),"pro.soluto",
INDIRECT("rec.uni[empresa]"),J$6)</f>
        <v>0</v>
      </c>
      <c r="K40" s="49">
        <f ca="1">SUMIFS(rec.uni[2024-02-01],
INDIRECT("rec.uni[natureza]"),"repasse.cef.obra",
INDIRECT("rec.uni[empresa]"),K$6)</f>
        <v>0</v>
      </c>
      <c r="L40" s="49">
        <f ca="1">SUMIFS(rec.uni[2024-02-01],
INDIRECT("rec.uni[natureza]"),"repasse.cef.terreno",
INDIRECT("rec.uni[empresa]"),L$6)</f>
        <v>0</v>
      </c>
      <c r="M40" s="49">
        <v>641961.35</v>
      </c>
      <c r="N40" s="49">
        <f ca="1">SUMIFS(rec.uni[2024-02-01],
INDIRECT("rec.uni[natureza]"),"taxa.extra",
INDIRECT("rec.uni[empresa]"),N$6)</f>
        <v>0</v>
      </c>
      <c r="O40" s="50"/>
      <c r="P40" s="48">
        <f>COUNTIFS(
    in.r9[empresa], P$6,
    in.r9[Data da venda / reserva], "&gt;=" &amp; $A40,
    in.r9[Data da venda / reserva], "&lt;"  &amp; EOMONTH($A40,0) + 1
)</f>
        <v>0</v>
      </c>
      <c r="Q40" s="49">
        <f ca="1">SUMIFS(rec.uni[2024-02-01],
INDIRECT("rec.uni[natureza]"),"pro.soluto",
INDIRECT("rec.uni[empresa]"),Q$6)</f>
        <v>0</v>
      </c>
      <c r="R40" s="49">
        <f ca="1">SUMIFS(rec.uni[2024-02-01],
INDIRECT("rec.uni[natureza]"),"repasse.cef.obra",
INDIRECT("rec.uni[empresa]"),R$6)</f>
        <v>0</v>
      </c>
      <c r="S40" s="49">
        <f ca="1">SUMIFS(rec.uni[2024-02-01],
INDIRECT("rec.uni[natureza]"),"repasse.cef.terreno",
INDIRECT("rec.uni[empresa]"),S$6)</f>
        <v>0</v>
      </c>
      <c r="T40" s="49">
        <v>0</v>
      </c>
      <c r="U40" s="49">
        <f ca="1">SUMIFS(rec.uni[2024-02-01],
INDIRECT("rec.uni[natureza]"),"taxa.extra",
INDIRECT("rec.uni[empresa]"),U$6)</f>
        <v>0</v>
      </c>
      <c r="V40" s="50"/>
      <c r="W40" s="48">
        <f>COUNTIFS(
    in.r9[empresa], W$6,
    in.r9[Data da venda / reserva], "&gt;=" &amp; $A40,
    in.r9[Data da venda / reserva], "&lt;"  &amp; EOMONTH($A40,0) + 1
)</f>
        <v>0</v>
      </c>
      <c r="X40" s="49">
        <f ca="1">SUMIFS(rec.uni[2024-02-01],
INDIRECT("rec.uni[natureza]"),"pro.soluto",
INDIRECT("rec.uni[empresa]"),X$6)</f>
        <v>0</v>
      </c>
      <c r="Y40" s="49">
        <f ca="1">SUMIFS(rec.uni[2024-02-01],
INDIRECT("rec.uni[natureza]"),"taxa.extra",
INDIRECT("rec.uni[empresa]"),Y$6)</f>
        <v>0</v>
      </c>
      <c r="Z40" s="50"/>
      <c r="AA40" s="48">
        <f>COUNTIFS(
    in.r9[empresa], AA$6,
    in.r9[Data da venda / reserva], "&gt;=" &amp; $A40,
    in.r9[Data da venda / reserva], "&lt;"  &amp; EOMONTH($A40,0) + 1
)</f>
        <v>0</v>
      </c>
      <c r="AB40" s="49">
        <f ca="1">SUMIFS(rec.uni[2024-02-01],
INDIRECT("rec.uni[natureza]"),"pro.soluto",
INDIRECT("rec.uni[empresa]"),AB$6)</f>
        <v>0</v>
      </c>
      <c r="AC40" s="38">
        <f ca="1">SUMIFS(rec.uni[2024-02-01],
INDIRECT("rec.uni[natureza]"),"parcela.fin.total.ik",
INDIRECT("rec.uni[empresa]"),AC$6)</f>
        <v>0</v>
      </c>
      <c r="AD40" s="49">
        <f ca="1">SUMIFS(rec.uni[2024-02-01],
INDIRECT("rec.uni[natureza]"),"taxa.extra",
INDIRECT("rec.uni[empresa]"),AD$6)</f>
        <v>0</v>
      </c>
      <c r="AE40" s="50"/>
      <c r="AF40" s="48">
        <f>COUNTIFS(
    in.r9[empresa], AF$6,
    in.r9[Data da venda / reserva], "&gt;=" &amp; $A40,
    in.r9[Data da venda / reserva], "&lt;"  &amp; EOMONTH($A40,0) + 1
)</f>
        <v>0</v>
      </c>
      <c r="AG40" s="49">
        <f ca="1">SUMIFS(rec.uni[2024-02-01],
INDIRECT("rec.uni[natureza]"),"pro.soluto",
INDIRECT("rec.uni[empresa]"),AG$6)</f>
        <v>0</v>
      </c>
      <c r="AH40" s="49">
        <f ca="1">SUMIFS(rec.uni[2024-02-01],
INDIRECT("rec.uni[natureza]"),"repasse.cef.obra",
INDIRECT("rec.uni[empresa]"),AH$6)</f>
        <v>0</v>
      </c>
      <c r="AI40" s="49">
        <f ca="1">SUMIFS(rec.uni[2024-02-01],
INDIRECT("rec.uni[natureza]"),"repasse.cef.terreno",
INDIRECT("rec.uni[empresa]"),AI$6)</f>
        <v>0</v>
      </c>
      <c r="AJ40" s="49">
        <v>0</v>
      </c>
      <c r="AK40" s="49">
        <f ca="1">SUMIFS(rec.uni[2024-02-01],
INDIRECT("rec.uni[natureza]"),"taxa.extra",
INDIRECT("rec.uni[empresa]"),AK$6)</f>
        <v>0</v>
      </c>
      <c r="AL40" s="50"/>
      <c r="AM40" s="48">
        <f>COUNTIFS(
    in.r9[empresa], AM$6,
    in.r9[Data da venda / reserva], "&gt;=" &amp; $A40,
    in.r9[Data da venda / reserva], "&lt;"  &amp; EOMONTH($A40,0) + 1
)</f>
        <v>0</v>
      </c>
      <c r="AN40" s="49">
        <f ca="1">SUMIFS(rec.uni[2024-02-01],
INDIRECT("rec.uni[natureza]"),"pro.soluto",
INDIRECT("rec.uni[empresa]"),AN$6)</f>
        <v>0</v>
      </c>
      <c r="AO40" s="49">
        <f ca="1">SUMIFS(rec.uni[2024-02-01],
INDIRECT("rec.uni[natureza]"),"taxa.extra",
INDIRECT("rec.uni[empresa]"),AO$6)</f>
        <v>0</v>
      </c>
      <c r="AP40" s="50"/>
    </row>
    <row r="41" spans="1:42" x14ac:dyDescent="0.25">
      <c r="A41" s="47">
        <v>45352</v>
      </c>
      <c r="B41" s="48">
        <f>COUNTIFS(
    in.r9[empresa], B$6,
    in.r9[Data da venda / reserva], "&gt;=" &amp; $A41,
    in.r9[Data da venda / reserva], "&lt;"  &amp; EOMONTH($A41,0) + 1
)</f>
        <v>0</v>
      </c>
      <c r="C41" s="49">
        <f ca="1">SUMIFS(rec.uni[2024-03-01],
INDIRECT("rec.uni[natureza]"),"pro.soluto",
INDIRECT("rec.uni[empresa]"),C$6)</f>
        <v>0</v>
      </c>
      <c r="D41" s="49">
        <f ca="1">SUMIFS(rec.uni[2024-03-01],
INDIRECT("rec.uni[natureza]"),"repasse.cef.obra",
INDIRECT("rec.uni[empresa]"),D$6)</f>
        <v>0</v>
      </c>
      <c r="E41" s="49">
        <f ca="1">SUMIFS(rec.uni[2024-03-01],
INDIRECT("rec.uni[natureza]"),"repasse.cef.terreno",
INDIRECT("rec.uni[empresa]"),E$6)</f>
        <v>0</v>
      </c>
      <c r="F41" s="49">
        <v>403051.79</v>
      </c>
      <c r="G41" s="49">
        <f ca="1">SUMIFS(rec.uni[2024-03-01],
INDIRECT("rec.uni[natureza]"),"taxa.extra",
INDIRECT("rec.uni[empresa]"),G$6)</f>
        <v>0</v>
      </c>
      <c r="H41" s="50"/>
      <c r="I41" s="48">
        <f>COUNTIFS(
    in.r9[empresa], I$6,
    in.r9[Data da venda / reserva], "&gt;=" &amp; $A41,
    in.r9[Data da venda / reserva], "&lt;"  &amp; EOMONTH($A41,0) + 1
)</f>
        <v>0</v>
      </c>
      <c r="J41" s="49">
        <f ca="1">SUMIFS(rec.uni[2024-03-01],
INDIRECT("rec.uni[natureza]"),"pro.soluto",
INDIRECT("rec.uni[empresa]"),J$6)</f>
        <v>0</v>
      </c>
      <c r="K41" s="49">
        <f ca="1">SUMIFS(rec.uni[2024-03-01],
INDIRECT("rec.uni[natureza]"),"repasse.cef.obra",
INDIRECT("rec.uni[empresa]"),K$6)</f>
        <v>0</v>
      </c>
      <c r="L41" s="49">
        <f ca="1">SUMIFS(rec.uni[2024-03-01],
INDIRECT("rec.uni[natureza]"),"repasse.cef.terreno",
INDIRECT("rec.uni[empresa]"),L$6)</f>
        <v>0</v>
      </c>
      <c r="M41" s="49">
        <v>412689.22</v>
      </c>
      <c r="N41" s="49">
        <f ca="1">SUMIFS(rec.uni[2024-03-01],
INDIRECT("rec.uni[natureza]"),"taxa.extra",
INDIRECT("rec.uni[empresa]"),N$6)</f>
        <v>0</v>
      </c>
      <c r="O41" s="50"/>
      <c r="P41" s="48">
        <f>COUNTIFS(
    in.r9[empresa], P$6,
    in.r9[Data da venda / reserva], "&gt;=" &amp; $A41,
    in.r9[Data da venda / reserva], "&lt;"  &amp; EOMONTH($A41,0) + 1
)</f>
        <v>0</v>
      </c>
      <c r="Q41" s="49">
        <f ca="1">SUMIFS(rec.uni[2024-03-01],
INDIRECT("rec.uni[natureza]"),"pro.soluto",
INDIRECT("rec.uni[empresa]"),Q$6)</f>
        <v>0</v>
      </c>
      <c r="R41" s="49">
        <f ca="1">SUMIFS(rec.uni[2024-03-01],
INDIRECT("rec.uni[natureza]"),"repasse.cef.obra",
INDIRECT("rec.uni[empresa]"),R$6)</f>
        <v>0</v>
      </c>
      <c r="S41" s="49">
        <f ca="1">SUMIFS(rec.uni[2024-03-01],
INDIRECT("rec.uni[natureza]"),"repasse.cef.terreno",
INDIRECT("rec.uni[empresa]"),S$6)</f>
        <v>0</v>
      </c>
      <c r="T41" s="49">
        <v>0</v>
      </c>
      <c r="U41" s="49">
        <f ca="1">SUMIFS(rec.uni[2024-03-01],
INDIRECT("rec.uni[natureza]"),"taxa.extra",
INDIRECT("rec.uni[empresa]"),U$6)</f>
        <v>0</v>
      </c>
      <c r="V41" s="50"/>
      <c r="W41" s="48">
        <f>COUNTIFS(
    in.r9[empresa], W$6,
    in.r9[Data da venda / reserva], "&gt;=" &amp; $A41,
    in.r9[Data da venda / reserva], "&lt;"  &amp; EOMONTH($A41,0) + 1
)</f>
        <v>0</v>
      </c>
      <c r="X41" s="49">
        <f ca="1">SUMIFS(rec.uni[2024-03-01],
INDIRECT("rec.uni[natureza]"),"pro.soluto",
INDIRECT("rec.uni[empresa]"),X$6)</f>
        <v>0</v>
      </c>
      <c r="Y41" s="49">
        <f ca="1">SUMIFS(rec.uni[2024-03-01],
INDIRECT("rec.uni[natureza]"),"taxa.extra",
INDIRECT("rec.uni[empresa]"),Y$6)</f>
        <v>0</v>
      </c>
      <c r="Z41" s="50"/>
      <c r="AA41" s="48">
        <f>COUNTIFS(
    in.r9[empresa], AA$6,
    in.r9[Data da venda / reserva], "&gt;=" &amp; $A41,
    in.r9[Data da venda / reserva], "&lt;"  &amp; EOMONTH($A41,0) + 1
)</f>
        <v>0</v>
      </c>
      <c r="AB41" s="49">
        <f ca="1">SUMIFS(rec.uni[2024-03-01],
INDIRECT("rec.uni[natureza]"),"pro.soluto",
INDIRECT("rec.uni[empresa]"),AB$6)</f>
        <v>0</v>
      </c>
      <c r="AC41" s="38">
        <f ca="1">SUMIFS(rec.uni[2024-03-01],
INDIRECT("rec.uni[natureza]"),"parcela.fin.total.ik",
INDIRECT("rec.uni[empresa]"),AC$6)</f>
        <v>0</v>
      </c>
      <c r="AD41" s="49">
        <f ca="1">SUMIFS(rec.uni[2024-03-01],
INDIRECT("rec.uni[natureza]"),"taxa.extra",
INDIRECT("rec.uni[empresa]"),AD$6)</f>
        <v>0</v>
      </c>
      <c r="AE41" s="50"/>
      <c r="AF41" s="48">
        <f>COUNTIFS(
    in.r9[empresa], AF$6,
    in.r9[Data da venda / reserva], "&gt;=" &amp; $A41,
    in.r9[Data da venda / reserva], "&lt;"  &amp; EOMONTH($A41,0) + 1
)</f>
        <v>0</v>
      </c>
      <c r="AG41" s="49">
        <f ca="1">SUMIFS(rec.uni[2024-03-01],
INDIRECT("rec.uni[natureza]"),"pro.soluto",
INDIRECT("rec.uni[empresa]"),AG$6)</f>
        <v>0</v>
      </c>
      <c r="AH41" s="49">
        <f ca="1">SUMIFS(rec.uni[2024-03-01],
INDIRECT("rec.uni[natureza]"),"repasse.cef.obra",
INDIRECT("rec.uni[empresa]"),AH$6)</f>
        <v>0</v>
      </c>
      <c r="AI41" s="49">
        <f ca="1">SUMIFS(rec.uni[2024-03-01],
INDIRECT("rec.uni[natureza]"),"repasse.cef.terreno",
INDIRECT("rec.uni[empresa]"),AI$6)</f>
        <v>0</v>
      </c>
      <c r="AJ41" s="49">
        <v>0</v>
      </c>
      <c r="AK41" s="49">
        <f ca="1">SUMIFS(rec.uni[2024-03-01],
INDIRECT("rec.uni[natureza]"),"taxa.extra",
INDIRECT("rec.uni[empresa]"),AK$6)</f>
        <v>0</v>
      </c>
      <c r="AL41" s="50"/>
      <c r="AM41" s="48">
        <f>COUNTIFS(
    in.r9[empresa], AM$6,
    in.r9[Data da venda / reserva], "&gt;=" &amp; $A41,
    in.r9[Data da venda / reserva], "&lt;"  &amp; EOMONTH($A41,0) + 1
)</f>
        <v>0</v>
      </c>
      <c r="AN41" s="49">
        <f ca="1">SUMIFS(rec.uni[2024-03-01],
INDIRECT("rec.uni[natureza]"),"pro.soluto",
INDIRECT("rec.uni[empresa]"),AN$6)</f>
        <v>0</v>
      </c>
      <c r="AO41" s="49">
        <f ca="1">SUMIFS(rec.uni[2024-03-01],
INDIRECT("rec.uni[natureza]"),"taxa.extra",
INDIRECT("rec.uni[empresa]"),AO$6)</f>
        <v>0</v>
      </c>
      <c r="AP41" s="50"/>
    </row>
    <row r="42" spans="1:42" x14ac:dyDescent="0.25">
      <c r="A42" s="47">
        <v>45383</v>
      </c>
      <c r="B42" s="48">
        <f>COUNTIFS(
    in.r9[empresa], B$6,
    in.r9[Data da venda / reserva], "&gt;=" &amp; $A42,
    in.r9[Data da venda / reserva], "&lt;"  &amp; EOMONTH($A42,0) + 1
)</f>
        <v>0</v>
      </c>
      <c r="C42" s="49">
        <f ca="1">SUMIFS(rec.uni[2024-04-01],
INDIRECT("rec.uni[natureza]"),"pro.soluto",
INDIRECT("rec.uni[empresa]"),C$6)</f>
        <v>0</v>
      </c>
      <c r="D42" s="49">
        <f ca="1">SUMIFS(rec.uni[2024-04-01],
INDIRECT("rec.uni[natureza]"),"repasse.cef.obra",
INDIRECT("rec.uni[empresa]"),D$6)</f>
        <v>0</v>
      </c>
      <c r="E42" s="49">
        <f ca="1">SUMIFS(rec.uni[2024-04-01],
INDIRECT("rec.uni[natureza]"),"repasse.cef.terreno",
INDIRECT("rec.uni[empresa]"),E$6)</f>
        <v>0</v>
      </c>
      <c r="F42" s="49">
        <v>516683.36</v>
      </c>
      <c r="G42" s="49">
        <f ca="1">SUMIFS(rec.uni[2024-04-01],
INDIRECT("rec.uni[natureza]"),"taxa.extra",
INDIRECT("rec.uni[empresa]"),G$6)</f>
        <v>0</v>
      </c>
      <c r="H42" s="50"/>
      <c r="I42" s="48">
        <f>COUNTIFS(
    in.r9[empresa], I$6,
    in.r9[Data da venda / reserva], "&gt;=" &amp; $A42,
    in.r9[Data da venda / reserva], "&lt;"  &amp; EOMONTH($A42,0) + 1
)</f>
        <v>0</v>
      </c>
      <c r="J42" s="49">
        <f ca="1">SUMIFS(rec.uni[2024-04-01],
INDIRECT("rec.uni[natureza]"),"pro.soluto",
INDIRECT("rec.uni[empresa]"),J$6)</f>
        <v>0</v>
      </c>
      <c r="K42" s="49">
        <f ca="1">SUMIFS(rec.uni[2024-04-01],
INDIRECT("rec.uni[natureza]"),"repasse.cef.obra",
INDIRECT("rec.uni[empresa]"),K$6)</f>
        <v>0</v>
      </c>
      <c r="L42" s="49">
        <f ca="1">SUMIFS(rec.uni[2024-04-01],
INDIRECT("rec.uni[natureza]"),"repasse.cef.terreno",
INDIRECT("rec.uni[empresa]"),L$6)</f>
        <v>0</v>
      </c>
      <c r="M42" s="49">
        <v>556963.03</v>
      </c>
      <c r="N42" s="49">
        <f ca="1">SUMIFS(rec.uni[2024-04-01],
INDIRECT("rec.uni[natureza]"),"taxa.extra",
INDIRECT("rec.uni[empresa]"),N$6)</f>
        <v>0</v>
      </c>
      <c r="O42" s="50"/>
      <c r="P42" s="48">
        <f>COUNTIFS(
    in.r9[empresa], P$6,
    in.r9[Data da venda / reserva], "&gt;=" &amp; $A42,
    in.r9[Data da venda / reserva], "&lt;"  &amp; EOMONTH($A42,0) + 1
)</f>
        <v>0</v>
      </c>
      <c r="Q42" s="49">
        <f ca="1">SUMIFS(rec.uni[2024-04-01],
INDIRECT("rec.uni[natureza]"),"pro.soluto",
INDIRECT("rec.uni[empresa]"),Q$6)</f>
        <v>0</v>
      </c>
      <c r="R42" s="49">
        <f ca="1">SUMIFS(rec.uni[2024-04-01],
INDIRECT("rec.uni[natureza]"),"repasse.cef.obra",
INDIRECT("rec.uni[empresa]"),R$6)</f>
        <v>0</v>
      </c>
      <c r="S42" s="49">
        <f ca="1">SUMIFS(rec.uni[2024-04-01],
INDIRECT("rec.uni[natureza]"),"repasse.cef.terreno",
INDIRECT("rec.uni[empresa]"),S$6)</f>
        <v>0</v>
      </c>
      <c r="T42" s="49">
        <v>0</v>
      </c>
      <c r="U42" s="49">
        <f ca="1">SUMIFS(rec.uni[2024-04-01],
INDIRECT("rec.uni[natureza]"),"taxa.extra",
INDIRECT("rec.uni[empresa]"),U$6)</f>
        <v>0</v>
      </c>
      <c r="V42" s="50"/>
      <c r="W42" s="48">
        <f>COUNTIFS(
    in.r9[empresa], W$6,
    in.r9[Data da venda / reserva], "&gt;=" &amp; $A42,
    in.r9[Data da venda / reserva], "&lt;"  &amp; EOMONTH($A42,0) + 1
)</f>
        <v>0</v>
      </c>
      <c r="X42" s="49">
        <f ca="1">SUMIFS(rec.uni[2024-04-01],
INDIRECT("rec.uni[natureza]"),"pro.soluto",
INDIRECT("rec.uni[empresa]"),X$6)</f>
        <v>0</v>
      </c>
      <c r="Y42" s="49">
        <f ca="1">SUMIFS(rec.uni[2024-04-01],
INDIRECT("rec.uni[natureza]"),"taxa.extra",
INDIRECT("rec.uni[empresa]"),Y$6)</f>
        <v>0</v>
      </c>
      <c r="Z42" s="50"/>
      <c r="AA42" s="48">
        <f>COUNTIFS(
    in.r9[empresa], AA$6,
    in.r9[Data da venda / reserva], "&gt;=" &amp; $A42,
    in.r9[Data da venda / reserva], "&lt;"  &amp; EOMONTH($A42,0) + 1
)</f>
        <v>0</v>
      </c>
      <c r="AB42" s="49">
        <f ca="1">SUMIFS(rec.uni[2024-04-01],
INDIRECT("rec.uni[natureza]"),"pro.soluto",
INDIRECT("rec.uni[empresa]"),AB$6)</f>
        <v>0</v>
      </c>
      <c r="AC42" s="38">
        <f ca="1">SUMIFS(rec.uni[2024-04-01],
INDIRECT("rec.uni[natureza]"),"parcela.fin.total.ik",
INDIRECT("rec.uni[empresa]"),AC$6)</f>
        <v>0</v>
      </c>
      <c r="AD42" s="49">
        <f ca="1">SUMIFS(rec.uni[2024-04-01],
INDIRECT("rec.uni[natureza]"),"taxa.extra",
INDIRECT("rec.uni[empresa]"),AD$6)</f>
        <v>0</v>
      </c>
      <c r="AE42" s="50"/>
      <c r="AF42" s="48">
        <f>COUNTIFS(
    in.r9[empresa], AF$6,
    in.r9[Data da venda / reserva], "&gt;=" &amp; $A42,
    in.r9[Data da venda / reserva], "&lt;"  &amp; EOMONTH($A42,0) + 1
)</f>
        <v>0</v>
      </c>
      <c r="AG42" s="49">
        <f ca="1">SUMIFS(rec.uni[2024-04-01],
INDIRECT("rec.uni[natureza]"),"pro.soluto",
INDIRECT("rec.uni[empresa]"),AG$6)</f>
        <v>0</v>
      </c>
      <c r="AH42" s="49">
        <f ca="1">SUMIFS(rec.uni[2024-04-01],
INDIRECT("rec.uni[natureza]"),"repasse.cef.obra",
INDIRECT("rec.uni[empresa]"),AH$6)</f>
        <v>0</v>
      </c>
      <c r="AI42" s="49">
        <f ca="1">SUMIFS(rec.uni[2024-04-01],
INDIRECT("rec.uni[natureza]"),"repasse.cef.terreno",
INDIRECT("rec.uni[empresa]"),AI$6)</f>
        <v>0</v>
      </c>
      <c r="AJ42" s="49">
        <v>0</v>
      </c>
      <c r="AK42" s="49">
        <f ca="1">SUMIFS(rec.uni[2024-04-01],
INDIRECT("rec.uni[natureza]"),"taxa.extra",
INDIRECT("rec.uni[empresa]"),AK$6)</f>
        <v>0</v>
      </c>
      <c r="AL42" s="50"/>
      <c r="AM42" s="48">
        <f>COUNTIFS(
    in.r9[empresa], AM$6,
    in.r9[Data da venda / reserva], "&gt;=" &amp; $A42,
    in.r9[Data da venda / reserva], "&lt;"  &amp; EOMONTH($A42,0) + 1
)</f>
        <v>0</v>
      </c>
      <c r="AN42" s="49">
        <f ca="1">SUMIFS(rec.uni[2024-04-01],
INDIRECT("rec.uni[natureza]"),"pro.soluto",
INDIRECT("rec.uni[empresa]"),AN$6)</f>
        <v>0</v>
      </c>
      <c r="AO42" s="49">
        <f ca="1">SUMIFS(rec.uni[2024-04-01],
INDIRECT("rec.uni[natureza]"),"taxa.extra",
INDIRECT("rec.uni[empresa]"),AO$6)</f>
        <v>0</v>
      </c>
      <c r="AP42" s="50"/>
    </row>
    <row r="43" spans="1:42" x14ac:dyDescent="0.25">
      <c r="A43" s="47">
        <v>45413</v>
      </c>
      <c r="B43" s="48">
        <f>COUNTIFS(
    in.r9[empresa], B$6,
    in.r9[Data da venda / reserva], "&gt;=" &amp; $A43,
    in.r9[Data da venda / reserva], "&lt;"  &amp; EOMONTH($A43,0) + 1
)</f>
        <v>0</v>
      </c>
      <c r="C43" s="49">
        <f ca="1">SUMIFS(rec.uni[2024-05-01],
INDIRECT("rec.uni[natureza]"),"pro.soluto",
INDIRECT("rec.uni[empresa]"),C$6)</f>
        <v>0</v>
      </c>
      <c r="D43" s="49">
        <f ca="1">SUMIFS(rec.uni[2024-05-01],
INDIRECT("rec.uni[natureza]"),"repasse.cef.obra",
INDIRECT("rec.uni[empresa]"),D$6)</f>
        <v>0</v>
      </c>
      <c r="E43" s="49">
        <f ca="1">SUMIFS(rec.uni[2024-05-01],
INDIRECT("rec.uni[natureza]"),"repasse.cef.terreno",
INDIRECT("rec.uni[empresa]"),E$6)</f>
        <v>0</v>
      </c>
      <c r="F43" s="49">
        <v>0</v>
      </c>
      <c r="G43" s="49">
        <f ca="1">SUMIFS(rec.uni[2024-05-01],
INDIRECT("rec.uni[natureza]"),"taxa.extra",
INDIRECT("rec.uni[empresa]"),G$6)</f>
        <v>0</v>
      </c>
      <c r="H43" s="50"/>
      <c r="I43" s="48">
        <f>COUNTIFS(
    in.r9[empresa], I$6,
    in.r9[Data da venda / reserva], "&gt;=" &amp; $A43,
    in.r9[Data da venda / reserva], "&lt;"  &amp; EOMONTH($A43,0) + 1
)</f>
        <v>0</v>
      </c>
      <c r="J43" s="49">
        <f ca="1">SUMIFS(rec.uni[2024-05-01],
INDIRECT("rec.uni[natureza]"),"pro.soluto",
INDIRECT("rec.uni[empresa]"),J$6)</f>
        <v>0</v>
      </c>
      <c r="K43" s="49">
        <f ca="1">SUMIFS(rec.uni[2024-05-01],
INDIRECT("rec.uni[natureza]"),"repasse.cef.obra",
INDIRECT("rec.uni[empresa]"),K$6)</f>
        <v>0</v>
      </c>
      <c r="L43" s="49">
        <f ca="1">SUMIFS(rec.uni[2024-05-01],
INDIRECT("rec.uni[natureza]"),"repasse.cef.terreno",
INDIRECT("rec.uni[empresa]"),L$6)</f>
        <v>0</v>
      </c>
      <c r="M43" s="49">
        <v>0</v>
      </c>
      <c r="N43" s="49">
        <f ca="1">SUMIFS(rec.uni[2024-05-01],
INDIRECT("rec.uni[natureza]"),"taxa.extra",
INDIRECT("rec.uni[empresa]"),N$6)</f>
        <v>0</v>
      </c>
      <c r="O43" s="50"/>
      <c r="P43" s="48">
        <f>COUNTIFS(
    in.r9[empresa], P$6,
    in.r9[Data da venda / reserva], "&gt;=" &amp; $A43,
    in.r9[Data da venda / reserva], "&lt;"  &amp; EOMONTH($A43,0) + 1
)</f>
        <v>0</v>
      </c>
      <c r="Q43" s="49">
        <f ca="1">SUMIFS(rec.uni[2024-05-01],
INDIRECT("rec.uni[natureza]"),"pro.soluto",
INDIRECT("rec.uni[empresa]"),Q$6)</f>
        <v>0</v>
      </c>
      <c r="R43" s="49">
        <f ca="1">SUMIFS(rec.uni[2024-05-01],
INDIRECT("rec.uni[natureza]"),"repasse.cef.obra",
INDIRECT("rec.uni[empresa]"),R$6)</f>
        <v>0</v>
      </c>
      <c r="S43" s="49">
        <f ca="1">SUMIFS(rec.uni[2024-05-01],
INDIRECT("rec.uni[natureza]"),"repasse.cef.terreno",
INDIRECT("rec.uni[empresa]"),S$6)</f>
        <v>0</v>
      </c>
      <c r="T43" s="49">
        <v>0</v>
      </c>
      <c r="U43" s="49">
        <f ca="1">SUMIFS(rec.uni[2024-05-01],
INDIRECT("rec.uni[natureza]"),"taxa.extra",
INDIRECT("rec.uni[empresa]"),U$6)</f>
        <v>0</v>
      </c>
      <c r="V43" s="50"/>
      <c r="W43" s="48">
        <f>COUNTIFS(
    in.r9[empresa], W$6,
    in.r9[Data da venda / reserva], "&gt;=" &amp; $A43,
    in.r9[Data da venda / reserva], "&lt;"  &amp; EOMONTH($A43,0) + 1
)</f>
        <v>0</v>
      </c>
      <c r="X43" s="49">
        <f ca="1">SUMIFS(rec.uni[2024-05-01],
INDIRECT("rec.uni[natureza]"),"pro.soluto",
INDIRECT("rec.uni[empresa]"),X$6)</f>
        <v>0</v>
      </c>
      <c r="Y43" s="49">
        <f ca="1">SUMIFS(rec.uni[2024-05-01],
INDIRECT("rec.uni[natureza]"),"taxa.extra",
INDIRECT("rec.uni[empresa]"),Y$6)</f>
        <v>0</v>
      </c>
      <c r="Z43" s="50"/>
      <c r="AA43" s="48">
        <f>COUNTIFS(
    in.r9[empresa], AA$6,
    in.r9[Data da venda / reserva], "&gt;=" &amp; $A43,
    in.r9[Data da venda / reserva], "&lt;"  &amp; EOMONTH($A43,0) + 1
)</f>
        <v>0</v>
      </c>
      <c r="AB43" s="49">
        <f ca="1">SUMIFS(rec.uni[2024-05-01],
INDIRECT("rec.uni[natureza]"),"pro.soluto",
INDIRECT("rec.uni[empresa]"),AB$6)</f>
        <v>0</v>
      </c>
      <c r="AC43" s="38">
        <f ca="1">SUMIFS(rec.uni[2024-05-01],
INDIRECT("rec.uni[natureza]"),"parcela.fin.total.ik",
INDIRECT("rec.uni[empresa]"),AC$6)</f>
        <v>0</v>
      </c>
      <c r="AD43" s="49">
        <f ca="1">SUMIFS(rec.uni[2024-05-01],
INDIRECT("rec.uni[natureza]"),"taxa.extra",
INDIRECT("rec.uni[empresa]"),AD$6)</f>
        <v>0</v>
      </c>
      <c r="AE43" s="50"/>
      <c r="AF43" s="48">
        <f>COUNTIFS(
    in.r9[empresa], AF$6,
    in.r9[Data da venda / reserva], "&gt;=" &amp; $A43,
    in.r9[Data da venda / reserva], "&lt;"  &amp; EOMONTH($A43,0) + 1
)</f>
        <v>0</v>
      </c>
      <c r="AG43" s="49">
        <f ca="1">SUMIFS(rec.uni[2024-05-01],
INDIRECT("rec.uni[natureza]"),"pro.soluto",
INDIRECT("rec.uni[empresa]"),AG$6)</f>
        <v>0</v>
      </c>
      <c r="AH43" s="49">
        <f ca="1">SUMIFS(rec.uni[2024-05-01],
INDIRECT("rec.uni[natureza]"),"repasse.cef.obra",
INDIRECT("rec.uni[empresa]"),AH$6)</f>
        <v>0</v>
      </c>
      <c r="AI43" s="49">
        <f ca="1">SUMIFS(rec.uni[2024-05-01],
INDIRECT("rec.uni[natureza]"),"repasse.cef.terreno",
INDIRECT("rec.uni[empresa]"),AI$6)</f>
        <v>0</v>
      </c>
      <c r="AJ43" s="49">
        <v>0</v>
      </c>
      <c r="AK43" s="49">
        <f ca="1">SUMIFS(rec.uni[2024-05-01],
INDIRECT("rec.uni[natureza]"),"taxa.extra",
INDIRECT("rec.uni[empresa]"),AK$6)</f>
        <v>0</v>
      </c>
      <c r="AL43" s="50"/>
      <c r="AM43" s="48">
        <f>COUNTIFS(
    in.r9[empresa], AM$6,
    in.r9[Data da venda / reserva], "&gt;=" &amp; $A43,
    in.r9[Data da venda / reserva], "&lt;"  &amp; EOMONTH($A43,0) + 1
)</f>
        <v>0</v>
      </c>
      <c r="AN43" s="49">
        <f ca="1">SUMIFS(rec.uni[2024-05-01],
INDIRECT("rec.uni[natureza]"),"pro.soluto",
INDIRECT("rec.uni[empresa]"),AN$6)</f>
        <v>0</v>
      </c>
      <c r="AO43" s="49">
        <f ca="1">SUMIFS(rec.uni[2024-05-01],
INDIRECT("rec.uni[natureza]"),"taxa.extra",
INDIRECT("rec.uni[empresa]"),AO$6)</f>
        <v>0</v>
      </c>
      <c r="AP43" s="50"/>
    </row>
    <row r="44" spans="1:42" x14ac:dyDescent="0.25">
      <c r="A44" s="47">
        <v>45444</v>
      </c>
      <c r="B44" s="48">
        <f>COUNTIFS(
    in.r9[empresa], B$6,
    in.r9[Data da venda / reserva], "&gt;=" &amp; $A44,
    in.r9[Data da venda / reserva], "&lt;"  &amp; EOMONTH($A44,0) + 1
)</f>
        <v>0</v>
      </c>
      <c r="C44" s="49">
        <f ca="1">SUMIFS(rec.uni[2024-06-01],
INDIRECT("rec.uni[natureza]"),"pro.soluto",
INDIRECT("rec.uni[empresa]"),C$6)</f>
        <v>0</v>
      </c>
      <c r="D44" s="49">
        <f ca="1">SUMIFS(rec.uni[2024-06-01],
INDIRECT("rec.uni[natureza]"),"repasse.cef.obra",
INDIRECT("rec.uni[empresa]"),D$6)</f>
        <v>0</v>
      </c>
      <c r="E44" s="49">
        <f ca="1">SUMIFS(rec.uni[2024-06-01],
INDIRECT("rec.uni[natureza]"),"repasse.cef.terreno",
INDIRECT("rec.uni[empresa]"),E$6)</f>
        <v>0</v>
      </c>
      <c r="F44" s="49">
        <v>0</v>
      </c>
      <c r="G44" s="49">
        <f ca="1">SUMIFS(rec.uni[2024-06-01],
INDIRECT("rec.uni[natureza]"),"taxa.extra",
INDIRECT("rec.uni[empresa]"),G$6)</f>
        <v>0</v>
      </c>
      <c r="H44" s="50"/>
      <c r="I44" s="48">
        <f>COUNTIFS(
    in.r9[empresa], I$6,
    in.r9[Data da venda / reserva], "&gt;=" &amp; $A44,
    in.r9[Data da venda / reserva], "&lt;"  &amp; EOMONTH($A44,0) + 1
)</f>
        <v>0</v>
      </c>
      <c r="J44" s="49">
        <f ca="1">SUMIFS(rec.uni[2024-06-01],
INDIRECT("rec.uni[natureza]"),"pro.soluto",
INDIRECT("rec.uni[empresa]"),J$6)</f>
        <v>0</v>
      </c>
      <c r="K44" s="49">
        <f ca="1">SUMIFS(rec.uni[2024-06-01],
INDIRECT("rec.uni[natureza]"),"repasse.cef.obra",
INDIRECT("rec.uni[empresa]"),K$6)</f>
        <v>0</v>
      </c>
      <c r="L44" s="49">
        <f ca="1">SUMIFS(rec.uni[2024-06-01],
INDIRECT("rec.uni[natureza]"),"repasse.cef.terreno",
INDIRECT("rec.uni[empresa]"),L$6)</f>
        <v>0</v>
      </c>
      <c r="M44" s="49">
        <v>0</v>
      </c>
      <c r="N44" s="49">
        <f ca="1">SUMIFS(rec.uni[2024-06-01],
INDIRECT("rec.uni[natureza]"),"taxa.extra",
INDIRECT("rec.uni[empresa]"),N$6)</f>
        <v>0</v>
      </c>
      <c r="O44" s="50"/>
      <c r="P44" s="48">
        <f>COUNTIFS(
    in.r9[empresa], P$6,
    in.r9[Data da venda / reserva], "&gt;=" &amp; $A44,
    in.r9[Data da venda / reserva], "&lt;"  &amp; EOMONTH($A44,0) + 1
)</f>
        <v>0</v>
      </c>
      <c r="Q44" s="49">
        <f ca="1">SUMIFS(rec.uni[2024-06-01],
INDIRECT("rec.uni[natureza]"),"pro.soluto",
INDIRECT("rec.uni[empresa]"),Q$6)</f>
        <v>0</v>
      </c>
      <c r="R44" s="49">
        <f ca="1">SUMIFS(rec.uni[2024-06-01],
INDIRECT("rec.uni[natureza]"),"repasse.cef.obra",
INDIRECT("rec.uni[empresa]"),R$6)</f>
        <v>0</v>
      </c>
      <c r="S44" s="49">
        <f ca="1">SUMIFS(rec.uni[2024-06-01],
INDIRECT("rec.uni[natureza]"),"repasse.cef.terreno",
INDIRECT("rec.uni[empresa]"),S$6)</f>
        <v>0</v>
      </c>
      <c r="T44" s="49">
        <v>0</v>
      </c>
      <c r="U44" s="49">
        <f ca="1">SUMIFS(rec.uni[2024-06-01],
INDIRECT("rec.uni[natureza]"),"taxa.extra",
INDIRECT("rec.uni[empresa]"),U$6)</f>
        <v>0</v>
      </c>
      <c r="V44" s="50"/>
      <c r="W44" s="48">
        <f>COUNTIFS(
    in.r9[empresa], W$6,
    in.r9[Data da venda / reserva], "&gt;=" &amp; $A44,
    in.r9[Data da venda / reserva], "&lt;"  &amp; EOMONTH($A44,0) + 1
)</f>
        <v>0</v>
      </c>
      <c r="X44" s="49">
        <f ca="1">SUMIFS(rec.uni[2024-06-01],
INDIRECT("rec.uni[natureza]"),"pro.soluto",
INDIRECT("rec.uni[empresa]"),X$6)</f>
        <v>0</v>
      </c>
      <c r="Y44" s="49">
        <f ca="1">SUMIFS(rec.uni[2024-06-01],
INDIRECT("rec.uni[natureza]"),"taxa.extra",
INDIRECT("rec.uni[empresa]"),Y$6)</f>
        <v>0</v>
      </c>
      <c r="Z44" s="50"/>
      <c r="AA44" s="48">
        <f>COUNTIFS(
    in.r9[empresa], AA$6,
    in.r9[Data da venda / reserva], "&gt;=" &amp; $A44,
    in.r9[Data da venda / reserva], "&lt;"  &amp; EOMONTH($A44,0) + 1
)</f>
        <v>0</v>
      </c>
      <c r="AB44" s="49">
        <f ca="1">SUMIFS(rec.uni[2024-06-01],
INDIRECT("rec.uni[natureza]"),"pro.soluto",
INDIRECT("rec.uni[empresa]"),AB$6)</f>
        <v>0</v>
      </c>
      <c r="AC44" s="38">
        <f ca="1">SUMIFS(rec.uni[2024-06-01],
INDIRECT("rec.uni[natureza]"),"parcela.fin.total.ik",
INDIRECT("rec.uni[empresa]"),AC$6)</f>
        <v>0</v>
      </c>
      <c r="AD44" s="49">
        <f ca="1">SUMIFS(rec.uni[2024-06-01],
INDIRECT("rec.uni[natureza]"),"taxa.extra",
INDIRECT("rec.uni[empresa]"),AD$6)</f>
        <v>0</v>
      </c>
      <c r="AE44" s="50"/>
      <c r="AF44" s="48">
        <f>COUNTIFS(
    in.r9[empresa], AF$6,
    in.r9[Data da venda / reserva], "&gt;=" &amp; $A44,
    in.r9[Data da venda / reserva], "&lt;"  &amp; EOMONTH($A44,0) + 1
)</f>
        <v>0</v>
      </c>
      <c r="AG44" s="49">
        <f ca="1">SUMIFS(rec.uni[2024-06-01],
INDIRECT("rec.uni[natureza]"),"pro.soluto",
INDIRECT("rec.uni[empresa]"),AG$6)</f>
        <v>0</v>
      </c>
      <c r="AH44" s="49">
        <f ca="1">SUMIFS(rec.uni[2024-06-01],
INDIRECT("rec.uni[natureza]"),"repasse.cef.obra",
INDIRECT("rec.uni[empresa]"),AH$6)</f>
        <v>0</v>
      </c>
      <c r="AI44" s="49">
        <f ca="1">SUMIFS(rec.uni[2024-06-01],
INDIRECT("rec.uni[natureza]"),"repasse.cef.terreno",
INDIRECT("rec.uni[empresa]"),AI$6)</f>
        <v>0</v>
      </c>
      <c r="AJ44" s="49">
        <v>0</v>
      </c>
      <c r="AK44" s="49">
        <f ca="1">SUMIFS(rec.uni[2024-06-01],
INDIRECT("rec.uni[natureza]"),"taxa.extra",
INDIRECT("rec.uni[empresa]"),AK$6)</f>
        <v>0</v>
      </c>
      <c r="AL44" s="50"/>
      <c r="AM44" s="48">
        <f>COUNTIFS(
    in.r9[empresa], AM$6,
    in.r9[Data da venda / reserva], "&gt;=" &amp; $A44,
    in.r9[Data da venda / reserva], "&lt;"  &amp; EOMONTH($A44,0) + 1
)</f>
        <v>0</v>
      </c>
      <c r="AN44" s="49">
        <f ca="1">SUMIFS(rec.uni[2024-06-01],
INDIRECT("rec.uni[natureza]"),"pro.soluto",
INDIRECT("rec.uni[empresa]"),AN$6)</f>
        <v>0</v>
      </c>
      <c r="AO44" s="49">
        <f ca="1">SUMIFS(rec.uni[2024-06-01],
INDIRECT("rec.uni[natureza]"),"taxa.extra",
INDIRECT("rec.uni[empresa]"),AO$6)</f>
        <v>0</v>
      </c>
      <c r="AP44" s="50"/>
    </row>
    <row r="45" spans="1:42" x14ac:dyDescent="0.25">
      <c r="A45" s="47">
        <v>45474</v>
      </c>
      <c r="B45" s="48">
        <f>COUNTIFS(
    in.r9[empresa], B$6,
    in.r9[Data da venda / reserva], "&gt;=" &amp; $A45,
    in.r9[Data da venda / reserva], "&lt;"  &amp; EOMONTH($A45,0) + 1
)</f>
        <v>0</v>
      </c>
      <c r="C45" s="49">
        <f ca="1">SUMIFS(rec.uni[2024-07-01],
INDIRECT("rec.uni[natureza]"),"pro.soluto",
INDIRECT("rec.uni[empresa]"),C$6)</f>
        <v>0</v>
      </c>
      <c r="D45" s="49">
        <f ca="1">SUMIFS(rec.uni[2024-07-01],
INDIRECT("rec.uni[natureza]"),"repasse.cef.obra",
INDIRECT("rec.uni[empresa]"),D$6)</f>
        <v>0</v>
      </c>
      <c r="E45" s="49">
        <f ca="1">SUMIFS(rec.uni[2024-07-01],
INDIRECT("rec.uni[natureza]"),"repasse.cef.terreno",
INDIRECT("rec.uni[empresa]"),E$6)</f>
        <v>0</v>
      </c>
      <c r="F45" s="49">
        <v>0</v>
      </c>
      <c r="G45" s="49">
        <f ca="1">SUMIFS(rec.uni[2024-07-01],
INDIRECT("rec.uni[natureza]"),"taxa.extra",
INDIRECT("rec.uni[empresa]"),G$6)</f>
        <v>0</v>
      </c>
      <c r="H45" s="50"/>
      <c r="I45" s="48">
        <f>COUNTIFS(
    in.r9[empresa], I$6,
    in.r9[Data da venda / reserva], "&gt;=" &amp; $A45,
    in.r9[Data da venda / reserva], "&lt;"  &amp; EOMONTH($A45,0) + 1
)</f>
        <v>0</v>
      </c>
      <c r="J45" s="49">
        <f ca="1">SUMIFS(rec.uni[2024-07-01],
INDIRECT("rec.uni[natureza]"),"pro.soluto",
INDIRECT("rec.uni[empresa]"),J$6)</f>
        <v>0</v>
      </c>
      <c r="K45" s="49">
        <f ca="1">SUMIFS(rec.uni[2024-07-01],
INDIRECT("rec.uni[natureza]"),"repasse.cef.obra",
INDIRECT("rec.uni[empresa]"),K$6)</f>
        <v>0</v>
      </c>
      <c r="L45" s="49">
        <f ca="1">SUMIFS(rec.uni[2024-07-01],
INDIRECT("rec.uni[natureza]"),"repasse.cef.terreno",
INDIRECT("rec.uni[empresa]"),L$6)</f>
        <v>0</v>
      </c>
      <c r="M45" s="49">
        <v>0</v>
      </c>
      <c r="N45" s="49">
        <f ca="1">SUMIFS(rec.uni[2024-07-01],
INDIRECT("rec.uni[natureza]"),"taxa.extra",
INDIRECT("rec.uni[empresa]"),N$6)</f>
        <v>0</v>
      </c>
      <c r="O45" s="50"/>
      <c r="P45" s="48">
        <f>COUNTIFS(
    in.r9[empresa], P$6,
    in.r9[Data da venda / reserva], "&gt;=" &amp; $A45,
    in.r9[Data da venda / reserva], "&lt;"  &amp; EOMONTH($A45,0) + 1
)</f>
        <v>0</v>
      </c>
      <c r="Q45" s="49">
        <f ca="1">SUMIFS(rec.uni[2024-07-01],
INDIRECT("rec.uni[natureza]"),"pro.soluto",
INDIRECT("rec.uni[empresa]"),Q$6)</f>
        <v>0</v>
      </c>
      <c r="R45" s="49">
        <f ca="1">SUMIFS(rec.uni[2024-07-01],
INDIRECT("rec.uni[natureza]"),"repasse.cef.obra",
INDIRECT("rec.uni[empresa]"),R$6)</f>
        <v>0</v>
      </c>
      <c r="S45" s="49">
        <f ca="1">SUMIFS(rec.uni[2024-07-01],
INDIRECT("rec.uni[natureza]"),"repasse.cef.terreno",
INDIRECT("rec.uni[empresa]"),S$6)</f>
        <v>0</v>
      </c>
      <c r="T45" s="49">
        <v>0</v>
      </c>
      <c r="U45" s="49">
        <f ca="1">SUMIFS(rec.uni[2024-07-01],
INDIRECT("rec.uni[natureza]"),"taxa.extra",
INDIRECT("rec.uni[empresa]"),U$6)</f>
        <v>0</v>
      </c>
      <c r="V45" s="50"/>
      <c r="W45" s="48">
        <f>COUNTIFS(
    in.r9[empresa], W$6,
    in.r9[Data da venda / reserva], "&gt;=" &amp; $A45,
    in.r9[Data da venda / reserva], "&lt;"  &amp; EOMONTH($A45,0) + 1
)</f>
        <v>0</v>
      </c>
      <c r="X45" s="49">
        <f ca="1">SUMIFS(rec.uni[2024-07-01],
INDIRECT("rec.uni[natureza]"),"pro.soluto",
INDIRECT("rec.uni[empresa]"),X$6)</f>
        <v>0</v>
      </c>
      <c r="Y45" s="49">
        <f ca="1">SUMIFS(rec.uni[2024-07-01],
INDIRECT("rec.uni[natureza]"),"taxa.extra",
INDIRECT("rec.uni[empresa]"),Y$6)</f>
        <v>0</v>
      </c>
      <c r="Z45" s="50"/>
      <c r="AA45" s="48">
        <f>COUNTIFS(
    in.r9[empresa], AA$6,
    in.r9[Data da venda / reserva], "&gt;=" &amp; $A45,
    in.r9[Data da venda / reserva], "&lt;"  &amp; EOMONTH($A45,0) + 1
)</f>
        <v>0</v>
      </c>
      <c r="AB45" s="49">
        <f ca="1">SUMIFS(rec.uni[2024-07-01],
INDIRECT("rec.uni[natureza]"),"pro.soluto",
INDIRECT("rec.uni[empresa]"),AB$6)</f>
        <v>0</v>
      </c>
      <c r="AC45" s="38">
        <f ca="1">SUMIFS(rec.uni[2024-07-01],
INDIRECT("rec.uni[natureza]"),"parcela.fin.total.ik",
INDIRECT("rec.uni[empresa]"),AC$6)</f>
        <v>0</v>
      </c>
      <c r="AD45" s="49">
        <f ca="1">SUMIFS(rec.uni[2024-07-01],
INDIRECT("rec.uni[natureza]"),"taxa.extra",
INDIRECT("rec.uni[empresa]"),AD$6)</f>
        <v>0</v>
      </c>
      <c r="AE45" s="50"/>
      <c r="AF45" s="48">
        <f>COUNTIFS(
    in.r9[empresa], AF$6,
    in.r9[Data da venda / reserva], "&gt;=" &amp; $A45,
    in.r9[Data da venda / reserva], "&lt;"  &amp; EOMONTH($A45,0) + 1
)</f>
        <v>0</v>
      </c>
      <c r="AG45" s="49">
        <f ca="1">SUMIFS(rec.uni[2024-07-01],
INDIRECT("rec.uni[natureza]"),"pro.soluto",
INDIRECT("rec.uni[empresa]"),AG$6)</f>
        <v>0</v>
      </c>
      <c r="AH45" s="49">
        <f ca="1">SUMIFS(rec.uni[2024-07-01],
INDIRECT("rec.uni[natureza]"),"repasse.cef.obra",
INDIRECT("rec.uni[empresa]"),AH$6)</f>
        <v>0</v>
      </c>
      <c r="AI45" s="49">
        <f ca="1">SUMIFS(rec.uni[2024-07-01],
INDIRECT("rec.uni[natureza]"),"repasse.cef.terreno",
INDIRECT("rec.uni[empresa]"),AI$6)</f>
        <v>0</v>
      </c>
      <c r="AJ45" s="49">
        <v>0</v>
      </c>
      <c r="AK45" s="49">
        <f ca="1">SUMIFS(rec.uni[2024-07-01],
INDIRECT("rec.uni[natureza]"),"taxa.extra",
INDIRECT("rec.uni[empresa]"),AK$6)</f>
        <v>0</v>
      </c>
      <c r="AL45" s="50"/>
      <c r="AM45" s="48">
        <f>COUNTIFS(
    in.r9[empresa], AM$6,
    in.r9[Data da venda / reserva], "&gt;=" &amp; $A45,
    in.r9[Data da venda / reserva], "&lt;"  &amp; EOMONTH($A45,0) + 1
)</f>
        <v>0</v>
      </c>
      <c r="AN45" s="49">
        <f ca="1">SUMIFS(rec.uni[2024-07-01],
INDIRECT("rec.uni[natureza]"),"pro.soluto",
INDIRECT("rec.uni[empresa]"),AN$6)</f>
        <v>0</v>
      </c>
      <c r="AO45" s="49">
        <f ca="1">SUMIFS(rec.uni[2024-07-01],
INDIRECT("rec.uni[natureza]"),"taxa.extra",
INDIRECT("rec.uni[empresa]"),AO$6)</f>
        <v>0</v>
      </c>
      <c r="AP45" s="50"/>
    </row>
    <row r="46" spans="1:42" x14ac:dyDescent="0.25">
      <c r="A46" s="47">
        <v>45505</v>
      </c>
      <c r="B46" s="48">
        <f>COUNTIFS(
    in.r9[empresa], B$6,
    in.r9[Data da venda / reserva], "&gt;=" &amp; $A46,
    in.r9[Data da venda / reserva], "&lt;"  &amp; EOMONTH($A46,0) + 1
)</f>
        <v>0</v>
      </c>
      <c r="C46" s="49">
        <f ca="1">SUMIFS(rec.uni[2024-08-01],
INDIRECT("rec.uni[natureza]"),"pro.soluto",
INDIRECT("rec.uni[empresa]"),C$6)</f>
        <v>0</v>
      </c>
      <c r="D46" s="49">
        <f ca="1">SUMIFS(rec.uni[2024-08-01],
INDIRECT("rec.uni[natureza]"),"repasse.cef.obra",
INDIRECT("rec.uni[empresa]"),D$6)</f>
        <v>0</v>
      </c>
      <c r="E46" s="49">
        <f ca="1">SUMIFS(rec.uni[2024-08-01],
INDIRECT("rec.uni[natureza]"),"repasse.cef.terreno",
INDIRECT("rec.uni[empresa]"),E$6)</f>
        <v>0</v>
      </c>
      <c r="F46" s="49">
        <v>0</v>
      </c>
      <c r="G46" s="49">
        <f ca="1">SUMIFS(rec.uni[2024-08-01],
INDIRECT("rec.uni[natureza]"),"taxa.extra",
INDIRECT("rec.uni[empresa]"),G$6)</f>
        <v>0</v>
      </c>
      <c r="H46" s="50"/>
      <c r="I46" s="48">
        <f>COUNTIFS(
    in.r9[empresa], I$6,
    in.r9[Data da venda / reserva], "&gt;=" &amp; $A46,
    in.r9[Data da venda / reserva], "&lt;"  &amp; EOMONTH($A46,0) + 1
)</f>
        <v>0</v>
      </c>
      <c r="J46" s="49">
        <f ca="1">SUMIFS(rec.uni[2024-08-01],
INDIRECT("rec.uni[natureza]"),"pro.soluto",
INDIRECT("rec.uni[empresa]"),J$6)</f>
        <v>0</v>
      </c>
      <c r="K46" s="49">
        <f ca="1">SUMIFS(rec.uni[2024-08-01],
INDIRECT("rec.uni[natureza]"),"repasse.cef.obra",
INDIRECT("rec.uni[empresa]"),K$6)</f>
        <v>0</v>
      </c>
      <c r="L46" s="49">
        <f ca="1">SUMIFS(rec.uni[2024-08-01],
INDIRECT("rec.uni[natureza]"),"repasse.cef.terreno",
INDIRECT("rec.uni[empresa]"),L$6)</f>
        <v>0</v>
      </c>
      <c r="M46" s="49">
        <v>0</v>
      </c>
      <c r="N46" s="49">
        <f ca="1">SUMIFS(rec.uni[2024-08-01],
INDIRECT("rec.uni[natureza]"),"taxa.extra",
INDIRECT("rec.uni[empresa]"),N$6)</f>
        <v>0</v>
      </c>
      <c r="O46" s="50"/>
      <c r="P46" s="48">
        <f>COUNTIFS(
    in.r9[empresa], P$6,
    in.r9[Data da venda / reserva], "&gt;=" &amp; $A46,
    in.r9[Data da venda / reserva], "&lt;"  &amp; EOMONTH($A46,0) + 1
)</f>
        <v>0</v>
      </c>
      <c r="Q46" s="49">
        <f ca="1">SUMIFS(rec.uni[2024-08-01],
INDIRECT("rec.uni[natureza]"),"pro.soluto",
INDIRECT("rec.uni[empresa]"),Q$6)</f>
        <v>0</v>
      </c>
      <c r="R46" s="49">
        <f ca="1">SUMIFS(rec.uni[2024-08-01],
INDIRECT("rec.uni[natureza]"),"repasse.cef.obra",
INDIRECT("rec.uni[empresa]"),R$6)</f>
        <v>0</v>
      </c>
      <c r="S46" s="49">
        <f ca="1">SUMIFS(rec.uni[2024-08-01],
INDIRECT("rec.uni[natureza]"),"repasse.cef.terreno",
INDIRECT("rec.uni[empresa]"),S$6)</f>
        <v>0</v>
      </c>
      <c r="T46" s="49">
        <v>0</v>
      </c>
      <c r="U46" s="49">
        <f ca="1">SUMIFS(rec.uni[2024-08-01],
INDIRECT("rec.uni[natureza]"),"taxa.extra",
INDIRECT("rec.uni[empresa]"),U$6)</f>
        <v>0</v>
      </c>
      <c r="V46" s="50"/>
      <c r="W46" s="48">
        <f>COUNTIFS(
    in.r9[empresa], W$6,
    in.r9[Data da venda / reserva], "&gt;=" &amp; $A46,
    in.r9[Data da venda / reserva], "&lt;"  &amp; EOMONTH($A46,0) + 1
)</f>
        <v>0</v>
      </c>
      <c r="X46" s="49">
        <f ca="1">SUMIFS(rec.uni[2024-08-01],
INDIRECT("rec.uni[natureza]"),"pro.soluto",
INDIRECT("rec.uni[empresa]"),X$6)</f>
        <v>0</v>
      </c>
      <c r="Y46" s="49">
        <f ca="1">SUMIFS(rec.uni[2024-08-01],
INDIRECT("rec.uni[natureza]"),"taxa.extra",
INDIRECT("rec.uni[empresa]"),Y$6)</f>
        <v>0</v>
      </c>
      <c r="Z46" s="50"/>
      <c r="AA46" s="48">
        <f>COUNTIFS(
    in.r9[empresa], AA$6,
    in.r9[Data da venda / reserva], "&gt;=" &amp; $A46,
    in.r9[Data da venda / reserva], "&lt;"  &amp; EOMONTH($A46,0) + 1
)</f>
        <v>0</v>
      </c>
      <c r="AB46" s="49">
        <f ca="1">SUMIFS(rec.uni[2024-08-01],
INDIRECT("rec.uni[natureza]"),"pro.soluto",
INDIRECT("rec.uni[empresa]"),AB$6)</f>
        <v>0</v>
      </c>
      <c r="AC46" s="38">
        <f ca="1">SUMIFS(rec.uni[2024-08-01],
INDIRECT("rec.uni[natureza]"),"parcela.fin.total.ik",
INDIRECT("rec.uni[empresa]"),AC$6)</f>
        <v>0</v>
      </c>
      <c r="AD46" s="49">
        <f ca="1">SUMIFS(rec.uni[2024-08-01],
INDIRECT("rec.uni[natureza]"),"taxa.extra",
INDIRECT("rec.uni[empresa]"),AD$6)</f>
        <v>0</v>
      </c>
      <c r="AE46" s="50"/>
      <c r="AF46" s="48">
        <f>COUNTIFS(
    in.r9[empresa], AF$6,
    in.r9[Data da venda / reserva], "&gt;=" &amp; $A46,
    in.r9[Data da venda / reserva], "&lt;"  &amp; EOMONTH($A46,0) + 1
)</f>
        <v>0</v>
      </c>
      <c r="AG46" s="49">
        <f ca="1">SUMIFS(rec.uni[2024-08-01],
INDIRECT("rec.uni[natureza]"),"pro.soluto",
INDIRECT("rec.uni[empresa]"),AG$6)</f>
        <v>0</v>
      </c>
      <c r="AH46" s="49">
        <f ca="1">SUMIFS(rec.uni[2024-08-01],
INDIRECT("rec.uni[natureza]"),"repasse.cef.obra",
INDIRECT("rec.uni[empresa]"),AH$6)</f>
        <v>0</v>
      </c>
      <c r="AI46" s="49">
        <f ca="1">SUMIFS(rec.uni[2024-08-01],
INDIRECT("rec.uni[natureza]"),"repasse.cef.terreno",
INDIRECT("rec.uni[empresa]"),AI$6)</f>
        <v>0</v>
      </c>
      <c r="AJ46" s="49">
        <v>0</v>
      </c>
      <c r="AK46" s="49">
        <f ca="1">SUMIFS(rec.uni[2024-08-01],
INDIRECT("rec.uni[natureza]"),"taxa.extra",
INDIRECT("rec.uni[empresa]"),AK$6)</f>
        <v>0</v>
      </c>
      <c r="AL46" s="50"/>
      <c r="AM46" s="48">
        <f>COUNTIFS(
    in.r9[empresa], AM$6,
    in.r9[Data da venda / reserva], "&gt;=" &amp; $A46,
    in.r9[Data da venda / reserva], "&lt;"  &amp; EOMONTH($A46,0) + 1
)</f>
        <v>0</v>
      </c>
      <c r="AN46" s="49">
        <f ca="1">SUMIFS(rec.uni[2024-08-01],
INDIRECT("rec.uni[natureza]"),"pro.soluto",
INDIRECT("rec.uni[empresa]"),AN$6)</f>
        <v>0</v>
      </c>
      <c r="AO46" s="49">
        <f ca="1">SUMIFS(rec.uni[2024-08-01],
INDIRECT("rec.uni[natureza]"),"taxa.extra",
INDIRECT("rec.uni[empresa]"),AO$6)</f>
        <v>0</v>
      </c>
      <c r="AP46" s="50"/>
    </row>
    <row r="47" spans="1:42" x14ac:dyDescent="0.25">
      <c r="A47" s="47">
        <v>45536</v>
      </c>
      <c r="B47" s="48">
        <f>COUNTIFS(
    in.r9[empresa], B$6,
    in.r9[Data da venda / reserva], "&gt;=" &amp; $A47,
    in.r9[Data da venda / reserva], "&lt;"  &amp; EOMONTH($A47,0) + 1
)</f>
        <v>0</v>
      </c>
      <c r="C47" s="49">
        <f ca="1">SUMIFS(rec.uni[2024-09-01],
INDIRECT("rec.uni[natureza]"),"pro.soluto",
INDIRECT("rec.uni[empresa]"),C$6)</f>
        <v>0</v>
      </c>
      <c r="D47" s="49">
        <f ca="1">SUMIFS(rec.uni[2024-09-01],
INDIRECT("rec.uni[natureza]"),"repasse.cef.obra",
INDIRECT("rec.uni[empresa]"),D$6)</f>
        <v>0</v>
      </c>
      <c r="E47" s="49">
        <f ca="1">SUMIFS(rec.uni[2024-09-01],
INDIRECT("rec.uni[natureza]"),"repasse.cef.terreno",
INDIRECT("rec.uni[empresa]"),E$6)</f>
        <v>0</v>
      </c>
      <c r="F47" s="49">
        <v>198297.96</v>
      </c>
      <c r="G47" s="49">
        <f ca="1">SUMIFS(rec.uni[2024-09-01],
INDIRECT("rec.uni[natureza]"),"taxa.extra",
INDIRECT("rec.uni[empresa]"),G$6)</f>
        <v>0</v>
      </c>
      <c r="H47" s="50"/>
      <c r="I47" s="48">
        <f>COUNTIFS(
    in.r9[empresa], I$6,
    in.r9[Data da venda / reserva], "&gt;=" &amp; $A47,
    in.r9[Data da venda / reserva], "&lt;"  &amp; EOMONTH($A47,0) + 1
)</f>
        <v>0</v>
      </c>
      <c r="J47" s="49">
        <f ca="1">SUMIFS(rec.uni[2024-09-01],
INDIRECT("rec.uni[natureza]"),"pro.soluto",
INDIRECT("rec.uni[empresa]"),J$6)</f>
        <v>0</v>
      </c>
      <c r="K47" s="49">
        <f ca="1">SUMIFS(rec.uni[2024-09-01],
INDIRECT("rec.uni[natureza]"),"repasse.cef.obra",
INDIRECT("rec.uni[empresa]"),K$6)</f>
        <v>0</v>
      </c>
      <c r="L47" s="49">
        <f ca="1">SUMIFS(rec.uni[2024-09-01],
INDIRECT("rec.uni[natureza]"),"repasse.cef.terreno",
INDIRECT("rec.uni[empresa]"),L$6)</f>
        <v>0</v>
      </c>
      <c r="M47" s="49">
        <v>0</v>
      </c>
      <c r="N47" s="49">
        <f ca="1">SUMIFS(rec.uni[2024-09-01],
INDIRECT("rec.uni[natureza]"),"taxa.extra",
INDIRECT("rec.uni[empresa]"),N$6)</f>
        <v>0</v>
      </c>
      <c r="O47" s="50"/>
      <c r="P47" s="48">
        <f>COUNTIFS(
    in.r9[empresa], P$6,
    in.r9[Data da venda / reserva], "&gt;=" &amp; $A47,
    in.r9[Data da venda / reserva], "&lt;"  &amp; EOMONTH($A47,0) + 1
)</f>
        <v>0</v>
      </c>
      <c r="Q47" s="49">
        <f ca="1">SUMIFS(rec.uni[2024-09-01],
INDIRECT("rec.uni[natureza]"),"pro.soluto",
INDIRECT("rec.uni[empresa]"),Q$6)</f>
        <v>0</v>
      </c>
      <c r="R47" s="49">
        <f ca="1">SUMIFS(rec.uni[2024-09-01],
INDIRECT("rec.uni[natureza]"),"repasse.cef.obra",
INDIRECT("rec.uni[empresa]"),R$6)</f>
        <v>0</v>
      </c>
      <c r="S47" s="49">
        <f ca="1">SUMIFS(rec.uni[2024-09-01],
INDIRECT("rec.uni[natureza]"),"repasse.cef.terreno",
INDIRECT("rec.uni[empresa]"),S$6)</f>
        <v>0</v>
      </c>
      <c r="T47" s="49">
        <v>0</v>
      </c>
      <c r="U47" s="49">
        <f ca="1">SUMIFS(rec.uni[2024-09-01],
INDIRECT("rec.uni[natureza]"),"taxa.extra",
INDIRECT("rec.uni[empresa]"),U$6)</f>
        <v>0</v>
      </c>
      <c r="V47" s="50"/>
      <c r="W47" s="48">
        <f>COUNTIFS(
    in.r9[empresa], W$6,
    in.r9[Data da venda / reserva], "&gt;=" &amp; $A47,
    in.r9[Data da venda / reserva], "&lt;"  &amp; EOMONTH($A47,0) + 1
)</f>
        <v>0</v>
      </c>
      <c r="X47" s="49">
        <f ca="1">SUMIFS(rec.uni[2024-09-01],
INDIRECT("rec.uni[natureza]"),"pro.soluto",
INDIRECT("rec.uni[empresa]"),X$6)</f>
        <v>0</v>
      </c>
      <c r="Y47" s="49">
        <f ca="1">SUMIFS(rec.uni[2024-09-01],
INDIRECT("rec.uni[natureza]"),"taxa.extra",
INDIRECT("rec.uni[empresa]"),Y$6)</f>
        <v>0</v>
      </c>
      <c r="Z47" s="50"/>
      <c r="AA47" s="48">
        <f>COUNTIFS(
    in.r9[empresa], AA$6,
    in.r9[Data da venda / reserva], "&gt;=" &amp; $A47,
    in.r9[Data da venda / reserva], "&lt;"  &amp; EOMONTH($A47,0) + 1
)</f>
        <v>0</v>
      </c>
      <c r="AB47" s="49">
        <f ca="1">SUMIFS(rec.uni[2024-09-01],
INDIRECT("rec.uni[natureza]"),"pro.soluto",
INDIRECT("rec.uni[empresa]"),AB$6)</f>
        <v>0</v>
      </c>
      <c r="AC47" s="38">
        <f ca="1">SUMIFS(rec.uni[2024-09-01],
INDIRECT("rec.uni[natureza]"),"parcela.fin.total.ik",
INDIRECT("rec.uni[empresa]"),AC$6)</f>
        <v>0</v>
      </c>
      <c r="AD47" s="49">
        <f ca="1">SUMIFS(rec.uni[2024-09-01],
INDIRECT("rec.uni[natureza]"),"taxa.extra",
INDIRECT("rec.uni[empresa]"),AD$6)</f>
        <v>0</v>
      </c>
      <c r="AE47" s="50"/>
      <c r="AF47" s="48">
        <f>COUNTIFS(
    in.r9[empresa], AF$6,
    in.r9[Data da venda / reserva], "&gt;=" &amp; $A47,
    in.r9[Data da venda / reserva], "&lt;"  &amp; EOMONTH($A47,0) + 1
)</f>
        <v>0</v>
      </c>
      <c r="AG47" s="49">
        <f ca="1">SUMIFS(rec.uni[2024-09-01],
INDIRECT("rec.uni[natureza]"),"pro.soluto",
INDIRECT("rec.uni[empresa]"),AG$6)</f>
        <v>0</v>
      </c>
      <c r="AH47" s="49">
        <f ca="1">SUMIFS(rec.uni[2024-09-01],
INDIRECT("rec.uni[natureza]"),"repasse.cef.obra",
INDIRECT("rec.uni[empresa]"),AH$6)</f>
        <v>0</v>
      </c>
      <c r="AI47" s="49">
        <f ca="1">SUMIFS(rec.uni[2024-09-01],
INDIRECT("rec.uni[natureza]"),"repasse.cef.terreno",
INDIRECT("rec.uni[empresa]"),AI$6)</f>
        <v>0</v>
      </c>
      <c r="AJ47" s="49">
        <v>0</v>
      </c>
      <c r="AK47" s="49">
        <f ca="1">SUMIFS(rec.uni[2024-09-01],
INDIRECT("rec.uni[natureza]"),"taxa.extra",
INDIRECT("rec.uni[empresa]"),AK$6)</f>
        <v>0</v>
      </c>
      <c r="AL47" s="50"/>
      <c r="AM47" s="48">
        <f>COUNTIFS(
    in.r9[empresa], AM$6,
    in.r9[Data da venda / reserva], "&gt;=" &amp; $A47,
    in.r9[Data da venda / reserva], "&lt;"  &amp; EOMONTH($A47,0) + 1
)</f>
        <v>0</v>
      </c>
      <c r="AN47" s="49">
        <f ca="1">SUMIFS(rec.uni[2024-09-01],
INDIRECT("rec.uni[natureza]"),"pro.soluto",
INDIRECT("rec.uni[empresa]"),AN$6)</f>
        <v>0</v>
      </c>
      <c r="AO47" s="49">
        <f ca="1">SUMIFS(rec.uni[2024-09-01],
INDIRECT("rec.uni[natureza]"),"taxa.extra",
INDIRECT("rec.uni[empresa]"),AO$6)</f>
        <v>0</v>
      </c>
      <c r="AP47" s="50"/>
    </row>
    <row r="48" spans="1:42" x14ac:dyDescent="0.25">
      <c r="A48" s="47">
        <v>45566</v>
      </c>
      <c r="B48" s="48">
        <f>COUNTIFS(
    in.r9[empresa], B$6,
    in.r9[Data da venda / reserva], "&gt;=" &amp; $A48,
    in.r9[Data da venda / reserva], "&lt;"  &amp; EOMONTH($A48,0) + 1
)</f>
        <v>0</v>
      </c>
      <c r="C48" s="49">
        <f ca="1">SUMIFS(rec.uni[2024-10-01],
INDIRECT("rec.uni[natureza]"),"pro.soluto",
INDIRECT("rec.uni[empresa]"),C$6)</f>
        <v>0</v>
      </c>
      <c r="D48" s="49">
        <f ca="1">SUMIFS(rec.uni[2024-10-01],
INDIRECT("rec.uni[natureza]"),"repasse.cef.obra",
INDIRECT("rec.uni[empresa]"),D$6)</f>
        <v>0</v>
      </c>
      <c r="E48" s="49">
        <f ca="1">SUMIFS(rec.uni[2024-10-01],
INDIRECT("rec.uni[natureza]"),"repasse.cef.terreno",
INDIRECT("rec.uni[empresa]"),E$6)</f>
        <v>0</v>
      </c>
      <c r="F48" s="49">
        <v>473587.72</v>
      </c>
      <c r="G48" s="49">
        <f ca="1">SUMIFS(rec.uni[2024-10-01],
INDIRECT("rec.uni[natureza]"),"taxa.extra",
INDIRECT("rec.uni[empresa]"),G$6)</f>
        <v>0</v>
      </c>
      <c r="H48" s="50"/>
      <c r="I48" s="48">
        <f>COUNTIFS(
    in.r9[empresa], I$6,
    in.r9[Data da venda / reserva], "&gt;=" &amp; $A48,
    in.r9[Data da venda / reserva], "&lt;"  &amp; EOMONTH($A48,0) + 1
)</f>
        <v>0</v>
      </c>
      <c r="J48" s="49">
        <f ca="1">SUMIFS(rec.uni[2024-10-01],
INDIRECT("rec.uni[natureza]"),"pro.soluto",
INDIRECT("rec.uni[empresa]"),J$6)</f>
        <v>0</v>
      </c>
      <c r="K48" s="49">
        <f ca="1">SUMIFS(rec.uni[2024-10-01],
INDIRECT("rec.uni[natureza]"),"repasse.cef.obra",
INDIRECT("rec.uni[empresa]"),K$6)</f>
        <v>0</v>
      </c>
      <c r="L48" s="49">
        <f ca="1">SUMIFS(rec.uni[2024-10-01],
INDIRECT("rec.uni[natureza]"),"repasse.cef.terreno",
INDIRECT("rec.uni[empresa]"),L$6)</f>
        <v>0</v>
      </c>
      <c r="M48" s="49">
        <v>0</v>
      </c>
      <c r="N48" s="49">
        <f ca="1">SUMIFS(rec.uni[2024-10-01],
INDIRECT("rec.uni[natureza]"),"taxa.extra",
INDIRECT("rec.uni[empresa]"),N$6)</f>
        <v>0</v>
      </c>
      <c r="O48" s="50"/>
      <c r="P48" s="48">
        <f>COUNTIFS(
    in.r9[empresa], P$6,
    in.r9[Data da venda / reserva], "&gt;=" &amp; $A48,
    in.r9[Data da venda / reserva], "&lt;"  &amp; EOMONTH($A48,0) + 1
)</f>
        <v>0</v>
      </c>
      <c r="Q48" s="49">
        <f ca="1">SUMIFS(rec.uni[2024-10-01],
INDIRECT("rec.uni[natureza]"),"pro.soluto",
INDIRECT("rec.uni[empresa]"),Q$6)</f>
        <v>0</v>
      </c>
      <c r="R48" s="49">
        <f ca="1">SUMIFS(rec.uni[2024-10-01],
INDIRECT("rec.uni[natureza]"),"repasse.cef.obra",
INDIRECT("rec.uni[empresa]"),R$6)</f>
        <v>0</v>
      </c>
      <c r="S48" s="49">
        <f ca="1">SUMIFS(rec.uni[2024-10-01],
INDIRECT("rec.uni[natureza]"),"repasse.cef.terreno",
INDIRECT("rec.uni[empresa]"),S$6)</f>
        <v>0</v>
      </c>
      <c r="T48" s="49">
        <v>0</v>
      </c>
      <c r="U48" s="49">
        <f ca="1">SUMIFS(rec.uni[2024-10-01],
INDIRECT("rec.uni[natureza]"),"taxa.extra",
INDIRECT("rec.uni[empresa]"),U$6)</f>
        <v>0</v>
      </c>
      <c r="V48" s="50"/>
      <c r="W48" s="48">
        <f>COUNTIFS(
    in.r9[empresa], W$6,
    in.r9[Data da venda / reserva], "&gt;=" &amp; $A48,
    in.r9[Data da venda / reserva], "&lt;"  &amp; EOMONTH($A48,0) + 1
)</f>
        <v>0</v>
      </c>
      <c r="X48" s="49">
        <f ca="1">SUMIFS(rec.uni[2024-10-01],
INDIRECT("rec.uni[natureza]"),"pro.soluto",
INDIRECT("rec.uni[empresa]"),X$6)</f>
        <v>0</v>
      </c>
      <c r="Y48" s="49">
        <f ca="1">SUMIFS(rec.uni[2024-10-01],
INDIRECT("rec.uni[natureza]"),"taxa.extra",
INDIRECT("rec.uni[empresa]"),Y$6)</f>
        <v>0</v>
      </c>
      <c r="Z48" s="50"/>
      <c r="AA48" s="48">
        <f>COUNTIFS(
    in.r9[empresa], AA$6,
    in.r9[Data da venda / reserva], "&gt;=" &amp; $A48,
    in.r9[Data da venda / reserva], "&lt;"  &amp; EOMONTH($A48,0) + 1
)</f>
        <v>0</v>
      </c>
      <c r="AB48" s="49">
        <f ca="1">SUMIFS(rec.uni[2024-10-01],
INDIRECT("rec.uni[natureza]"),"pro.soluto",
INDIRECT("rec.uni[empresa]"),AB$6)</f>
        <v>0</v>
      </c>
      <c r="AC48" s="38">
        <f ca="1">SUMIFS(rec.uni[2024-10-01],
INDIRECT("rec.uni[natureza]"),"parcela.fin.total.ik",
INDIRECT("rec.uni[empresa]"),AC$6)</f>
        <v>0</v>
      </c>
      <c r="AD48" s="49">
        <f ca="1">SUMIFS(rec.uni[2024-10-01],
INDIRECT("rec.uni[natureza]"),"taxa.extra",
INDIRECT("rec.uni[empresa]"),AD$6)</f>
        <v>0</v>
      </c>
      <c r="AE48" s="50"/>
      <c r="AF48" s="48">
        <f>COUNTIFS(
    in.r9[empresa], AF$6,
    in.r9[Data da venda / reserva], "&gt;=" &amp; $A48,
    in.r9[Data da venda / reserva], "&lt;"  &amp; EOMONTH($A48,0) + 1
)</f>
        <v>0</v>
      </c>
      <c r="AG48" s="49">
        <f ca="1">SUMIFS(rec.uni[2024-10-01],
INDIRECT("rec.uni[natureza]"),"pro.soluto",
INDIRECT("rec.uni[empresa]"),AG$6)</f>
        <v>0</v>
      </c>
      <c r="AH48" s="49">
        <f ca="1">SUMIFS(rec.uni[2024-10-01],
INDIRECT("rec.uni[natureza]"),"repasse.cef.obra",
INDIRECT("rec.uni[empresa]"),AH$6)</f>
        <v>0</v>
      </c>
      <c r="AI48" s="49">
        <f ca="1">SUMIFS(rec.uni[2024-10-01],
INDIRECT("rec.uni[natureza]"),"repasse.cef.terreno",
INDIRECT("rec.uni[empresa]"),AI$6)</f>
        <v>0</v>
      </c>
      <c r="AJ48" s="49">
        <v>0</v>
      </c>
      <c r="AK48" s="49">
        <f ca="1">SUMIFS(rec.uni[2024-10-01],
INDIRECT("rec.uni[natureza]"),"taxa.extra",
INDIRECT("rec.uni[empresa]"),AK$6)</f>
        <v>0</v>
      </c>
      <c r="AL48" s="50"/>
      <c r="AM48" s="48">
        <f>COUNTIFS(
    in.r9[empresa], AM$6,
    in.r9[Data da venda / reserva], "&gt;=" &amp; $A48,
    in.r9[Data da venda / reserva], "&lt;"  &amp; EOMONTH($A48,0) + 1
)</f>
        <v>0</v>
      </c>
      <c r="AN48" s="49">
        <f ca="1">SUMIFS(rec.uni[2024-10-01],
INDIRECT("rec.uni[natureza]"),"pro.soluto",
INDIRECT("rec.uni[empresa]"),AN$6)</f>
        <v>0</v>
      </c>
      <c r="AO48" s="49">
        <f ca="1">SUMIFS(rec.uni[2024-10-01],
INDIRECT("rec.uni[natureza]"),"taxa.extra",
INDIRECT("rec.uni[empresa]"),AO$6)</f>
        <v>0</v>
      </c>
      <c r="AP48" s="50"/>
    </row>
    <row r="49" spans="1:42" x14ac:dyDescent="0.25">
      <c r="A49" s="47">
        <v>45597</v>
      </c>
      <c r="B49" s="48">
        <f>COUNTIFS(
    in.r9[empresa], B$6,
    in.r9[Data da venda / reserva], "&gt;=" &amp; $A49,
    in.r9[Data da venda / reserva], "&lt;"  &amp; EOMONTH($A49,0) + 1
)</f>
        <v>0</v>
      </c>
      <c r="C49" s="49">
        <f ca="1">SUMIFS(rec.uni[2024-11-01],
INDIRECT("rec.uni[natureza]"),"pro.soluto",
INDIRECT("rec.uni[empresa]"),C$6)</f>
        <v>0</v>
      </c>
      <c r="D49" s="49">
        <f ca="1">SUMIFS(rec.uni[2024-11-01],
INDIRECT("rec.uni[natureza]"),"repasse.cef.obra",
INDIRECT("rec.uni[empresa]"),D$6)</f>
        <v>0</v>
      </c>
      <c r="E49" s="49">
        <f ca="1">SUMIFS(rec.uni[2024-11-01],
INDIRECT("rec.uni[natureza]"),"repasse.cef.terreno",
INDIRECT("rec.uni[empresa]"),E$6)</f>
        <v>0</v>
      </c>
      <c r="F49" s="49">
        <v>0</v>
      </c>
      <c r="G49" s="49">
        <f ca="1">SUMIFS(rec.uni[2024-11-01],
INDIRECT("rec.uni[natureza]"),"taxa.extra",
INDIRECT("rec.uni[empresa]"),G$6)</f>
        <v>0</v>
      </c>
      <c r="H49" s="50"/>
      <c r="I49" s="48">
        <f>COUNTIFS(
    in.r9[empresa], I$6,
    in.r9[Data da venda / reserva], "&gt;=" &amp; $A49,
    in.r9[Data da venda / reserva], "&lt;"  &amp; EOMONTH($A49,0) + 1
)</f>
        <v>0</v>
      </c>
      <c r="J49" s="49">
        <f ca="1">SUMIFS(rec.uni[2024-11-01],
INDIRECT("rec.uni[natureza]"),"pro.soluto",
INDIRECT("rec.uni[empresa]"),J$6)</f>
        <v>0</v>
      </c>
      <c r="K49" s="49">
        <f ca="1">SUMIFS(rec.uni[2024-11-01],
INDIRECT("rec.uni[natureza]"),"repasse.cef.obra",
INDIRECT("rec.uni[empresa]"),K$6)</f>
        <v>0</v>
      </c>
      <c r="L49" s="49">
        <f ca="1">SUMIFS(rec.uni[2024-11-01],
INDIRECT("rec.uni[natureza]"),"repasse.cef.terreno",
INDIRECT("rec.uni[empresa]"),L$6)</f>
        <v>0</v>
      </c>
      <c r="M49" s="49">
        <v>0</v>
      </c>
      <c r="N49" s="49">
        <f ca="1">SUMIFS(rec.uni[2024-11-01],
INDIRECT("rec.uni[natureza]"),"taxa.extra",
INDIRECT("rec.uni[empresa]"),N$6)</f>
        <v>0</v>
      </c>
      <c r="O49" s="50"/>
      <c r="P49" s="48">
        <f>COUNTIFS(
    in.r9[empresa], P$6,
    in.r9[Data da venda / reserva], "&gt;=" &amp; $A49,
    in.r9[Data da venda / reserva], "&lt;"  &amp; EOMONTH($A49,0) + 1
)</f>
        <v>0</v>
      </c>
      <c r="Q49" s="49">
        <f ca="1">SUMIFS(rec.uni[2024-11-01],
INDIRECT("rec.uni[natureza]"),"pro.soluto",
INDIRECT("rec.uni[empresa]"),Q$6)</f>
        <v>0</v>
      </c>
      <c r="R49" s="49">
        <f ca="1">SUMIFS(rec.uni[2024-11-01],
INDIRECT("rec.uni[natureza]"),"repasse.cef.obra",
INDIRECT("rec.uni[empresa]"),R$6)</f>
        <v>0</v>
      </c>
      <c r="S49" s="49">
        <f ca="1">SUMIFS(rec.uni[2024-11-01],
INDIRECT("rec.uni[natureza]"),"repasse.cef.terreno",
INDIRECT("rec.uni[empresa]"),S$6)</f>
        <v>0</v>
      </c>
      <c r="T49" s="49">
        <v>0</v>
      </c>
      <c r="U49" s="49">
        <f ca="1">SUMIFS(rec.uni[2024-11-01],
INDIRECT("rec.uni[natureza]"),"taxa.extra",
INDIRECT("rec.uni[empresa]"),U$6)</f>
        <v>0</v>
      </c>
      <c r="V49" s="50"/>
      <c r="W49" s="48">
        <f>COUNTIFS(
    in.r9[empresa], W$6,
    in.r9[Data da venda / reserva], "&gt;=" &amp; $A49,
    in.r9[Data da venda / reserva], "&lt;"  &amp; EOMONTH($A49,0) + 1
)</f>
        <v>0</v>
      </c>
      <c r="X49" s="49">
        <f ca="1">SUMIFS(rec.uni[2024-11-01],
INDIRECT("rec.uni[natureza]"),"pro.soluto",
INDIRECT("rec.uni[empresa]"),X$6)</f>
        <v>0</v>
      </c>
      <c r="Y49" s="49">
        <f ca="1">SUMIFS(rec.uni[2024-11-01],
INDIRECT("rec.uni[natureza]"),"taxa.extra",
INDIRECT("rec.uni[empresa]"),Y$6)</f>
        <v>0</v>
      </c>
      <c r="Z49" s="50"/>
      <c r="AA49" s="48">
        <f>COUNTIFS(
    in.r9[empresa], AA$6,
    in.r9[Data da venda / reserva], "&gt;=" &amp; $A49,
    in.r9[Data da venda / reserva], "&lt;"  &amp; EOMONTH($A49,0) + 1
)</f>
        <v>0</v>
      </c>
      <c r="AB49" s="49">
        <f ca="1">SUMIFS(rec.uni[2024-11-01],
INDIRECT("rec.uni[natureza]"),"pro.soluto",
INDIRECT("rec.uni[empresa]"),AB$6)</f>
        <v>0</v>
      </c>
      <c r="AC49" s="38">
        <f ca="1">SUMIFS(rec.uni[2024-11-01],
INDIRECT("rec.uni[natureza]"),"parcela.fin.total.ik",
INDIRECT("rec.uni[empresa]"),AC$6)</f>
        <v>0</v>
      </c>
      <c r="AD49" s="49">
        <f ca="1">SUMIFS(rec.uni[2024-11-01],
INDIRECT("rec.uni[natureza]"),"taxa.extra",
INDIRECT("rec.uni[empresa]"),AD$6)</f>
        <v>0</v>
      </c>
      <c r="AE49" s="50"/>
      <c r="AF49" s="48">
        <f>COUNTIFS(
    in.r9[empresa], AF$6,
    in.r9[Data da venda / reserva], "&gt;=" &amp; $A49,
    in.r9[Data da venda / reserva], "&lt;"  &amp; EOMONTH($A49,0) + 1
)</f>
        <v>0</v>
      </c>
      <c r="AG49" s="49">
        <f ca="1">SUMIFS(rec.uni[2024-11-01],
INDIRECT("rec.uni[natureza]"),"pro.soluto",
INDIRECT("rec.uni[empresa]"),AG$6)</f>
        <v>0</v>
      </c>
      <c r="AH49" s="49">
        <f ca="1">SUMIFS(rec.uni[2024-11-01],
INDIRECT("rec.uni[natureza]"),"repasse.cef.obra",
INDIRECT("rec.uni[empresa]"),AH$6)</f>
        <v>0</v>
      </c>
      <c r="AI49" s="49">
        <f ca="1">SUMIFS(rec.uni[2024-11-01],
INDIRECT("rec.uni[natureza]"),"repasse.cef.terreno",
INDIRECT("rec.uni[empresa]"),AI$6)</f>
        <v>0</v>
      </c>
      <c r="AJ49" s="49">
        <v>0</v>
      </c>
      <c r="AK49" s="49">
        <f ca="1">SUMIFS(rec.uni[2024-11-01],
INDIRECT("rec.uni[natureza]"),"taxa.extra",
INDIRECT("rec.uni[empresa]"),AK$6)</f>
        <v>0</v>
      </c>
      <c r="AL49" s="50"/>
      <c r="AM49" s="48">
        <f>COUNTIFS(
    in.r9[empresa], AM$6,
    in.r9[Data da venda / reserva], "&gt;=" &amp; $A49,
    in.r9[Data da venda / reserva], "&lt;"  &amp; EOMONTH($A49,0) + 1
)</f>
        <v>0</v>
      </c>
      <c r="AN49" s="49">
        <f ca="1">SUMIFS(rec.uni[2024-11-01],
INDIRECT("rec.uni[natureza]"),"pro.soluto",
INDIRECT("rec.uni[empresa]"),AN$6)</f>
        <v>0</v>
      </c>
      <c r="AO49" s="49">
        <f ca="1">SUMIFS(rec.uni[2024-11-01],
INDIRECT("rec.uni[natureza]"),"taxa.extra",
INDIRECT("rec.uni[empresa]"),AO$6)</f>
        <v>0</v>
      </c>
      <c r="AP49" s="50"/>
    </row>
    <row r="50" spans="1:42" x14ac:dyDescent="0.25">
      <c r="A50" s="47">
        <v>45627</v>
      </c>
      <c r="B50" s="48">
        <f>COUNTIFS(
    in.r9[empresa], B$6,
    in.r9[Data da venda / reserva], "&gt;=" &amp; $A50,
    in.r9[Data da venda / reserva], "&lt;"  &amp; EOMONTH($A50,0) + 1
)</f>
        <v>0</v>
      </c>
      <c r="C50" s="49">
        <f ca="1">SUMIFS(rec.uni[2024-12-01],
INDIRECT("rec.uni[natureza]"),"pro.soluto",
INDIRECT("rec.uni[empresa]"),C$6)</f>
        <v>0</v>
      </c>
      <c r="D50" s="49">
        <f ca="1">SUMIFS(rec.uni[2024-12-01],
INDIRECT("rec.uni[natureza]"),"repasse.cef.obra",
INDIRECT("rec.uni[empresa]"),D$6)</f>
        <v>0</v>
      </c>
      <c r="E50" s="49">
        <f ca="1">SUMIFS(rec.uni[2024-12-01],
INDIRECT("rec.uni[natureza]"),"repasse.cef.terreno",
INDIRECT("rec.uni[empresa]"),E$6)</f>
        <v>0</v>
      </c>
      <c r="F50" s="49">
        <v>293595.69</v>
      </c>
      <c r="G50" s="49">
        <f ca="1">SUMIFS(rec.uni[2024-12-01],
INDIRECT("rec.uni[natureza]"),"taxa.extra",
INDIRECT("rec.uni[empresa]"),G$6)</f>
        <v>0</v>
      </c>
      <c r="H50" s="50"/>
      <c r="I50" s="48">
        <f>COUNTIFS(
    in.r9[empresa], I$6,
    in.r9[Data da venda / reserva], "&gt;=" &amp; $A50,
    in.r9[Data da venda / reserva], "&lt;"  &amp; EOMONTH($A50,0) + 1
)</f>
        <v>0</v>
      </c>
      <c r="J50" s="49">
        <f ca="1">SUMIFS(rec.uni[2024-12-01],
INDIRECT("rec.uni[natureza]"),"pro.soluto",
INDIRECT("rec.uni[empresa]"),J$6)</f>
        <v>0</v>
      </c>
      <c r="K50" s="49">
        <f ca="1">SUMIFS(rec.uni[2024-12-01],
INDIRECT("rec.uni[natureza]"),"repasse.cef.obra",
INDIRECT("rec.uni[empresa]"),K$6)</f>
        <v>0</v>
      </c>
      <c r="L50" s="49">
        <f ca="1">SUMIFS(rec.uni[2024-12-01],
INDIRECT("rec.uni[natureza]"),"repasse.cef.terreno",
INDIRECT("rec.uni[empresa]"),L$6)</f>
        <v>0</v>
      </c>
      <c r="M50" s="49">
        <v>0</v>
      </c>
      <c r="N50" s="49">
        <f ca="1">SUMIFS(rec.uni[2024-12-01],
INDIRECT("rec.uni[natureza]"),"taxa.extra",
INDIRECT("rec.uni[empresa]"),N$6)</f>
        <v>0</v>
      </c>
      <c r="O50" s="50"/>
      <c r="P50" s="48">
        <f>COUNTIFS(
    in.r9[empresa], P$6,
    in.r9[Data da venda / reserva], "&gt;=" &amp; $A50,
    in.r9[Data da venda / reserva], "&lt;"  &amp; EOMONTH($A50,0) + 1
)</f>
        <v>0</v>
      </c>
      <c r="Q50" s="49">
        <f ca="1">SUMIFS(rec.uni[2024-12-01],
INDIRECT("rec.uni[natureza]"),"pro.soluto",
INDIRECT("rec.uni[empresa]"),Q$6)</f>
        <v>0</v>
      </c>
      <c r="R50" s="49">
        <f ca="1">SUMIFS(rec.uni[2024-12-01],
INDIRECT("rec.uni[natureza]"),"repasse.cef.obra",
INDIRECT("rec.uni[empresa]"),R$6)</f>
        <v>0</v>
      </c>
      <c r="S50" s="49">
        <f ca="1">SUMIFS(rec.uni[2024-12-01],
INDIRECT("rec.uni[natureza]"),"repasse.cef.terreno",
INDIRECT("rec.uni[empresa]"),S$6)</f>
        <v>0</v>
      </c>
      <c r="T50" s="49">
        <v>0</v>
      </c>
      <c r="U50" s="49">
        <f ca="1">SUMIFS(rec.uni[2024-12-01],
INDIRECT("rec.uni[natureza]"),"taxa.extra",
INDIRECT("rec.uni[empresa]"),U$6)</f>
        <v>0</v>
      </c>
      <c r="V50" s="50"/>
      <c r="W50" s="48">
        <f>COUNTIFS(
    in.r9[empresa], W$6,
    in.r9[Data da venda / reserva], "&gt;=" &amp; $A50,
    in.r9[Data da venda / reserva], "&lt;"  &amp; EOMONTH($A50,0) + 1
)</f>
        <v>0</v>
      </c>
      <c r="X50" s="49">
        <f ca="1">SUMIFS(rec.uni[2024-12-01],
INDIRECT("rec.uni[natureza]"),"pro.soluto",
INDIRECT("rec.uni[empresa]"),X$6)</f>
        <v>0</v>
      </c>
      <c r="Y50" s="49">
        <f ca="1">SUMIFS(rec.uni[2024-12-01],
INDIRECT("rec.uni[natureza]"),"taxa.extra",
INDIRECT("rec.uni[empresa]"),Y$6)</f>
        <v>0</v>
      </c>
      <c r="Z50" s="50"/>
      <c r="AA50" s="48">
        <f>COUNTIFS(
    in.r9[empresa], AA$6,
    in.r9[Data da venda / reserva], "&gt;=" &amp; $A50,
    in.r9[Data da venda / reserva], "&lt;"  &amp; EOMONTH($A50,0) + 1
)</f>
        <v>0</v>
      </c>
      <c r="AB50" s="49">
        <f ca="1">SUMIFS(rec.uni[2024-12-01],
INDIRECT("rec.uni[natureza]"),"pro.soluto",
INDIRECT("rec.uni[empresa]"),AB$6)</f>
        <v>0</v>
      </c>
      <c r="AC50" s="38">
        <f ca="1">SUMIFS(rec.uni[2024-12-01],
INDIRECT("rec.uni[natureza]"),"parcela.fin.total.ik",
INDIRECT("rec.uni[empresa]"),AC$6)</f>
        <v>0</v>
      </c>
      <c r="AD50" s="49">
        <f ca="1">SUMIFS(rec.uni[2024-12-01],
INDIRECT("rec.uni[natureza]"),"taxa.extra",
INDIRECT("rec.uni[empresa]"),AD$6)</f>
        <v>0</v>
      </c>
      <c r="AE50" s="50"/>
      <c r="AF50" s="48">
        <f>COUNTIFS(
    in.r9[empresa], AF$6,
    in.r9[Data da venda / reserva], "&gt;=" &amp; $A50,
    in.r9[Data da venda / reserva], "&lt;"  &amp; EOMONTH($A50,0) + 1
)</f>
        <v>0</v>
      </c>
      <c r="AG50" s="49">
        <f ca="1">SUMIFS(rec.uni[2024-12-01],
INDIRECT("rec.uni[natureza]"),"pro.soluto",
INDIRECT("rec.uni[empresa]"),AG$6)</f>
        <v>0</v>
      </c>
      <c r="AH50" s="49">
        <f ca="1">SUMIFS(rec.uni[2024-12-01],
INDIRECT("rec.uni[natureza]"),"repasse.cef.obra",
INDIRECT("rec.uni[empresa]"),AH$6)</f>
        <v>0</v>
      </c>
      <c r="AI50" s="49">
        <f ca="1">SUMIFS(rec.uni[2024-12-01],
INDIRECT("rec.uni[natureza]"),"repasse.cef.terreno",
INDIRECT("rec.uni[empresa]"),AI$6)</f>
        <v>0</v>
      </c>
      <c r="AJ50" s="49">
        <v>928463.72</v>
      </c>
      <c r="AK50" s="49">
        <f ca="1">SUMIFS(rec.uni[2024-12-01],
INDIRECT("rec.uni[natureza]"),"taxa.extra",
INDIRECT("rec.uni[empresa]"),AK$6)</f>
        <v>0</v>
      </c>
      <c r="AL50" s="50"/>
      <c r="AM50" s="48">
        <f>COUNTIFS(
    in.r9[empresa], AM$6,
    in.r9[Data da venda / reserva], "&gt;=" &amp; $A50,
    in.r9[Data da venda / reserva], "&lt;"  &amp; EOMONTH($A50,0) + 1
)</f>
        <v>0</v>
      </c>
      <c r="AN50" s="49">
        <f ca="1">SUMIFS(rec.uni[2024-12-01],
INDIRECT("rec.uni[natureza]"),"pro.soluto",
INDIRECT("rec.uni[empresa]"),AN$6)</f>
        <v>0</v>
      </c>
      <c r="AO50" s="49">
        <f ca="1">SUMIFS(rec.uni[2024-12-01],
INDIRECT("rec.uni[natureza]"),"taxa.extra",
INDIRECT("rec.uni[empresa]"),AO$6)</f>
        <v>0</v>
      </c>
      <c r="AP50" s="50"/>
    </row>
    <row r="51" spans="1:42" x14ac:dyDescent="0.25">
      <c r="A51" s="47">
        <v>45658</v>
      </c>
      <c r="B51" s="48">
        <f>COUNTIFS(
    in.r9[empresa], B$6,
    in.r9[Data da venda / reserva], "&gt;=" &amp; $A51,
    in.r9[Data da venda / reserva], "&lt;"  &amp; EOMONTH($A51,0) + 1
)</f>
        <v>0</v>
      </c>
      <c r="C51" s="49">
        <f ca="1">SUMIFS(rec.uni[2025-01-01],
INDIRECT("rec.uni[natureza]"),"pro.soluto",
INDIRECT("rec.uni[empresa]"),C$6)</f>
        <v>0</v>
      </c>
      <c r="D51" s="49">
        <f ca="1">SUMIFS(rec.uni[2025-01-01],
INDIRECT("rec.uni[natureza]"),"repasse.cef.obra",
INDIRECT("rec.uni[empresa]"),D$6)</f>
        <v>0</v>
      </c>
      <c r="E51" s="49">
        <f ca="1">SUMIFS(rec.uni[2025-01-01],
INDIRECT("rec.uni[natureza]"),"repasse.cef.terreno",
INDIRECT("rec.uni[empresa]"),E$6)</f>
        <v>0</v>
      </c>
      <c r="F51" s="49">
        <v>489068.85</v>
      </c>
      <c r="G51" s="49">
        <f ca="1">SUMIFS(rec.uni[2025-01-01],
INDIRECT("rec.uni[natureza]"),"taxa.extra",
INDIRECT("rec.uni[empresa]"),G$6)</f>
        <v>0</v>
      </c>
      <c r="H51" s="50"/>
      <c r="I51" s="48">
        <f>COUNTIFS(
    in.r9[empresa], I$6,
    in.r9[Data da venda / reserva], "&gt;=" &amp; $A51,
    in.r9[Data da venda / reserva], "&lt;"  &amp; EOMONTH($A51,0) + 1
)</f>
        <v>0</v>
      </c>
      <c r="J51" s="49">
        <f ca="1">SUMIFS(rec.uni[2025-01-01],
INDIRECT("rec.uni[natureza]"),"pro.soluto",
INDIRECT("rec.uni[empresa]"),J$6)</f>
        <v>0</v>
      </c>
      <c r="K51" s="49">
        <f ca="1">SUMIFS(rec.uni[2025-01-01],
INDIRECT("rec.uni[natureza]"),"repasse.cef.obra",
INDIRECT("rec.uni[empresa]"),K$6)</f>
        <v>0</v>
      </c>
      <c r="L51" s="49">
        <f ca="1">SUMIFS(rec.uni[2025-01-01],
INDIRECT("rec.uni[natureza]"),"repasse.cef.terreno",
INDIRECT("rec.uni[empresa]"),L$6)</f>
        <v>0</v>
      </c>
      <c r="M51" s="49">
        <v>0</v>
      </c>
      <c r="N51" s="49">
        <f ca="1">SUMIFS(rec.uni[2025-01-01],
INDIRECT("rec.uni[natureza]"),"taxa.extra",
INDIRECT("rec.uni[empresa]"),N$6)</f>
        <v>0</v>
      </c>
      <c r="O51" s="50"/>
      <c r="P51" s="48">
        <f>COUNTIFS(
    in.r9[empresa], P$6,
    in.r9[Data da venda / reserva], "&gt;=" &amp; $A51,
    in.r9[Data da venda / reserva], "&lt;"  &amp; EOMONTH($A51,0) + 1
)</f>
        <v>0</v>
      </c>
      <c r="Q51" s="49">
        <f ca="1">SUMIFS(rec.uni[2025-01-01],
INDIRECT("rec.uni[natureza]"),"pro.soluto",
INDIRECT("rec.uni[empresa]"),Q$6)</f>
        <v>0</v>
      </c>
      <c r="R51" s="49">
        <f ca="1">SUMIFS(rec.uni[2025-01-01],
INDIRECT("rec.uni[natureza]"),"repasse.cef.obra",
INDIRECT("rec.uni[empresa]"),R$6)</f>
        <v>0</v>
      </c>
      <c r="S51" s="49">
        <f ca="1">SUMIFS(rec.uni[2025-01-01],
INDIRECT("rec.uni[natureza]"),"repasse.cef.terreno",
INDIRECT("rec.uni[empresa]"),S$6)</f>
        <v>0</v>
      </c>
      <c r="T51" s="49">
        <v>0</v>
      </c>
      <c r="U51" s="49">
        <f ca="1">SUMIFS(rec.uni[2025-01-01],
INDIRECT("rec.uni[natureza]"),"taxa.extra",
INDIRECT("rec.uni[empresa]"),U$6)</f>
        <v>0</v>
      </c>
      <c r="V51" s="50"/>
      <c r="W51" s="48">
        <f>COUNTIFS(
    in.r9[empresa], W$6,
    in.r9[Data da venda / reserva], "&gt;=" &amp; $A51,
    in.r9[Data da venda / reserva], "&lt;"  &amp; EOMONTH($A51,0) + 1
)</f>
        <v>0</v>
      </c>
      <c r="X51" s="49">
        <f ca="1">SUMIFS(rec.uni[2025-01-01],
INDIRECT("rec.uni[natureza]"),"pro.soluto",
INDIRECT("rec.uni[empresa]"),X$6)</f>
        <v>0</v>
      </c>
      <c r="Y51" s="49">
        <f ca="1">SUMIFS(rec.uni[2025-01-01],
INDIRECT("rec.uni[natureza]"),"taxa.extra",
INDIRECT("rec.uni[empresa]"),Y$6)</f>
        <v>0</v>
      </c>
      <c r="Z51" s="50"/>
      <c r="AA51" s="48">
        <f>COUNTIFS(
    in.r9[empresa], AA$6,
    in.r9[Data da venda / reserva], "&gt;=" &amp; $A51,
    in.r9[Data da venda / reserva], "&lt;"  &amp; EOMONTH($A51,0) + 1
)</f>
        <v>0</v>
      </c>
      <c r="AB51" s="49">
        <f ca="1">SUMIFS(rec.uni[2025-01-01],
INDIRECT("rec.uni[natureza]"),"pro.soluto",
INDIRECT("rec.uni[empresa]"),AB$6)</f>
        <v>0</v>
      </c>
      <c r="AC51" s="38">
        <f ca="1">SUMIFS(rec.uni[2025-01-01],
INDIRECT("rec.uni[natureza]"),"parcela.fin.total.ik",
INDIRECT("rec.uni[empresa]"),AC$6)</f>
        <v>0</v>
      </c>
      <c r="AD51" s="49">
        <f ca="1">SUMIFS(rec.uni[2025-01-01],
INDIRECT("rec.uni[natureza]"),"taxa.extra",
INDIRECT("rec.uni[empresa]"),AD$6)</f>
        <v>0</v>
      </c>
      <c r="AE51" s="50"/>
      <c r="AF51" s="48">
        <f>COUNTIFS(
    in.r9[empresa], AF$6,
    in.r9[Data da venda / reserva], "&gt;=" &amp; $A51,
    in.r9[Data da venda / reserva], "&lt;"  &amp; EOMONTH($A51,0) + 1
)</f>
        <v>0</v>
      </c>
      <c r="AG51" s="49">
        <f ca="1">SUMIFS(rec.uni[2025-01-01],
INDIRECT("rec.uni[natureza]"),"pro.soluto",
INDIRECT("rec.uni[empresa]"),AG$6)</f>
        <v>0</v>
      </c>
      <c r="AH51" s="49">
        <f ca="1">SUMIFS(rec.uni[2025-01-01],
INDIRECT("rec.uni[natureza]"),"repasse.cef.obra",
INDIRECT("rec.uni[empresa]"),AH$6)</f>
        <v>0</v>
      </c>
      <c r="AI51" s="49">
        <f ca="1">SUMIFS(rec.uni[2025-01-01],
INDIRECT("rec.uni[natureza]"),"repasse.cef.terreno",
INDIRECT("rec.uni[empresa]"),AI$6)</f>
        <v>0</v>
      </c>
      <c r="AJ51" s="49">
        <v>0</v>
      </c>
      <c r="AK51" s="49">
        <f ca="1">SUMIFS(rec.uni[2025-01-01],
INDIRECT("rec.uni[natureza]"),"taxa.extra",
INDIRECT("rec.uni[empresa]"),AK$6)</f>
        <v>0</v>
      </c>
      <c r="AL51" s="50"/>
      <c r="AM51" s="48">
        <f>COUNTIFS(
    in.r9[empresa], AM$6,
    in.r9[Data da venda / reserva], "&gt;=" &amp; $A51,
    in.r9[Data da venda / reserva], "&lt;"  &amp; EOMONTH($A51,0) + 1
)</f>
        <v>0</v>
      </c>
      <c r="AN51" s="49">
        <f ca="1">SUMIFS(rec.uni[2025-01-01],
INDIRECT("rec.uni[natureza]"),"pro.soluto",
INDIRECT("rec.uni[empresa]"),AN$6)</f>
        <v>0</v>
      </c>
      <c r="AO51" s="49">
        <f ca="1">SUMIFS(rec.uni[2025-01-01],
INDIRECT("rec.uni[natureza]"),"taxa.extra",
INDIRECT("rec.uni[empresa]"),AO$6)</f>
        <v>0</v>
      </c>
      <c r="AP51" s="50"/>
    </row>
    <row r="52" spans="1:42" x14ac:dyDescent="0.25">
      <c r="A52" s="47">
        <v>45689</v>
      </c>
      <c r="B52" s="48">
        <f>COUNTIFS(
    in.r9[empresa], B$6,
    in.r9[Data da venda / reserva], "&gt;=" &amp; $A52,
    in.r9[Data da venda / reserva], "&lt;"  &amp; EOMONTH($A52,0) + 1
)</f>
        <v>0</v>
      </c>
      <c r="C52" s="49">
        <f ca="1">SUMIFS(rec.uni[2025-02-01],
INDIRECT("rec.uni[natureza]"),"pro.soluto",
INDIRECT("rec.uni[empresa]"),C$6)</f>
        <v>0</v>
      </c>
      <c r="D52" s="49">
        <f ca="1">SUMIFS(rec.uni[2025-02-01],
INDIRECT("rec.uni[natureza]"),"repasse.cef.obra",
INDIRECT("rec.uni[empresa]"),D$6)</f>
        <v>0</v>
      </c>
      <c r="E52" s="49">
        <f ca="1">SUMIFS(rec.uni[2025-02-01],
INDIRECT("rec.uni[natureza]"),"repasse.cef.terreno",
INDIRECT("rec.uni[empresa]"),E$6)</f>
        <v>0</v>
      </c>
      <c r="F52" s="49">
        <v>0</v>
      </c>
      <c r="G52" s="49">
        <f ca="1">SUMIFS(rec.uni[2025-02-01],
INDIRECT("rec.uni[natureza]"),"taxa.extra",
INDIRECT("rec.uni[empresa]"),G$6)</f>
        <v>0</v>
      </c>
      <c r="H52" s="50"/>
      <c r="I52" s="48">
        <f>COUNTIFS(
    in.r9[empresa], I$6,
    in.r9[Data da venda / reserva], "&gt;=" &amp; $A52,
    in.r9[Data da venda / reserva], "&lt;"  &amp; EOMONTH($A52,0) + 1
)</f>
        <v>0</v>
      </c>
      <c r="J52" s="49">
        <f ca="1">SUMIFS(rec.uni[2025-02-01],
INDIRECT("rec.uni[natureza]"),"pro.soluto",
INDIRECT("rec.uni[empresa]"),J$6)</f>
        <v>0</v>
      </c>
      <c r="K52" s="49">
        <f ca="1">SUMIFS(rec.uni[2025-02-01],
INDIRECT("rec.uni[natureza]"),"repasse.cef.obra",
INDIRECT("rec.uni[empresa]"),K$6)</f>
        <v>0</v>
      </c>
      <c r="L52" s="49">
        <f ca="1">SUMIFS(rec.uni[2025-02-01],
INDIRECT("rec.uni[natureza]"),"repasse.cef.terreno",
INDIRECT("rec.uni[empresa]"),L$6)</f>
        <v>0</v>
      </c>
      <c r="M52" s="49">
        <v>0</v>
      </c>
      <c r="N52" s="49">
        <f ca="1">SUMIFS(rec.uni[2025-02-01],
INDIRECT("rec.uni[natureza]"),"taxa.extra",
INDIRECT("rec.uni[empresa]"),N$6)</f>
        <v>0</v>
      </c>
      <c r="O52" s="50"/>
      <c r="P52" s="48">
        <f>COUNTIFS(
    in.r9[empresa], P$6,
    in.r9[Data da venda / reserva], "&gt;=" &amp; $A52,
    in.r9[Data da venda / reserva], "&lt;"  &amp; EOMONTH($A52,0) + 1
)</f>
        <v>0</v>
      </c>
      <c r="Q52" s="49">
        <f ca="1">SUMIFS(rec.uni[2025-02-01],
INDIRECT("rec.uni[natureza]"),"pro.soluto",
INDIRECT("rec.uni[empresa]"),Q$6)</f>
        <v>0</v>
      </c>
      <c r="R52" s="49">
        <f ca="1">SUMIFS(rec.uni[2025-02-01],
INDIRECT("rec.uni[natureza]"),"repasse.cef.obra",
INDIRECT("rec.uni[empresa]"),R$6)</f>
        <v>0</v>
      </c>
      <c r="S52" s="49">
        <f ca="1">SUMIFS(rec.uni[2025-02-01],
INDIRECT("rec.uni[natureza]"),"repasse.cef.terreno",
INDIRECT("rec.uni[empresa]"),S$6)</f>
        <v>0</v>
      </c>
      <c r="T52" s="49">
        <v>0</v>
      </c>
      <c r="U52" s="49">
        <f ca="1">SUMIFS(rec.uni[2025-02-01],
INDIRECT("rec.uni[natureza]"),"taxa.extra",
INDIRECT("rec.uni[empresa]"),U$6)</f>
        <v>0</v>
      </c>
      <c r="V52" s="50"/>
      <c r="W52" s="48">
        <f>COUNTIFS(
    in.r9[empresa], W$6,
    in.r9[Data da venda / reserva], "&gt;=" &amp; $A52,
    in.r9[Data da venda / reserva], "&lt;"  &amp; EOMONTH($A52,0) + 1
)</f>
        <v>0</v>
      </c>
      <c r="X52" s="49">
        <f ca="1">SUMIFS(rec.uni[2025-02-01],
INDIRECT("rec.uni[natureza]"),"pro.soluto",
INDIRECT("rec.uni[empresa]"),X$6)</f>
        <v>0</v>
      </c>
      <c r="Y52" s="49">
        <f ca="1">SUMIFS(rec.uni[2025-02-01],
INDIRECT("rec.uni[natureza]"),"taxa.extra",
INDIRECT("rec.uni[empresa]"),Y$6)</f>
        <v>0</v>
      </c>
      <c r="Z52" s="50"/>
      <c r="AA52" s="48">
        <f>COUNTIFS(
    in.r9[empresa], AA$6,
    in.r9[Data da venda / reserva], "&gt;=" &amp; $A52,
    in.r9[Data da venda / reserva], "&lt;"  &amp; EOMONTH($A52,0) + 1
)</f>
        <v>0</v>
      </c>
      <c r="AB52" s="49">
        <f ca="1">SUMIFS(rec.uni[2025-02-01],
INDIRECT("rec.uni[natureza]"),"pro.soluto",
INDIRECT("rec.uni[empresa]"),AB$6)</f>
        <v>0</v>
      </c>
      <c r="AC52" s="38">
        <f ca="1">SUMIFS(rec.uni[2025-02-01],
INDIRECT("rec.uni[natureza]"),"parcela.fin.total.ik",
INDIRECT("rec.uni[empresa]"),AC$6)</f>
        <v>0</v>
      </c>
      <c r="AD52" s="49">
        <f ca="1">SUMIFS(rec.uni[2025-02-01],
INDIRECT("rec.uni[natureza]"),"taxa.extra",
INDIRECT("rec.uni[empresa]"),AD$6)</f>
        <v>0</v>
      </c>
      <c r="AE52" s="50"/>
      <c r="AF52" s="48">
        <f>COUNTIFS(
    in.r9[empresa], AF$6,
    in.r9[Data da venda / reserva], "&gt;=" &amp; $A52,
    in.r9[Data da venda / reserva], "&lt;"  &amp; EOMONTH($A52,0) + 1
)</f>
        <v>0</v>
      </c>
      <c r="AG52" s="49">
        <f ca="1">SUMIFS(rec.uni[2025-02-01],
INDIRECT("rec.uni[natureza]"),"pro.soluto",
INDIRECT("rec.uni[empresa]"),AG$6)</f>
        <v>0</v>
      </c>
      <c r="AH52" s="49">
        <f ca="1">SUMIFS(rec.uni[2025-02-01],
INDIRECT("rec.uni[natureza]"),"repasse.cef.obra",
INDIRECT("rec.uni[empresa]"),AH$6)</f>
        <v>0</v>
      </c>
      <c r="AI52" s="49">
        <f ca="1">SUMIFS(rec.uni[2025-02-01],
INDIRECT("rec.uni[natureza]"),"repasse.cef.terreno",
INDIRECT("rec.uni[empresa]"),AI$6)</f>
        <v>0</v>
      </c>
      <c r="AJ52" s="49">
        <v>0</v>
      </c>
      <c r="AK52" s="49">
        <f ca="1">SUMIFS(rec.uni[2025-02-01],
INDIRECT("rec.uni[natureza]"),"taxa.extra",
INDIRECT("rec.uni[empresa]"),AK$6)</f>
        <v>0</v>
      </c>
      <c r="AL52" s="50"/>
      <c r="AM52" s="48">
        <f>COUNTIFS(
    in.r9[empresa], AM$6,
    in.r9[Data da venda / reserva], "&gt;=" &amp; $A52,
    in.r9[Data da venda / reserva], "&lt;"  &amp; EOMONTH($A52,0) + 1
)</f>
        <v>0</v>
      </c>
      <c r="AN52" s="49">
        <f ca="1">SUMIFS(rec.uni[2025-02-01],
INDIRECT("rec.uni[natureza]"),"pro.soluto",
INDIRECT("rec.uni[empresa]"),AN$6)</f>
        <v>0</v>
      </c>
      <c r="AO52" s="49">
        <f ca="1">SUMIFS(rec.uni[2025-02-01],
INDIRECT("rec.uni[natureza]"),"taxa.extra",
INDIRECT("rec.uni[empresa]"),AO$6)</f>
        <v>0</v>
      </c>
      <c r="AP52" s="50"/>
    </row>
    <row r="53" spans="1:42" x14ac:dyDescent="0.25">
      <c r="A53" s="47">
        <v>45717</v>
      </c>
      <c r="B53" s="48">
        <f>COUNTIFS(
    in.r9[empresa], B$6,
    in.r9[Data da venda / reserva], "&gt;=" &amp; $A53,
    in.r9[Data da venda / reserva], "&lt;"  &amp; EOMONTH($A53,0) + 1
)</f>
        <v>0</v>
      </c>
      <c r="C53" s="49">
        <f ca="1">SUMIFS(rec.uni[2025-03-01],
INDIRECT("rec.uni[natureza]"),"pro.soluto",
INDIRECT("rec.uni[empresa]"),C$6)</f>
        <v>0</v>
      </c>
      <c r="D53" s="49">
        <f ca="1">SUMIFS(rec.uni[2025-03-01],
INDIRECT("rec.uni[natureza]"),"repasse.cef.obra",
INDIRECT("rec.uni[empresa]"),D$6)</f>
        <v>0</v>
      </c>
      <c r="E53" s="49">
        <f ca="1">SUMIFS(rec.uni[2025-03-01],
INDIRECT("rec.uni[natureza]"),"repasse.cef.terreno",
INDIRECT("rec.uni[empresa]"),E$6)</f>
        <v>0</v>
      </c>
      <c r="F53" s="49">
        <v>385006.39</v>
      </c>
      <c r="G53" s="49">
        <f ca="1">SUMIFS(rec.uni[2025-03-01],
INDIRECT("rec.uni[natureza]"),"taxa.extra",
INDIRECT("rec.uni[empresa]"),G$6)</f>
        <v>0</v>
      </c>
      <c r="H53" s="50"/>
      <c r="I53" s="48">
        <f>COUNTIFS(
    in.r9[empresa], I$6,
    in.r9[Data da venda / reserva], "&gt;=" &amp; $A53,
    in.r9[Data da venda / reserva], "&lt;"  &amp; EOMONTH($A53,0) + 1
)</f>
        <v>0</v>
      </c>
      <c r="J53" s="49">
        <f ca="1">SUMIFS(rec.uni[2025-03-01],
INDIRECT("rec.uni[natureza]"),"pro.soluto",
INDIRECT("rec.uni[empresa]"),J$6)</f>
        <v>0</v>
      </c>
      <c r="K53" s="49">
        <f ca="1">SUMIFS(rec.uni[2025-03-01],
INDIRECT("rec.uni[natureza]"),"repasse.cef.obra",
INDIRECT("rec.uni[empresa]"),K$6)</f>
        <v>0</v>
      </c>
      <c r="L53" s="49">
        <f ca="1">SUMIFS(rec.uni[2025-03-01],
INDIRECT("rec.uni[natureza]"),"repasse.cef.terreno",
INDIRECT("rec.uni[empresa]"),L$6)</f>
        <v>0</v>
      </c>
      <c r="M53" s="49">
        <v>0</v>
      </c>
      <c r="N53" s="49">
        <f ca="1">SUMIFS(rec.uni[2025-03-01],
INDIRECT("rec.uni[natureza]"),"taxa.extra",
INDIRECT("rec.uni[empresa]"),N$6)</f>
        <v>0</v>
      </c>
      <c r="O53" s="50"/>
      <c r="P53" s="48">
        <f>COUNTIFS(
    in.r9[empresa], P$6,
    in.r9[Data da venda / reserva], "&gt;=" &amp; $A53,
    in.r9[Data da venda / reserva], "&lt;"  &amp; EOMONTH($A53,0) + 1
)</f>
        <v>0</v>
      </c>
      <c r="Q53" s="49">
        <f ca="1">SUMIFS(rec.uni[2025-03-01],
INDIRECT("rec.uni[natureza]"),"pro.soluto",
INDIRECT("rec.uni[empresa]"),Q$6)</f>
        <v>0</v>
      </c>
      <c r="R53" s="49">
        <f ca="1">SUMIFS(rec.uni[2025-03-01],
INDIRECT("rec.uni[natureza]"),"repasse.cef.obra",
INDIRECT("rec.uni[empresa]"),R$6)</f>
        <v>0</v>
      </c>
      <c r="S53" s="49">
        <f ca="1">SUMIFS(rec.uni[2025-03-01],
INDIRECT("rec.uni[natureza]"),"repasse.cef.terreno",
INDIRECT("rec.uni[empresa]"),S$6)</f>
        <v>0</v>
      </c>
      <c r="T53" s="49">
        <v>0</v>
      </c>
      <c r="U53" s="49">
        <f ca="1">SUMIFS(rec.uni[2025-03-01],
INDIRECT("rec.uni[natureza]"),"taxa.extra",
INDIRECT("rec.uni[empresa]"),U$6)</f>
        <v>0</v>
      </c>
      <c r="V53" s="50"/>
      <c r="W53" s="48">
        <f>COUNTIFS(
    in.r9[empresa], W$6,
    in.r9[Data da venda / reserva], "&gt;=" &amp; $A53,
    in.r9[Data da venda / reserva], "&lt;"  &amp; EOMONTH($A53,0) + 1
)</f>
        <v>0</v>
      </c>
      <c r="X53" s="49">
        <f ca="1">SUMIFS(rec.uni[2025-03-01],
INDIRECT("rec.uni[natureza]"),"pro.soluto",
INDIRECT("rec.uni[empresa]"),X$6)</f>
        <v>0</v>
      </c>
      <c r="Y53" s="49">
        <f ca="1">SUMIFS(rec.uni[2025-03-01],
INDIRECT("rec.uni[natureza]"),"taxa.extra",
INDIRECT("rec.uni[empresa]"),Y$6)</f>
        <v>0</v>
      </c>
      <c r="Z53" s="50"/>
      <c r="AA53" s="48">
        <f>COUNTIFS(
    in.r9[empresa], AA$6,
    in.r9[Data da venda / reserva], "&gt;=" &amp; $A53,
    in.r9[Data da venda / reserva], "&lt;"  &amp; EOMONTH($A53,0) + 1
)</f>
        <v>0</v>
      </c>
      <c r="AB53" s="49">
        <f ca="1">SUMIFS(rec.uni[2025-03-01],
INDIRECT("rec.uni[natureza]"),"pro.soluto",
INDIRECT("rec.uni[empresa]"),AB$6)</f>
        <v>0</v>
      </c>
      <c r="AC53" s="38">
        <f ca="1">SUMIFS(rec.uni[2025-03-01],
INDIRECT("rec.uni[natureza]"),"parcela.fin.total.ik",
INDIRECT("rec.uni[empresa]"),AC$6)</f>
        <v>0</v>
      </c>
      <c r="AD53" s="49">
        <f ca="1">SUMIFS(rec.uni[2025-03-01],
INDIRECT("rec.uni[natureza]"),"taxa.extra",
INDIRECT("rec.uni[empresa]"),AD$6)</f>
        <v>0</v>
      </c>
      <c r="AE53" s="50"/>
      <c r="AF53" s="48">
        <f>COUNTIFS(
    in.r9[empresa], AF$6,
    in.r9[Data da venda / reserva], "&gt;=" &amp; $A53,
    in.r9[Data da venda / reserva], "&lt;"  &amp; EOMONTH($A53,0) + 1
)</f>
        <v>0</v>
      </c>
      <c r="AG53" s="49">
        <f ca="1">SUMIFS(rec.uni[2025-03-01],
INDIRECT("rec.uni[natureza]"),"pro.soluto",
INDIRECT("rec.uni[empresa]"),AG$6)</f>
        <v>0</v>
      </c>
      <c r="AH53" s="49">
        <f ca="1">SUMIFS(rec.uni[2025-03-01],
INDIRECT("rec.uni[natureza]"),"repasse.cef.obra",
INDIRECT("rec.uni[empresa]"),AH$6)</f>
        <v>0</v>
      </c>
      <c r="AI53" s="49">
        <f ca="1">SUMIFS(rec.uni[2025-03-01],
INDIRECT("rec.uni[natureza]"),"repasse.cef.terreno",
INDIRECT("rec.uni[empresa]"),AI$6)</f>
        <v>0</v>
      </c>
      <c r="AJ53" s="49">
        <v>236708.67</v>
      </c>
      <c r="AK53" s="49">
        <f ca="1">SUMIFS(rec.uni[2025-03-01],
INDIRECT("rec.uni[natureza]"),"taxa.extra",
INDIRECT("rec.uni[empresa]"),AK$6)</f>
        <v>0</v>
      </c>
      <c r="AL53" s="50"/>
      <c r="AM53" s="48">
        <f>COUNTIFS(
    in.r9[empresa], AM$6,
    in.r9[Data da venda / reserva], "&gt;=" &amp; $A53,
    in.r9[Data da venda / reserva], "&lt;"  &amp; EOMONTH($A53,0) + 1
)</f>
        <v>0</v>
      </c>
      <c r="AN53" s="49">
        <f ca="1">SUMIFS(rec.uni[2025-03-01],
INDIRECT("rec.uni[natureza]"),"pro.soluto",
INDIRECT("rec.uni[empresa]"),AN$6)</f>
        <v>0</v>
      </c>
      <c r="AO53" s="49">
        <f ca="1">SUMIFS(rec.uni[2025-03-01],
INDIRECT("rec.uni[natureza]"),"taxa.extra",
INDIRECT("rec.uni[empresa]"),AO$6)</f>
        <v>0</v>
      </c>
      <c r="AP53" s="50"/>
    </row>
    <row r="54" spans="1:42" x14ac:dyDescent="0.25">
      <c r="A54" s="47">
        <v>45748</v>
      </c>
      <c r="B54" s="48">
        <f>COUNTIFS(
    in.r9[empresa], B$6,
    in.r9[Data da venda / reserva], "&gt;=" &amp; $A54,
    in.r9[Data da venda / reserva], "&lt;"  &amp; EOMONTH($A54,0) + 1
)</f>
        <v>0</v>
      </c>
      <c r="C54" s="49">
        <f ca="1">SUMIFS(rec.uni[2025-04-01],
INDIRECT("rec.uni[natureza]"),"pro.soluto",
INDIRECT("rec.uni[empresa]"),C$6)</f>
        <v>0</v>
      </c>
      <c r="D54" s="49">
        <f ca="1">SUMIFS(rec.uni[2025-04-01],
INDIRECT("rec.uni[natureza]"),"repasse.cef.obra",
INDIRECT("rec.uni[empresa]"),D$6)</f>
        <v>0</v>
      </c>
      <c r="E54" s="49">
        <f ca="1">SUMIFS(rec.uni[2025-04-01],
INDIRECT("rec.uni[natureza]"),"repasse.cef.terreno",
INDIRECT("rec.uni[empresa]"),E$6)</f>
        <v>0</v>
      </c>
      <c r="F54" s="49">
        <v>223853.73</v>
      </c>
      <c r="G54" s="49">
        <f ca="1">SUMIFS(rec.uni[2025-04-01],
INDIRECT("rec.uni[natureza]"),"taxa.extra",
INDIRECT("rec.uni[empresa]"),G$6)</f>
        <v>0</v>
      </c>
      <c r="H54" s="50"/>
      <c r="I54" s="48">
        <f>COUNTIFS(
    in.r9[empresa], I$6,
    in.r9[Data da venda / reserva], "&gt;=" &amp; $A54,
    in.r9[Data da venda / reserva], "&lt;"  &amp; EOMONTH($A54,0) + 1
)</f>
        <v>0</v>
      </c>
      <c r="J54" s="49">
        <f ca="1">SUMIFS(rec.uni[2025-04-01],
INDIRECT("rec.uni[natureza]"),"pro.soluto",
INDIRECT("rec.uni[empresa]"),J$6)</f>
        <v>0</v>
      </c>
      <c r="K54" s="49">
        <f ca="1">SUMIFS(rec.uni[2025-04-01],
INDIRECT("rec.uni[natureza]"),"repasse.cef.obra",
INDIRECT("rec.uni[empresa]"),K$6)</f>
        <v>0</v>
      </c>
      <c r="L54" s="49">
        <f ca="1">SUMIFS(rec.uni[2025-04-01],
INDIRECT("rec.uni[natureza]"),"repasse.cef.terreno",
INDIRECT("rec.uni[empresa]"),L$6)</f>
        <v>0</v>
      </c>
      <c r="M54" s="49">
        <v>0</v>
      </c>
      <c r="N54" s="49">
        <f ca="1">SUMIFS(rec.uni[2025-04-01],
INDIRECT("rec.uni[natureza]"),"taxa.extra",
INDIRECT("rec.uni[empresa]"),N$6)</f>
        <v>0</v>
      </c>
      <c r="O54" s="50"/>
      <c r="P54" s="48">
        <f>COUNTIFS(
    in.r9[empresa], P$6,
    in.r9[Data da venda / reserva], "&gt;=" &amp; $A54,
    in.r9[Data da venda / reserva], "&lt;"  &amp; EOMONTH($A54,0) + 1
)</f>
        <v>0</v>
      </c>
      <c r="Q54" s="49">
        <f ca="1">SUMIFS(rec.uni[2025-04-01],
INDIRECT("rec.uni[natureza]"),"pro.soluto",
INDIRECT("rec.uni[empresa]"),Q$6)</f>
        <v>0</v>
      </c>
      <c r="R54" s="49">
        <f ca="1">SUMIFS(rec.uni[2025-04-01],
INDIRECT("rec.uni[natureza]"),"repasse.cef.obra",
INDIRECT("rec.uni[empresa]"),R$6)</f>
        <v>0</v>
      </c>
      <c r="S54" s="49">
        <f ca="1">SUMIFS(rec.uni[2025-04-01],
INDIRECT("rec.uni[natureza]"),"repasse.cef.terreno",
INDIRECT("rec.uni[empresa]"),S$6)</f>
        <v>0</v>
      </c>
      <c r="T54" s="49">
        <v>0</v>
      </c>
      <c r="U54" s="49">
        <f ca="1">SUMIFS(rec.uni[2025-04-01],
INDIRECT("rec.uni[natureza]"),"taxa.extra",
INDIRECT("rec.uni[empresa]"),U$6)</f>
        <v>0</v>
      </c>
      <c r="V54" s="50"/>
      <c r="W54" s="48">
        <f>COUNTIFS(
    in.r9[empresa], W$6,
    in.r9[Data da venda / reserva], "&gt;=" &amp; $A54,
    in.r9[Data da venda / reserva], "&lt;"  &amp; EOMONTH($A54,0) + 1
)</f>
        <v>0</v>
      </c>
      <c r="X54" s="49">
        <f ca="1">SUMIFS(rec.uni[2025-04-01],
INDIRECT("rec.uni[natureza]"),"pro.soluto",
INDIRECT("rec.uni[empresa]"),X$6)</f>
        <v>0</v>
      </c>
      <c r="Y54" s="49">
        <f ca="1">SUMIFS(rec.uni[2025-04-01],
INDIRECT("rec.uni[natureza]"),"taxa.extra",
INDIRECT("rec.uni[empresa]"),Y$6)</f>
        <v>0</v>
      </c>
      <c r="Z54" s="50"/>
      <c r="AA54" s="48">
        <f>COUNTIFS(
    in.r9[empresa], AA$6,
    in.r9[Data da venda / reserva], "&gt;=" &amp; $A54,
    in.r9[Data da venda / reserva], "&lt;"  &amp; EOMONTH($A54,0) + 1
)</f>
        <v>0</v>
      </c>
      <c r="AB54" s="49">
        <f ca="1">SUMIFS(rec.uni[2025-04-01],
INDIRECT("rec.uni[natureza]"),"pro.soluto",
INDIRECT("rec.uni[empresa]"),AB$6)</f>
        <v>0</v>
      </c>
      <c r="AC54" s="38">
        <f ca="1">SUMIFS(rec.uni[2025-04-01],
INDIRECT("rec.uni[natureza]"),"parcela.fin.total.ik",
INDIRECT("rec.uni[empresa]"),AC$6)</f>
        <v>0</v>
      </c>
      <c r="AD54" s="49">
        <f ca="1">SUMIFS(rec.uni[2025-04-01],
INDIRECT("rec.uni[natureza]"),"taxa.extra",
INDIRECT("rec.uni[empresa]"),AD$6)</f>
        <v>0</v>
      </c>
      <c r="AE54" s="50"/>
      <c r="AF54" s="48">
        <f>COUNTIFS(
    in.r9[empresa], AF$6,
    in.r9[Data da venda / reserva], "&gt;=" &amp; $A54,
    in.r9[Data da venda / reserva], "&lt;"  &amp; EOMONTH($A54,0) + 1
)</f>
        <v>0</v>
      </c>
      <c r="AG54" s="49">
        <f ca="1">SUMIFS(rec.uni[2025-04-01],
INDIRECT("rec.uni[natureza]"),"pro.soluto",
INDIRECT("rec.uni[empresa]"),AG$6)</f>
        <v>0</v>
      </c>
      <c r="AH54" s="49">
        <f ca="1">SUMIFS(rec.uni[2025-04-01],
INDIRECT("rec.uni[natureza]"),"repasse.cef.obra",
INDIRECT("rec.uni[empresa]"),AH$6)</f>
        <v>0</v>
      </c>
      <c r="AI54" s="49">
        <f ca="1">SUMIFS(rec.uni[2025-04-01],
INDIRECT("rec.uni[natureza]"),"repasse.cef.terreno",
INDIRECT("rec.uni[empresa]"),AI$6)</f>
        <v>0</v>
      </c>
      <c r="AJ54" s="49">
        <v>273233.02</v>
      </c>
      <c r="AK54" s="49">
        <f ca="1">SUMIFS(rec.uni[2025-04-01],
INDIRECT("rec.uni[natureza]"),"taxa.extra",
INDIRECT("rec.uni[empresa]"),AK$6)</f>
        <v>0</v>
      </c>
      <c r="AL54" s="50"/>
      <c r="AM54" s="48">
        <f>COUNTIFS(
    in.r9[empresa], AM$6,
    in.r9[Data da venda / reserva], "&gt;=" &amp; $A54,
    in.r9[Data da venda / reserva], "&lt;"  &amp; EOMONTH($A54,0) + 1
)</f>
        <v>0</v>
      </c>
      <c r="AN54" s="49">
        <f ca="1">SUMIFS(rec.uni[2025-04-01],
INDIRECT("rec.uni[natureza]"),"pro.soluto",
INDIRECT("rec.uni[empresa]"),AN$6)</f>
        <v>0</v>
      </c>
      <c r="AO54" s="49">
        <f ca="1">SUMIFS(rec.uni[2025-04-01],
INDIRECT("rec.uni[natureza]"),"taxa.extra",
INDIRECT("rec.uni[empresa]"),AO$6)</f>
        <v>0</v>
      </c>
      <c r="AP54" s="50"/>
    </row>
    <row r="55" spans="1:42" x14ac:dyDescent="0.25">
      <c r="A55" s="47">
        <v>45778</v>
      </c>
      <c r="B55" s="48">
        <f>COUNTIFS(
    in.r9[empresa], B$6,
    in.r9[Data da venda / reserva], "&gt;=" &amp; $A55,
    in.r9[Data da venda / reserva], "&lt;"  &amp; EOMONTH($A55,0) + 1
)</f>
        <v>0</v>
      </c>
      <c r="C55" s="49">
        <f ca="1">SUMIFS(rec.uni[2025-05-01],
INDIRECT("rec.uni[natureza]"),"pro.soluto",
INDIRECT("rec.uni[empresa]"),C$6)</f>
        <v>0</v>
      </c>
      <c r="D55" s="49">
        <f ca="1">SUMIFS(rec.uni[2025-05-01],
INDIRECT("rec.uni[natureza]"),"repasse.cef.obra",
INDIRECT("rec.uni[empresa]"),D$6)</f>
        <v>0</v>
      </c>
      <c r="E55" s="49">
        <f ca="1">SUMIFS(rec.uni[2025-05-01],
INDIRECT("rec.uni[natureza]"),"repasse.cef.terreno",
INDIRECT("rec.uni[empresa]"),E$6)</f>
        <v>0</v>
      </c>
      <c r="F55" s="49">
        <v>134752.4</v>
      </c>
      <c r="G55" s="49">
        <f ca="1">SUMIFS(rec.uni[2025-05-01],
INDIRECT("rec.uni[natureza]"),"taxa.extra",
INDIRECT("rec.uni[empresa]"),G$6)</f>
        <v>0</v>
      </c>
      <c r="H55" s="50"/>
      <c r="I55" s="48">
        <f>COUNTIFS(
    in.r9[empresa], I$6,
    in.r9[Data da venda / reserva], "&gt;=" &amp; $A55,
    in.r9[Data da venda / reserva], "&lt;"  &amp; EOMONTH($A55,0) + 1
)</f>
        <v>0</v>
      </c>
      <c r="J55" s="49">
        <f ca="1">SUMIFS(rec.uni[2025-05-01],
INDIRECT("rec.uni[natureza]"),"pro.soluto",
INDIRECT("rec.uni[empresa]"),J$6)</f>
        <v>0</v>
      </c>
      <c r="K55" s="49">
        <f ca="1">SUMIFS(rec.uni[2025-05-01],
INDIRECT("rec.uni[natureza]"),"repasse.cef.obra",
INDIRECT("rec.uni[empresa]"),K$6)</f>
        <v>0</v>
      </c>
      <c r="L55" s="49">
        <f ca="1">SUMIFS(rec.uni[2025-05-01],
INDIRECT("rec.uni[natureza]"),"repasse.cef.terreno",
INDIRECT("rec.uni[empresa]"),L$6)</f>
        <v>0</v>
      </c>
      <c r="M55" s="49">
        <v>0</v>
      </c>
      <c r="N55" s="49">
        <f ca="1">SUMIFS(rec.uni[2025-05-01],
INDIRECT("rec.uni[natureza]"),"taxa.extra",
INDIRECT("rec.uni[empresa]"),N$6)</f>
        <v>0</v>
      </c>
      <c r="O55" s="50"/>
      <c r="P55" s="48">
        <f>COUNTIFS(
    in.r9[empresa], P$6,
    in.r9[Data da venda / reserva], "&gt;=" &amp; $A55,
    in.r9[Data da venda / reserva], "&lt;"  &amp; EOMONTH($A55,0) + 1
)</f>
        <v>0</v>
      </c>
      <c r="Q55" s="49">
        <f ca="1">SUMIFS(rec.uni[2025-05-01],
INDIRECT("rec.uni[natureza]"),"pro.soluto",
INDIRECT("rec.uni[empresa]"),Q$6)</f>
        <v>0</v>
      </c>
      <c r="R55" s="49">
        <f ca="1">SUMIFS(rec.uni[2025-05-01],
INDIRECT("rec.uni[natureza]"),"repasse.cef.obra",
INDIRECT("rec.uni[empresa]"),R$6)</f>
        <v>0</v>
      </c>
      <c r="S55" s="49">
        <f ca="1">SUMIFS(rec.uni[2025-05-01],
INDIRECT("rec.uni[natureza]"),"repasse.cef.terreno",
INDIRECT("rec.uni[empresa]"),S$6)</f>
        <v>0</v>
      </c>
      <c r="T55" s="49">
        <v>0</v>
      </c>
      <c r="U55" s="49">
        <f ca="1">SUMIFS(rec.uni[2025-05-01],
INDIRECT("rec.uni[natureza]"),"taxa.extra",
INDIRECT("rec.uni[empresa]"),U$6)</f>
        <v>0</v>
      </c>
      <c r="V55" s="50"/>
      <c r="W55" s="48">
        <f>COUNTIFS(
    in.r9[empresa], W$6,
    in.r9[Data da venda / reserva], "&gt;=" &amp; $A55,
    in.r9[Data da venda / reserva], "&lt;"  &amp; EOMONTH($A55,0) + 1
)</f>
        <v>0</v>
      </c>
      <c r="X55" s="49">
        <f ca="1">SUMIFS(rec.uni[2025-05-01],
INDIRECT("rec.uni[natureza]"),"pro.soluto",
INDIRECT("rec.uni[empresa]"),X$6)</f>
        <v>0</v>
      </c>
      <c r="Y55" s="49">
        <f ca="1">SUMIFS(rec.uni[2025-05-01],
INDIRECT("rec.uni[natureza]"),"taxa.extra",
INDIRECT("rec.uni[empresa]"),Y$6)</f>
        <v>0</v>
      </c>
      <c r="Z55" s="50"/>
      <c r="AA55" s="48">
        <f>COUNTIFS(
    in.r9[empresa], AA$6,
    in.r9[Data da venda / reserva], "&gt;=" &amp; $A55,
    in.r9[Data da venda / reserva], "&lt;"  &amp; EOMONTH($A55,0) + 1
)</f>
        <v>0</v>
      </c>
      <c r="AB55" s="49">
        <f ca="1">SUMIFS(rec.uni[2025-05-01],
INDIRECT("rec.uni[natureza]"),"pro.soluto",
INDIRECT("rec.uni[empresa]"),AB$6)</f>
        <v>0</v>
      </c>
      <c r="AC55" s="38">
        <f ca="1">SUMIFS(rec.uni[2025-05-01],
INDIRECT("rec.uni[natureza]"),"parcela.fin.total.ik",
INDIRECT("rec.uni[empresa]"),AC$6)</f>
        <v>0</v>
      </c>
      <c r="AD55" s="49">
        <f ca="1">SUMIFS(rec.uni[2025-05-01],
INDIRECT("rec.uni[natureza]"),"taxa.extra",
INDIRECT("rec.uni[empresa]"),AD$6)</f>
        <v>0</v>
      </c>
      <c r="AE55" s="50"/>
      <c r="AF55" s="48">
        <f>COUNTIFS(
    in.r9[empresa], AF$6,
    in.r9[Data da venda / reserva], "&gt;=" &amp; $A55,
    in.r9[Data da venda / reserva], "&lt;"  &amp; EOMONTH($A55,0) + 1
)</f>
        <v>0</v>
      </c>
      <c r="AG55" s="49">
        <f ca="1">SUMIFS(rec.uni[2025-05-01],
INDIRECT("rec.uni[natureza]"),"pro.soluto",
INDIRECT("rec.uni[empresa]"),AG$6)</f>
        <v>0</v>
      </c>
      <c r="AH55" s="49">
        <f ca="1">SUMIFS(rec.uni[2025-05-01],
INDIRECT("rec.uni[natureza]"),"repasse.cef.obra",
INDIRECT("rec.uni[empresa]"),AH$6)</f>
        <v>0</v>
      </c>
      <c r="AI55" s="49">
        <f ca="1">SUMIFS(rec.uni[2025-05-01],
INDIRECT("rec.uni[natureza]"),"repasse.cef.terreno",
INDIRECT("rec.uni[empresa]"),AI$6)</f>
        <v>0</v>
      </c>
      <c r="AJ55" s="49">
        <v>0</v>
      </c>
      <c r="AK55" s="49">
        <f ca="1">SUMIFS(rec.uni[2025-05-01],
INDIRECT("rec.uni[natureza]"),"taxa.extra",
INDIRECT("rec.uni[empresa]"),AK$6)</f>
        <v>0</v>
      </c>
      <c r="AL55" s="50"/>
      <c r="AM55" s="48">
        <f>COUNTIFS(
    in.r9[empresa], AM$6,
    in.r9[Data da venda / reserva], "&gt;=" &amp; $A55,
    in.r9[Data da venda / reserva], "&lt;"  &amp; EOMONTH($A55,0) + 1
)</f>
        <v>0</v>
      </c>
      <c r="AN55" s="49">
        <f ca="1">SUMIFS(rec.uni[2025-05-01],
INDIRECT("rec.uni[natureza]"),"pro.soluto",
INDIRECT("rec.uni[empresa]"),AN$6)</f>
        <v>0</v>
      </c>
      <c r="AO55" s="49">
        <f ca="1">SUMIFS(rec.uni[2025-05-01],
INDIRECT("rec.uni[natureza]"),"taxa.extra",
INDIRECT("rec.uni[empresa]"),AO$6)</f>
        <v>0</v>
      </c>
      <c r="AP55" s="50"/>
    </row>
    <row r="56" spans="1:42" x14ac:dyDescent="0.25">
      <c r="A56" s="47">
        <v>45809</v>
      </c>
      <c r="B56" s="48">
        <f>COUNTIFS(
    in.r9[empresa], B$6,
    in.r9[Data da venda / reserva], "&gt;=" &amp; $A56,
    in.r9[Data da venda / reserva], "&lt;"  &amp; EOMONTH($A56,0) + 1
)</f>
        <v>0</v>
      </c>
      <c r="C56" s="49">
        <f ca="1">SUMIFS(rec.uni[2025-06-01],
INDIRECT("rec.uni[natureza]"),"pro.soluto",
INDIRECT("rec.uni[empresa]"),C$6)</f>
        <v>0</v>
      </c>
      <c r="D56" s="49">
        <f ca="1">SUMIFS(rec.uni[2025-06-01],
INDIRECT("rec.uni[natureza]"),"repasse.cef.obra",
INDIRECT("rec.uni[empresa]"),D$6)</f>
        <v>0</v>
      </c>
      <c r="E56" s="49">
        <f ca="1">SUMIFS(rec.uni[2025-06-01],
INDIRECT("rec.uni[natureza]"),"repasse.cef.terreno",
INDIRECT("rec.uni[empresa]"),E$6)</f>
        <v>0</v>
      </c>
      <c r="F56" s="49">
        <v>289304.8</v>
      </c>
      <c r="G56" s="49">
        <f ca="1">SUMIFS(rec.uni[2025-06-01],
INDIRECT("rec.uni[natureza]"),"taxa.extra",
INDIRECT("rec.uni[empresa]"),G$6)</f>
        <v>0</v>
      </c>
      <c r="H56" s="50"/>
      <c r="I56" s="48">
        <f>COUNTIFS(
    in.r9[empresa], I$6,
    in.r9[Data da venda / reserva], "&gt;=" &amp; $A56,
    in.r9[Data da venda / reserva], "&lt;"  &amp; EOMONTH($A56,0) + 1
)</f>
        <v>0</v>
      </c>
      <c r="J56" s="49">
        <f ca="1">SUMIFS(rec.uni[2025-06-01],
INDIRECT("rec.uni[natureza]"),"pro.soluto",
INDIRECT("rec.uni[empresa]"),J$6)</f>
        <v>0</v>
      </c>
      <c r="K56" s="49">
        <f ca="1">SUMIFS(rec.uni[2025-06-01],
INDIRECT("rec.uni[natureza]"),"repasse.cef.obra",
INDIRECT("rec.uni[empresa]"),K$6)</f>
        <v>0</v>
      </c>
      <c r="L56" s="49">
        <f ca="1">SUMIFS(rec.uni[2025-06-01],
INDIRECT("rec.uni[natureza]"),"repasse.cef.terreno",
INDIRECT("rec.uni[empresa]"),L$6)</f>
        <v>0</v>
      </c>
      <c r="M56" s="49">
        <v>0</v>
      </c>
      <c r="N56" s="49">
        <f ca="1">SUMIFS(rec.uni[2025-06-01],
INDIRECT("rec.uni[natureza]"),"taxa.extra",
INDIRECT("rec.uni[empresa]"),N$6)</f>
        <v>0</v>
      </c>
      <c r="O56" s="50"/>
      <c r="P56" s="48">
        <f>COUNTIFS(
    in.r9[empresa], P$6,
    in.r9[Data da venda / reserva], "&gt;=" &amp; $A56,
    in.r9[Data da venda / reserva], "&lt;"  &amp; EOMONTH($A56,0) + 1
)</f>
        <v>0</v>
      </c>
      <c r="Q56" s="49">
        <f ca="1">SUMIFS(rec.uni[2025-06-01],
INDIRECT("rec.uni[natureza]"),"pro.soluto",
INDIRECT("rec.uni[empresa]"),Q$6)</f>
        <v>0</v>
      </c>
      <c r="R56" s="49">
        <f ca="1">SUMIFS(rec.uni[2025-06-01],
INDIRECT("rec.uni[natureza]"),"repasse.cef.obra",
INDIRECT("rec.uni[empresa]"),R$6)</f>
        <v>0</v>
      </c>
      <c r="S56" s="49">
        <f ca="1">SUMIFS(rec.uni[2025-06-01],
INDIRECT("rec.uni[natureza]"),"repasse.cef.terreno",
INDIRECT("rec.uni[empresa]"),S$6)</f>
        <v>0</v>
      </c>
      <c r="T56" s="49">
        <v>0</v>
      </c>
      <c r="U56" s="49">
        <f ca="1">SUMIFS(rec.uni[2025-06-01],
INDIRECT("rec.uni[natureza]"),"taxa.extra",
INDIRECT("rec.uni[empresa]"),U$6)</f>
        <v>0</v>
      </c>
      <c r="V56" s="50"/>
      <c r="W56" s="48">
        <f>COUNTIFS(
    in.r9[empresa], W$6,
    in.r9[Data da venda / reserva], "&gt;=" &amp; $A56,
    in.r9[Data da venda / reserva], "&lt;"  &amp; EOMONTH($A56,0) + 1
)</f>
        <v>0</v>
      </c>
      <c r="X56" s="49">
        <f ca="1">SUMIFS(rec.uni[2025-06-01],
INDIRECT("rec.uni[natureza]"),"pro.soluto",
INDIRECT("rec.uni[empresa]"),X$6)</f>
        <v>0</v>
      </c>
      <c r="Y56" s="49">
        <f ca="1">SUMIFS(rec.uni[2025-06-01],
INDIRECT("rec.uni[natureza]"),"taxa.extra",
INDIRECT("rec.uni[empresa]"),Y$6)</f>
        <v>0</v>
      </c>
      <c r="Z56" s="50"/>
      <c r="AA56" s="48">
        <f>COUNTIFS(
    in.r9[empresa], AA$6,
    in.r9[Data da venda / reserva], "&gt;=" &amp; $A56,
    in.r9[Data da venda / reserva], "&lt;"  &amp; EOMONTH($A56,0) + 1
)</f>
        <v>0</v>
      </c>
      <c r="AB56" s="49">
        <f ca="1">SUMIFS(rec.uni[2025-06-01],
INDIRECT("rec.uni[natureza]"),"pro.soluto",
INDIRECT("rec.uni[empresa]"),AB$6)</f>
        <v>0</v>
      </c>
      <c r="AC56" s="38">
        <f ca="1">SUMIFS(rec.uni[2025-06-01],
INDIRECT("rec.uni[natureza]"),"parcela.fin.total.ik",
INDIRECT("rec.uni[empresa]"),AC$6)</f>
        <v>0</v>
      </c>
      <c r="AD56" s="49">
        <f ca="1">SUMIFS(rec.uni[2025-06-01],
INDIRECT("rec.uni[natureza]"),"taxa.extra",
INDIRECT("rec.uni[empresa]"),AD$6)</f>
        <v>0</v>
      </c>
      <c r="AE56" s="50"/>
      <c r="AF56" s="48">
        <f>COUNTIFS(
    in.r9[empresa], AF$6,
    in.r9[Data da venda / reserva], "&gt;=" &amp; $A56,
    in.r9[Data da venda / reserva], "&lt;"  &amp; EOMONTH($A56,0) + 1
)</f>
        <v>0</v>
      </c>
      <c r="AG56" s="49">
        <f ca="1">SUMIFS(rec.uni[2025-06-01],
INDIRECT("rec.uni[natureza]"),"pro.soluto",
INDIRECT("rec.uni[empresa]"),AG$6)</f>
        <v>0</v>
      </c>
      <c r="AH56" s="49">
        <f ca="1">SUMIFS(rec.uni[2025-06-01],
INDIRECT("rec.uni[natureza]"),"repasse.cef.obra",
INDIRECT("rec.uni[empresa]"),AH$6)</f>
        <v>0</v>
      </c>
      <c r="AI56" s="49">
        <f ca="1">SUMIFS(rec.uni[2025-06-01],
INDIRECT("rec.uni[natureza]"),"repasse.cef.terreno",
INDIRECT("rec.uni[empresa]"),AI$6)</f>
        <v>0</v>
      </c>
      <c r="AJ56" s="49">
        <v>0</v>
      </c>
      <c r="AK56" s="49">
        <f ca="1">SUMIFS(rec.uni[2025-06-01],
INDIRECT("rec.uni[natureza]"),"taxa.extra",
INDIRECT("rec.uni[empresa]"),AK$6)</f>
        <v>0</v>
      </c>
      <c r="AL56" s="50"/>
      <c r="AM56" s="48">
        <f>COUNTIFS(
    in.r9[empresa], AM$6,
    in.r9[Data da venda / reserva], "&gt;=" &amp; $A56,
    in.r9[Data da venda / reserva], "&lt;"  &amp; EOMONTH($A56,0) + 1
)</f>
        <v>0</v>
      </c>
      <c r="AN56" s="49">
        <f ca="1">SUMIFS(rec.uni[2025-06-01],
INDIRECT("rec.uni[natureza]"),"pro.soluto",
INDIRECT("rec.uni[empresa]"),AN$6)</f>
        <v>0</v>
      </c>
      <c r="AO56" s="49">
        <f ca="1">SUMIFS(rec.uni[2025-06-01],
INDIRECT("rec.uni[natureza]"),"taxa.extra",
INDIRECT("rec.uni[empresa]"),AO$6)</f>
        <v>0</v>
      </c>
      <c r="AP56" s="50"/>
    </row>
    <row r="57" spans="1:42" x14ac:dyDescent="0.25">
      <c r="A57" s="47">
        <v>45839</v>
      </c>
      <c r="B57" s="48">
        <f>COUNTIFS(
    in.r9[empresa], B$6,
    in.r9[Data da venda / reserva], "&gt;=" &amp; $A57,
    in.r9[Data da venda / reserva], "&lt;"  &amp; EOMONTH($A57,0) + 1
)</f>
        <v>0</v>
      </c>
      <c r="C57" s="49">
        <f ca="1">SUMIFS(rec.uni[2025-07-01],
INDIRECT("rec.uni[natureza]"),"pro.soluto",
INDIRECT("rec.uni[empresa]"),C$6)</f>
        <v>0</v>
      </c>
      <c r="D57" s="49">
        <f ca="1">SUMIFS(rec.uni[2025-07-01],
INDIRECT("rec.uni[natureza]"),"repasse.cef.obra",
INDIRECT("rec.uni[empresa]"),D$6)</f>
        <v>0</v>
      </c>
      <c r="E57" s="49">
        <f ca="1">SUMIFS(rec.uni[2025-07-01],
INDIRECT("rec.uni[natureza]"),"repasse.cef.terreno",
INDIRECT("rec.uni[empresa]"),E$6)</f>
        <v>0</v>
      </c>
      <c r="F57" s="49">
        <v>171602.91</v>
      </c>
      <c r="G57" s="49">
        <f ca="1">SUMIFS(rec.uni[2025-07-01],
INDIRECT("rec.uni[natureza]"),"taxa.extra",
INDIRECT("rec.uni[empresa]"),G$6)</f>
        <v>0</v>
      </c>
      <c r="H57" s="50"/>
      <c r="I57" s="48">
        <f>COUNTIFS(
    in.r9[empresa], I$6,
    in.r9[Data da venda / reserva], "&gt;=" &amp; $A57,
    in.r9[Data da venda / reserva], "&lt;"  &amp; EOMONTH($A57,0) + 1
)</f>
        <v>0</v>
      </c>
      <c r="J57" s="49">
        <f ca="1">SUMIFS(rec.uni[2025-07-01],
INDIRECT("rec.uni[natureza]"),"pro.soluto",
INDIRECT("rec.uni[empresa]"),J$6)</f>
        <v>0</v>
      </c>
      <c r="K57" s="49">
        <f ca="1">SUMIFS(rec.uni[2025-07-01],
INDIRECT("rec.uni[natureza]"),"repasse.cef.obra",
INDIRECT("rec.uni[empresa]"),K$6)</f>
        <v>0</v>
      </c>
      <c r="L57" s="49">
        <f ca="1">SUMIFS(rec.uni[2025-07-01],
INDIRECT("rec.uni[natureza]"),"repasse.cef.terreno",
INDIRECT("rec.uni[empresa]"),L$6)</f>
        <v>0</v>
      </c>
      <c r="M57" s="49">
        <v>0</v>
      </c>
      <c r="N57" s="49">
        <f ca="1">SUMIFS(rec.uni[2025-07-01],
INDIRECT("rec.uni[natureza]"),"taxa.extra",
INDIRECT("rec.uni[empresa]"),N$6)</f>
        <v>0</v>
      </c>
      <c r="O57" s="50"/>
      <c r="P57" s="48">
        <f>COUNTIFS(
    in.r9[empresa], P$6,
    in.r9[Data da venda / reserva], "&gt;=" &amp; $A57,
    in.r9[Data da venda / reserva], "&lt;"  &amp; EOMONTH($A57,0) + 1
)</f>
        <v>0</v>
      </c>
      <c r="Q57" s="49">
        <f ca="1">SUMIFS(rec.uni[2025-07-01],
INDIRECT("rec.uni[natureza]"),"pro.soluto",
INDIRECT("rec.uni[empresa]"),Q$6)</f>
        <v>0</v>
      </c>
      <c r="R57" s="49">
        <f ca="1">SUMIFS(rec.uni[2025-07-01],
INDIRECT("rec.uni[natureza]"),"repasse.cef.obra",
INDIRECT("rec.uni[empresa]"),R$6)</f>
        <v>0</v>
      </c>
      <c r="S57" s="49">
        <f ca="1">SUMIFS(rec.uni[2025-07-01],
INDIRECT("rec.uni[natureza]"),"repasse.cef.terreno",
INDIRECT("rec.uni[empresa]"),S$6)</f>
        <v>0</v>
      </c>
      <c r="T57" s="49">
        <v>493410.63</v>
      </c>
      <c r="U57" s="49">
        <f ca="1">SUMIFS(rec.uni[2025-07-01],
INDIRECT("rec.uni[natureza]"),"taxa.extra",
INDIRECT("rec.uni[empresa]"),U$6)</f>
        <v>0</v>
      </c>
      <c r="V57" s="50"/>
      <c r="W57" s="48">
        <f>COUNTIFS(
    in.r9[empresa], W$6,
    in.r9[Data da venda / reserva], "&gt;=" &amp; $A57,
    in.r9[Data da venda / reserva], "&lt;"  &amp; EOMONTH($A57,0) + 1
)</f>
        <v>0</v>
      </c>
      <c r="X57" s="49">
        <f ca="1">SUMIFS(rec.uni[2025-07-01],
INDIRECT("rec.uni[natureza]"),"pro.soluto",
INDIRECT("rec.uni[empresa]"),X$6)</f>
        <v>0</v>
      </c>
      <c r="Y57" s="49">
        <f ca="1">SUMIFS(rec.uni[2025-07-01],
INDIRECT("rec.uni[natureza]"),"taxa.extra",
INDIRECT("rec.uni[empresa]"),Y$6)</f>
        <v>0</v>
      </c>
      <c r="Z57" s="50"/>
      <c r="AA57" s="48">
        <f>COUNTIFS(
    in.r9[empresa], AA$6,
    in.r9[Data da venda / reserva], "&gt;=" &amp; $A57,
    in.r9[Data da venda / reserva], "&lt;"  &amp; EOMONTH($A57,0) + 1
)</f>
        <v>0</v>
      </c>
      <c r="AB57" s="49">
        <f ca="1">SUMIFS(rec.uni[2025-07-01],
INDIRECT("rec.uni[natureza]"),"pro.soluto",
INDIRECT("rec.uni[empresa]"),AB$6)</f>
        <v>0</v>
      </c>
      <c r="AC57" s="38">
        <f ca="1">SUMIFS(rec.uni[2025-07-01],
INDIRECT("rec.uni[natureza]"),"parcela.fin.total.ik",
INDIRECT("rec.uni[empresa]"),AC$6)</f>
        <v>0</v>
      </c>
      <c r="AD57" s="49">
        <f ca="1">SUMIFS(rec.uni[2025-07-01],
INDIRECT("rec.uni[natureza]"),"taxa.extra",
INDIRECT("rec.uni[empresa]"),AD$6)</f>
        <v>0</v>
      </c>
      <c r="AE57" s="50"/>
      <c r="AF57" s="48">
        <f>COUNTIFS(
    in.r9[empresa], AF$6,
    in.r9[Data da venda / reserva], "&gt;=" &amp; $A57,
    in.r9[Data da venda / reserva], "&lt;"  &amp; EOMONTH($A57,0) + 1
)</f>
        <v>0</v>
      </c>
      <c r="AG57" s="49">
        <f ca="1">SUMIFS(rec.uni[2025-07-01],
INDIRECT("rec.uni[natureza]"),"pro.soluto",
INDIRECT("rec.uni[empresa]"),AG$6)</f>
        <v>0</v>
      </c>
      <c r="AH57" s="49">
        <f ca="1">SUMIFS(rec.uni[2025-07-01],
INDIRECT("rec.uni[natureza]"),"repasse.cef.obra",
INDIRECT("rec.uni[empresa]"),AH$6)</f>
        <v>0</v>
      </c>
      <c r="AI57" s="49">
        <f ca="1">SUMIFS(rec.uni[2025-07-01],
INDIRECT("rec.uni[natureza]"),"repasse.cef.terreno",
INDIRECT("rec.uni[empresa]"),AI$6)</f>
        <v>0</v>
      </c>
      <c r="AJ57" s="49">
        <v>504350.63</v>
      </c>
      <c r="AK57" s="49">
        <f ca="1">SUMIFS(rec.uni[2025-07-01],
INDIRECT("rec.uni[natureza]"),"taxa.extra",
INDIRECT("rec.uni[empresa]"),AK$6)</f>
        <v>0</v>
      </c>
      <c r="AL57" s="50"/>
      <c r="AM57" s="48">
        <f>COUNTIFS(
    in.r9[empresa], AM$6,
    in.r9[Data da venda / reserva], "&gt;=" &amp; $A57,
    in.r9[Data da venda / reserva], "&lt;"  &amp; EOMONTH($A57,0) + 1
)</f>
        <v>0</v>
      </c>
      <c r="AN57" s="49">
        <f ca="1">SUMIFS(rec.uni[2025-07-01],
INDIRECT("rec.uni[natureza]"),"pro.soluto",
INDIRECT("rec.uni[empresa]"),AN$6)</f>
        <v>0</v>
      </c>
      <c r="AO57" s="49">
        <f ca="1">SUMIFS(rec.uni[2025-07-01],
INDIRECT("rec.uni[natureza]"),"taxa.extra",
INDIRECT("rec.uni[empresa]"),AO$6)</f>
        <v>0</v>
      </c>
      <c r="AP57" s="50"/>
    </row>
    <row r="58" spans="1:42" x14ac:dyDescent="0.25">
      <c r="A58" s="47">
        <v>45870</v>
      </c>
      <c r="B58" s="48">
        <f>COUNTIFS(
    in.r9[empresa], B$6,
    in.r9[Data da venda / reserva], "&gt;=" &amp; $A58,
    in.r9[Data da venda / reserva], "&lt;"  &amp; EOMONTH($A58,0) + 1
)</f>
        <v>0</v>
      </c>
      <c r="C58" s="49">
        <f ca="1">SUMIFS(rec.uni[2025-08-01],
INDIRECT("rec.uni[natureza]"),"pro.soluto",
INDIRECT("rec.uni[empresa]"),C$6)</f>
        <v>0</v>
      </c>
      <c r="D58" s="49">
        <f ca="1">SUMIFS(rec.uni[2025-08-01],
INDIRECT("rec.uni[natureza]"),"repasse.cef.obra",
INDIRECT("rec.uni[empresa]"),D$6)</f>
        <v>0</v>
      </c>
      <c r="E58" s="49">
        <f ca="1">SUMIFS(rec.uni[2025-08-01],
INDIRECT("rec.uni[natureza]"),"repasse.cef.terreno",
INDIRECT("rec.uni[empresa]"),E$6)</f>
        <v>0</v>
      </c>
      <c r="F58" s="49">
        <v>366306.04</v>
      </c>
      <c r="G58" s="49">
        <f ca="1">SUMIFS(rec.uni[2025-08-01],
INDIRECT("rec.uni[natureza]"),"taxa.extra",
INDIRECT("rec.uni[empresa]"),G$6)</f>
        <v>0</v>
      </c>
      <c r="H58" s="50"/>
      <c r="I58" s="48">
        <f>COUNTIFS(
    in.r9[empresa], I$6,
    in.r9[Data da venda / reserva], "&gt;=" &amp; $A58,
    in.r9[Data da venda / reserva], "&lt;"  &amp; EOMONTH($A58,0) + 1
)</f>
        <v>0</v>
      </c>
      <c r="J58" s="49">
        <f ca="1">SUMIFS(rec.uni[2025-08-01],
INDIRECT("rec.uni[natureza]"),"pro.soluto",
INDIRECT("rec.uni[empresa]"),J$6)</f>
        <v>0</v>
      </c>
      <c r="K58" s="49">
        <f ca="1">SUMIFS(rec.uni[2025-08-01],
INDIRECT("rec.uni[natureza]"),"repasse.cef.obra",
INDIRECT("rec.uni[empresa]"),K$6)</f>
        <v>0</v>
      </c>
      <c r="L58" s="49">
        <f ca="1">SUMIFS(rec.uni[2025-08-01],
INDIRECT("rec.uni[natureza]"),"repasse.cef.terreno",
INDIRECT("rec.uni[empresa]"),L$6)</f>
        <v>0</v>
      </c>
      <c r="M58" s="49">
        <v>0</v>
      </c>
      <c r="N58" s="49">
        <f ca="1">SUMIFS(rec.uni[2025-08-01],
INDIRECT("rec.uni[natureza]"),"taxa.extra",
INDIRECT("rec.uni[empresa]"),N$6)</f>
        <v>0</v>
      </c>
      <c r="O58" s="50"/>
      <c r="P58" s="48">
        <f>COUNTIFS(
    in.r9[empresa], P$6,
    in.r9[Data da venda / reserva], "&gt;=" &amp; $A58,
    in.r9[Data da venda / reserva], "&lt;"  &amp; EOMONTH($A58,0) + 1
)</f>
        <v>0</v>
      </c>
      <c r="Q58" s="49">
        <f ca="1">SUMIFS(rec.uni[2025-08-01],
INDIRECT("rec.uni[natureza]"),"pro.soluto",
INDIRECT("rec.uni[empresa]"),Q$6)</f>
        <v>0</v>
      </c>
      <c r="R58" s="49">
        <f ca="1">SUMIFS(rec.uni[2025-08-01],
INDIRECT("rec.uni[natureza]"),"repasse.cef.obra",
INDIRECT("rec.uni[empresa]"),R$6)</f>
        <v>0</v>
      </c>
      <c r="S58" s="49">
        <f ca="1">SUMIFS(rec.uni[2025-08-01],
INDIRECT("rec.uni[natureza]"),"repasse.cef.terreno",
INDIRECT("rec.uni[empresa]"),S$6)</f>
        <v>0</v>
      </c>
      <c r="T58" s="49">
        <v>831222.47</v>
      </c>
      <c r="U58" s="49">
        <f ca="1">SUMIFS(rec.uni[2025-08-01],
INDIRECT("rec.uni[natureza]"),"taxa.extra",
INDIRECT("rec.uni[empresa]"),U$6)</f>
        <v>0</v>
      </c>
      <c r="V58" s="50"/>
      <c r="W58" s="48">
        <f>COUNTIFS(
    in.r9[empresa], W$6,
    in.r9[Data da venda / reserva], "&gt;=" &amp; $A58,
    in.r9[Data da venda / reserva], "&lt;"  &amp; EOMONTH($A58,0) + 1
)</f>
        <v>0</v>
      </c>
      <c r="X58" s="49">
        <f ca="1">SUMIFS(rec.uni[2025-08-01],
INDIRECT("rec.uni[natureza]"),"pro.soluto",
INDIRECT("rec.uni[empresa]"),X$6)</f>
        <v>0</v>
      </c>
      <c r="Y58" s="49">
        <f ca="1">SUMIFS(rec.uni[2025-08-01],
INDIRECT("rec.uni[natureza]"),"taxa.extra",
INDIRECT("rec.uni[empresa]"),Y$6)</f>
        <v>0</v>
      </c>
      <c r="Z58" s="50"/>
      <c r="AA58" s="48">
        <f>COUNTIFS(
    in.r9[empresa], AA$6,
    in.r9[Data da venda / reserva], "&gt;=" &amp; $A58,
    in.r9[Data da venda / reserva], "&lt;"  &amp; EOMONTH($A58,0) + 1
)</f>
        <v>0</v>
      </c>
      <c r="AB58" s="49">
        <f ca="1">SUMIFS(rec.uni[2025-08-01],
INDIRECT("rec.uni[natureza]"),"pro.soluto",
INDIRECT("rec.uni[empresa]"),AB$6)</f>
        <v>0</v>
      </c>
      <c r="AC58" s="38">
        <f ca="1">SUMIFS(rec.uni[2025-08-01],
INDIRECT("rec.uni[natureza]"),"parcela.fin.total.ik",
INDIRECT("rec.uni[empresa]"),AC$6)</f>
        <v>0</v>
      </c>
      <c r="AD58" s="49">
        <f ca="1">SUMIFS(rec.uni[2025-08-01],
INDIRECT("rec.uni[natureza]"),"taxa.extra",
INDIRECT("rec.uni[empresa]"),AD$6)</f>
        <v>0</v>
      </c>
      <c r="AE58" s="50"/>
      <c r="AF58" s="48">
        <f>COUNTIFS(
    in.r9[empresa], AF$6,
    in.r9[Data da venda / reserva], "&gt;=" &amp; $A58,
    in.r9[Data da venda / reserva], "&lt;"  &amp; EOMONTH($A58,0) + 1
)</f>
        <v>0</v>
      </c>
      <c r="AG58" s="49">
        <f ca="1">SUMIFS(rec.uni[2025-08-01],
INDIRECT("rec.uni[natureza]"),"pro.soluto",
INDIRECT("rec.uni[empresa]"),AG$6)</f>
        <v>0</v>
      </c>
      <c r="AH58" s="49">
        <f ca="1">SUMIFS(rec.uni[2025-08-01],
INDIRECT("rec.uni[natureza]"),"repasse.cef.obra",
INDIRECT("rec.uni[empresa]"),AH$6)</f>
        <v>0</v>
      </c>
      <c r="AI58" s="49">
        <f ca="1">SUMIFS(rec.uni[2025-08-01],
INDIRECT("rec.uni[natureza]"),"repasse.cef.terreno",
INDIRECT("rec.uni[empresa]"),AI$6)</f>
        <v>0</v>
      </c>
      <c r="AJ58" s="49">
        <v>249520.85</v>
      </c>
      <c r="AK58" s="49">
        <f ca="1">SUMIFS(rec.uni[2025-08-01],
INDIRECT("rec.uni[natureza]"),"taxa.extra",
INDIRECT("rec.uni[empresa]"),AK$6)</f>
        <v>0</v>
      </c>
      <c r="AL58" s="50"/>
      <c r="AM58" s="48">
        <f>COUNTIFS(
    in.r9[empresa], AM$6,
    in.r9[Data da venda / reserva], "&gt;=" &amp; $A58,
    in.r9[Data da venda / reserva], "&lt;"  &amp; EOMONTH($A58,0) + 1
)</f>
        <v>0</v>
      </c>
      <c r="AN58" s="49">
        <f ca="1">SUMIFS(rec.uni[2025-08-01],
INDIRECT("rec.uni[natureza]"),"pro.soluto",
INDIRECT("rec.uni[empresa]"),AN$6)</f>
        <v>0</v>
      </c>
      <c r="AO58" s="49">
        <f ca="1">SUMIFS(rec.uni[2025-08-01],
INDIRECT("rec.uni[natureza]"),"taxa.extra",
INDIRECT("rec.uni[empresa]"),AO$6)</f>
        <v>0</v>
      </c>
      <c r="AP58" s="50"/>
    </row>
    <row r="59" spans="1:42" x14ac:dyDescent="0.25">
      <c r="A59" s="47">
        <v>45901</v>
      </c>
      <c r="B59" s="48">
        <f>COUNTIFS(
    in.r9[empresa], B$6,
    in.r9[Data da venda / reserva], "&gt;=" &amp; $A59,
    in.r9[Data da venda / reserva], "&lt;"  &amp; EOMONTH($A59,0) + 1
)</f>
        <v>0</v>
      </c>
      <c r="C59" s="49">
        <f ca="1">SUMIFS(rec.uni[2025-09-01],
INDIRECT("rec.uni[natureza]"),"pro.soluto",
INDIRECT("rec.uni[empresa]"),C$6)</f>
        <v>0</v>
      </c>
      <c r="D59" s="49">
        <f ca="1">SUMIFS(rec.uni[2025-09-01],
INDIRECT("rec.uni[natureza]"),"repasse.cef.obra",
INDIRECT("rec.uni[empresa]"),D$6)</f>
        <v>0</v>
      </c>
      <c r="E59" s="49">
        <f ca="1">SUMIFS(rec.uni[2025-09-01],
INDIRECT("rec.uni[natureza]"),"repasse.cef.terreno",
INDIRECT("rec.uni[empresa]"),E$6)</f>
        <v>0</v>
      </c>
      <c r="F59" s="49">
        <v>181081.21</v>
      </c>
      <c r="G59" s="49">
        <f ca="1">SUMIFS(rec.uni[2025-09-01],
INDIRECT("rec.uni[natureza]"),"taxa.extra",
INDIRECT("rec.uni[empresa]"),G$6)</f>
        <v>0</v>
      </c>
      <c r="H59" s="50"/>
      <c r="I59" s="48">
        <f>COUNTIFS(
    in.r9[empresa], I$6,
    in.r9[Data da venda / reserva], "&gt;=" &amp; $A59,
    in.r9[Data da venda / reserva], "&lt;"  &amp; EOMONTH($A59,0) + 1
)</f>
        <v>0</v>
      </c>
      <c r="J59" s="49">
        <f ca="1">SUMIFS(rec.uni[2025-09-01],
INDIRECT("rec.uni[natureza]"),"pro.soluto",
INDIRECT("rec.uni[empresa]"),J$6)</f>
        <v>0</v>
      </c>
      <c r="K59" s="49">
        <f ca="1">SUMIFS(rec.uni[2025-09-01],
INDIRECT("rec.uni[natureza]"),"repasse.cef.obra",
INDIRECT("rec.uni[empresa]"),K$6)</f>
        <v>0</v>
      </c>
      <c r="L59" s="49">
        <f ca="1">SUMIFS(rec.uni[2025-09-01],
INDIRECT("rec.uni[natureza]"),"repasse.cef.terreno",
INDIRECT("rec.uni[empresa]"),L$6)</f>
        <v>0</v>
      </c>
      <c r="M59" s="49">
        <v>0</v>
      </c>
      <c r="N59" s="49">
        <f ca="1">SUMIFS(rec.uni[2025-09-01],
INDIRECT("rec.uni[natureza]"),"taxa.extra",
INDIRECT("rec.uni[empresa]"),N$6)</f>
        <v>0</v>
      </c>
      <c r="O59" s="50"/>
      <c r="P59" s="48">
        <f>COUNTIFS(
    in.r9[empresa], P$6,
    in.r9[Data da venda / reserva], "&gt;=" &amp; $A59,
    in.r9[Data da venda / reserva], "&lt;"  &amp; EOMONTH($A59,0) + 1
)</f>
        <v>0</v>
      </c>
      <c r="Q59" s="49">
        <f ca="1">SUMIFS(rec.uni[2025-09-01],
INDIRECT("rec.uni[natureza]"),"pro.soluto",
INDIRECT("rec.uni[empresa]"),Q$6)</f>
        <v>0</v>
      </c>
      <c r="R59" s="49">
        <f ca="1">SUMIFS(rec.uni[2025-09-01],
INDIRECT("rec.uni[natureza]"),"repasse.cef.obra",
INDIRECT("rec.uni[empresa]"),R$6)</f>
        <v>0</v>
      </c>
      <c r="S59" s="49">
        <f ca="1">SUMIFS(rec.uni[2025-09-01],
INDIRECT("rec.uni[natureza]"),"repasse.cef.terreno",
INDIRECT("rec.uni[empresa]"),S$6)</f>
        <v>0</v>
      </c>
      <c r="T59" s="49">
        <v>229516.7</v>
      </c>
      <c r="U59" s="49">
        <f ca="1">SUMIFS(rec.uni[2025-09-01],
INDIRECT("rec.uni[natureza]"),"taxa.extra",
INDIRECT("rec.uni[empresa]"),U$6)</f>
        <v>0</v>
      </c>
      <c r="V59" s="50"/>
      <c r="W59" s="48">
        <f>COUNTIFS(
    in.r9[empresa], W$6,
    in.r9[Data da venda / reserva], "&gt;=" &amp; $A59,
    in.r9[Data da venda / reserva], "&lt;"  &amp; EOMONTH($A59,0) + 1
)</f>
        <v>0</v>
      </c>
      <c r="X59" s="49">
        <f ca="1">SUMIFS(rec.uni[2025-09-01],
INDIRECT("rec.uni[natureza]"),"pro.soluto",
INDIRECT("rec.uni[empresa]"),X$6)</f>
        <v>0</v>
      </c>
      <c r="Y59" s="49">
        <f ca="1">SUMIFS(rec.uni[2025-09-01],
INDIRECT("rec.uni[natureza]"),"taxa.extra",
INDIRECT("rec.uni[empresa]"),Y$6)</f>
        <v>0</v>
      </c>
      <c r="Z59" s="50"/>
      <c r="AA59" s="48">
        <f>COUNTIFS(
    in.r9[empresa], AA$6,
    in.r9[Data da venda / reserva], "&gt;=" &amp; $A59,
    in.r9[Data da venda / reserva], "&lt;"  &amp; EOMONTH($A59,0) + 1
)</f>
        <v>0</v>
      </c>
      <c r="AB59" s="49">
        <f ca="1">SUMIFS(rec.uni[2025-09-01],
INDIRECT("rec.uni[natureza]"),"pro.soluto",
INDIRECT("rec.uni[empresa]"),AB$6)</f>
        <v>0</v>
      </c>
      <c r="AC59" s="38">
        <f ca="1">SUMIFS(rec.uni[2025-09-01],
INDIRECT("rec.uni[natureza]"),"parcela.fin.total.ik",
INDIRECT("rec.uni[empresa]"),AC$6)</f>
        <v>0</v>
      </c>
      <c r="AD59" s="49">
        <f ca="1">SUMIFS(rec.uni[2025-09-01],
INDIRECT("rec.uni[natureza]"),"taxa.extra",
INDIRECT("rec.uni[empresa]"),AD$6)</f>
        <v>0</v>
      </c>
      <c r="AE59" s="50"/>
      <c r="AF59" s="48">
        <f>COUNTIFS(
    in.r9[empresa], AF$6,
    in.r9[Data da venda / reserva], "&gt;=" &amp; $A59,
    in.r9[Data da venda / reserva], "&lt;"  &amp; EOMONTH($A59,0) + 1
)</f>
        <v>0</v>
      </c>
      <c r="AG59" s="49">
        <f ca="1">SUMIFS(rec.uni[2025-09-01],
INDIRECT("rec.uni[natureza]"),"pro.soluto",
INDIRECT("rec.uni[empresa]"),AG$6)</f>
        <v>0</v>
      </c>
      <c r="AH59" s="49">
        <f ca="1">SUMIFS(rec.uni[2025-09-01],
INDIRECT("rec.uni[natureza]"),"repasse.cef.obra",
INDIRECT("rec.uni[empresa]"),AH$6)</f>
        <v>0</v>
      </c>
      <c r="AI59" s="49">
        <f ca="1">SUMIFS(rec.uni[2025-09-01],
INDIRECT("rec.uni[natureza]"),"repasse.cef.terreno",
INDIRECT("rec.uni[empresa]"),AI$6)</f>
        <v>0</v>
      </c>
      <c r="AJ59" s="49">
        <v>315799.90000000002</v>
      </c>
      <c r="AK59" s="49">
        <f ca="1">SUMIFS(rec.uni[2025-09-01],
INDIRECT("rec.uni[natureza]"),"taxa.extra",
INDIRECT("rec.uni[empresa]"),AK$6)</f>
        <v>0</v>
      </c>
      <c r="AL59" s="50"/>
      <c r="AM59" s="48">
        <f>COUNTIFS(
    in.r9[empresa], AM$6,
    in.r9[Data da venda / reserva], "&gt;=" &amp; $A59,
    in.r9[Data da venda / reserva], "&lt;"  &amp; EOMONTH($A59,0) + 1
)</f>
        <v>0</v>
      </c>
      <c r="AN59" s="49">
        <f ca="1">SUMIFS(rec.uni[2025-09-01],
INDIRECT("rec.uni[natureza]"),"pro.soluto",
INDIRECT("rec.uni[empresa]"),AN$6)</f>
        <v>0</v>
      </c>
      <c r="AO59" s="49">
        <f ca="1">SUMIFS(rec.uni[2025-09-01],
INDIRECT("rec.uni[natureza]"),"taxa.extra",
INDIRECT("rec.uni[empresa]"),AO$6)</f>
        <v>0</v>
      </c>
      <c r="AP59" s="50"/>
    </row>
    <row r="60" spans="1:42" x14ac:dyDescent="0.25">
      <c r="A60" s="47">
        <v>45931</v>
      </c>
      <c r="B60" s="48">
        <f>COUNTIFS(
    in.r9[empresa], B$6,
    in.r9[Data da venda / reserva], "&gt;=" &amp; $A60,
    in.r9[Data da venda / reserva], "&lt;"  &amp; EOMONTH($A60,0) + 1
)</f>
        <v>0</v>
      </c>
      <c r="C60" s="49">
        <f ca="1">SUMIFS(rec.uni[2025-10-01],
INDIRECT("rec.uni[natureza]"),"pro.soluto",
INDIRECT("rec.uni[empresa]"),C$6)</f>
        <v>0</v>
      </c>
      <c r="D60" s="49">
        <f ca="1">SUMIFS(rec.uni[2025-10-01],
INDIRECT("rec.uni[natureza]"),"repasse.cef.obra",
INDIRECT("rec.uni[empresa]"),D$6)</f>
        <v>0</v>
      </c>
      <c r="E60" s="49">
        <f ca="1">SUMIFS(rec.uni[2025-10-01],
INDIRECT("rec.uni[natureza]"),"repasse.cef.terreno",
INDIRECT("rec.uni[empresa]"),E$6)</f>
        <v>0</v>
      </c>
      <c r="F60" s="49">
        <v>266613.7</v>
      </c>
      <c r="G60" s="49">
        <f ca="1">SUMIFS(rec.uni[2025-10-01],
INDIRECT("rec.uni[natureza]"),"taxa.extra",
INDIRECT("rec.uni[empresa]"),G$6)</f>
        <v>0</v>
      </c>
      <c r="H60" s="50"/>
      <c r="I60" s="48">
        <f>COUNTIFS(
    in.r9[empresa], I$6,
    in.r9[Data da venda / reserva], "&gt;=" &amp; $A60,
    in.r9[Data da venda / reserva], "&lt;"  &amp; EOMONTH($A60,0) + 1
)</f>
        <v>0</v>
      </c>
      <c r="J60" s="49">
        <f ca="1">SUMIFS(rec.uni[2025-10-01],
INDIRECT("rec.uni[natureza]"),"pro.soluto",
INDIRECT("rec.uni[empresa]"),J$6)</f>
        <v>0</v>
      </c>
      <c r="K60" s="49">
        <f ca="1">SUMIFS(rec.uni[2025-10-01],
INDIRECT("rec.uni[natureza]"),"repasse.cef.obra",
INDIRECT("rec.uni[empresa]"),K$6)</f>
        <v>0</v>
      </c>
      <c r="L60" s="49">
        <f ca="1">SUMIFS(rec.uni[2025-10-01],
INDIRECT("rec.uni[natureza]"),"repasse.cef.terreno",
INDIRECT("rec.uni[empresa]"),L$6)</f>
        <v>0</v>
      </c>
      <c r="M60" s="49">
        <v>0</v>
      </c>
      <c r="N60" s="49">
        <f ca="1">SUMIFS(rec.uni[2025-10-01],
INDIRECT("rec.uni[natureza]"),"taxa.extra",
INDIRECT("rec.uni[empresa]"),N$6)</f>
        <v>0</v>
      </c>
      <c r="O60" s="50"/>
      <c r="P60" s="48">
        <f>COUNTIFS(
    in.r9[empresa], P$6,
    in.r9[Data da venda / reserva], "&gt;=" &amp; $A60,
    in.r9[Data da venda / reserva], "&lt;"  &amp; EOMONTH($A60,0) + 1
)</f>
        <v>0</v>
      </c>
      <c r="Q60" s="49">
        <f ca="1">SUMIFS(rec.uni[2025-10-01],
INDIRECT("rec.uni[natureza]"),"pro.soluto",
INDIRECT("rec.uni[empresa]"),Q$6)</f>
        <v>0</v>
      </c>
      <c r="R60" s="49">
        <f ca="1">SUMIFS(rec.uni[2025-10-01],
INDIRECT("rec.uni[natureza]"),"repasse.cef.obra",
INDIRECT("rec.uni[empresa]"),R$6)</f>
        <v>0</v>
      </c>
      <c r="S60" s="49">
        <f ca="1">SUMIFS(rec.uni[2025-10-01],
INDIRECT("rec.uni[natureza]"),"repasse.cef.terreno",
INDIRECT("rec.uni[empresa]"),S$6)</f>
        <v>0</v>
      </c>
      <c r="T60" s="49">
        <v>314892.83</v>
      </c>
      <c r="U60" s="49">
        <f ca="1">SUMIFS(rec.uni[2025-10-01],
INDIRECT("rec.uni[natureza]"),"taxa.extra",
INDIRECT("rec.uni[empresa]"),U$6)</f>
        <v>0</v>
      </c>
      <c r="V60" s="50"/>
      <c r="W60" s="48">
        <f>COUNTIFS(
    in.r9[empresa], W$6,
    in.r9[Data da venda / reserva], "&gt;=" &amp; $A60,
    in.r9[Data da venda / reserva], "&lt;"  &amp; EOMONTH($A60,0) + 1
)</f>
        <v>0</v>
      </c>
      <c r="X60" s="49">
        <f ca="1">SUMIFS(rec.uni[2025-10-01],
INDIRECT("rec.uni[natureza]"),"pro.soluto",
INDIRECT("rec.uni[empresa]"),X$6)</f>
        <v>0</v>
      </c>
      <c r="Y60" s="49">
        <f ca="1">SUMIFS(rec.uni[2025-10-01],
INDIRECT("rec.uni[natureza]"),"taxa.extra",
INDIRECT("rec.uni[empresa]"),Y$6)</f>
        <v>0</v>
      </c>
      <c r="Z60" s="50"/>
      <c r="AA60" s="48">
        <f>COUNTIFS(
    in.r9[empresa], AA$6,
    in.r9[Data da venda / reserva], "&gt;=" &amp; $A60,
    in.r9[Data da venda / reserva], "&lt;"  &amp; EOMONTH($A60,0) + 1
)</f>
        <v>0</v>
      </c>
      <c r="AB60" s="49">
        <f ca="1">SUMIFS(rec.uni[2025-10-01],
INDIRECT("rec.uni[natureza]"),"pro.soluto",
INDIRECT("rec.uni[empresa]"),AB$6)</f>
        <v>0</v>
      </c>
      <c r="AC60" s="38">
        <f ca="1">SUMIFS(rec.uni[2025-10-01],
INDIRECT("rec.uni[natureza]"),"parcela.fin.total.ik",
INDIRECT("rec.uni[empresa]"),AC$6)</f>
        <v>0</v>
      </c>
      <c r="AD60" s="49">
        <f ca="1">SUMIFS(rec.uni[2025-10-01],
INDIRECT("rec.uni[natureza]"),"taxa.extra",
INDIRECT("rec.uni[empresa]"),AD$6)</f>
        <v>0</v>
      </c>
      <c r="AE60" s="50"/>
      <c r="AF60" s="48">
        <f>COUNTIFS(
    in.r9[empresa], AF$6,
    in.r9[Data da venda / reserva], "&gt;=" &amp; $A60,
    in.r9[Data da venda / reserva], "&lt;"  &amp; EOMONTH($A60,0) + 1
)</f>
        <v>0</v>
      </c>
      <c r="AG60" s="49">
        <f ca="1">SUMIFS(rec.uni[2025-10-01],
INDIRECT("rec.uni[natureza]"),"pro.soluto",
INDIRECT("rec.uni[empresa]"),AG$6)</f>
        <v>0</v>
      </c>
      <c r="AH60" s="49">
        <f ca="1">SUMIFS(rec.uni[2025-10-01],
INDIRECT("rec.uni[natureza]"),"repasse.cef.obra",
INDIRECT("rec.uni[empresa]"),AH$6)</f>
        <v>0</v>
      </c>
      <c r="AI60" s="49">
        <f ca="1">SUMIFS(rec.uni[2025-10-01],
INDIRECT("rec.uni[natureza]"),"repasse.cef.terreno",
INDIRECT("rec.uni[empresa]"),AI$6)</f>
        <v>0</v>
      </c>
      <c r="AJ60" s="49">
        <v>165252.20000000001</v>
      </c>
      <c r="AK60" s="49">
        <f ca="1">SUMIFS(rec.uni[2025-10-01],
INDIRECT("rec.uni[natureza]"),"taxa.extra",
INDIRECT("rec.uni[empresa]"),AK$6)</f>
        <v>0</v>
      </c>
      <c r="AL60" s="50"/>
      <c r="AM60" s="48">
        <f>COUNTIFS(
    in.r9[empresa], AM$6,
    in.r9[Data da venda / reserva], "&gt;=" &amp; $A60,
    in.r9[Data da venda / reserva], "&lt;"  &amp; EOMONTH($A60,0) + 1
)</f>
        <v>0</v>
      </c>
      <c r="AN60" s="49">
        <f ca="1">SUMIFS(rec.uni[2025-10-01],
INDIRECT("rec.uni[natureza]"),"pro.soluto",
INDIRECT("rec.uni[empresa]"),AN$6)</f>
        <v>0</v>
      </c>
      <c r="AO60" s="49">
        <f ca="1">SUMIFS(rec.uni[2025-10-01],
INDIRECT("rec.uni[natureza]"),"taxa.extra",
INDIRECT("rec.uni[empresa]"),AO$6)</f>
        <v>0</v>
      </c>
      <c r="AP60" s="50"/>
    </row>
    <row r="61" spans="1:42" x14ac:dyDescent="0.25">
      <c r="A61" s="47">
        <v>45962</v>
      </c>
      <c r="B61" s="39">
        <f>COUNTIFS(
    in.r9[empresa], B$6,
    in.r9[Data da venda / reserva], "&gt;=" &amp; $A61,
    in.r9[Data da venda / reserva], "&lt;"  &amp; EOMONTH($A61,0) + 1
)</f>
        <v>0</v>
      </c>
      <c r="C61" s="49">
        <f ca="1">SUMIFS(rec.uni[2025-11-01],
INDIRECT("rec.uni[natureza]"),"pro.soluto",
INDIRECT("rec.uni[empresa]"),C$6)</f>
        <v>0</v>
      </c>
      <c r="D61" s="38">
        <f ca="1">SUMIFS(rec.uni[2025-11-01],
INDIRECT("rec.uni[natureza]"),"repasse.cef.obra",
INDIRECT("rec.uni[empresa]"),D$6)</f>
        <v>0</v>
      </c>
      <c r="E61" s="51">
        <f ca="1">SUMIFS(rec.uni[2025-11-01],
INDIRECT("rec.uni[natureza]"),"repasse.cef.terreno",
INDIRECT("rec.uni[empresa]"),E$6)</f>
        <v>0</v>
      </c>
      <c r="F61" s="51">
        <v>230479.34</v>
      </c>
      <c r="G61" s="49">
        <f ca="1">SUMIFS(rec.uni[2025-11-01],
INDIRECT("rec.uni[natureza]"),"taxa.extra",
INDIRECT("rec.uni[empresa]"),G$6)</f>
        <v>0</v>
      </c>
      <c r="H61" s="50"/>
      <c r="I61" s="48">
        <f>COUNTIFS(
    in.r9[empresa], I$6,
    in.r9[Data da venda / reserva], "&gt;=" &amp; $A61,
    in.r9[Data da venda / reserva], "&lt;"  &amp; EOMONTH($A61,0) + 1
)</f>
        <v>0</v>
      </c>
      <c r="J61" s="49">
        <f ca="1">SUMIFS(rec.uni[2025-11-01],
INDIRECT("rec.uni[natureza]"),"pro.soluto",
INDIRECT("rec.uni[empresa]"),J$6)</f>
        <v>0</v>
      </c>
      <c r="K61" s="38">
        <f ca="1">SUMIFS(rec.uni[2025-11-01],
INDIRECT("rec.uni[natureza]"),"repasse.cef.obra",
INDIRECT("rec.uni[empresa]"),K$6)</f>
        <v>0</v>
      </c>
      <c r="L61" s="51">
        <f ca="1">SUMIFS(rec.uni[2025-11-01],
INDIRECT("rec.uni[natureza]"),"repasse.cef.terreno",
INDIRECT("rec.uni[empresa]"),L$6)</f>
        <v>0</v>
      </c>
      <c r="M61" s="51">
        <v>0</v>
      </c>
      <c r="N61" s="49">
        <f ca="1">SUMIFS(rec.uni[2025-11-01],
INDIRECT("rec.uni[natureza]"),"taxa.extra",
INDIRECT("rec.uni[empresa]"),N$6)</f>
        <v>0</v>
      </c>
      <c r="O61" s="50"/>
      <c r="P61" s="48">
        <f>COUNTIFS(
    in.r9[empresa], P$6,
    in.r9[Data da venda / reserva], "&gt;=" &amp; $A61,
    in.r9[Data da venda / reserva], "&lt;"  &amp; EOMONTH($A61,0) + 1
)</f>
        <v>0</v>
      </c>
      <c r="Q61" s="49">
        <f ca="1">SUMIFS(rec.uni[2025-11-01],
INDIRECT("rec.uni[natureza]"),"pro.soluto",
INDIRECT("rec.uni[empresa]"),Q$6)</f>
        <v>0</v>
      </c>
      <c r="R61" s="38">
        <f ca="1">SUMIFS(rec.uni[2025-11-01],
INDIRECT("rec.uni[natureza]"),"repasse.cef.obra",
INDIRECT("rec.uni[empresa]"),R$6)</f>
        <v>0</v>
      </c>
      <c r="S61" s="51">
        <f ca="1">SUMIFS(rec.uni[2025-11-01],
INDIRECT("rec.uni[natureza]"),"repasse.cef.terreno",
INDIRECT("rec.uni[empresa]"),S$6)</f>
        <v>0</v>
      </c>
      <c r="T61" s="51">
        <v>378061.31</v>
      </c>
      <c r="U61" s="49">
        <f ca="1">SUMIFS(rec.uni[2025-11-01],
INDIRECT("rec.uni[natureza]"),"taxa.extra",
INDIRECT("rec.uni[empresa]"),U$6)</f>
        <v>0</v>
      </c>
      <c r="V61" s="50"/>
      <c r="W61" s="48">
        <f>COUNTIFS(
    in.r9[empresa], W$6,
    in.r9[Data da venda / reserva], "&gt;=" &amp; $A61,
    in.r9[Data da venda / reserva], "&lt;"  &amp; EOMONTH($A61,0) + 1
)</f>
        <v>0</v>
      </c>
      <c r="X61" s="49">
        <f ca="1">SUMIFS(rec.uni[2025-11-01],
INDIRECT("rec.uni[natureza]"),"pro.soluto",
INDIRECT("rec.uni[empresa]"),X$6)</f>
        <v>0</v>
      </c>
      <c r="Y61" s="49">
        <f ca="1">SUMIFS(rec.uni[2025-11-01],
INDIRECT("rec.uni[natureza]"),"taxa.extra",
INDIRECT("rec.uni[empresa]"),Y$6)</f>
        <v>0</v>
      </c>
      <c r="Z61" s="50"/>
      <c r="AA61" s="48">
        <f>COUNTIFS(
    in.r9[empresa], AA$6,
    in.r9[Data da venda / reserva], "&gt;=" &amp; $A61,
    in.r9[Data da venda / reserva], "&lt;"  &amp; EOMONTH($A61,0) + 1
)</f>
        <v>0</v>
      </c>
      <c r="AB61" s="49">
        <f ca="1">SUMIFS(rec.uni[2025-11-01],
INDIRECT("rec.uni[natureza]"),"pro.soluto",
INDIRECT("rec.uni[empresa]"),AB$6)</f>
        <v>0</v>
      </c>
      <c r="AC61" s="51">
        <f ca="1">SUMIFS(rec.uni[2025-11-01],
INDIRECT("rec.uni[natureza]"),"parcela.fin.total.ik",
INDIRECT("rec.uni[empresa]"),AC$6)</f>
        <v>0</v>
      </c>
      <c r="AD61" s="49">
        <f ca="1">SUMIFS(rec.uni[2025-11-01],
INDIRECT("rec.uni[natureza]"),"taxa.extra",
INDIRECT("rec.uni[empresa]"),AD$6)</f>
        <v>0</v>
      </c>
      <c r="AE61" s="50"/>
      <c r="AF61" s="48">
        <f>COUNTIFS(
    in.r9[empresa], AF$6,
    in.r9[Data da venda / reserva], "&gt;=" &amp; $A61,
    in.r9[Data da venda / reserva], "&lt;"  &amp; EOMONTH($A61,0) + 1
)</f>
        <v>0</v>
      </c>
      <c r="AG61" s="49">
        <f ca="1">SUMIFS(rec.uni[2025-11-01],
INDIRECT("rec.uni[natureza]"),"pro.soluto",
INDIRECT("rec.uni[empresa]"),AG$6)</f>
        <v>0</v>
      </c>
      <c r="AH61" s="38">
        <f ca="1">SUMIFS(rec.uni[2025-11-01],
INDIRECT("rec.uni[natureza]"),"repasse.cef.obra",
INDIRECT("rec.uni[empresa]"),AH$6)</f>
        <v>0</v>
      </c>
      <c r="AI61" s="51">
        <f ca="1">SUMIFS(rec.uni[2025-11-01],
INDIRECT("rec.uni[natureza]"),"repasse.cef.terreno",
INDIRECT("rec.uni[empresa]"),AI$6)</f>
        <v>0</v>
      </c>
      <c r="AJ61" s="51">
        <v>200573.37</v>
      </c>
      <c r="AK61" s="49">
        <f ca="1">SUMIFS(rec.uni[2025-11-01],
INDIRECT("rec.uni[natureza]"),"taxa.extra",
INDIRECT("rec.uni[empresa]"),AK$6)</f>
        <v>0</v>
      </c>
      <c r="AL61" s="50"/>
      <c r="AM61" s="48">
        <f>COUNTIFS(
    in.r9[empresa], AM$6,
    in.r9[Data da venda / reserva], "&gt;=" &amp; $A61,
    in.r9[Data da venda / reserva], "&lt;"  &amp; EOMONTH($A61,0) + 1
)</f>
        <v>0</v>
      </c>
      <c r="AN61" s="49">
        <f ca="1">SUMIFS(rec.uni[2025-11-01],
INDIRECT("rec.uni[natureza]"),"pro.soluto",
INDIRECT("rec.uni[empresa]"),AN$6)</f>
        <v>0</v>
      </c>
      <c r="AO61" s="49">
        <f ca="1">SUMIFS(rec.uni[2025-11-01],
INDIRECT("rec.uni[natureza]"),"taxa.extra",
INDIRECT("rec.uni[empresa]"),AO$6)</f>
        <v>0</v>
      </c>
      <c r="AP61" s="50"/>
    </row>
    <row r="62" spans="1:42" x14ac:dyDescent="0.25">
      <c r="A62" s="47">
        <v>45992</v>
      </c>
      <c r="B62" s="39"/>
      <c r="C62" s="49">
        <f ca="1">SUMIFS(rec.uni[2025-12-01],
INDIRECT("rec.uni[natureza]"),"pro.soluto",
INDIRECT("rec.uni[empresa]"),C$6)</f>
        <v>0</v>
      </c>
      <c r="D62" s="38"/>
      <c r="E62" s="51"/>
      <c r="F62" s="51"/>
      <c r="G62" s="49">
        <f ca="1">SUMIFS(rec.uni[2025-12-01],
INDIRECT("rec.uni[natureza]"),"taxa.extra",
INDIRECT("rec.uni[empresa]"),G$6)</f>
        <v>0</v>
      </c>
      <c r="H62" s="51"/>
      <c r="I62" s="39"/>
      <c r="J62" s="49">
        <f ca="1">SUMIFS(rec.uni[2025-12-01],
INDIRECT("rec.uni[natureza]"),"pro.soluto",
INDIRECT("rec.uni[empresa]"),J$6)</f>
        <v>0</v>
      </c>
      <c r="K62" s="38"/>
      <c r="L62" s="51"/>
      <c r="M62" s="51"/>
      <c r="N62" s="49">
        <f ca="1">SUMIFS(rec.uni[2025-12-01],
INDIRECT("rec.uni[natureza]"),"taxa.extra",
INDIRECT("rec.uni[empresa]"),N$6)</f>
        <v>0</v>
      </c>
      <c r="O62" s="51"/>
      <c r="P62" s="39"/>
      <c r="Q62" s="49">
        <f ca="1">SUMIFS(rec.uni[2025-12-01],
INDIRECT("rec.uni[natureza]"),"pro.soluto",
INDIRECT("rec.uni[empresa]"),Q$6)</f>
        <v>0</v>
      </c>
      <c r="R62" s="38"/>
      <c r="S62" s="51"/>
      <c r="T62" s="51"/>
      <c r="U62" s="49">
        <f ca="1">SUMIFS(rec.uni[2025-12-01],
INDIRECT("rec.uni[natureza]"),"taxa.extra",
INDIRECT("rec.uni[empresa]"),U$6)</f>
        <v>0</v>
      </c>
      <c r="V62" s="51"/>
      <c r="W62" s="39"/>
      <c r="X62" s="49">
        <f ca="1">SUMIFS(rec.uni[2025-12-01],
INDIRECT("rec.uni[natureza]"),"pro.soluto",
INDIRECT("rec.uni[empresa]"),X$6)</f>
        <v>0</v>
      </c>
      <c r="Y62" s="49">
        <f ca="1">SUMIFS(rec.uni[2025-12-01],
INDIRECT("rec.uni[natureza]"),"taxa.extra",
INDIRECT("rec.uni[empresa]"),Y$6)</f>
        <v>0</v>
      </c>
      <c r="Z62" s="51"/>
      <c r="AA62" s="39"/>
      <c r="AB62" s="49">
        <f ca="1">SUMIFS(rec.uni[2025-12-01],
INDIRECT("rec.uni[natureza]"),"pro.soluto",
INDIRECT("rec.uni[empresa]"),AB$6)</f>
        <v>0</v>
      </c>
      <c r="AC62" s="51">
        <f ca="1">SUMIFS(rec.uni[2025-12-01],
INDIRECT("rec.uni[natureza]"),"parcela.fin.total.ik",
INDIRECT("rec.uni[empresa]"),AC$6)</f>
        <v>0</v>
      </c>
      <c r="AD62" s="49">
        <f ca="1">SUMIFS(rec.uni[2025-12-01],
INDIRECT("rec.uni[natureza]"),"taxa.extra",
INDIRECT("rec.uni[empresa]"),AD$6)</f>
        <v>0</v>
      </c>
      <c r="AE62" s="51"/>
      <c r="AF62" s="48"/>
      <c r="AG62" s="49">
        <f ca="1">SUMIFS(rec.uni[2025-12-01],
INDIRECT("rec.uni[natureza]"),"pro.soluto",
INDIRECT("rec.uni[empresa]"),AG$6)</f>
        <v>0</v>
      </c>
      <c r="AH62" s="38"/>
      <c r="AI62" s="51"/>
      <c r="AJ62" s="51"/>
      <c r="AK62" s="49">
        <f ca="1">SUMIFS(rec.uni[2025-12-01],
INDIRECT("rec.uni[natureza]"),"taxa.extra",
INDIRECT("rec.uni[empresa]"),AK$6)</f>
        <v>0</v>
      </c>
      <c r="AL62" s="51"/>
      <c r="AM62" s="39"/>
      <c r="AN62" s="49">
        <f ca="1">SUMIFS(rec.uni[2025-12-01],
INDIRECT("rec.uni[natureza]"),"pro.soluto",
INDIRECT("rec.uni[empresa]"),AN$6)</f>
        <v>0</v>
      </c>
      <c r="AO62" s="49">
        <f ca="1">SUMIFS(rec.uni[2025-12-01],
INDIRECT("rec.uni[natureza]"),"taxa.extra",
INDIRECT("rec.uni[empresa]"),AO$6)</f>
        <v>0</v>
      </c>
      <c r="AP62" s="143"/>
    </row>
    <row r="63" spans="1:42" x14ac:dyDescent="0.25">
      <c r="A63" s="47">
        <v>46023</v>
      </c>
      <c r="B63" s="39"/>
      <c r="C63" s="49">
        <f ca="1">SUMIFS(rec.uni[2026-01-01],
INDIRECT("rec.uni[natureza]"),"pro.soluto",
INDIRECT("rec.uni[empresa]"),C$6)</f>
        <v>0</v>
      </c>
      <c r="D63" s="38"/>
      <c r="E63" s="51"/>
      <c r="F63" s="51"/>
      <c r="G63" s="49">
        <f ca="1">SUMIFS(rec.uni[2026-01-01],
INDIRECT("rec.uni[natureza]"),"taxa.extra",
INDIRECT("rec.uni[empresa]"),G$6)</f>
        <v>0</v>
      </c>
      <c r="H63" s="51"/>
      <c r="I63" s="39"/>
      <c r="J63" s="49">
        <f ca="1">SUMIFS(rec.uni[2026-01-01],
INDIRECT("rec.uni[natureza]"),"pro.soluto",
INDIRECT("rec.uni[empresa]"),J$6)</f>
        <v>0</v>
      </c>
      <c r="K63" s="38"/>
      <c r="L63" s="51"/>
      <c r="M63" s="51"/>
      <c r="N63" s="49">
        <f ca="1">SUMIFS(rec.uni[2026-01-01],
INDIRECT("rec.uni[natureza]"),"taxa.extra",
INDIRECT("rec.uni[empresa]"),N$6)</f>
        <v>0</v>
      </c>
      <c r="O63" s="51"/>
      <c r="P63" s="39"/>
      <c r="Q63" s="49">
        <f ca="1">SUMIFS(rec.uni[2026-01-01],
INDIRECT("rec.uni[natureza]"),"pro.soluto",
INDIRECT("rec.uni[empresa]"),Q$6)</f>
        <v>0</v>
      </c>
      <c r="R63" s="38"/>
      <c r="S63" s="51"/>
      <c r="T63" s="51"/>
      <c r="U63" s="49">
        <f ca="1">SUMIFS(rec.uni[2026-01-01],
INDIRECT("rec.uni[natureza]"),"taxa.extra",
INDIRECT("rec.uni[empresa]"),U$6)</f>
        <v>0</v>
      </c>
      <c r="V63" s="51"/>
      <c r="W63" s="39"/>
      <c r="X63" s="49">
        <f ca="1">SUMIFS(rec.uni[2026-01-01],
INDIRECT("rec.uni[natureza]"),"pro.soluto",
INDIRECT("rec.uni[empresa]"),X$6)</f>
        <v>0</v>
      </c>
      <c r="Y63" s="49">
        <f ca="1">SUMIFS(rec.uni[2026-01-01],
INDIRECT("rec.uni[natureza]"),"taxa.extra",
INDIRECT("rec.uni[empresa]"),Y$6)</f>
        <v>0</v>
      </c>
      <c r="Z63" s="51"/>
      <c r="AA63" s="39"/>
      <c r="AB63" s="49">
        <f ca="1">SUMIFS(rec.uni[2026-01-01],
INDIRECT("rec.uni[natureza]"),"pro.soluto",
INDIRECT("rec.uni[empresa]"),AB$6)</f>
        <v>0</v>
      </c>
      <c r="AC63" s="51">
        <f ca="1">SUMIFS(rec.uni[2026-01-01],
INDIRECT("rec.uni[natureza]"),"parcela.fin.total.ik",
INDIRECT("rec.uni[empresa]"),AC$6)</f>
        <v>0</v>
      </c>
      <c r="AD63" s="49">
        <f ca="1">SUMIFS(rec.uni[2026-01-01],
INDIRECT("rec.uni[natureza]"),"taxa.extra",
INDIRECT("rec.uni[empresa]"),AD$6)</f>
        <v>0</v>
      </c>
      <c r="AE63" s="51"/>
      <c r="AF63" s="48"/>
      <c r="AG63" s="49">
        <f ca="1">SUMIFS(rec.uni[2026-01-01],
INDIRECT("rec.uni[natureza]"),"pro.soluto",
INDIRECT("rec.uni[empresa]"),AG$6)</f>
        <v>0</v>
      </c>
      <c r="AH63" s="38"/>
      <c r="AI63" s="51"/>
      <c r="AJ63" s="51"/>
      <c r="AK63" s="49">
        <f ca="1">SUMIFS(rec.uni[2026-01-01],
INDIRECT("rec.uni[natureza]"),"taxa.extra",
INDIRECT("rec.uni[empresa]"),AK$6)</f>
        <v>0</v>
      </c>
      <c r="AL63" s="51"/>
      <c r="AM63" s="39"/>
      <c r="AN63" s="49">
        <f ca="1">SUMIFS(rec.uni[2026-01-01],
INDIRECT("rec.uni[natureza]"),"pro.soluto",
INDIRECT("rec.uni[empresa]"),AN$6)</f>
        <v>0</v>
      </c>
      <c r="AO63" s="49">
        <f ca="1">SUMIFS(rec.uni[2026-01-01],
INDIRECT("rec.uni[natureza]"),"taxa.extra",
INDIRECT("rec.uni[empresa]"),AO$6)</f>
        <v>0</v>
      </c>
      <c r="AP63" s="143"/>
    </row>
    <row r="64" spans="1:42" x14ac:dyDescent="0.25">
      <c r="A64" s="47">
        <v>46054</v>
      </c>
      <c r="B64" s="39"/>
      <c r="C64" s="49">
        <f ca="1">SUMIFS(rec.uni[2026-02-01],
INDIRECT("rec.uni[natureza]"),"pro.soluto",
INDIRECT("rec.uni[empresa]"),C$6)</f>
        <v>0</v>
      </c>
      <c r="D64" s="38"/>
      <c r="E64" s="51"/>
      <c r="F64" s="51"/>
      <c r="G64" s="49">
        <f ca="1">SUMIFS(rec.uni[2026-02-01],
INDIRECT("rec.uni[natureza]"),"taxa.extra",
INDIRECT("rec.uni[empresa]"),G$6)</f>
        <v>0</v>
      </c>
      <c r="H64" s="51"/>
      <c r="I64" s="39"/>
      <c r="J64" s="49">
        <f ca="1">SUMIFS(rec.uni[2026-02-01],
INDIRECT("rec.uni[natureza]"),"pro.soluto",
INDIRECT("rec.uni[empresa]"),J$6)</f>
        <v>0</v>
      </c>
      <c r="K64" s="38"/>
      <c r="L64" s="51"/>
      <c r="M64" s="51"/>
      <c r="N64" s="49">
        <f ca="1">SUMIFS(rec.uni[2026-02-01],
INDIRECT("rec.uni[natureza]"),"taxa.extra",
INDIRECT("rec.uni[empresa]"),N$6)</f>
        <v>0</v>
      </c>
      <c r="O64" s="51"/>
      <c r="P64" s="39"/>
      <c r="Q64" s="49">
        <f ca="1">SUMIFS(rec.uni[2026-02-01],
INDIRECT("rec.uni[natureza]"),"pro.soluto",
INDIRECT("rec.uni[empresa]"),Q$6)</f>
        <v>0</v>
      </c>
      <c r="R64" s="38"/>
      <c r="S64" s="51"/>
      <c r="T64" s="51"/>
      <c r="U64" s="49">
        <f ca="1">SUMIFS(rec.uni[2026-02-01],
INDIRECT("rec.uni[natureza]"),"taxa.extra",
INDIRECT("rec.uni[empresa]"),U$6)</f>
        <v>0</v>
      </c>
      <c r="V64" s="51"/>
      <c r="W64" s="39"/>
      <c r="X64" s="49">
        <f ca="1">SUMIFS(rec.uni[2026-02-01],
INDIRECT("rec.uni[natureza]"),"pro.soluto",
INDIRECT("rec.uni[empresa]"),X$6)</f>
        <v>0</v>
      </c>
      <c r="Y64" s="49">
        <f ca="1">SUMIFS(rec.uni[2026-02-01],
INDIRECT("rec.uni[natureza]"),"taxa.extra",
INDIRECT("rec.uni[empresa]"),Y$6)</f>
        <v>0</v>
      </c>
      <c r="Z64" s="51"/>
      <c r="AA64" s="39"/>
      <c r="AB64" s="49">
        <f ca="1">SUMIFS(rec.uni[2026-02-01],
INDIRECT("rec.uni[natureza]"),"pro.soluto",
INDIRECT("rec.uni[empresa]"),AB$6)</f>
        <v>0</v>
      </c>
      <c r="AC64" s="51">
        <f ca="1">SUMIFS(rec.uni[2026-02-01],
INDIRECT("rec.uni[natureza]"),"parcela.fin.total.ik",
INDIRECT("rec.uni[empresa]"),AC$6)</f>
        <v>0</v>
      </c>
      <c r="AD64" s="49">
        <f ca="1">SUMIFS(rec.uni[2026-02-01],
INDIRECT("rec.uni[natureza]"),"taxa.extra",
INDIRECT("rec.uni[empresa]"),AD$6)</f>
        <v>0</v>
      </c>
      <c r="AE64" s="51"/>
      <c r="AF64" s="48"/>
      <c r="AG64" s="49">
        <f ca="1">SUMIFS(rec.uni[2026-02-01],
INDIRECT("rec.uni[natureza]"),"pro.soluto",
INDIRECT("rec.uni[empresa]"),AG$6)</f>
        <v>0</v>
      </c>
      <c r="AH64" s="38"/>
      <c r="AI64" s="51"/>
      <c r="AJ64" s="51"/>
      <c r="AK64" s="49">
        <f ca="1">SUMIFS(rec.uni[2026-02-01],
INDIRECT("rec.uni[natureza]"),"taxa.extra",
INDIRECT("rec.uni[empresa]"),AK$6)</f>
        <v>0</v>
      </c>
      <c r="AL64" s="51"/>
      <c r="AM64" s="39"/>
      <c r="AN64" s="49">
        <f ca="1">SUMIFS(rec.uni[2026-02-01],
INDIRECT("rec.uni[natureza]"),"pro.soluto",
INDIRECT("rec.uni[empresa]"),AN$6)</f>
        <v>0</v>
      </c>
      <c r="AO64" s="49">
        <f ca="1">SUMIFS(rec.uni[2026-02-01],
INDIRECT("rec.uni[natureza]"),"taxa.extra",
INDIRECT("rec.uni[empresa]"),AO$6)</f>
        <v>0</v>
      </c>
      <c r="AP64" s="143"/>
    </row>
    <row r="65" spans="1:42" x14ac:dyDescent="0.25">
      <c r="A65" s="47">
        <v>46082</v>
      </c>
      <c r="B65" s="39"/>
      <c r="C65" s="49">
        <f ca="1">SUMIFS(rec.uni[2026-03-01],
INDIRECT("rec.uni[natureza]"),"pro.soluto",
INDIRECT("rec.uni[empresa]"),C$6)</f>
        <v>0</v>
      </c>
      <c r="D65" s="38"/>
      <c r="E65" s="51"/>
      <c r="F65" s="51"/>
      <c r="G65" s="49">
        <f ca="1">SUMIFS(rec.uni[2026-03-01],
INDIRECT("rec.uni[natureza]"),"taxa.extra",
INDIRECT("rec.uni[empresa]"),G$6)</f>
        <v>0</v>
      </c>
      <c r="H65" s="51"/>
      <c r="I65" s="39"/>
      <c r="J65" s="49">
        <f ca="1">SUMIFS(rec.uni[2026-03-01],
INDIRECT("rec.uni[natureza]"),"pro.soluto",
INDIRECT("rec.uni[empresa]"),J$6)</f>
        <v>0</v>
      </c>
      <c r="K65" s="38"/>
      <c r="L65" s="51"/>
      <c r="M65" s="51"/>
      <c r="N65" s="49">
        <f ca="1">SUMIFS(rec.uni[2026-03-01],
INDIRECT("rec.uni[natureza]"),"taxa.extra",
INDIRECT("rec.uni[empresa]"),N$6)</f>
        <v>0</v>
      </c>
      <c r="O65" s="51"/>
      <c r="P65" s="39"/>
      <c r="Q65" s="49">
        <f ca="1">SUMIFS(rec.uni[2026-03-01],
INDIRECT("rec.uni[natureza]"),"pro.soluto",
INDIRECT("rec.uni[empresa]"),Q$6)</f>
        <v>0</v>
      </c>
      <c r="R65" s="38"/>
      <c r="S65" s="51"/>
      <c r="T65" s="51"/>
      <c r="U65" s="49">
        <f ca="1">SUMIFS(rec.uni[2026-03-01],
INDIRECT("rec.uni[natureza]"),"taxa.extra",
INDIRECT("rec.uni[empresa]"),U$6)</f>
        <v>0</v>
      </c>
      <c r="V65" s="51"/>
      <c r="W65" s="39"/>
      <c r="X65" s="49">
        <f ca="1">SUMIFS(rec.uni[2026-03-01],
INDIRECT("rec.uni[natureza]"),"pro.soluto",
INDIRECT("rec.uni[empresa]"),X$6)</f>
        <v>0</v>
      </c>
      <c r="Y65" s="49">
        <f ca="1">SUMIFS(rec.uni[2026-03-01],
INDIRECT("rec.uni[natureza]"),"taxa.extra",
INDIRECT("rec.uni[empresa]"),Y$6)</f>
        <v>0</v>
      </c>
      <c r="Z65" s="51"/>
      <c r="AA65" s="39"/>
      <c r="AB65" s="49">
        <f ca="1">SUMIFS(rec.uni[2026-03-01],
INDIRECT("rec.uni[natureza]"),"pro.soluto",
INDIRECT("rec.uni[empresa]"),AB$6)</f>
        <v>0</v>
      </c>
      <c r="AC65" s="51">
        <f ca="1">SUMIFS(rec.uni[2026-03-01],
INDIRECT("rec.uni[natureza]"),"parcela.fin.total.ik",
INDIRECT("rec.uni[empresa]"),AC$6)</f>
        <v>0</v>
      </c>
      <c r="AD65" s="49">
        <f ca="1">SUMIFS(rec.uni[2026-03-01],
INDIRECT("rec.uni[natureza]"),"taxa.extra",
INDIRECT("rec.uni[empresa]"),AD$6)</f>
        <v>0</v>
      </c>
      <c r="AE65" s="51"/>
      <c r="AF65" s="48"/>
      <c r="AG65" s="49">
        <f ca="1">SUMIFS(rec.uni[2026-03-01],
INDIRECT("rec.uni[natureza]"),"pro.soluto",
INDIRECT("rec.uni[empresa]"),AG$6)</f>
        <v>0</v>
      </c>
      <c r="AH65" s="38"/>
      <c r="AI65" s="51"/>
      <c r="AJ65" s="51"/>
      <c r="AK65" s="49">
        <f ca="1">SUMIFS(rec.uni[2026-03-01],
INDIRECT("rec.uni[natureza]"),"taxa.extra",
INDIRECT("rec.uni[empresa]"),AK$6)</f>
        <v>0</v>
      </c>
      <c r="AL65" s="51"/>
      <c r="AM65" s="39"/>
      <c r="AN65" s="49">
        <f ca="1">SUMIFS(rec.uni[2026-03-01],
INDIRECT("rec.uni[natureza]"),"pro.soluto",
INDIRECT("rec.uni[empresa]"),AN$6)</f>
        <v>0</v>
      </c>
      <c r="AO65" s="49">
        <f ca="1">SUMIFS(rec.uni[2026-03-01],
INDIRECT("rec.uni[natureza]"),"taxa.extra",
INDIRECT("rec.uni[empresa]"),AO$6)</f>
        <v>0</v>
      </c>
      <c r="AP65" s="143"/>
    </row>
    <row r="66" spans="1:42" x14ac:dyDescent="0.25">
      <c r="A66" s="47">
        <v>46113</v>
      </c>
      <c r="B66" s="39"/>
      <c r="C66" s="49">
        <f ca="1">SUMIFS(rec.uni[2026-04-01],
INDIRECT("rec.uni[natureza]"),"pro.soluto",
INDIRECT("rec.uni[empresa]"),C$6)</f>
        <v>0</v>
      </c>
      <c r="D66" s="38"/>
      <c r="E66" s="51"/>
      <c r="F66" s="51"/>
      <c r="G66" s="49">
        <f ca="1">SUMIFS(rec.uni[2026-04-01],
INDIRECT("rec.uni[natureza]"),"taxa.extra",
INDIRECT("rec.uni[empresa]"),G$6)</f>
        <v>0</v>
      </c>
      <c r="H66" s="51"/>
      <c r="I66" s="39"/>
      <c r="J66" s="49">
        <f ca="1">SUMIFS(rec.uni[2026-04-01],
INDIRECT("rec.uni[natureza]"),"pro.soluto",
INDIRECT("rec.uni[empresa]"),J$6)</f>
        <v>0</v>
      </c>
      <c r="K66" s="38"/>
      <c r="L66" s="51"/>
      <c r="M66" s="51"/>
      <c r="N66" s="49">
        <f ca="1">SUMIFS(rec.uni[2026-04-01],
INDIRECT("rec.uni[natureza]"),"taxa.extra",
INDIRECT("rec.uni[empresa]"),N$6)</f>
        <v>0</v>
      </c>
      <c r="O66" s="51"/>
      <c r="P66" s="39"/>
      <c r="Q66" s="49">
        <f ca="1">SUMIFS(rec.uni[2026-04-01],
INDIRECT("rec.uni[natureza]"),"pro.soluto",
INDIRECT("rec.uni[empresa]"),Q$6)</f>
        <v>0</v>
      </c>
      <c r="R66" s="38"/>
      <c r="S66" s="51"/>
      <c r="T66" s="51"/>
      <c r="U66" s="49">
        <f ca="1">SUMIFS(rec.uni[2026-04-01],
INDIRECT("rec.uni[natureza]"),"taxa.extra",
INDIRECT("rec.uni[empresa]"),U$6)</f>
        <v>0</v>
      </c>
      <c r="V66" s="51"/>
      <c r="W66" s="39"/>
      <c r="X66" s="49">
        <f ca="1">SUMIFS(rec.uni[2026-04-01],
INDIRECT("rec.uni[natureza]"),"pro.soluto",
INDIRECT("rec.uni[empresa]"),X$6)</f>
        <v>0</v>
      </c>
      <c r="Y66" s="49">
        <f ca="1">SUMIFS(rec.uni[2026-04-01],
INDIRECT("rec.uni[natureza]"),"taxa.extra",
INDIRECT("rec.uni[empresa]"),Y$6)</f>
        <v>0</v>
      </c>
      <c r="Z66" s="51"/>
      <c r="AA66" s="39"/>
      <c r="AB66" s="49">
        <f ca="1">SUMIFS(rec.uni[2026-04-01],
INDIRECT("rec.uni[natureza]"),"pro.soluto",
INDIRECT("rec.uni[empresa]"),AB$6)</f>
        <v>0</v>
      </c>
      <c r="AC66" s="51">
        <f ca="1">SUMIFS(rec.uni[2026-04-01],
INDIRECT("rec.uni[natureza]"),"parcela.fin.total.ik",
INDIRECT("rec.uni[empresa]"),AC$6)</f>
        <v>0</v>
      </c>
      <c r="AD66" s="49">
        <f ca="1">SUMIFS(rec.uni[2026-04-01],
INDIRECT("rec.uni[natureza]"),"taxa.extra",
INDIRECT("rec.uni[empresa]"),AD$6)</f>
        <v>0</v>
      </c>
      <c r="AE66" s="51"/>
      <c r="AF66" s="48"/>
      <c r="AG66" s="49">
        <f ca="1">SUMIFS(rec.uni[2026-04-01],
INDIRECT("rec.uni[natureza]"),"pro.soluto",
INDIRECT("rec.uni[empresa]"),AG$6)</f>
        <v>0</v>
      </c>
      <c r="AH66" s="38"/>
      <c r="AI66" s="51"/>
      <c r="AJ66" s="51"/>
      <c r="AK66" s="49">
        <f ca="1">SUMIFS(rec.uni[2026-04-01],
INDIRECT("rec.uni[natureza]"),"taxa.extra",
INDIRECT("rec.uni[empresa]"),AK$6)</f>
        <v>0</v>
      </c>
      <c r="AL66" s="51"/>
      <c r="AM66" s="39"/>
      <c r="AN66" s="49">
        <f ca="1">SUMIFS(rec.uni[2026-04-01],
INDIRECT("rec.uni[natureza]"),"pro.soluto",
INDIRECT("rec.uni[empresa]"),AN$6)</f>
        <v>0</v>
      </c>
      <c r="AO66" s="49">
        <f ca="1">SUMIFS(rec.uni[2026-04-01],
INDIRECT("rec.uni[natureza]"),"taxa.extra",
INDIRECT("rec.uni[empresa]"),AO$6)</f>
        <v>0</v>
      </c>
      <c r="AP66" s="143"/>
    </row>
    <row r="67" spans="1:42" x14ac:dyDescent="0.25">
      <c r="A67" s="47">
        <v>46143</v>
      </c>
      <c r="B67" s="39"/>
      <c r="C67" s="49">
        <f ca="1">SUMIFS(rec.uni[2026-05-01],
INDIRECT("rec.uni[natureza]"),"pro.soluto",
INDIRECT("rec.uni[empresa]"),C$6)</f>
        <v>0</v>
      </c>
      <c r="D67" s="38"/>
      <c r="E67" s="51"/>
      <c r="F67" s="51"/>
      <c r="G67" s="49">
        <f ca="1">SUMIFS(rec.uni[2026-05-01],
INDIRECT("rec.uni[natureza]"),"taxa.extra",
INDIRECT("rec.uni[empresa]"),G$6)</f>
        <v>0</v>
      </c>
      <c r="H67" s="51"/>
      <c r="I67" s="39"/>
      <c r="J67" s="49">
        <f ca="1">SUMIFS(rec.uni[2026-05-01],
INDIRECT("rec.uni[natureza]"),"pro.soluto",
INDIRECT("rec.uni[empresa]"),J$6)</f>
        <v>0</v>
      </c>
      <c r="K67" s="38"/>
      <c r="L67" s="51"/>
      <c r="M67" s="51"/>
      <c r="N67" s="49">
        <f ca="1">SUMIFS(rec.uni[2026-05-01],
INDIRECT("rec.uni[natureza]"),"taxa.extra",
INDIRECT("rec.uni[empresa]"),N$6)</f>
        <v>0</v>
      </c>
      <c r="O67" s="51"/>
      <c r="P67" s="39"/>
      <c r="Q67" s="49">
        <f ca="1">SUMIFS(rec.uni[2026-05-01],
INDIRECT("rec.uni[natureza]"),"pro.soluto",
INDIRECT("rec.uni[empresa]"),Q$6)</f>
        <v>0</v>
      </c>
      <c r="R67" s="38"/>
      <c r="S67" s="51"/>
      <c r="T67" s="51"/>
      <c r="U67" s="49">
        <f ca="1">SUMIFS(rec.uni[2026-05-01],
INDIRECT("rec.uni[natureza]"),"taxa.extra",
INDIRECT("rec.uni[empresa]"),U$6)</f>
        <v>0</v>
      </c>
      <c r="V67" s="51"/>
      <c r="W67" s="39"/>
      <c r="X67" s="49">
        <f ca="1">SUMIFS(rec.uni[2026-05-01],
INDIRECT("rec.uni[natureza]"),"pro.soluto",
INDIRECT("rec.uni[empresa]"),X$6)</f>
        <v>0</v>
      </c>
      <c r="Y67" s="49">
        <f ca="1">SUMIFS(rec.uni[2026-05-01],
INDIRECT("rec.uni[natureza]"),"taxa.extra",
INDIRECT("rec.uni[empresa]"),Y$6)</f>
        <v>0</v>
      </c>
      <c r="Z67" s="51"/>
      <c r="AA67" s="39"/>
      <c r="AB67" s="49">
        <f ca="1">SUMIFS(rec.uni[2026-05-01],
INDIRECT("rec.uni[natureza]"),"pro.soluto",
INDIRECT("rec.uni[empresa]"),AB$6)</f>
        <v>0</v>
      </c>
      <c r="AC67" s="51">
        <f ca="1">SUMIFS(rec.uni[2026-05-01],
INDIRECT("rec.uni[natureza]"),"parcela.fin.total.ik",
INDIRECT("rec.uni[empresa]"),AC$6)</f>
        <v>0</v>
      </c>
      <c r="AD67" s="49">
        <f ca="1">SUMIFS(rec.uni[2026-05-01],
INDIRECT("rec.uni[natureza]"),"taxa.extra",
INDIRECT("rec.uni[empresa]"),AD$6)</f>
        <v>0</v>
      </c>
      <c r="AE67" s="51"/>
      <c r="AF67" s="48"/>
      <c r="AG67" s="49">
        <f ca="1">SUMIFS(rec.uni[2026-05-01],
INDIRECT("rec.uni[natureza]"),"pro.soluto",
INDIRECT("rec.uni[empresa]"),AG$6)</f>
        <v>0</v>
      </c>
      <c r="AH67" s="38"/>
      <c r="AI67" s="51"/>
      <c r="AJ67" s="51"/>
      <c r="AK67" s="49">
        <f ca="1">SUMIFS(rec.uni[2026-05-01],
INDIRECT("rec.uni[natureza]"),"taxa.extra",
INDIRECT("rec.uni[empresa]"),AK$6)</f>
        <v>0</v>
      </c>
      <c r="AL67" s="51"/>
      <c r="AM67" s="39"/>
      <c r="AN67" s="49">
        <f ca="1">SUMIFS(rec.uni[2026-05-01],
INDIRECT("rec.uni[natureza]"),"pro.soluto",
INDIRECT("rec.uni[empresa]"),AN$6)</f>
        <v>0</v>
      </c>
      <c r="AO67" s="49">
        <f ca="1">SUMIFS(rec.uni[2026-05-01],
INDIRECT("rec.uni[natureza]"),"taxa.extra",
INDIRECT("rec.uni[empresa]"),AO$6)</f>
        <v>0</v>
      </c>
      <c r="AP67" s="143"/>
    </row>
    <row r="68" spans="1:42" x14ac:dyDescent="0.25">
      <c r="A68" s="47">
        <v>46174</v>
      </c>
      <c r="B68" s="39"/>
      <c r="C68" s="49">
        <f ca="1">SUMIFS(rec.uni[2026-06-01],
INDIRECT("rec.uni[natureza]"),"pro.soluto",
INDIRECT("rec.uni[empresa]"),C$6)</f>
        <v>0</v>
      </c>
      <c r="D68" s="38"/>
      <c r="E68" s="51"/>
      <c r="F68" s="51"/>
      <c r="G68" s="49">
        <f ca="1">SUMIFS(rec.uni[2026-06-01],
INDIRECT("rec.uni[natureza]"),"taxa.extra",
INDIRECT("rec.uni[empresa]"),G$6)</f>
        <v>0</v>
      </c>
      <c r="H68" s="51"/>
      <c r="I68" s="39"/>
      <c r="J68" s="49">
        <f ca="1">SUMIFS(rec.uni[2026-06-01],
INDIRECT("rec.uni[natureza]"),"pro.soluto",
INDIRECT("rec.uni[empresa]"),J$6)</f>
        <v>0</v>
      </c>
      <c r="K68" s="38"/>
      <c r="L68" s="51"/>
      <c r="M68" s="51"/>
      <c r="N68" s="49">
        <f ca="1">SUMIFS(rec.uni[2026-06-01],
INDIRECT("rec.uni[natureza]"),"taxa.extra",
INDIRECT("rec.uni[empresa]"),N$6)</f>
        <v>0</v>
      </c>
      <c r="O68" s="51"/>
      <c r="P68" s="39"/>
      <c r="Q68" s="49">
        <f ca="1">SUMIFS(rec.uni[2026-06-01],
INDIRECT("rec.uni[natureza]"),"pro.soluto",
INDIRECT("rec.uni[empresa]"),Q$6)</f>
        <v>0</v>
      </c>
      <c r="R68" s="38"/>
      <c r="S68" s="51"/>
      <c r="T68" s="51"/>
      <c r="U68" s="49">
        <f ca="1">SUMIFS(rec.uni[2026-06-01],
INDIRECT("rec.uni[natureza]"),"taxa.extra",
INDIRECT("rec.uni[empresa]"),U$6)</f>
        <v>0</v>
      </c>
      <c r="V68" s="51"/>
      <c r="W68" s="39"/>
      <c r="X68" s="49">
        <f ca="1">SUMIFS(rec.uni[2026-06-01],
INDIRECT("rec.uni[natureza]"),"pro.soluto",
INDIRECT("rec.uni[empresa]"),X$6)</f>
        <v>0</v>
      </c>
      <c r="Y68" s="49">
        <f ca="1">SUMIFS(rec.uni[2026-06-01],
INDIRECT("rec.uni[natureza]"),"taxa.extra",
INDIRECT("rec.uni[empresa]"),Y$6)</f>
        <v>0</v>
      </c>
      <c r="Z68" s="51"/>
      <c r="AA68" s="39"/>
      <c r="AB68" s="49">
        <f ca="1">SUMIFS(rec.uni[2026-06-01],
INDIRECT("rec.uni[natureza]"),"pro.soluto",
INDIRECT("rec.uni[empresa]"),AB$6)</f>
        <v>0</v>
      </c>
      <c r="AC68" s="51">
        <f ca="1">SUMIFS(rec.uni[2026-06-01],
INDIRECT("rec.uni[natureza]"),"parcela.fin.total.ik",
INDIRECT("rec.uni[empresa]"),AC$6)</f>
        <v>0</v>
      </c>
      <c r="AD68" s="49">
        <f ca="1">SUMIFS(rec.uni[2026-06-01],
INDIRECT("rec.uni[natureza]"),"taxa.extra",
INDIRECT("rec.uni[empresa]"),AD$6)</f>
        <v>0</v>
      </c>
      <c r="AE68" s="51"/>
      <c r="AF68" s="48"/>
      <c r="AG68" s="49">
        <f ca="1">SUMIFS(rec.uni[2026-06-01],
INDIRECT("rec.uni[natureza]"),"pro.soluto",
INDIRECT("rec.uni[empresa]"),AG$6)</f>
        <v>0</v>
      </c>
      <c r="AH68" s="38"/>
      <c r="AI68" s="51"/>
      <c r="AJ68" s="51"/>
      <c r="AK68" s="49">
        <f ca="1">SUMIFS(rec.uni[2026-06-01],
INDIRECT("rec.uni[natureza]"),"taxa.extra",
INDIRECT("rec.uni[empresa]"),AK$6)</f>
        <v>0</v>
      </c>
      <c r="AL68" s="51"/>
      <c r="AM68" s="39"/>
      <c r="AN68" s="49">
        <f ca="1">SUMIFS(rec.uni[2026-06-01],
INDIRECT("rec.uni[natureza]"),"pro.soluto",
INDIRECT("rec.uni[empresa]"),AN$6)</f>
        <v>0</v>
      </c>
      <c r="AO68" s="49">
        <f ca="1">SUMIFS(rec.uni[2026-06-01],
INDIRECT("rec.uni[natureza]"),"taxa.extra",
INDIRECT("rec.uni[empresa]"),AO$6)</f>
        <v>0</v>
      </c>
      <c r="AP68" s="143"/>
    </row>
    <row r="69" spans="1:42" x14ac:dyDescent="0.25">
      <c r="A69" s="47">
        <v>46204</v>
      </c>
      <c r="B69" s="39"/>
      <c r="C69" s="49">
        <f ca="1">SUMIFS(rec.uni[2026-07-01],
INDIRECT("rec.uni[natureza]"),"pro.soluto",
INDIRECT("rec.uni[empresa]"),C$6)</f>
        <v>0</v>
      </c>
      <c r="D69" s="38"/>
      <c r="E69" s="51"/>
      <c r="F69" s="51"/>
      <c r="G69" s="49">
        <f ca="1">SUMIFS(rec.uni[2026-07-01],
INDIRECT("rec.uni[natureza]"),"taxa.extra",
INDIRECT("rec.uni[empresa]"),G$6)</f>
        <v>0</v>
      </c>
      <c r="H69" s="51"/>
      <c r="I69" s="39"/>
      <c r="J69" s="49">
        <f ca="1">SUMIFS(rec.uni[2026-07-01],
INDIRECT("rec.uni[natureza]"),"pro.soluto",
INDIRECT("rec.uni[empresa]"),J$6)</f>
        <v>0</v>
      </c>
      <c r="K69" s="38"/>
      <c r="L69" s="51"/>
      <c r="M69" s="51"/>
      <c r="N69" s="49">
        <f ca="1">SUMIFS(rec.uni[2026-07-01],
INDIRECT("rec.uni[natureza]"),"taxa.extra",
INDIRECT("rec.uni[empresa]"),N$6)</f>
        <v>0</v>
      </c>
      <c r="O69" s="51"/>
      <c r="P69" s="39"/>
      <c r="Q69" s="49">
        <f ca="1">SUMIFS(rec.uni[2026-07-01],
INDIRECT("rec.uni[natureza]"),"pro.soluto",
INDIRECT("rec.uni[empresa]"),Q$6)</f>
        <v>0</v>
      </c>
      <c r="R69" s="38"/>
      <c r="S69" s="51"/>
      <c r="T69" s="51"/>
      <c r="U69" s="49">
        <f ca="1">SUMIFS(rec.uni[2026-07-01],
INDIRECT("rec.uni[natureza]"),"taxa.extra",
INDIRECT("rec.uni[empresa]"),U$6)</f>
        <v>0</v>
      </c>
      <c r="V69" s="51"/>
      <c r="W69" s="39"/>
      <c r="X69" s="49">
        <f ca="1">SUMIFS(rec.uni[2026-07-01],
INDIRECT("rec.uni[natureza]"),"pro.soluto",
INDIRECT("rec.uni[empresa]"),X$6)</f>
        <v>0</v>
      </c>
      <c r="Y69" s="49">
        <f ca="1">SUMIFS(rec.uni[2026-07-01],
INDIRECT("rec.uni[natureza]"),"taxa.extra",
INDIRECT("rec.uni[empresa]"),Y$6)</f>
        <v>0</v>
      </c>
      <c r="Z69" s="51"/>
      <c r="AA69" s="39"/>
      <c r="AB69" s="49">
        <f ca="1">SUMIFS(rec.uni[2026-07-01],
INDIRECT("rec.uni[natureza]"),"pro.soluto",
INDIRECT("rec.uni[empresa]"),AB$6)</f>
        <v>0</v>
      </c>
      <c r="AC69" s="51">
        <f ca="1">SUMIFS(rec.uni[2026-07-01],
INDIRECT("rec.uni[natureza]"),"parcela.fin.total.ik",
INDIRECT("rec.uni[empresa]"),AC$6)</f>
        <v>0</v>
      </c>
      <c r="AD69" s="49">
        <f ca="1">SUMIFS(rec.uni[2026-07-01],
INDIRECT("rec.uni[natureza]"),"taxa.extra",
INDIRECT("rec.uni[empresa]"),AD$6)</f>
        <v>0</v>
      </c>
      <c r="AE69" s="51"/>
      <c r="AF69" s="48"/>
      <c r="AG69" s="49">
        <f ca="1">SUMIFS(rec.uni[2026-07-01],
INDIRECT("rec.uni[natureza]"),"pro.soluto",
INDIRECT("rec.uni[empresa]"),AG$6)</f>
        <v>0</v>
      </c>
      <c r="AH69" s="38"/>
      <c r="AI69" s="51"/>
      <c r="AJ69" s="51"/>
      <c r="AK69" s="49">
        <f ca="1">SUMIFS(rec.uni[2026-07-01],
INDIRECT("rec.uni[natureza]"),"taxa.extra",
INDIRECT("rec.uni[empresa]"),AK$6)</f>
        <v>0</v>
      </c>
      <c r="AL69" s="51"/>
      <c r="AM69" s="39"/>
      <c r="AN69" s="49">
        <f ca="1">SUMIFS(rec.uni[2026-07-01],
INDIRECT("rec.uni[natureza]"),"pro.soluto",
INDIRECT("rec.uni[empresa]"),AN$6)</f>
        <v>0</v>
      </c>
      <c r="AO69" s="49">
        <f ca="1">SUMIFS(rec.uni[2026-07-01],
INDIRECT("rec.uni[natureza]"),"taxa.extra",
INDIRECT("rec.uni[empresa]"),AO$6)</f>
        <v>0</v>
      </c>
      <c r="AP69" s="143"/>
    </row>
    <row r="70" spans="1:42" x14ac:dyDescent="0.25">
      <c r="A70" s="47">
        <v>46235</v>
      </c>
      <c r="B70" s="39"/>
      <c r="C70" s="49">
        <f ca="1">SUMIFS(rec.uni[2026-08-01],
INDIRECT("rec.uni[natureza]"),"pro.soluto",
INDIRECT("rec.uni[empresa]"),C$6)</f>
        <v>0</v>
      </c>
      <c r="D70" s="38"/>
      <c r="E70" s="51"/>
      <c r="F70" s="51"/>
      <c r="G70" s="49">
        <f ca="1">SUMIFS(rec.uni[2026-08-01],
INDIRECT("rec.uni[natureza]"),"taxa.extra",
INDIRECT("rec.uni[empresa]"),G$6)</f>
        <v>0</v>
      </c>
      <c r="H70" s="51"/>
      <c r="I70" s="39"/>
      <c r="J70" s="49">
        <f ca="1">SUMIFS(rec.uni[2026-08-01],
INDIRECT("rec.uni[natureza]"),"pro.soluto",
INDIRECT("rec.uni[empresa]"),J$6)</f>
        <v>0</v>
      </c>
      <c r="K70" s="38"/>
      <c r="L70" s="51"/>
      <c r="M70" s="51"/>
      <c r="N70" s="49">
        <f ca="1">SUMIFS(rec.uni[2026-08-01],
INDIRECT("rec.uni[natureza]"),"taxa.extra",
INDIRECT("rec.uni[empresa]"),N$6)</f>
        <v>0</v>
      </c>
      <c r="O70" s="51"/>
      <c r="P70" s="39"/>
      <c r="Q70" s="49">
        <f ca="1">SUMIFS(rec.uni[2026-08-01],
INDIRECT("rec.uni[natureza]"),"pro.soluto",
INDIRECT("rec.uni[empresa]"),Q$6)</f>
        <v>0</v>
      </c>
      <c r="R70" s="38"/>
      <c r="S70" s="51"/>
      <c r="T70" s="51"/>
      <c r="U70" s="49">
        <f ca="1">SUMIFS(rec.uni[2026-08-01],
INDIRECT("rec.uni[natureza]"),"taxa.extra",
INDIRECT("rec.uni[empresa]"),U$6)</f>
        <v>0</v>
      </c>
      <c r="V70" s="51"/>
      <c r="W70" s="39"/>
      <c r="X70" s="49">
        <f ca="1">SUMIFS(rec.uni[2026-08-01],
INDIRECT("rec.uni[natureza]"),"pro.soluto",
INDIRECT("rec.uni[empresa]"),X$6)</f>
        <v>0</v>
      </c>
      <c r="Y70" s="49">
        <f ca="1">SUMIFS(rec.uni[2026-08-01],
INDIRECT("rec.uni[natureza]"),"taxa.extra",
INDIRECT("rec.uni[empresa]"),Y$6)</f>
        <v>0</v>
      </c>
      <c r="Z70" s="51"/>
      <c r="AA70" s="39"/>
      <c r="AB70" s="49">
        <f ca="1">SUMIFS(rec.uni[2026-08-01],
INDIRECT("rec.uni[natureza]"),"pro.soluto",
INDIRECT("rec.uni[empresa]"),AB$6)</f>
        <v>0</v>
      </c>
      <c r="AC70" s="51">
        <f ca="1">SUMIFS(rec.uni[2026-08-01],
INDIRECT("rec.uni[natureza]"),"parcela.fin.total.ik",
INDIRECT("rec.uni[empresa]"),AC$6)</f>
        <v>0</v>
      </c>
      <c r="AD70" s="49">
        <f ca="1">SUMIFS(rec.uni[2026-08-01],
INDIRECT("rec.uni[natureza]"),"taxa.extra",
INDIRECT("rec.uni[empresa]"),AD$6)</f>
        <v>0</v>
      </c>
      <c r="AE70" s="51"/>
      <c r="AF70" s="48"/>
      <c r="AG70" s="49">
        <f ca="1">SUMIFS(rec.uni[2026-08-01],
INDIRECT("rec.uni[natureza]"),"pro.soluto",
INDIRECT("rec.uni[empresa]"),AG$6)</f>
        <v>0</v>
      </c>
      <c r="AH70" s="38"/>
      <c r="AI70" s="51"/>
      <c r="AJ70" s="51"/>
      <c r="AK70" s="49">
        <f ca="1">SUMIFS(rec.uni[2026-08-01],
INDIRECT("rec.uni[natureza]"),"taxa.extra",
INDIRECT("rec.uni[empresa]"),AK$6)</f>
        <v>0</v>
      </c>
      <c r="AL70" s="51"/>
      <c r="AM70" s="39"/>
      <c r="AN70" s="49">
        <f ca="1">SUMIFS(rec.uni[2026-08-01],
INDIRECT("rec.uni[natureza]"),"pro.soluto",
INDIRECT("rec.uni[empresa]"),AN$6)</f>
        <v>0</v>
      </c>
      <c r="AO70" s="49">
        <f ca="1">SUMIFS(rec.uni[2026-08-01],
INDIRECT("rec.uni[natureza]"),"taxa.extra",
INDIRECT("rec.uni[empresa]"),AO$6)</f>
        <v>0</v>
      </c>
      <c r="AP70" s="143"/>
    </row>
    <row r="71" spans="1:42" x14ac:dyDescent="0.25">
      <c r="A71" s="47">
        <v>46266</v>
      </c>
      <c r="B71" s="39"/>
      <c r="C71" s="49">
        <f ca="1">SUMIFS(rec.uni[2026-09-01],
INDIRECT("rec.uni[natureza]"),"pro.soluto",
INDIRECT("rec.uni[empresa]"),C$6)</f>
        <v>0</v>
      </c>
      <c r="D71" s="38"/>
      <c r="E71" s="51"/>
      <c r="F71" s="51"/>
      <c r="G71" s="49">
        <f ca="1">SUMIFS(rec.uni[2026-09-01],
INDIRECT("rec.uni[natureza]"),"taxa.extra",
INDIRECT("rec.uni[empresa]"),G$6)</f>
        <v>0</v>
      </c>
      <c r="H71" s="51"/>
      <c r="I71" s="39"/>
      <c r="J71" s="49">
        <f ca="1">SUMIFS(rec.uni[2026-09-01],
INDIRECT("rec.uni[natureza]"),"pro.soluto",
INDIRECT("rec.uni[empresa]"),J$6)</f>
        <v>0</v>
      </c>
      <c r="K71" s="38"/>
      <c r="L71" s="51"/>
      <c r="M71" s="51"/>
      <c r="N71" s="49">
        <f ca="1">SUMIFS(rec.uni[2026-09-01],
INDIRECT("rec.uni[natureza]"),"taxa.extra",
INDIRECT("rec.uni[empresa]"),N$6)</f>
        <v>0</v>
      </c>
      <c r="O71" s="51"/>
      <c r="P71" s="39"/>
      <c r="Q71" s="49">
        <f ca="1">SUMIFS(rec.uni[2026-09-01],
INDIRECT("rec.uni[natureza]"),"pro.soluto",
INDIRECT("rec.uni[empresa]"),Q$6)</f>
        <v>0</v>
      </c>
      <c r="R71" s="38"/>
      <c r="S71" s="51"/>
      <c r="T71" s="51"/>
      <c r="U71" s="49">
        <f ca="1">SUMIFS(rec.uni[2026-09-01],
INDIRECT("rec.uni[natureza]"),"taxa.extra",
INDIRECT("rec.uni[empresa]"),U$6)</f>
        <v>0</v>
      </c>
      <c r="V71" s="51"/>
      <c r="W71" s="39"/>
      <c r="X71" s="49">
        <f ca="1">SUMIFS(rec.uni[2026-09-01],
INDIRECT("rec.uni[natureza]"),"pro.soluto",
INDIRECT("rec.uni[empresa]"),X$6)</f>
        <v>0</v>
      </c>
      <c r="Y71" s="49">
        <f ca="1">SUMIFS(rec.uni[2026-09-01],
INDIRECT("rec.uni[natureza]"),"taxa.extra",
INDIRECT("rec.uni[empresa]"),Y$6)</f>
        <v>0</v>
      </c>
      <c r="Z71" s="51"/>
      <c r="AA71" s="39"/>
      <c r="AB71" s="49">
        <f ca="1">SUMIFS(rec.uni[2026-09-01],
INDIRECT("rec.uni[natureza]"),"pro.soluto",
INDIRECT("rec.uni[empresa]"),AB$6)</f>
        <v>0</v>
      </c>
      <c r="AC71" s="51">
        <f ca="1">SUMIFS(rec.uni[2026-09-01],
INDIRECT("rec.uni[natureza]"),"parcela.fin.total.ik",
INDIRECT("rec.uni[empresa]"),AC$6)</f>
        <v>0</v>
      </c>
      <c r="AD71" s="49">
        <f ca="1">SUMIFS(rec.uni[2026-09-01],
INDIRECT("rec.uni[natureza]"),"taxa.extra",
INDIRECT("rec.uni[empresa]"),AD$6)</f>
        <v>0</v>
      </c>
      <c r="AE71" s="51"/>
      <c r="AF71" s="48"/>
      <c r="AG71" s="49">
        <f ca="1">SUMIFS(rec.uni[2026-09-01],
INDIRECT("rec.uni[natureza]"),"pro.soluto",
INDIRECT("rec.uni[empresa]"),AG$6)</f>
        <v>0</v>
      </c>
      <c r="AH71" s="38"/>
      <c r="AI71" s="51"/>
      <c r="AJ71" s="51"/>
      <c r="AK71" s="49">
        <f ca="1">SUMIFS(rec.uni[2026-09-01],
INDIRECT("rec.uni[natureza]"),"taxa.extra",
INDIRECT("rec.uni[empresa]"),AK$6)</f>
        <v>0</v>
      </c>
      <c r="AL71" s="51"/>
      <c r="AM71" s="39"/>
      <c r="AN71" s="49">
        <f ca="1">SUMIFS(rec.uni[2026-09-01],
INDIRECT("rec.uni[natureza]"),"pro.soluto",
INDIRECT("rec.uni[empresa]"),AN$6)</f>
        <v>0</v>
      </c>
      <c r="AO71" s="49">
        <f ca="1">SUMIFS(rec.uni[2026-09-01],
INDIRECT("rec.uni[natureza]"),"taxa.extra",
INDIRECT("rec.uni[empresa]"),AO$6)</f>
        <v>0</v>
      </c>
      <c r="AP71" s="143"/>
    </row>
    <row r="72" spans="1:42" x14ac:dyDescent="0.25">
      <c r="A72" s="47">
        <v>46296</v>
      </c>
      <c r="B72" s="39"/>
      <c r="C72" s="49">
        <f ca="1">SUMIFS(rec.uni[2026-10-01],
INDIRECT("rec.uni[natureza]"),"pro.soluto",
INDIRECT("rec.uni[empresa]"),C$6)</f>
        <v>0</v>
      </c>
      <c r="D72" s="38"/>
      <c r="E72" s="51"/>
      <c r="F72" s="51"/>
      <c r="G72" s="49">
        <f ca="1">SUMIFS(rec.uni[2026-10-01],
INDIRECT("rec.uni[natureza]"),"taxa.extra",
INDIRECT("rec.uni[empresa]"),G$6)</f>
        <v>0</v>
      </c>
      <c r="H72" s="51"/>
      <c r="I72" s="39"/>
      <c r="J72" s="49">
        <f ca="1">SUMIFS(rec.uni[2026-10-01],
INDIRECT("rec.uni[natureza]"),"pro.soluto",
INDIRECT("rec.uni[empresa]"),J$6)</f>
        <v>0</v>
      </c>
      <c r="K72" s="38"/>
      <c r="L72" s="51"/>
      <c r="M72" s="51"/>
      <c r="N72" s="49">
        <f ca="1">SUMIFS(rec.uni[2026-10-01],
INDIRECT("rec.uni[natureza]"),"taxa.extra",
INDIRECT("rec.uni[empresa]"),N$6)</f>
        <v>0</v>
      </c>
      <c r="O72" s="51"/>
      <c r="P72" s="39"/>
      <c r="Q72" s="49">
        <f ca="1">SUMIFS(rec.uni[2026-10-01],
INDIRECT("rec.uni[natureza]"),"pro.soluto",
INDIRECT("rec.uni[empresa]"),Q$6)</f>
        <v>0</v>
      </c>
      <c r="R72" s="38"/>
      <c r="S72" s="51"/>
      <c r="T72" s="51"/>
      <c r="U72" s="49">
        <f ca="1">SUMIFS(rec.uni[2026-10-01],
INDIRECT("rec.uni[natureza]"),"taxa.extra",
INDIRECT("rec.uni[empresa]"),U$6)</f>
        <v>0</v>
      </c>
      <c r="V72" s="51"/>
      <c r="W72" s="39"/>
      <c r="X72" s="49">
        <f ca="1">SUMIFS(rec.uni[2026-10-01],
INDIRECT("rec.uni[natureza]"),"pro.soluto",
INDIRECT("rec.uni[empresa]"),X$6)</f>
        <v>0</v>
      </c>
      <c r="Y72" s="49">
        <f ca="1">SUMIFS(rec.uni[2026-10-01],
INDIRECT("rec.uni[natureza]"),"taxa.extra",
INDIRECT("rec.uni[empresa]"),Y$6)</f>
        <v>0</v>
      </c>
      <c r="Z72" s="51"/>
      <c r="AA72" s="39"/>
      <c r="AB72" s="49">
        <f ca="1">SUMIFS(rec.uni[2026-10-01],
INDIRECT("rec.uni[natureza]"),"pro.soluto",
INDIRECT("rec.uni[empresa]"),AB$6)</f>
        <v>0</v>
      </c>
      <c r="AC72" s="51">
        <f ca="1">SUMIFS(rec.uni[2026-10-01],
INDIRECT("rec.uni[natureza]"),"parcela.fin.total.ik",
INDIRECT("rec.uni[empresa]"),AC$6)</f>
        <v>0</v>
      </c>
      <c r="AD72" s="49">
        <f ca="1">SUMIFS(rec.uni[2026-10-01],
INDIRECT("rec.uni[natureza]"),"taxa.extra",
INDIRECT("rec.uni[empresa]"),AD$6)</f>
        <v>0</v>
      </c>
      <c r="AE72" s="51"/>
      <c r="AF72" s="48"/>
      <c r="AG72" s="49">
        <f ca="1">SUMIFS(rec.uni[2026-10-01],
INDIRECT("rec.uni[natureza]"),"pro.soluto",
INDIRECT("rec.uni[empresa]"),AG$6)</f>
        <v>0</v>
      </c>
      <c r="AH72" s="38"/>
      <c r="AI72" s="51"/>
      <c r="AJ72" s="51"/>
      <c r="AK72" s="49">
        <f ca="1">SUMIFS(rec.uni[2026-10-01],
INDIRECT("rec.uni[natureza]"),"taxa.extra",
INDIRECT("rec.uni[empresa]"),AK$6)</f>
        <v>0</v>
      </c>
      <c r="AL72" s="51"/>
      <c r="AM72" s="39"/>
      <c r="AN72" s="49">
        <f ca="1">SUMIFS(rec.uni[2026-10-01],
INDIRECT("rec.uni[natureza]"),"pro.soluto",
INDIRECT("rec.uni[empresa]"),AN$6)</f>
        <v>0</v>
      </c>
      <c r="AO72" s="49">
        <f ca="1">SUMIFS(rec.uni[2026-10-01],
INDIRECT("rec.uni[natureza]"),"taxa.extra",
INDIRECT("rec.uni[empresa]"),AO$6)</f>
        <v>0</v>
      </c>
      <c r="AP72" s="143"/>
    </row>
    <row r="73" spans="1:42" x14ac:dyDescent="0.25">
      <c r="A73" s="47">
        <v>46327</v>
      </c>
      <c r="B73" s="39"/>
      <c r="C73" s="49">
        <f ca="1">SUMIFS(rec.uni[2026-11-01],
INDIRECT("rec.uni[natureza]"),"pro.soluto",
INDIRECT("rec.uni[empresa]"),C$6)</f>
        <v>0</v>
      </c>
      <c r="D73" s="38"/>
      <c r="E73" s="51"/>
      <c r="F73" s="51"/>
      <c r="G73" s="49">
        <f ca="1">SUMIFS(rec.uni[2026-11-01],
INDIRECT("rec.uni[natureza]"),"taxa.extra",
INDIRECT("rec.uni[empresa]"),G$6)</f>
        <v>0</v>
      </c>
      <c r="H73" s="51"/>
      <c r="I73" s="39"/>
      <c r="J73" s="49">
        <f ca="1">SUMIFS(rec.uni[2026-11-01],
INDIRECT("rec.uni[natureza]"),"pro.soluto",
INDIRECT("rec.uni[empresa]"),J$6)</f>
        <v>0</v>
      </c>
      <c r="K73" s="38"/>
      <c r="L73" s="51"/>
      <c r="M73" s="51"/>
      <c r="N73" s="49">
        <f ca="1">SUMIFS(rec.uni[2026-11-01],
INDIRECT("rec.uni[natureza]"),"taxa.extra",
INDIRECT("rec.uni[empresa]"),N$6)</f>
        <v>0</v>
      </c>
      <c r="O73" s="51"/>
      <c r="P73" s="39"/>
      <c r="Q73" s="49">
        <f ca="1">SUMIFS(rec.uni[2026-11-01],
INDIRECT("rec.uni[natureza]"),"pro.soluto",
INDIRECT("rec.uni[empresa]"),Q$6)</f>
        <v>0</v>
      </c>
      <c r="R73" s="38"/>
      <c r="S73" s="51"/>
      <c r="T73" s="51"/>
      <c r="U73" s="49">
        <f ca="1">SUMIFS(rec.uni[2026-11-01],
INDIRECT("rec.uni[natureza]"),"taxa.extra",
INDIRECT("rec.uni[empresa]"),U$6)</f>
        <v>0</v>
      </c>
      <c r="V73" s="51"/>
      <c r="W73" s="39"/>
      <c r="X73" s="49">
        <f ca="1">SUMIFS(rec.uni[2026-11-01],
INDIRECT("rec.uni[natureza]"),"pro.soluto",
INDIRECT("rec.uni[empresa]"),X$6)</f>
        <v>0</v>
      </c>
      <c r="Y73" s="49">
        <f ca="1">SUMIFS(rec.uni[2026-11-01],
INDIRECT("rec.uni[natureza]"),"taxa.extra",
INDIRECT("rec.uni[empresa]"),Y$6)</f>
        <v>0</v>
      </c>
      <c r="Z73" s="51"/>
      <c r="AA73" s="39"/>
      <c r="AB73" s="49">
        <f ca="1">SUMIFS(rec.uni[2026-11-01],
INDIRECT("rec.uni[natureza]"),"pro.soluto",
INDIRECT("rec.uni[empresa]"),AB$6)</f>
        <v>0</v>
      </c>
      <c r="AC73" s="51">
        <f ca="1">SUMIFS(rec.uni[2026-11-01],
INDIRECT("rec.uni[natureza]"),"parcela.fin.total.ik",
INDIRECT("rec.uni[empresa]"),AC$6)</f>
        <v>0</v>
      </c>
      <c r="AD73" s="49">
        <f ca="1">SUMIFS(rec.uni[2026-11-01],
INDIRECT("rec.uni[natureza]"),"taxa.extra",
INDIRECT("rec.uni[empresa]"),AD$6)</f>
        <v>0</v>
      </c>
      <c r="AE73" s="51"/>
      <c r="AF73" s="48"/>
      <c r="AG73" s="49">
        <f ca="1">SUMIFS(rec.uni[2026-11-01],
INDIRECT("rec.uni[natureza]"),"pro.soluto",
INDIRECT("rec.uni[empresa]"),AG$6)</f>
        <v>0</v>
      </c>
      <c r="AH73" s="38"/>
      <c r="AI73" s="51"/>
      <c r="AJ73" s="51"/>
      <c r="AK73" s="49">
        <f ca="1">SUMIFS(rec.uni[2026-11-01],
INDIRECT("rec.uni[natureza]"),"taxa.extra",
INDIRECT("rec.uni[empresa]"),AK$6)</f>
        <v>0</v>
      </c>
      <c r="AL73" s="51"/>
      <c r="AM73" s="39"/>
      <c r="AN73" s="49">
        <f ca="1">SUMIFS(rec.uni[2026-11-01],
INDIRECT("rec.uni[natureza]"),"pro.soluto",
INDIRECT("rec.uni[empresa]"),AN$6)</f>
        <v>0</v>
      </c>
      <c r="AO73" s="49">
        <f ca="1">SUMIFS(rec.uni[2026-11-01],
INDIRECT("rec.uni[natureza]"),"taxa.extra",
INDIRECT("rec.uni[empresa]"),AO$6)</f>
        <v>0</v>
      </c>
      <c r="AP73" s="143"/>
    </row>
    <row r="74" spans="1:42" x14ac:dyDescent="0.25">
      <c r="A74" s="47">
        <v>46357</v>
      </c>
      <c r="B74" s="39"/>
      <c r="C74" s="49">
        <f ca="1">SUMIFS(rec.uni[2026-12-01],
INDIRECT("rec.uni[natureza]"),"pro.soluto",
INDIRECT("rec.uni[empresa]"),C$6)</f>
        <v>0</v>
      </c>
      <c r="D74" s="38"/>
      <c r="E74" s="51"/>
      <c r="F74" s="51"/>
      <c r="G74" s="49">
        <f ca="1">SUMIFS(rec.uni[2026-12-01],
INDIRECT("rec.uni[natureza]"),"taxa.extra",
INDIRECT("rec.uni[empresa]"),G$6)</f>
        <v>0</v>
      </c>
      <c r="H74" s="51"/>
      <c r="I74" s="39"/>
      <c r="J74" s="49">
        <f ca="1">SUMIFS(rec.uni[2026-12-01],
INDIRECT("rec.uni[natureza]"),"pro.soluto",
INDIRECT("rec.uni[empresa]"),J$6)</f>
        <v>0</v>
      </c>
      <c r="K74" s="38"/>
      <c r="L74" s="51"/>
      <c r="M74" s="51"/>
      <c r="N74" s="49">
        <f ca="1">SUMIFS(rec.uni[2026-12-01],
INDIRECT("rec.uni[natureza]"),"taxa.extra",
INDIRECT("rec.uni[empresa]"),N$6)</f>
        <v>0</v>
      </c>
      <c r="O74" s="51"/>
      <c r="P74" s="39"/>
      <c r="Q74" s="49">
        <f ca="1">SUMIFS(rec.uni[2026-12-01],
INDIRECT("rec.uni[natureza]"),"pro.soluto",
INDIRECT("rec.uni[empresa]"),Q$6)</f>
        <v>0</v>
      </c>
      <c r="R74" s="38"/>
      <c r="S74" s="51"/>
      <c r="T74" s="51"/>
      <c r="U74" s="49">
        <f ca="1">SUMIFS(rec.uni[2026-12-01],
INDIRECT("rec.uni[natureza]"),"taxa.extra",
INDIRECT("rec.uni[empresa]"),U$6)</f>
        <v>0</v>
      </c>
      <c r="V74" s="51"/>
      <c r="W74" s="39"/>
      <c r="X74" s="49">
        <f ca="1">SUMIFS(rec.uni[2026-12-01],
INDIRECT("rec.uni[natureza]"),"pro.soluto",
INDIRECT("rec.uni[empresa]"),X$6)</f>
        <v>0</v>
      </c>
      <c r="Y74" s="49">
        <f ca="1">SUMIFS(rec.uni[2026-12-01],
INDIRECT("rec.uni[natureza]"),"taxa.extra",
INDIRECT("rec.uni[empresa]"),Y$6)</f>
        <v>0</v>
      </c>
      <c r="Z74" s="51"/>
      <c r="AA74" s="39"/>
      <c r="AB74" s="49">
        <f ca="1">SUMIFS(rec.uni[2026-12-01],
INDIRECT("rec.uni[natureza]"),"pro.soluto",
INDIRECT("rec.uni[empresa]"),AB$6)</f>
        <v>0</v>
      </c>
      <c r="AC74" s="51">
        <f ca="1">SUMIFS(rec.uni[2026-12-01],
INDIRECT("rec.uni[natureza]"),"parcela.fin.total.ik",
INDIRECT("rec.uni[empresa]"),AC$6)</f>
        <v>0</v>
      </c>
      <c r="AD74" s="49">
        <f ca="1">SUMIFS(rec.uni[2026-12-01],
INDIRECT("rec.uni[natureza]"),"taxa.extra",
INDIRECT("rec.uni[empresa]"),AD$6)</f>
        <v>0</v>
      </c>
      <c r="AE74" s="51"/>
      <c r="AF74" s="48"/>
      <c r="AG74" s="49">
        <f ca="1">SUMIFS(rec.uni[2026-12-01],
INDIRECT("rec.uni[natureza]"),"pro.soluto",
INDIRECT("rec.uni[empresa]"),AG$6)</f>
        <v>0</v>
      </c>
      <c r="AH74" s="38"/>
      <c r="AI74" s="51"/>
      <c r="AJ74" s="51"/>
      <c r="AK74" s="49">
        <f ca="1">SUMIFS(rec.uni[2026-12-01],
INDIRECT("rec.uni[natureza]"),"taxa.extra",
INDIRECT("rec.uni[empresa]"),AK$6)</f>
        <v>0</v>
      </c>
      <c r="AL74" s="51"/>
      <c r="AM74" s="39"/>
      <c r="AN74" s="49">
        <f ca="1">SUMIFS(rec.uni[2026-12-01],
INDIRECT("rec.uni[natureza]"),"pro.soluto",
INDIRECT("rec.uni[empresa]"),AN$6)</f>
        <v>0</v>
      </c>
      <c r="AO74" s="49">
        <f ca="1">SUMIFS(rec.uni[2026-12-01],
INDIRECT("rec.uni[natureza]"),"taxa.extra",
INDIRECT("rec.uni[empresa]"),AO$6)</f>
        <v>0</v>
      </c>
      <c r="AP74" s="143"/>
    </row>
    <row r="75" spans="1:42" x14ac:dyDescent="0.25">
      <c r="A75" s="47">
        <v>46388</v>
      </c>
      <c r="B75" s="39"/>
      <c r="C75" s="49">
        <f ca="1">SUMIFS(rec.uni[2027-01-01],
INDIRECT("rec.uni[natureza]"),"pro.soluto",
INDIRECT("rec.uni[empresa]"),C$6)</f>
        <v>0</v>
      </c>
      <c r="D75" s="38"/>
      <c r="E75" s="51"/>
      <c r="F75" s="51"/>
      <c r="G75" s="49">
        <f ca="1">SUMIFS(rec.uni[2027-01-01],
INDIRECT("rec.uni[natureza]"),"taxa.extra",
INDIRECT("rec.uni[empresa]"),G$6)</f>
        <v>0</v>
      </c>
      <c r="H75" s="51"/>
      <c r="I75" s="39"/>
      <c r="J75" s="49">
        <f ca="1">SUMIFS(rec.uni[2027-01-01],
INDIRECT("rec.uni[natureza]"),"pro.soluto",
INDIRECT("rec.uni[empresa]"),J$6)</f>
        <v>0</v>
      </c>
      <c r="K75" s="38"/>
      <c r="L75" s="51"/>
      <c r="M75" s="51"/>
      <c r="N75" s="49">
        <f ca="1">SUMIFS(rec.uni[2027-01-01],
INDIRECT("rec.uni[natureza]"),"taxa.extra",
INDIRECT("rec.uni[empresa]"),N$6)</f>
        <v>0</v>
      </c>
      <c r="O75" s="51"/>
      <c r="P75" s="39"/>
      <c r="Q75" s="49">
        <f ca="1">SUMIFS(rec.uni[2027-01-01],
INDIRECT("rec.uni[natureza]"),"pro.soluto",
INDIRECT("rec.uni[empresa]"),Q$6)</f>
        <v>0</v>
      </c>
      <c r="R75" s="38"/>
      <c r="S75" s="51"/>
      <c r="T75" s="51"/>
      <c r="U75" s="49">
        <f ca="1">SUMIFS(rec.uni[2027-01-01],
INDIRECT("rec.uni[natureza]"),"taxa.extra",
INDIRECT("rec.uni[empresa]"),U$6)</f>
        <v>0</v>
      </c>
      <c r="V75" s="51"/>
      <c r="W75" s="39"/>
      <c r="X75" s="49">
        <f ca="1">SUMIFS(rec.uni[2027-01-01],
INDIRECT("rec.uni[natureza]"),"pro.soluto",
INDIRECT("rec.uni[empresa]"),X$6)</f>
        <v>0</v>
      </c>
      <c r="Y75" s="49">
        <f ca="1">SUMIFS(rec.uni[2027-01-01],
INDIRECT("rec.uni[natureza]"),"taxa.extra",
INDIRECT("rec.uni[empresa]"),Y$6)</f>
        <v>0</v>
      </c>
      <c r="Z75" s="51"/>
      <c r="AA75" s="39"/>
      <c r="AB75" s="49">
        <f ca="1">SUMIFS(rec.uni[2027-01-01],
INDIRECT("rec.uni[natureza]"),"pro.soluto",
INDIRECT("rec.uni[empresa]"),AB$6)</f>
        <v>0</v>
      </c>
      <c r="AC75" s="51">
        <f ca="1">SUMIFS(rec.uni[2027-01-01],
INDIRECT("rec.uni[natureza]"),"parcela.fin.total.ik",
INDIRECT("rec.uni[empresa]"),AC$6)</f>
        <v>0</v>
      </c>
      <c r="AD75" s="49">
        <f ca="1">SUMIFS(rec.uni[2027-01-01],
INDIRECT("rec.uni[natureza]"),"taxa.extra",
INDIRECT("rec.uni[empresa]"),AD$6)</f>
        <v>0</v>
      </c>
      <c r="AE75" s="51"/>
      <c r="AF75" s="48"/>
      <c r="AG75" s="49">
        <f ca="1">SUMIFS(rec.uni[2027-01-01],
INDIRECT("rec.uni[natureza]"),"pro.soluto",
INDIRECT("rec.uni[empresa]"),AG$6)</f>
        <v>0</v>
      </c>
      <c r="AH75" s="38"/>
      <c r="AI75" s="51"/>
      <c r="AJ75" s="51"/>
      <c r="AK75" s="49">
        <f ca="1">SUMIFS(rec.uni[2027-01-01],
INDIRECT("rec.uni[natureza]"),"taxa.extra",
INDIRECT("rec.uni[empresa]"),AK$6)</f>
        <v>0</v>
      </c>
      <c r="AL75" s="51"/>
      <c r="AM75" s="39"/>
      <c r="AN75" s="49">
        <f ca="1">SUMIFS(rec.uni[2027-01-01],
INDIRECT("rec.uni[natureza]"),"pro.soluto",
INDIRECT("rec.uni[empresa]"),AN$6)</f>
        <v>0</v>
      </c>
      <c r="AO75" s="49">
        <f ca="1">SUMIFS(rec.uni[2027-01-01],
INDIRECT("rec.uni[natureza]"),"taxa.extra",
INDIRECT("rec.uni[empresa]"),AO$6)</f>
        <v>0</v>
      </c>
      <c r="AP75" s="143"/>
    </row>
    <row r="76" spans="1:42" x14ac:dyDescent="0.25">
      <c r="A76" s="47">
        <v>46419</v>
      </c>
      <c r="B76" s="39"/>
      <c r="C76" s="49">
        <f ca="1">SUMIFS(rec.uni[2027-02-01],
INDIRECT("rec.uni[natureza]"),"pro.soluto",
INDIRECT("rec.uni[empresa]"),C$6)</f>
        <v>0</v>
      </c>
      <c r="D76" s="38"/>
      <c r="E76" s="51"/>
      <c r="F76" s="51"/>
      <c r="G76" s="49">
        <f ca="1">SUMIFS(rec.uni[2027-02-01],
INDIRECT("rec.uni[natureza]"),"taxa.extra",
INDIRECT("rec.uni[empresa]"),G$6)</f>
        <v>0</v>
      </c>
      <c r="H76" s="51"/>
      <c r="I76" s="39"/>
      <c r="J76" s="49">
        <f ca="1">SUMIFS(rec.uni[2027-02-01],
INDIRECT("rec.uni[natureza]"),"pro.soluto",
INDIRECT("rec.uni[empresa]"),J$6)</f>
        <v>0</v>
      </c>
      <c r="K76" s="38"/>
      <c r="L76" s="51"/>
      <c r="M76" s="51"/>
      <c r="N76" s="49">
        <f ca="1">SUMIFS(rec.uni[2027-02-01],
INDIRECT("rec.uni[natureza]"),"taxa.extra",
INDIRECT("rec.uni[empresa]"),N$6)</f>
        <v>0</v>
      </c>
      <c r="O76" s="51"/>
      <c r="P76" s="39"/>
      <c r="Q76" s="49">
        <f ca="1">SUMIFS(rec.uni[2027-02-01],
INDIRECT("rec.uni[natureza]"),"pro.soluto",
INDIRECT("rec.uni[empresa]"),Q$6)</f>
        <v>0</v>
      </c>
      <c r="R76" s="38"/>
      <c r="S76" s="51"/>
      <c r="T76" s="51"/>
      <c r="U76" s="49">
        <f ca="1">SUMIFS(rec.uni[2027-02-01],
INDIRECT("rec.uni[natureza]"),"taxa.extra",
INDIRECT("rec.uni[empresa]"),U$6)</f>
        <v>0</v>
      </c>
      <c r="V76" s="51"/>
      <c r="W76" s="39"/>
      <c r="X76" s="49">
        <f ca="1">SUMIFS(rec.uni[2027-02-01],
INDIRECT("rec.uni[natureza]"),"pro.soluto",
INDIRECT("rec.uni[empresa]"),X$6)</f>
        <v>0</v>
      </c>
      <c r="Y76" s="49">
        <f ca="1">SUMIFS(rec.uni[2027-02-01],
INDIRECT("rec.uni[natureza]"),"taxa.extra",
INDIRECT("rec.uni[empresa]"),Y$6)</f>
        <v>0</v>
      </c>
      <c r="Z76" s="51"/>
      <c r="AA76" s="39"/>
      <c r="AB76" s="49">
        <f ca="1">SUMIFS(rec.uni[2027-02-01],
INDIRECT("rec.uni[natureza]"),"pro.soluto",
INDIRECT("rec.uni[empresa]"),AB$6)</f>
        <v>0</v>
      </c>
      <c r="AC76" s="51">
        <f ca="1">SUMIFS(rec.uni[2027-02-01],
INDIRECT("rec.uni[natureza]"),"parcela.fin.total.ik",
INDIRECT("rec.uni[empresa]"),AC$6)</f>
        <v>0</v>
      </c>
      <c r="AD76" s="49">
        <f ca="1">SUMIFS(rec.uni[2027-02-01],
INDIRECT("rec.uni[natureza]"),"taxa.extra",
INDIRECT("rec.uni[empresa]"),AD$6)</f>
        <v>0</v>
      </c>
      <c r="AE76" s="51"/>
      <c r="AF76" s="48"/>
      <c r="AG76" s="49">
        <f ca="1">SUMIFS(rec.uni[2027-02-01],
INDIRECT("rec.uni[natureza]"),"pro.soluto",
INDIRECT("rec.uni[empresa]"),AG$6)</f>
        <v>0</v>
      </c>
      <c r="AH76" s="38"/>
      <c r="AI76" s="51"/>
      <c r="AJ76" s="51"/>
      <c r="AK76" s="49">
        <f ca="1">SUMIFS(rec.uni[2027-02-01],
INDIRECT("rec.uni[natureza]"),"taxa.extra",
INDIRECT("rec.uni[empresa]"),AK$6)</f>
        <v>0</v>
      </c>
      <c r="AL76" s="51"/>
      <c r="AM76" s="39"/>
      <c r="AN76" s="49">
        <f ca="1">SUMIFS(rec.uni[2027-02-01],
INDIRECT("rec.uni[natureza]"),"pro.soluto",
INDIRECT("rec.uni[empresa]"),AN$6)</f>
        <v>0</v>
      </c>
      <c r="AO76" s="49">
        <f ca="1">SUMIFS(rec.uni[2027-02-01],
INDIRECT("rec.uni[natureza]"),"taxa.extra",
INDIRECT("rec.uni[empresa]"),AO$6)</f>
        <v>0</v>
      </c>
      <c r="AP76" s="143"/>
    </row>
    <row r="77" spans="1:42" x14ac:dyDescent="0.25">
      <c r="A77" s="47">
        <v>46447</v>
      </c>
      <c r="B77" s="39"/>
      <c r="C77" s="49">
        <f ca="1">SUMIFS(rec.uni[2027-03-01],
INDIRECT("rec.uni[natureza]"),"pro.soluto",
INDIRECT("rec.uni[empresa]"),C$6)</f>
        <v>0</v>
      </c>
      <c r="D77" s="38"/>
      <c r="E77" s="51"/>
      <c r="F77" s="51"/>
      <c r="G77" s="49">
        <f ca="1">SUMIFS(rec.uni[2027-03-01],
INDIRECT("rec.uni[natureza]"),"taxa.extra",
INDIRECT("rec.uni[empresa]"),G$6)</f>
        <v>0</v>
      </c>
      <c r="H77" s="51"/>
      <c r="I77" s="39"/>
      <c r="J77" s="49">
        <f ca="1">SUMIFS(rec.uni[2027-03-01],
INDIRECT("rec.uni[natureza]"),"pro.soluto",
INDIRECT("rec.uni[empresa]"),J$6)</f>
        <v>0</v>
      </c>
      <c r="K77" s="38"/>
      <c r="L77" s="51"/>
      <c r="M77" s="51"/>
      <c r="N77" s="49">
        <f ca="1">SUMIFS(rec.uni[2027-03-01],
INDIRECT("rec.uni[natureza]"),"taxa.extra",
INDIRECT("rec.uni[empresa]"),N$6)</f>
        <v>0</v>
      </c>
      <c r="O77" s="51"/>
      <c r="P77" s="39"/>
      <c r="Q77" s="49">
        <f ca="1">SUMIFS(rec.uni[2027-03-01],
INDIRECT("rec.uni[natureza]"),"pro.soluto",
INDIRECT("rec.uni[empresa]"),Q$6)</f>
        <v>0</v>
      </c>
      <c r="R77" s="38"/>
      <c r="S77" s="51"/>
      <c r="T77" s="51"/>
      <c r="U77" s="49">
        <f ca="1">SUMIFS(rec.uni[2027-03-01],
INDIRECT("rec.uni[natureza]"),"taxa.extra",
INDIRECT("rec.uni[empresa]"),U$6)</f>
        <v>0</v>
      </c>
      <c r="V77" s="51"/>
      <c r="W77" s="39"/>
      <c r="X77" s="49">
        <f ca="1">SUMIFS(rec.uni[2027-03-01],
INDIRECT("rec.uni[natureza]"),"pro.soluto",
INDIRECT("rec.uni[empresa]"),X$6)</f>
        <v>0</v>
      </c>
      <c r="Y77" s="49">
        <f ca="1">SUMIFS(rec.uni[2027-03-01],
INDIRECT("rec.uni[natureza]"),"taxa.extra",
INDIRECT("rec.uni[empresa]"),Y$6)</f>
        <v>0</v>
      </c>
      <c r="Z77" s="51"/>
      <c r="AA77" s="39"/>
      <c r="AB77" s="49">
        <f ca="1">SUMIFS(rec.uni[2027-03-01],
INDIRECT("rec.uni[natureza]"),"pro.soluto",
INDIRECT("rec.uni[empresa]"),AB$6)</f>
        <v>0</v>
      </c>
      <c r="AC77" s="51">
        <f ca="1">SUMIFS(rec.uni[2027-03-01],
INDIRECT("rec.uni[natureza]"),"parcela.fin.total.ik",
INDIRECT("rec.uni[empresa]"),AC$6)</f>
        <v>0</v>
      </c>
      <c r="AD77" s="49">
        <f ca="1">SUMIFS(rec.uni[2027-03-01],
INDIRECT("rec.uni[natureza]"),"taxa.extra",
INDIRECT("rec.uni[empresa]"),AD$6)</f>
        <v>0</v>
      </c>
      <c r="AE77" s="51"/>
      <c r="AF77" s="48"/>
      <c r="AG77" s="49">
        <f ca="1">SUMIFS(rec.uni[2027-03-01],
INDIRECT("rec.uni[natureza]"),"pro.soluto",
INDIRECT("rec.uni[empresa]"),AG$6)</f>
        <v>0</v>
      </c>
      <c r="AH77" s="38"/>
      <c r="AI77" s="51"/>
      <c r="AJ77" s="51"/>
      <c r="AK77" s="49">
        <f ca="1">SUMIFS(rec.uni[2027-03-01],
INDIRECT("rec.uni[natureza]"),"taxa.extra",
INDIRECT("rec.uni[empresa]"),AK$6)</f>
        <v>0</v>
      </c>
      <c r="AL77" s="51"/>
      <c r="AM77" s="39"/>
      <c r="AN77" s="49">
        <f ca="1">SUMIFS(rec.uni[2027-03-01],
INDIRECT("rec.uni[natureza]"),"pro.soluto",
INDIRECT("rec.uni[empresa]"),AN$6)</f>
        <v>0</v>
      </c>
      <c r="AO77" s="49">
        <f ca="1">SUMIFS(rec.uni[2027-03-01],
INDIRECT("rec.uni[natureza]"),"taxa.extra",
INDIRECT("rec.uni[empresa]"),AO$6)</f>
        <v>0</v>
      </c>
      <c r="AP77" s="143"/>
    </row>
    <row r="78" spans="1:42" x14ac:dyDescent="0.25">
      <c r="A78" s="47">
        <v>46478</v>
      </c>
      <c r="B78" s="39"/>
      <c r="C78" s="49">
        <f ca="1">SUMIFS(rec.uni[2027-04-01],
INDIRECT("rec.uni[natureza]"),"pro.soluto",
INDIRECT("rec.uni[empresa]"),C$6)</f>
        <v>0</v>
      </c>
      <c r="D78" s="38"/>
      <c r="E78" s="51"/>
      <c r="F78" s="51"/>
      <c r="G78" s="49">
        <f ca="1">SUMIFS(rec.uni[2027-04-01],
INDIRECT("rec.uni[natureza]"),"taxa.extra",
INDIRECT("rec.uni[empresa]"),G$6)</f>
        <v>0</v>
      </c>
      <c r="H78" s="51"/>
      <c r="I78" s="39"/>
      <c r="J78" s="49">
        <f ca="1">SUMIFS(rec.uni[2027-04-01],
INDIRECT("rec.uni[natureza]"),"pro.soluto",
INDIRECT("rec.uni[empresa]"),J$6)</f>
        <v>0</v>
      </c>
      <c r="K78" s="38"/>
      <c r="L78" s="51"/>
      <c r="M78" s="51"/>
      <c r="N78" s="49">
        <f ca="1">SUMIFS(rec.uni[2027-04-01],
INDIRECT("rec.uni[natureza]"),"taxa.extra",
INDIRECT("rec.uni[empresa]"),N$6)</f>
        <v>0</v>
      </c>
      <c r="O78" s="51"/>
      <c r="P78" s="39"/>
      <c r="Q78" s="49">
        <f ca="1">SUMIFS(rec.uni[2027-04-01],
INDIRECT("rec.uni[natureza]"),"pro.soluto",
INDIRECT("rec.uni[empresa]"),Q$6)</f>
        <v>0</v>
      </c>
      <c r="R78" s="38"/>
      <c r="S78" s="51"/>
      <c r="T78" s="51"/>
      <c r="U78" s="49">
        <f ca="1">SUMIFS(rec.uni[2027-04-01],
INDIRECT("rec.uni[natureza]"),"taxa.extra",
INDIRECT("rec.uni[empresa]"),U$6)</f>
        <v>0</v>
      </c>
      <c r="V78" s="51"/>
      <c r="W78" s="39"/>
      <c r="X78" s="49">
        <f ca="1">SUMIFS(rec.uni[2027-04-01],
INDIRECT("rec.uni[natureza]"),"pro.soluto",
INDIRECT("rec.uni[empresa]"),X$6)</f>
        <v>0</v>
      </c>
      <c r="Y78" s="49">
        <f ca="1">SUMIFS(rec.uni[2027-04-01],
INDIRECT("rec.uni[natureza]"),"taxa.extra",
INDIRECT("rec.uni[empresa]"),Y$6)</f>
        <v>0</v>
      </c>
      <c r="Z78" s="51"/>
      <c r="AA78" s="39"/>
      <c r="AB78" s="49">
        <f ca="1">SUMIFS(rec.uni[2027-04-01],
INDIRECT("rec.uni[natureza]"),"pro.soluto",
INDIRECT("rec.uni[empresa]"),AB$6)</f>
        <v>0</v>
      </c>
      <c r="AC78" s="51">
        <f ca="1">SUMIFS(rec.uni[2027-04-01],
INDIRECT("rec.uni[natureza]"),"parcela.fin.total.ik",
INDIRECT("rec.uni[empresa]"),AC$6)</f>
        <v>0</v>
      </c>
      <c r="AD78" s="49">
        <f ca="1">SUMIFS(rec.uni[2027-04-01],
INDIRECT("rec.uni[natureza]"),"taxa.extra",
INDIRECT("rec.uni[empresa]"),AD$6)</f>
        <v>0</v>
      </c>
      <c r="AE78" s="51"/>
      <c r="AF78" s="48"/>
      <c r="AG78" s="49">
        <f ca="1">SUMIFS(rec.uni[2027-04-01],
INDIRECT("rec.uni[natureza]"),"pro.soluto",
INDIRECT("rec.uni[empresa]"),AG$6)</f>
        <v>0</v>
      </c>
      <c r="AH78" s="38"/>
      <c r="AI78" s="51"/>
      <c r="AJ78" s="51"/>
      <c r="AK78" s="49">
        <f ca="1">SUMIFS(rec.uni[2027-04-01],
INDIRECT("rec.uni[natureza]"),"taxa.extra",
INDIRECT("rec.uni[empresa]"),AK$6)</f>
        <v>0</v>
      </c>
      <c r="AL78" s="51"/>
      <c r="AM78" s="39"/>
      <c r="AN78" s="49">
        <f ca="1">SUMIFS(rec.uni[2027-04-01],
INDIRECT("rec.uni[natureza]"),"pro.soluto",
INDIRECT("rec.uni[empresa]"),AN$6)</f>
        <v>0</v>
      </c>
      <c r="AO78" s="49">
        <f ca="1">SUMIFS(rec.uni[2027-04-01],
INDIRECT("rec.uni[natureza]"),"taxa.extra",
INDIRECT("rec.uni[empresa]"),AO$6)</f>
        <v>0</v>
      </c>
      <c r="AP78" s="143"/>
    </row>
    <row r="79" spans="1:42" x14ac:dyDescent="0.25">
      <c r="A79" s="47">
        <v>46508</v>
      </c>
      <c r="B79" s="39"/>
      <c r="C79" s="49">
        <f ca="1">SUMIFS(rec.uni[2027-05-01],
INDIRECT("rec.uni[natureza]"),"pro.soluto",
INDIRECT("rec.uni[empresa]"),C$6)</f>
        <v>0</v>
      </c>
      <c r="D79" s="38"/>
      <c r="E79" s="51"/>
      <c r="F79" s="51"/>
      <c r="G79" s="49">
        <f ca="1">SUMIFS(rec.uni[2027-05-01],
INDIRECT("rec.uni[natureza]"),"taxa.extra",
INDIRECT("rec.uni[empresa]"),G$6)</f>
        <v>0</v>
      </c>
      <c r="H79" s="51"/>
      <c r="I79" s="39"/>
      <c r="J79" s="49">
        <f ca="1">SUMIFS(rec.uni[2027-05-01],
INDIRECT("rec.uni[natureza]"),"pro.soluto",
INDIRECT("rec.uni[empresa]"),J$6)</f>
        <v>0</v>
      </c>
      <c r="K79" s="38"/>
      <c r="L79" s="51"/>
      <c r="M79" s="51"/>
      <c r="N79" s="49">
        <f ca="1">SUMIFS(rec.uni[2027-05-01],
INDIRECT("rec.uni[natureza]"),"taxa.extra",
INDIRECT("rec.uni[empresa]"),N$6)</f>
        <v>0</v>
      </c>
      <c r="O79" s="51"/>
      <c r="P79" s="39"/>
      <c r="Q79" s="49">
        <f ca="1">SUMIFS(rec.uni[2027-05-01],
INDIRECT("rec.uni[natureza]"),"pro.soluto",
INDIRECT("rec.uni[empresa]"),Q$6)</f>
        <v>0</v>
      </c>
      <c r="R79" s="38"/>
      <c r="S79" s="51"/>
      <c r="T79" s="51"/>
      <c r="U79" s="49">
        <f ca="1">SUMIFS(rec.uni[2027-05-01],
INDIRECT("rec.uni[natureza]"),"taxa.extra",
INDIRECT("rec.uni[empresa]"),U$6)</f>
        <v>0</v>
      </c>
      <c r="V79" s="51"/>
      <c r="W79" s="39"/>
      <c r="X79" s="49">
        <f ca="1">SUMIFS(rec.uni[2027-05-01],
INDIRECT("rec.uni[natureza]"),"pro.soluto",
INDIRECT("rec.uni[empresa]"),X$6)</f>
        <v>0</v>
      </c>
      <c r="Y79" s="49">
        <f ca="1">SUMIFS(rec.uni[2027-05-01],
INDIRECT("rec.uni[natureza]"),"taxa.extra",
INDIRECT("rec.uni[empresa]"),Y$6)</f>
        <v>0</v>
      </c>
      <c r="Z79" s="51"/>
      <c r="AA79" s="39"/>
      <c r="AB79" s="49">
        <f ca="1">SUMIFS(rec.uni[2027-05-01],
INDIRECT("rec.uni[natureza]"),"pro.soluto",
INDIRECT("rec.uni[empresa]"),AB$6)</f>
        <v>0</v>
      </c>
      <c r="AC79" s="51">
        <f ca="1">SUMIFS(rec.uni[2027-05-01],
INDIRECT("rec.uni[natureza]"),"parcela.fin.total.ik",
INDIRECT("rec.uni[empresa]"),AC$6)</f>
        <v>0</v>
      </c>
      <c r="AD79" s="49">
        <f ca="1">SUMIFS(rec.uni[2027-05-01],
INDIRECT("rec.uni[natureza]"),"taxa.extra",
INDIRECT("rec.uni[empresa]"),AD$6)</f>
        <v>0</v>
      </c>
      <c r="AE79" s="51"/>
      <c r="AF79" s="48"/>
      <c r="AG79" s="49">
        <f ca="1">SUMIFS(rec.uni[2027-05-01],
INDIRECT("rec.uni[natureza]"),"pro.soluto",
INDIRECT("rec.uni[empresa]"),AG$6)</f>
        <v>0</v>
      </c>
      <c r="AH79" s="38"/>
      <c r="AI79" s="51"/>
      <c r="AJ79" s="51"/>
      <c r="AK79" s="49">
        <f ca="1">SUMIFS(rec.uni[2027-05-01],
INDIRECT("rec.uni[natureza]"),"taxa.extra",
INDIRECT("rec.uni[empresa]"),AK$6)</f>
        <v>0</v>
      </c>
      <c r="AL79" s="51"/>
      <c r="AM79" s="39"/>
      <c r="AN79" s="49">
        <f ca="1">SUMIFS(rec.uni[2027-05-01],
INDIRECT("rec.uni[natureza]"),"pro.soluto",
INDIRECT("rec.uni[empresa]"),AN$6)</f>
        <v>0</v>
      </c>
      <c r="AO79" s="49">
        <f ca="1">SUMIFS(rec.uni[2027-05-01],
INDIRECT("rec.uni[natureza]"),"taxa.extra",
INDIRECT("rec.uni[empresa]"),AO$6)</f>
        <v>0</v>
      </c>
      <c r="AP79" s="143"/>
    </row>
    <row r="80" spans="1:42" x14ac:dyDescent="0.25">
      <c r="A80" s="47">
        <v>46539</v>
      </c>
      <c r="B80" s="39"/>
      <c r="C80" s="49">
        <f ca="1">SUMIFS(rec.uni[2027-06-01],
INDIRECT("rec.uni[natureza]"),"pro.soluto",
INDIRECT("rec.uni[empresa]"),C$6)</f>
        <v>0</v>
      </c>
      <c r="D80" s="38"/>
      <c r="E80" s="51"/>
      <c r="F80" s="51"/>
      <c r="G80" s="49">
        <f ca="1">SUMIFS(rec.uni[2027-06-01],
INDIRECT("rec.uni[natureza]"),"taxa.extra",
INDIRECT("rec.uni[empresa]"),G$6)</f>
        <v>0</v>
      </c>
      <c r="H80" s="51"/>
      <c r="I80" s="39"/>
      <c r="J80" s="49">
        <f ca="1">SUMIFS(rec.uni[2027-06-01],
INDIRECT("rec.uni[natureza]"),"pro.soluto",
INDIRECT("rec.uni[empresa]"),J$6)</f>
        <v>0</v>
      </c>
      <c r="K80" s="38"/>
      <c r="L80" s="51"/>
      <c r="M80" s="51"/>
      <c r="N80" s="49">
        <f ca="1">SUMIFS(rec.uni[2027-06-01],
INDIRECT("rec.uni[natureza]"),"taxa.extra",
INDIRECT("rec.uni[empresa]"),N$6)</f>
        <v>0</v>
      </c>
      <c r="O80" s="51"/>
      <c r="P80" s="39"/>
      <c r="Q80" s="49">
        <f ca="1">SUMIFS(rec.uni[2027-06-01],
INDIRECT("rec.uni[natureza]"),"pro.soluto",
INDIRECT("rec.uni[empresa]"),Q$6)</f>
        <v>0</v>
      </c>
      <c r="R80" s="38"/>
      <c r="S80" s="51"/>
      <c r="T80" s="51"/>
      <c r="U80" s="49">
        <f ca="1">SUMIFS(rec.uni[2027-06-01],
INDIRECT("rec.uni[natureza]"),"taxa.extra",
INDIRECT("rec.uni[empresa]"),U$6)</f>
        <v>0</v>
      </c>
      <c r="V80" s="51"/>
      <c r="W80" s="39"/>
      <c r="X80" s="49">
        <f ca="1">SUMIFS(rec.uni[2027-06-01],
INDIRECT("rec.uni[natureza]"),"pro.soluto",
INDIRECT("rec.uni[empresa]"),X$6)</f>
        <v>0</v>
      </c>
      <c r="Y80" s="49">
        <f ca="1">SUMIFS(rec.uni[2027-06-01],
INDIRECT("rec.uni[natureza]"),"taxa.extra",
INDIRECT("rec.uni[empresa]"),Y$6)</f>
        <v>0</v>
      </c>
      <c r="Z80" s="51"/>
      <c r="AA80" s="39"/>
      <c r="AB80" s="49">
        <f ca="1">SUMIFS(rec.uni[2027-06-01],
INDIRECT("rec.uni[natureza]"),"pro.soluto",
INDIRECT("rec.uni[empresa]"),AB$6)</f>
        <v>0</v>
      </c>
      <c r="AC80" s="51">
        <f ca="1">SUMIFS(rec.uni[2027-06-01],
INDIRECT("rec.uni[natureza]"),"parcela.fin.total.ik",
INDIRECT("rec.uni[empresa]"),AC$6)</f>
        <v>0</v>
      </c>
      <c r="AD80" s="49">
        <f ca="1">SUMIFS(rec.uni[2027-06-01],
INDIRECT("rec.uni[natureza]"),"taxa.extra",
INDIRECT("rec.uni[empresa]"),AD$6)</f>
        <v>0</v>
      </c>
      <c r="AE80" s="51"/>
      <c r="AF80" s="48"/>
      <c r="AG80" s="49">
        <f ca="1">SUMIFS(rec.uni[2027-06-01],
INDIRECT("rec.uni[natureza]"),"pro.soluto",
INDIRECT("rec.uni[empresa]"),AG$6)</f>
        <v>0</v>
      </c>
      <c r="AH80" s="38"/>
      <c r="AI80" s="51"/>
      <c r="AJ80" s="51"/>
      <c r="AK80" s="49">
        <f ca="1">SUMIFS(rec.uni[2027-06-01],
INDIRECT("rec.uni[natureza]"),"taxa.extra",
INDIRECT("rec.uni[empresa]"),AK$6)</f>
        <v>0</v>
      </c>
      <c r="AL80" s="51"/>
      <c r="AM80" s="39"/>
      <c r="AN80" s="49">
        <f ca="1">SUMIFS(rec.uni[2027-06-01],
INDIRECT("rec.uni[natureza]"),"pro.soluto",
INDIRECT("rec.uni[empresa]"),AN$6)</f>
        <v>0</v>
      </c>
      <c r="AO80" s="49">
        <f ca="1">SUMIFS(rec.uni[2027-06-01],
INDIRECT("rec.uni[natureza]"),"taxa.extra",
INDIRECT("rec.uni[empresa]"),AO$6)</f>
        <v>0</v>
      </c>
      <c r="AP80" s="143"/>
    </row>
    <row r="81" spans="1:42" x14ac:dyDescent="0.25">
      <c r="A81" s="47">
        <v>46569</v>
      </c>
      <c r="B81" s="39"/>
      <c r="C81" s="49">
        <f ca="1">SUMIFS(rec.uni[2027-07-01],
INDIRECT("rec.uni[natureza]"),"pro.soluto",
INDIRECT("rec.uni[empresa]"),C$6)</f>
        <v>0</v>
      </c>
      <c r="D81" s="38"/>
      <c r="E81" s="51"/>
      <c r="F81" s="51"/>
      <c r="G81" s="49">
        <f ca="1">SUMIFS(rec.uni[2027-07-01],
INDIRECT("rec.uni[natureza]"),"taxa.extra",
INDIRECT("rec.uni[empresa]"),G$6)</f>
        <v>0</v>
      </c>
      <c r="H81" s="51"/>
      <c r="I81" s="39"/>
      <c r="J81" s="49">
        <f ca="1">SUMIFS(rec.uni[2027-07-01],
INDIRECT("rec.uni[natureza]"),"pro.soluto",
INDIRECT("rec.uni[empresa]"),J$6)</f>
        <v>0</v>
      </c>
      <c r="K81" s="38"/>
      <c r="L81" s="51"/>
      <c r="M81" s="51"/>
      <c r="N81" s="49">
        <f ca="1">SUMIFS(rec.uni[2027-07-01],
INDIRECT("rec.uni[natureza]"),"taxa.extra",
INDIRECT("rec.uni[empresa]"),N$6)</f>
        <v>0</v>
      </c>
      <c r="O81" s="51"/>
      <c r="P81" s="39"/>
      <c r="Q81" s="49">
        <f ca="1">SUMIFS(rec.uni[2027-07-01],
INDIRECT("rec.uni[natureza]"),"pro.soluto",
INDIRECT("rec.uni[empresa]"),Q$6)</f>
        <v>0</v>
      </c>
      <c r="R81" s="38"/>
      <c r="S81" s="51"/>
      <c r="T81" s="51"/>
      <c r="U81" s="49">
        <f ca="1">SUMIFS(rec.uni[2027-07-01],
INDIRECT("rec.uni[natureza]"),"taxa.extra",
INDIRECT("rec.uni[empresa]"),U$6)</f>
        <v>0</v>
      </c>
      <c r="V81" s="51"/>
      <c r="W81" s="39"/>
      <c r="X81" s="49">
        <f ca="1">SUMIFS(rec.uni[2027-07-01],
INDIRECT("rec.uni[natureza]"),"pro.soluto",
INDIRECT("rec.uni[empresa]"),X$6)</f>
        <v>0</v>
      </c>
      <c r="Y81" s="49">
        <f ca="1">SUMIFS(rec.uni[2027-07-01],
INDIRECT("rec.uni[natureza]"),"taxa.extra",
INDIRECT("rec.uni[empresa]"),Y$6)</f>
        <v>0</v>
      </c>
      <c r="Z81" s="51"/>
      <c r="AA81" s="39"/>
      <c r="AB81" s="49">
        <f ca="1">SUMIFS(rec.uni[2027-07-01],
INDIRECT("rec.uni[natureza]"),"pro.soluto",
INDIRECT("rec.uni[empresa]"),AB$6)</f>
        <v>0</v>
      </c>
      <c r="AC81" s="51">
        <f ca="1">SUMIFS(rec.uni[2027-07-01],
INDIRECT("rec.uni[natureza]"),"parcela.fin.total.ik",
INDIRECT("rec.uni[empresa]"),AC$6)</f>
        <v>0</v>
      </c>
      <c r="AD81" s="49">
        <f ca="1">SUMIFS(rec.uni[2027-07-01],
INDIRECT("rec.uni[natureza]"),"taxa.extra",
INDIRECT("rec.uni[empresa]"),AD$6)</f>
        <v>0</v>
      </c>
      <c r="AE81" s="51"/>
      <c r="AF81" s="48"/>
      <c r="AG81" s="49">
        <f ca="1">SUMIFS(rec.uni[2027-07-01],
INDIRECT("rec.uni[natureza]"),"pro.soluto",
INDIRECT("rec.uni[empresa]"),AG$6)</f>
        <v>0</v>
      </c>
      <c r="AH81" s="38"/>
      <c r="AI81" s="51"/>
      <c r="AJ81" s="51"/>
      <c r="AK81" s="49">
        <f ca="1">SUMIFS(rec.uni[2027-07-01],
INDIRECT("rec.uni[natureza]"),"taxa.extra",
INDIRECT("rec.uni[empresa]"),AK$6)</f>
        <v>0</v>
      </c>
      <c r="AL81" s="51"/>
      <c r="AM81" s="39"/>
      <c r="AN81" s="49">
        <f ca="1">SUMIFS(rec.uni[2027-07-01],
INDIRECT("rec.uni[natureza]"),"pro.soluto",
INDIRECT("rec.uni[empresa]"),AN$6)</f>
        <v>0</v>
      </c>
      <c r="AO81" s="49">
        <f ca="1">SUMIFS(rec.uni[2027-07-01],
INDIRECT("rec.uni[natureza]"),"taxa.extra",
INDIRECT("rec.uni[empresa]"),AO$6)</f>
        <v>0</v>
      </c>
      <c r="AP81" s="143"/>
    </row>
    <row r="82" spans="1:42" x14ac:dyDescent="0.25">
      <c r="A82" s="47">
        <v>46600</v>
      </c>
      <c r="B82" s="39"/>
      <c r="C82" s="49">
        <f ca="1">SUMIFS(rec.uni[2027-08-01],
INDIRECT("rec.uni[natureza]"),"pro.soluto",
INDIRECT("rec.uni[empresa]"),C$6)</f>
        <v>0</v>
      </c>
      <c r="D82" s="38"/>
      <c r="E82" s="51"/>
      <c r="F82" s="51"/>
      <c r="G82" s="49">
        <f ca="1">SUMIFS(rec.uni[2027-08-01],
INDIRECT("rec.uni[natureza]"),"taxa.extra",
INDIRECT("rec.uni[empresa]"),G$6)</f>
        <v>0</v>
      </c>
      <c r="H82" s="51"/>
      <c r="I82" s="39"/>
      <c r="J82" s="49">
        <f ca="1">SUMIFS(rec.uni[2027-08-01],
INDIRECT("rec.uni[natureza]"),"pro.soluto",
INDIRECT("rec.uni[empresa]"),J$6)</f>
        <v>0</v>
      </c>
      <c r="K82" s="38"/>
      <c r="L82" s="51"/>
      <c r="M82" s="51"/>
      <c r="N82" s="49">
        <f ca="1">SUMIFS(rec.uni[2027-08-01],
INDIRECT("rec.uni[natureza]"),"taxa.extra",
INDIRECT("rec.uni[empresa]"),N$6)</f>
        <v>0</v>
      </c>
      <c r="O82" s="51"/>
      <c r="P82" s="39"/>
      <c r="Q82" s="49">
        <f ca="1">SUMIFS(rec.uni[2027-08-01],
INDIRECT("rec.uni[natureza]"),"pro.soluto",
INDIRECT("rec.uni[empresa]"),Q$6)</f>
        <v>0</v>
      </c>
      <c r="R82" s="38"/>
      <c r="S82" s="51"/>
      <c r="T82" s="51"/>
      <c r="U82" s="49">
        <f ca="1">SUMIFS(rec.uni[2027-08-01],
INDIRECT("rec.uni[natureza]"),"taxa.extra",
INDIRECT("rec.uni[empresa]"),U$6)</f>
        <v>0</v>
      </c>
      <c r="V82" s="51"/>
      <c r="W82" s="39"/>
      <c r="X82" s="49">
        <f ca="1">SUMIFS(rec.uni[2027-08-01],
INDIRECT("rec.uni[natureza]"),"pro.soluto",
INDIRECT("rec.uni[empresa]"),X$6)</f>
        <v>0</v>
      </c>
      <c r="Y82" s="49">
        <f ca="1">SUMIFS(rec.uni[2027-08-01],
INDIRECT("rec.uni[natureza]"),"taxa.extra",
INDIRECT("rec.uni[empresa]"),Y$6)</f>
        <v>0</v>
      </c>
      <c r="Z82" s="51"/>
      <c r="AA82" s="39"/>
      <c r="AB82" s="49">
        <f ca="1">SUMIFS(rec.uni[2027-08-01],
INDIRECT("rec.uni[natureza]"),"pro.soluto",
INDIRECT("rec.uni[empresa]"),AB$6)</f>
        <v>0</v>
      </c>
      <c r="AC82" s="51">
        <f ca="1">SUMIFS(rec.uni[2027-08-01],
INDIRECT("rec.uni[natureza]"),"parcela.fin.total.ik",
INDIRECT("rec.uni[empresa]"),AC$6)</f>
        <v>0</v>
      </c>
      <c r="AD82" s="49">
        <f ca="1">SUMIFS(rec.uni[2027-08-01],
INDIRECT("rec.uni[natureza]"),"taxa.extra",
INDIRECT("rec.uni[empresa]"),AD$6)</f>
        <v>0</v>
      </c>
      <c r="AE82" s="51"/>
      <c r="AF82" s="48"/>
      <c r="AG82" s="49">
        <f ca="1">SUMIFS(rec.uni[2027-08-01],
INDIRECT("rec.uni[natureza]"),"pro.soluto",
INDIRECT("rec.uni[empresa]"),AG$6)</f>
        <v>0</v>
      </c>
      <c r="AH82" s="38"/>
      <c r="AI82" s="51"/>
      <c r="AJ82" s="51"/>
      <c r="AK82" s="49">
        <f ca="1">SUMIFS(rec.uni[2027-08-01],
INDIRECT("rec.uni[natureza]"),"taxa.extra",
INDIRECT("rec.uni[empresa]"),AK$6)</f>
        <v>0</v>
      </c>
      <c r="AL82" s="51"/>
      <c r="AM82" s="39"/>
      <c r="AN82" s="49">
        <f ca="1">SUMIFS(rec.uni[2027-08-01],
INDIRECT("rec.uni[natureza]"),"pro.soluto",
INDIRECT("rec.uni[empresa]"),AN$6)</f>
        <v>0</v>
      </c>
      <c r="AO82" s="49">
        <f ca="1">SUMIFS(rec.uni[2027-08-01],
INDIRECT("rec.uni[natureza]"),"taxa.extra",
INDIRECT("rec.uni[empresa]"),AO$6)</f>
        <v>0</v>
      </c>
      <c r="AP82" s="143"/>
    </row>
    <row r="83" spans="1:42" x14ac:dyDescent="0.25">
      <c r="A83" s="47">
        <v>46631</v>
      </c>
      <c r="B83" s="39"/>
      <c r="C83" s="49">
        <f ca="1">SUMIFS(rec.uni[2027-09-01],
INDIRECT("rec.uni[natureza]"),"pro.soluto",
INDIRECT("rec.uni[empresa]"),C$6)</f>
        <v>0</v>
      </c>
      <c r="D83" s="38"/>
      <c r="E83" s="51"/>
      <c r="F83" s="51"/>
      <c r="G83" s="49">
        <f ca="1">SUMIFS(rec.uni[2027-09-01],
INDIRECT("rec.uni[natureza]"),"taxa.extra",
INDIRECT("rec.uni[empresa]"),G$6)</f>
        <v>0</v>
      </c>
      <c r="H83" s="51"/>
      <c r="I83" s="39"/>
      <c r="J83" s="49">
        <f ca="1">SUMIFS(rec.uni[2027-09-01],
INDIRECT("rec.uni[natureza]"),"pro.soluto",
INDIRECT("rec.uni[empresa]"),J$6)</f>
        <v>0</v>
      </c>
      <c r="K83" s="38"/>
      <c r="L83" s="51"/>
      <c r="M83" s="51"/>
      <c r="N83" s="49">
        <f ca="1">SUMIFS(rec.uni[2027-09-01],
INDIRECT("rec.uni[natureza]"),"taxa.extra",
INDIRECT("rec.uni[empresa]"),N$6)</f>
        <v>0</v>
      </c>
      <c r="O83" s="51"/>
      <c r="P83" s="39"/>
      <c r="Q83" s="49">
        <f ca="1">SUMIFS(rec.uni[2027-09-01],
INDIRECT("rec.uni[natureza]"),"pro.soluto",
INDIRECT("rec.uni[empresa]"),Q$6)</f>
        <v>0</v>
      </c>
      <c r="R83" s="38"/>
      <c r="S83" s="51"/>
      <c r="T83" s="51"/>
      <c r="U83" s="49">
        <f ca="1">SUMIFS(rec.uni[2027-09-01],
INDIRECT("rec.uni[natureza]"),"taxa.extra",
INDIRECT("rec.uni[empresa]"),U$6)</f>
        <v>0</v>
      </c>
      <c r="V83" s="51"/>
      <c r="W83" s="39"/>
      <c r="X83" s="49">
        <f ca="1">SUMIFS(rec.uni[2027-09-01],
INDIRECT("rec.uni[natureza]"),"pro.soluto",
INDIRECT("rec.uni[empresa]"),X$6)</f>
        <v>0</v>
      </c>
      <c r="Y83" s="49">
        <f ca="1">SUMIFS(rec.uni[2027-09-01],
INDIRECT("rec.uni[natureza]"),"taxa.extra",
INDIRECT("rec.uni[empresa]"),Y$6)</f>
        <v>0</v>
      </c>
      <c r="Z83" s="51"/>
      <c r="AA83" s="39"/>
      <c r="AB83" s="49">
        <f ca="1">SUMIFS(rec.uni[2027-09-01],
INDIRECT("rec.uni[natureza]"),"pro.soluto",
INDIRECT("rec.uni[empresa]"),AB$6)</f>
        <v>0</v>
      </c>
      <c r="AC83" s="51">
        <f ca="1">SUMIFS(rec.uni[2027-09-01],
INDIRECT("rec.uni[natureza]"),"parcela.fin.total.ik",
INDIRECT("rec.uni[empresa]"),AC$6)</f>
        <v>0</v>
      </c>
      <c r="AD83" s="49">
        <f ca="1">SUMIFS(rec.uni[2027-09-01],
INDIRECT("rec.uni[natureza]"),"taxa.extra",
INDIRECT("rec.uni[empresa]"),AD$6)</f>
        <v>0</v>
      </c>
      <c r="AE83" s="51"/>
      <c r="AF83" s="48"/>
      <c r="AG83" s="49">
        <f ca="1">SUMIFS(rec.uni[2027-09-01],
INDIRECT("rec.uni[natureza]"),"pro.soluto",
INDIRECT("rec.uni[empresa]"),AG$6)</f>
        <v>0</v>
      </c>
      <c r="AH83" s="38"/>
      <c r="AI83" s="51"/>
      <c r="AJ83" s="51"/>
      <c r="AK83" s="49">
        <f ca="1">SUMIFS(rec.uni[2027-09-01],
INDIRECT("rec.uni[natureza]"),"taxa.extra",
INDIRECT("rec.uni[empresa]"),AK$6)</f>
        <v>0</v>
      </c>
      <c r="AL83" s="51"/>
      <c r="AM83" s="39"/>
      <c r="AN83" s="49">
        <f ca="1">SUMIFS(rec.uni[2027-09-01],
INDIRECT("rec.uni[natureza]"),"pro.soluto",
INDIRECT("rec.uni[empresa]"),AN$6)</f>
        <v>0</v>
      </c>
      <c r="AO83" s="49">
        <f ca="1">SUMIFS(rec.uni[2027-09-01],
INDIRECT("rec.uni[natureza]"),"taxa.extra",
INDIRECT("rec.uni[empresa]"),AO$6)</f>
        <v>0</v>
      </c>
      <c r="AP83" s="143"/>
    </row>
    <row r="84" spans="1:42" x14ac:dyDescent="0.25">
      <c r="A84" s="47">
        <v>46661</v>
      </c>
      <c r="B84" s="39"/>
      <c r="C84" s="49">
        <f ca="1">SUMIFS(rec.uni[2027-10-01],
INDIRECT("rec.uni[natureza]"),"pro.soluto",
INDIRECT("rec.uni[empresa]"),C$6)</f>
        <v>0</v>
      </c>
      <c r="D84" s="38"/>
      <c r="E84" s="51"/>
      <c r="F84" s="51"/>
      <c r="G84" s="49">
        <f ca="1">SUMIFS(rec.uni[2027-10-01],
INDIRECT("rec.uni[natureza]"),"taxa.extra",
INDIRECT("rec.uni[empresa]"),G$6)</f>
        <v>0</v>
      </c>
      <c r="H84" s="51"/>
      <c r="I84" s="39"/>
      <c r="J84" s="49">
        <f ca="1">SUMIFS(rec.uni[2027-10-01],
INDIRECT("rec.uni[natureza]"),"pro.soluto",
INDIRECT("rec.uni[empresa]"),J$6)</f>
        <v>0</v>
      </c>
      <c r="K84" s="38"/>
      <c r="L84" s="51"/>
      <c r="M84" s="51"/>
      <c r="N84" s="49">
        <f ca="1">SUMIFS(rec.uni[2027-10-01],
INDIRECT("rec.uni[natureza]"),"taxa.extra",
INDIRECT("rec.uni[empresa]"),N$6)</f>
        <v>0</v>
      </c>
      <c r="O84" s="51"/>
      <c r="P84" s="39"/>
      <c r="Q84" s="49">
        <f ca="1">SUMIFS(rec.uni[2027-10-01],
INDIRECT("rec.uni[natureza]"),"pro.soluto",
INDIRECT("rec.uni[empresa]"),Q$6)</f>
        <v>0</v>
      </c>
      <c r="R84" s="38"/>
      <c r="S84" s="51"/>
      <c r="T84" s="51"/>
      <c r="U84" s="49">
        <f ca="1">SUMIFS(rec.uni[2027-10-01],
INDIRECT("rec.uni[natureza]"),"taxa.extra",
INDIRECT("rec.uni[empresa]"),U$6)</f>
        <v>0</v>
      </c>
      <c r="V84" s="51"/>
      <c r="W84" s="39"/>
      <c r="X84" s="49">
        <f ca="1">SUMIFS(rec.uni[2027-10-01],
INDIRECT("rec.uni[natureza]"),"pro.soluto",
INDIRECT("rec.uni[empresa]"),X$6)</f>
        <v>0</v>
      </c>
      <c r="Y84" s="49">
        <f ca="1">SUMIFS(rec.uni[2027-10-01],
INDIRECT("rec.uni[natureza]"),"taxa.extra",
INDIRECT("rec.uni[empresa]"),Y$6)</f>
        <v>0</v>
      </c>
      <c r="Z84" s="51"/>
      <c r="AA84" s="39"/>
      <c r="AB84" s="49">
        <f ca="1">SUMIFS(rec.uni[2027-10-01],
INDIRECT("rec.uni[natureza]"),"pro.soluto",
INDIRECT("rec.uni[empresa]"),AB$6)</f>
        <v>0</v>
      </c>
      <c r="AC84" s="51">
        <f ca="1">SUMIFS(rec.uni[2027-10-01],
INDIRECT("rec.uni[natureza]"),"parcela.fin.total.ik",
INDIRECT("rec.uni[empresa]"),AC$6)</f>
        <v>0</v>
      </c>
      <c r="AD84" s="49">
        <f ca="1">SUMIFS(rec.uni[2027-10-01],
INDIRECT("rec.uni[natureza]"),"taxa.extra",
INDIRECT("rec.uni[empresa]"),AD$6)</f>
        <v>0</v>
      </c>
      <c r="AE84" s="51"/>
      <c r="AF84" s="48"/>
      <c r="AG84" s="49">
        <f ca="1">SUMIFS(rec.uni[2027-10-01],
INDIRECT("rec.uni[natureza]"),"pro.soluto",
INDIRECT("rec.uni[empresa]"),AG$6)</f>
        <v>0</v>
      </c>
      <c r="AH84" s="38"/>
      <c r="AI84" s="51"/>
      <c r="AJ84" s="51"/>
      <c r="AK84" s="49">
        <f ca="1">SUMIFS(rec.uni[2027-10-01],
INDIRECT("rec.uni[natureza]"),"taxa.extra",
INDIRECT("rec.uni[empresa]"),AK$6)</f>
        <v>0</v>
      </c>
      <c r="AL84" s="51"/>
      <c r="AM84" s="39"/>
      <c r="AN84" s="49">
        <f ca="1">SUMIFS(rec.uni[2027-10-01],
INDIRECT("rec.uni[natureza]"),"pro.soluto",
INDIRECT("rec.uni[empresa]"),AN$6)</f>
        <v>0</v>
      </c>
      <c r="AO84" s="49">
        <f ca="1">SUMIFS(rec.uni[2027-10-01],
INDIRECT("rec.uni[natureza]"),"taxa.extra",
INDIRECT("rec.uni[empresa]"),AO$6)</f>
        <v>0</v>
      </c>
      <c r="AP84" s="143"/>
    </row>
    <row r="85" spans="1:42" x14ac:dyDescent="0.25">
      <c r="A85" s="47">
        <v>46692</v>
      </c>
      <c r="B85" s="39"/>
      <c r="C85" s="49">
        <f ca="1">SUMIFS(rec.uni[2027-11-01],
INDIRECT("rec.uni[natureza]"),"pro.soluto",
INDIRECT("rec.uni[empresa]"),C$6)</f>
        <v>0</v>
      </c>
      <c r="D85" s="38"/>
      <c r="E85" s="51"/>
      <c r="F85" s="51"/>
      <c r="G85" s="49">
        <f ca="1">SUMIFS(rec.uni[2027-11-01],
INDIRECT("rec.uni[natureza]"),"taxa.extra",
INDIRECT("rec.uni[empresa]"),G$6)</f>
        <v>0</v>
      </c>
      <c r="H85" s="51"/>
      <c r="I85" s="39"/>
      <c r="J85" s="49">
        <f ca="1">SUMIFS(rec.uni[2027-11-01],
INDIRECT("rec.uni[natureza]"),"pro.soluto",
INDIRECT("rec.uni[empresa]"),J$6)</f>
        <v>0</v>
      </c>
      <c r="K85" s="38"/>
      <c r="L85" s="51"/>
      <c r="M85" s="51"/>
      <c r="N85" s="49">
        <f ca="1">SUMIFS(rec.uni[2027-11-01],
INDIRECT("rec.uni[natureza]"),"taxa.extra",
INDIRECT("rec.uni[empresa]"),N$6)</f>
        <v>0</v>
      </c>
      <c r="O85" s="51"/>
      <c r="P85" s="39"/>
      <c r="Q85" s="49">
        <f ca="1">SUMIFS(rec.uni[2027-11-01],
INDIRECT("rec.uni[natureza]"),"pro.soluto",
INDIRECT("rec.uni[empresa]"),Q$6)</f>
        <v>0</v>
      </c>
      <c r="R85" s="38"/>
      <c r="S85" s="51"/>
      <c r="T85" s="51"/>
      <c r="U85" s="49">
        <f ca="1">SUMIFS(rec.uni[2027-11-01],
INDIRECT("rec.uni[natureza]"),"taxa.extra",
INDIRECT("rec.uni[empresa]"),U$6)</f>
        <v>0</v>
      </c>
      <c r="V85" s="51"/>
      <c r="W85" s="39"/>
      <c r="X85" s="49">
        <f ca="1">SUMIFS(rec.uni[2027-11-01],
INDIRECT("rec.uni[natureza]"),"pro.soluto",
INDIRECT("rec.uni[empresa]"),X$6)</f>
        <v>0</v>
      </c>
      <c r="Y85" s="49">
        <f ca="1">SUMIFS(rec.uni[2027-11-01],
INDIRECT("rec.uni[natureza]"),"taxa.extra",
INDIRECT("rec.uni[empresa]"),Y$6)</f>
        <v>0</v>
      </c>
      <c r="Z85" s="51"/>
      <c r="AA85" s="39"/>
      <c r="AB85" s="49">
        <f ca="1">SUMIFS(rec.uni[2027-11-01],
INDIRECT("rec.uni[natureza]"),"pro.soluto",
INDIRECT("rec.uni[empresa]"),AB$6)</f>
        <v>0</v>
      </c>
      <c r="AC85" s="51">
        <f ca="1">SUMIFS(rec.uni[2027-11-01],
INDIRECT("rec.uni[natureza]"),"parcela.fin.total.ik",
INDIRECT("rec.uni[empresa]"),AC$6)</f>
        <v>0</v>
      </c>
      <c r="AD85" s="49">
        <f ca="1">SUMIFS(rec.uni[2027-11-01],
INDIRECT("rec.uni[natureza]"),"taxa.extra",
INDIRECT("rec.uni[empresa]"),AD$6)</f>
        <v>0</v>
      </c>
      <c r="AE85" s="51"/>
      <c r="AF85" s="48"/>
      <c r="AG85" s="49">
        <f ca="1">SUMIFS(rec.uni[2027-11-01],
INDIRECT("rec.uni[natureza]"),"pro.soluto",
INDIRECT("rec.uni[empresa]"),AG$6)</f>
        <v>0</v>
      </c>
      <c r="AH85" s="38"/>
      <c r="AI85" s="51"/>
      <c r="AJ85" s="51"/>
      <c r="AK85" s="49">
        <f ca="1">SUMIFS(rec.uni[2027-11-01],
INDIRECT("rec.uni[natureza]"),"taxa.extra",
INDIRECT("rec.uni[empresa]"),AK$6)</f>
        <v>0</v>
      </c>
      <c r="AL85" s="51"/>
      <c r="AM85" s="39"/>
      <c r="AN85" s="49">
        <f ca="1">SUMIFS(rec.uni[2027-11-01],
INDIRECT("rec.uni[natureza]"),"pro.soluto",
INDIRECT("rec.uni[empresa]"),AN$6)</f>
        <v>0</v>
      </c>
      <c r="AO85" s="49">
        <f ca="1">SUMIFS(rec.uni[2027-11-01],
INDIRECT("rec.uni[natureza]"),"taxa.extra",
INDIRECT("rec.uni[empresa]"),AO$6)</f>
        <v>0</v>
      </c>
      <c r="AP85" s="143"/>
    </row>
    <row r="86" spans="1:42" x14ac:dyDescent="0.25">
      <c r="A86" s="47">
        <v>46722</v>
      </c>
      <c r="B86" s="39"/>
      <c r="C86" s="49">
        <f ca="1">SUMIFS(rec.uni[2027-12-01],
INDIRECT("rec.uni[natureza]"),"pro.soluto",
INDIRECT("rec.uni[empresa]"),C$6)</f>
        <v>0</v>
      </c>
      <c r="D86" s="38"/>
      <c r="E86" s="51"/>
      <c r="F86" s="51"/>
      <c r="G86" s="49">
        <f ca="1">SUMIFS(rec.uni[2027-12-01],
INDIRECT("rec.uni[natureza]"),"taxa.extra",
INDIRECT("rec.uni[empresa]"),G$6)</f>
        <v>0</v>
      </c>
      <c r="H86" s="51"/>
      <c r="I86" s="39"/>
      <c r="J86" s="49">
        <f ca="1">SUMIFS(rec.uni[2027-12-01],
INDIRECT("rec.uni[natureza]"),"pro.soluto",
INDIRECT("rec.uni[empresa]"),J$6)</f>
        <v>0</v>
      </c>
      <c r="K86" s="38"/>
      <c r="L86" s="51"/>
      <c r="M86" s="51"/>
      <c r="N86" s="49">
        <f ca="1">SUMIFS(rec.uni[2027-12-01],
INDIRECT("rec.uni[natureza]"),"taxa.extra",
INDIRECT("rec.uni[empresa]"),N$6)</f>
        <v>0</v>
      </c>
      <c r="O86" s="51"/>
      <c r="P86" s="39"/>
      <c r="Q86" s="49">
        <f ca="1">SUMIFS(rec.uni[2027-12-01],
INDIRECT("rec.uni[natureza]"),"pro.soluto",
INDIRECT("rec.uni[empresa]"),Q$6)</f>
        <v>0</v>
      </c>
      <c r="R86" s="38"/>
      <c r="S86" s="51"/>
      <c r="T86" s="51"/>
      <c r="U86" s="49">
        <f ca="1">SUMIFS(rec.uni[2027-12-01],
INDIRECT("rec.uni[natureza]"),"taxa.extra",
INDIRECT("rec.uni[empresa]"),U$6)</f>
        <v>0</v>
      </c>
      <c r="V86" s="51"/>
      <c r="W86" s="39"/>
      <c r="X86" s="49">
        <f ca="1">SUMIFS(rec.uni[2027-12-01],
INDIRECT("rec.uni[natureza]"),"pro.soluto",
INDIRECT("rec.uni[empresa]"),X$6)</f>
        <v>0</v>
      </c>
      <c r="Y86" s="49">
        <f ca="1">SUMIFS(rec.uni[2027-12-01],
INDIRECT("rec.uni[natureza]"),"taxa.extra",
INDIRECT("rec.uni[empresa]"),Y$6)</f>
        <v>0</v>
      </c>
      <c r="Z86" s="51"/>
      <c r="AA86" s="39"/>
      <c r="AB86" s="49">
        <f ca="1">SUMIFS(rec.uni[2027-12-01],
INDIRECT("rec.uni[natureza]"),"pro.soluto",
INDIRECT("rec.uni[empresa]"),AB$6)</f>
        <v>0</v>
      </c>
      <c r="AC86" s="51">
        <f ca="1">SUMIFS(rec.uni[2027-12-01],
INDIRECT("rec.uni[natureza]"),"parcela.fin.total.ik",
INDIRECT("rec.uni[empresa]"),AC$6)</f>
        <v>0</v>
      </c>
      <c r="AD86" s="49">
        <f ca="1">SUMIFS(rec.uni[2027-12-01],
INDIRECT("rec.uni[natureza]"),"taxa.extra",
INDIRECT("rec.uni[empresa]"),AD$6)</f>
        <v>0</v>
      </c>
      <c r="AE86" s="51"/>
      <c r="AF86" s="48"/>
      <c r="AG86" s="49">
        <f ca="1">SUMIFS(rec.uni[2027-12-01],
INDIRECT("rec.uni[natureza]"),"pro.soluto",
INDIRECT("rec.uni[empresa]"),AG$6)</f>
        <v>0</v>
      </c>
      <c r="AH86" s="38"/>
      <c r="AI86" s="51"/>
      <c r="AJ86" s="51"/>
      <c r="AK86" s="49">
        <f ca="1">SUMIFS(rec.uni[2027-12-01],
INDIRECT("rec.uni[natureza]"),"taxa.extra",
INDIRECT("rec.uni[empresa]"),AK$6)</f>
        <v>0</v>
      </c>
      <c r="AL86" s="51"/>
      <c r="AM86" s="39"/>
      <c r="AN86" s="49">
        <f ca="1">SUMIFS(rec.uni[2027-12-01],
INDIRECT("rec.uni[natureza]"),"pro.soluto",
INDIRECT("rec.uni[empresa]"),AN$6)</f>
        <v>0</v>
      </c>
      <c r="AO86" s="49">
        <f ca="1">SUMIFS(rec.uni[2027-12-01],
INDIRECT("rec.uni[natureza]"),"taxa.extra",
INDIRECT("rec.uni[empresa]"),AO$6)</f>
        <v>0</v>
      </c>
      <c r="AP86" s="143"/>
    </row>
    <row r="87" spans="1:42" x14ac:dyDescent="0.25">
      <c r="A87" s="47">
        <v>46753</v>
      </c>
      <c r="B87" s="39"/>
      <c r="C87" s="49">
        <f ca="1">SUMIFS(rec.uni[2028-01-01],
INDIRECT("rec.uni[natureza]"),"pro.soluto",
INDIRECT("rec.uni[empresa]"),C$6)</f>
        <v>0</v>
      </c>
      <c r="D87" s="38"/>
      <c r="E87" s="51"/>
      <c r="F87" s="51"/>
      <c r="G87" s="49">
        <f ca="1">SUMIFS(rec.uni[2028-01-01],
INDIRECT("rec.uni[natureza]"),"taxa.extra",
INDIRECT("rec.uni[empresa]"),G$6)</f>
        <v>0</v>
      </c>
      <c r="H87" s="51"/>
      <c r="I87" s="39"/>
      <c r="J87" s="49">
        <f ca="1">SUMIFS(rec.uni[2028-01-01],
INDIRECT("rec.uni[natureza]"),"pro.soluto",
INDIRECT("rec.uni[empresa]"),J$6)</f>
        <v>0</v>
      </c>
      <c r="K87" s="38"/>
      <c r="L87" s="51"/>
      <c r="M87" s="51"/>
      <c r="N87" s="49">
        <f ca="1">SUMIFS(rec.uni[2028-01-01],
INDIRECT("rec.uni[natureza]"),"taxa.extra",
INDIRECT("rec.uni[empresa]"),N$6)</f>
        <v>0</v>
      </c>
      <c r="O87" s="51"/>
      <c r="P87" s="39"/>
      <c r="Q87" s="49">
        <f ca="1">SUMIFS(rec.uni[2028-01-01],
INDIRECT("rec.uni[natureza]"),"pro.soluto",
INDIRECT("rec.uni[empresa]"),Q$6)</f>
        <v>0</v>
      </c>
      <c r="R87" s="38"/>
      <c r="S87" s="51"/>
      <c r="T87" s="51"/>
      <c r="U87" s="49">
        <f ca="1">SUMIFS(rec.uni[2028-01-01],
INDIRECT("rec.uni[natureza]"),"taxa.extra",
INDIRECT("rec.uni[empresa]"),U$6)</f>
        <v>0</v>
      </c>
      <c r="V87" s="51"/>
      <c r="W87" s="39"/>
      <c r="X87" s="49">
        <f ca="1">SUMIFS(rec.uni[2028-01-01],
INDIRECT("rec.uni[natureza]"),"pro.soluto",
INDIRECT("rec.uni[empresa]"),X$6)</f>
        <v>0</v>
      </c>
      <c r="Y87" s="49">
        <f ca="1">SUMIFS(rec.uni[2028-01-01],
INDIRECT("rec.uni[natureza]"),"taxa.extra",
INDIRECT("rec.uni[empresa]"),Y$6)</f>
        <v>0</v>
      </c>
      <c r="Z87" s="51"/>
      <c r="AA87" s="39"/>
      <c r="AB87" s="49">
        <f ca="1">SUMIFS(rec.uni[2028-01-01],
INDIRECT("rec.uni[natureza]"),"pro.soluto",
INDIRECT("rec.uni[empresa]"),AB$6)</f>
        <v>0</v>
      </c>
      <c r="AC87" s="51">
        <f ca="1">SUMIFS(rec.uni[2028-01-01],
INDIRECT("rec.uni[natureza]"),"parcela.fin.total.ik",
INDIRECT("rec.uni[empresa]"),AC$6)</f>
        <v>0</v>
      </c>
      <c r="AD87" s="49">
        <f ca="1">SUMIFS(rec.uni[2028-01-01],
INDIRECT("rec.uni[natureza]"),"taxa.extra",
INDIRECT("rec.uni[empresa]"),AD$6)</f>
        <v>0</v>
      </c>
      <c r="AE87" s="51"/>
      <c r="AF87" s="48"/>
      <c r="AG87" s="49">
        <f ca="1">SUMIFS(rec.uni[2028-01-01],
INDIRECT("rec.uni[natureza]"),"pro.soluto",
INDIRECT("rec.uni[empresa]"),AG$6)</f>
        <v>0</v>
      </c>
      <c r="AH87" s="38"/>
      <c r="AI87" s="51"/>
      <c r="AJ87" s="51"/>
      <c r="AK87" s="49">
        <f ca="1">SUMIFS(rec.uni[2028-01-01],
INDIRECT("rec.uni[natureza]"),"taxa.extra",
INDIRECT("rec.uni[empresa]"),AK$6)</f>
        <v>0</v>
      </c>
      <c r="AL87" s="51"/>
      <c r="AM87" s="39"/>
      <c r="AN87" s="49">
        <f ca="1">SUMIFS(rec.uni[2028-01-01],
INDIRECT("rec.uni[natureza]"),"pro.soluto",
INDIRECT("rec.uni[empresa]"),AN$6)</f>
        <v>0</v>
      </c>
      <c r="AO87" s="49">
        <f ca="1">SUMIFS(rec.uni[2028-01-01],
INDIRECT("rec.uni[natureza]"),"taxa.extra",
INDIRECT("rec.uni[empresa]"),AO$6)</f>
        <v>0</v>
      </c>
      <c r="AP87" s="143"/>
    </row>
    <row r="88" spans="1:42" x14ac:dyDescent="0.25">
      <c r="A88" s="47">
        <v>46784</v>
      </c>
      <c r="B88" s="39"/>
      <c r="C88" s="49">
        <f ca="1">SUMIFS(rec.uni[2028-02-01],
INDIRECT("rec.uni[natureza]"),"pro.soluto",
INDIRECT("rec.uni[empresa]"),C$6)</f>
        <v>0</v>
      </c>
      <c r="D88" s="38"/>
      <c r="E88" s="51"/>
      <c r="F88" s="51"/>
      <c r="G88" s="49">
        <f ca="1">SUMIFS(rec.uni[2028-02-01],
INDIRECT("rec.uni[natureza]"),"taxa.extra",
INDIRECT("rec.uni[empresa]"),G$6)</f>
        <v>0</v>
      </c>
      <c r="H88" s="51"/>
      <c r="I88" s="39"/>
      <c r="J88" s="49">
        <f ca="1">SUMIFS(rec.uni[2028-02-01],
INDIRECT("rec.uni[natureza]"),"pro.soluto",
INDIRECT("rec.uni[empresa]"),J$6)</f>
        <v>0</v>
      </c>
      <c r="K88" s="38"/>
      <c r="L88" s="51"/>
      <c r="M88" s="51"/>
      <c r="N88" s="49">
        <f ca="1">SUMIFS(rec.uni[2028-02-01],
INDIRECT("rec.uni[natureza]"),"taxa.extra",
INDIRECT("rec.uni[empresa]"),N$6)</f>
        <v>0</v>
      </c>
      <c r="O88" s="51"/>
      <c r="P88" s="39"/>
      <c r="Q88" s="49">
        <f ca="1">SUMIFS(rec.uni[2028-02-01],
INDIRECT("rec.uni[natureza]"),"pro.soluto",
INDIRECT("rec.uni[empresa]"),Q$6)</f>
        <v>0</v>
      </c>
      <c r="R88" s="38"/>
      <c r="S88" s="51"/>
      <c r="T88" s="51"/>
      <c r="U88" s="49">
        <f ca="1">SUMIFS(rec.uni[2028-02-01],
INDIRECT("rec.uni[natureza]"),"taxa.extra",
INDIRECT("rec.uni[empresa]"),U$6)</f>
        <v>0</v>
      </c>
      <c r="V88" s="51"/>
      <c r="W88" s="39"/>
      <c r="X88" s="49">
        <f ca="1">SUMIFS(rec.uni[2028-02-01],
INDIRECT("rec.uni[natureza]"),"pro.soluto",
INDIRECT("rec.uni[empresa]"),X$6)</f>
        <v>0</v>
      </c>
      <c r="Y88" s="49">
        <f ca="1">SUMIFS(rec.uni[2028-02-01],
INDIRECT("rec.uni[natureza]"),"taxa.extra",
INDIRECT("rec.uni[empresa]"),Y$6)</f>
        <v>0</v>
      </c>
      <c r="Z88" s="51"/>
      <c r="AA88" s="39"/>
      <c r="AB88" s="49">
        <f ca="1">SUMIFS(rec.uni[2028-02-01],
INDIRECT("rec.uni[natureza]"),"pro.soluto",
INDIRECT("rec.uni[empresa]"),AB$6)</f>
        <v>0</v>
      </c>
      <c r="AC88" s="51">
        <f ca="1">SUMIFS(rec.uni[2028-02-01],
INDIRECT("rec.uni[natureza]"),"parcela.fin.total.ik",
INDIRECT("rec.uni[empresa]"),AC$6)</f>
        <v>0</v>
      </c>
      <c r="AD88" s="49">
        <f ca="1">SUMIFS(rec.uni[2028-02-01],
INDIRECT("rec.uni[natureza]"),"taxa.extra",
INDIRECT("rec.uni[empresa]"),AD$6)</f>
        <v>0</v>
      </c>
      <c r="AE88" s="51"/>
      <c r="AF88" s="48"/>
      <c r="AG88" s="49">
        <f ca="1">SUMIFS(rec.uni[2028-02-01],
INDIRECT("rec.uni[natureza]"),"pro.soluto",
INDIRECT("rec.uni[empresa]"),AG$6)</f>
        <v>0</v>
      </c>
      <c r="AH88" s="38"/>
      <c r="AI88" s="51"/>
      <c r="AJ88" s="51"/>
      <c r="AK88" s="49">
        <f ca="1">SUMIFS(rec.uni[2028-02-01],
INDIRECT("rec.uni[natureza]"),"taxa.extra",
INDIRECT("rec.uni[empresa]"),AK$6)</f>
        <v>0</v>
      </c>
      <c r="AL88" s="51"/>
      <c r="AM88" s="39"/>
      <c r="AN88" s="49">
        <f ca="1">SUMIFS(rec.uni[2028-02-01],
INDIRECT("rec.uni[natureza]"),"pro.soluto",
INDIRECT("rec.uni[empresa]"),AN$6)</f>
        <v>0</v>
      </c>
      <c r="AO88" s="49">
        <f ca="1">SUMIFS(rec.uni[2028-02-01],
INDIRECT("rec.uni[natureza]"),"taxa.extra",
INDIRECT("rec.uni[empresa]"),AO$6)</f>
        <v>0</v>
      </c>
      <c r="AP88" s="143"/>
    </row>
    <row r="89" spans="1:42" x14ac:dyDescent="0.25">
      <c r="A89" s="47">
        <v>46813</v>
      </c>
      <c r="B89" s="39"/>
      <c r="C89" s="49">
        <f ca="1">SUMIFS(rec.uni[2028-03-01],
INDIRECT("rec.uni[natureza]"),"pro.soluto",
INDIRECT("rec.uni[empresa]"),C$6)</f>
        <v>0</v>
      </c>
      <c r="D89" s="38"/>
      <c r="E89" s="51"/>
      <c r="F89" s="51"/>
      <c r="G89" s="49">
        <f ca="1">SUMIFS(rec.uni[2028-03-01],
INDIRECT("rec.uni[natureza]"),"taxa.extra",
INDIRECT("rec.uni[empresa]"),G$6)</f>
        <v>0</v>
      </c>
      <c r="H89" s="51"/>
      <c r="I89" s="39"/>
      <c r="J89" s="49">
        <f ca="1">SUMIFS(rec.uni[2028-03-01],
INDIRECT("rec.uni[natureza]"),"pro.soluto",
INDIRECT("rec.uni[empresa]"),J$6)</f>
        <v>0</v>
      </c>
      <c r="K89" s="38"/>
      <c r="L89" s="51"/>
      <c r="M89" s="51"/>
      <c r="N89" s="49">
        <f ca="1">SUMIFS(rec.uni[2028-03-01],
INDIRECT("rec.uni[natureza]"),"taxa.extra",
INDIRECT("rec.uni[empresa]"),N$6)</f>
        <v>0</v>
      </c>
      <c r="O89" s="51"/>
      <c r="P89" s="39"/>
      <c r="Q89" s="49">
        <f ca="1">SUMIFS(rec.uni[2028-03-01],
INDIRECT("rec.uni[natureza]"),"pro.soluto",
INDIRECT("rec.uni[empresa]"),Q$6)</f>
        <v>0</v>
      </c>
      <c r="R89" s="38"/>
      <c r="S89" s="51"/>
      <c r="T89" s="51"/>
      <c r="U89" s="49">
        <f ca="1">SUMIFS(rec.uni[2028-03-01],
INDIRECT("rec.uni[natureza]"),"taxa.extra",
INDIRECT("rec.uni[empresa]"),U$6)</f>
        <v>0</v>
      </c>
      <c r="V89" s="51"/>
      <c r="W89" s="39"/>
      <c r="X89" s="49">
        <f ca="1">SUMIFS(rec.uni[2028-03-01],
INDIRECT("rec.uni[natureza]"),"pro.soluto",
INDIRECT("rec.uni[empresa]"),X$6)</f>
        <v>0</v>
      </c>
      <c r="Y89" s="49">
        <f ca="1">SUMIFS(rec.uni[2028-03-01],
INDIRECT("rec.uni[natureza]"),"taxa.extra",
INDIRECT("rec.uni[empresa]"),Y$6)</f>
        <v>0</v>
      </c>
      <c r="Z89" s="51"/>
      <c r="AA89" s="39"/>
      <c r="AB89" s="49">
        <f ca="1">SUMIFS(rec.uni[2028-03-01],
INDIRECT("rec.uni[natureza]"),"pro.soluto",
INDIRECT("rec.uni[empresa]"),AB$6)</f>
        <v>0</v>
      </c>
      <c r="AC89" s="51">
        <f ca="1">SUMIFS(rec.uni[2028-03-01],
INDIRECT("rec.uni[natureza]"),"parcela.fin.total.ik",
INDIRECT("rec.uni[empresa]"),AC$6)</f>
        <v>0</v>
      </c>
      <c r="AD89" s="49">
        <f ca="1">SUMIFS(rec.uni[2028-03-01],
INDIRECT("rec.uni[natureza]"),"taxa.extra",
INDIRECT("rec.uni[empresa]"),AD$6)</f>
        <v>0</v>
      </c>
      <c r="AE89" s="51"/>
      <c r="AF89" s="48"/>
      <c r="AG89" s="49">
        <f ca="1">SUMIFS(rec.uni[2028-03-01],
INDIRECT("rec.uni[natureza]"),"pro.soluto",
INDIRECT("rec.uni[empresa]"),AG$6)</f>
        <v>0</v>
      </c>
      <c r="AH89" s="38"/>
      <c r="AI89" s="51"/>
      <c r="AJ89" s="51"/>
      <c r="AK89" s="49">
        <f ca="1">SUMIFS(rec.uni[2028-03-01],
INDIRECT("rec.uni[natureza]"),"taxa.extra",
INDIRECT("rec.uni[empresa]"),AK$6)</f>
        <v>0</v>
      </c>
      <c r="AL89" s="51"/>
      <c r="AM89" s="39"/>
      <c r="AN89" s="49">
        <f ca="1">SUMIFS(rec.uni[2028-03-01],
INDIRECT("rec.uni[natureza]"),"pro.soluto",
INDIRECT("rec.uni[empresa]"),AN$6)</f>
        <v>0</v>
      </c>
      <c r="AO89" s="49">
        <f ca="1">SUMIFS(rec.uni[2028-03-01],
INDIRECT("rec.uni[natureza]"),"taxa.extra",
INDIRECT("rec.uni[empresa]"),AO$6)</f>
        <v>0</v>
      </c>
      <c r="AP89" s="143"/>
    </row>
    <row r="90" spans="1:42" x14ac:dyDescent="0.25">
      <c r="A90" s="47">
        <v>46844</v>
      </c>
      <c r="B90" s="39"/>
      <c r="C90" s="49">
        <f ca="1">SUMIFS(rec.uni[2028-04-01],
INDIRECT("rec.uni[natureza]"),"pro.soluto",
INDIRECT("rec.uni[empresa]"),C$6)</f>
        <v>0</v>
      </c>
      <c r="D90" s="38"/>
      <c r="E90" s="51"/>
      <c r="F90" s="51"/>
      <c r="G90" s="49">
        <f ca="1">SUMIFS(rec.uni[2028-04-01],
INDIRECT("rec.uni[natureza]"),"taxa.extra",
INDIRECT("rec.uni[empresa]"),G$6)</f>
        <v>0</v>
      </c>
      <c r="H90" s="51"/>
      <c r="I90" s="39"/>
      <c r="J90" s="49">
        <f ca="1">SUMIFS(rec.uni[2028-04-01],
INDIRECT("rec.uni[natureza]"),"pro.soluto",
INDIRECT("rec.uni[empresa]"),J$6)</f>
        <v>0</v>
      </c>
      <c r="K90" s="38"/>
      <c r="L90" s="51"/>
      <c r="M90" s="51"/>
      <c r="N90" s="49">
        <f ca="1">SUMIFS(rec.uni[2028-04-01],
INDIRECT("rec.uni[natureza]"),"taxa.extra",
INDIRECT("rec.uni[empresa]"),N$6)</f>
        <v>0</v>
      </c>
      <c r="O90" s="51"/>
      <c r="P90" s="39"/>
      <c r="Q90" s="49">
        <f ca="1">SUMIFS(rec.uni[2028-04-01],
INDIRECT("rec.uni[natureza]"),"pro.soluto",
INDIRECT("rec.uni[empresa]"),Q$6)</f>
        <v>0</v>
      </c>
      <c r="R90" s="38"/>
      <c r="S90" s="51"/>
      <c r="T90" s="51"/>
      <c r="U90" s="49">
        <f ca="1">SUMIFS(rec.uni[2028-04-01],
INDIRECT("rec.uni[natureza]"),"taxa.extra",
INDIRECT("rec.uni[empresa]"),U$6)</f>
        <v>0</v>
      </c>
      <c r="V90" s="51"/>
      <c r="W90" s="39"/>
      <c r="X90" s="49">
        <f ca="1">SUMIFS(rec.uni[2028-04-01],
INDIRECT("rec.uni[natureza]"),"pro.soluto",
INDIRECT("rec.uni[empresa]"),X$6)</f>
        <v>0</v>
      </c>
      <c r="Y90" s="49">
        <f ca="1">SUMIFS(rec.uni[2028-04-01],
INDIRECT("rec.uni[natureza]"),"taxa.extra",
INDIRECT("rec.uni[empresa]"),Y$6)</f>
        <v>0</v>
      </c>
      <c r="Z90" s="51"/>
      <c r="AA90" s="39"/>
      <c r="AB90" s="49">
        <f ca="1">SUMIFS(rec.uni[2028-04-01],
INDIRECT("rec.uni[natureza]"),"pro.soluto",
INDIRECT("rec.uni[empresa]"),AB$6)</f>
        <v>0</v>
      </c>
      <c r="AC90" s="51">
        <f ca="1">SUMIFS(rec.uni[2028-04-01],
INDIRECT("rec.uni[natureza]"),"parcela.fin.total.ik",
INDIRECT("rec.uni[empresa]"),AC$6)</f>
        <v>0</v>
      </c>
      <c r="AD90" s="49">
        <f ca="1">SUMIFS(rec.uni[2028-04-01],
INDIRECT("rec.uni[natureza]"),"taxa.extra",
INDIRECT("rec.uni[empresa]"),AD$6)</f>
        <v>0</v>
      </c>
      <c r="AE90" s="51"/>
      <c r="AF90" s="48"/>
      <c r="AG90" s="49">
        <f ca="1">SUMIFS(rec.uni[2028-04-01],
INDIRECT("rec.uni[natureza]"),"pro.soluto",
INDIRECT("rec.uni[empresa]"),AG$6)</f>
        <v>0</v>
      </c>
      <c r="AH90" s="38"/>
      <c r="AI90" s="51"/>
      <c r="AJ90" s="51"/>
      <c r="AK90" s="49">
        <f ca="1">SUMIFS(rec.uni[2028-04-01],
INDIRECT("rec.uni[natureza]"),"taxa.extra",
INDIRECT("rec.uni[empresa]"),AK$6)</f>
        <v>0</v>
      </c>
      <c r="AL90" s="51"/>
      <c r="AM90" s="39"/>
      <c r="AN90" s="49">
        <f ca="1">SUMIFS(rec.uni[2028-04-01],
INDIRECT("rec.uni[natureza]"),"pro.soluto",
INDIRECT("rec.uni[empresa]"),AN$6)</f>
        <v>0</v>
      </c>
      <c r="AO90" s="49">
        <f ca="1">SUMIFS(rec.uni[2028-04-01],
INDIRECT("rec.uni[natureza]"),"taxa.extra",
INDIRECT("rec.uni[empresa]"),AO$6)</f>
        <v>0</v>
      </c>
      <c r="AP90" s="143"/>
    </row>
    <row r="91" spans="1:42" x14ac:dyDescent="0.25">
      <c r="A91" s="47">
        <v>46874</v>
      </c>
      <c r="B91" s="39"/>
      <c r="C91" s="49">
        <f ca="1">SUMIFS(rec.uni[2028-05-01],
INDIRECT("rec.uni[natureza]"),"pro.soluto",
INDIRECT("rec.uni[empresa]"),C$6)</f>
        <v>0</v>
      </c>
      <c r="D91" s="38"/>
      <c r="E91" s="51"/>
      <c r="F91" s="51"/>
      <c r="G91" s="49">
        <f ca="1">SUMIFS(rec.uni[2028-05-01],
INDIRECT("rec.uni[natureza]"),"taxa.extra",
INDIRECT("rec.uni[empresa]"),G$6)</f>
        <v>0</v>
      </c>
      <c r="H91" s="51"/>
      <c r="I91" s="39"/>
      <c r="J91" s="49">
        <f ca="1">SUMIFS(rec.uni[2028-05-01],
INDIRECT("rec.uni[natureza]"),"pro.soluto",
INDIRECT("rec.uni[empresa]"),J$6)</f>
        <v>0</v>
      </c>
      <c r="K91" s="38"/>
      <c r="L91" s="51"/>
      <c r="M91" s="51"/>
      <c r="N91" s="49">
        <f ca="1">SUMIFS(rec.uni[2028-05-01],
INDIRECT("rec.uni[natureza]"),"taxa.extra",
INDIRECT("rec.uni[empresa]"),N$6)</f>
        <v>0</v>
      </c>
      <c r="O91" s="51"/>
      <c r="P91" s="39"/>
      <c r="Q91" s="49">
        <f ca="1">SUMIFS(rec.uni[2028-05-01],
INDIRECT("rec.uni[natureza]"),"pro.soluto",
INDIRECT("rec.uni[empresa]"),Q$6)</f>
        <v>0</v>
      </c>
      <c r="R91" s="38"/>
      <c r="S91" s="51"/>
      <c r="T91" s="51"/>
      <c r="U91" s="49">
        <f ca="1">SUMIFS(rec.uni[2028-05-01],
INDIRECT("rec.uni[natureza]"),"taxa.extra",
INDIRECT("rec.uni[empresa]"),U$6)</f>
        <v>0</v>
      </c>
      <c r="V91" s="51"/>
      <c r="W91" s="39"/>
      <c r="X91" s="49">
        <f ca="1">SUMIFS(rec.uni[2028-05-01],
INDIRECT("rec.uni[natureza]"),"pro.soluto",
INDIRECT("rec.uni[empresa]"),X$6)</f>
        <v>0</v>
      </c>
      <c r="Y91" s="49">
        <f ca="1">SUMIFS(rec.uni[2028-05-01],
INDIRECT("rec.uni[natureza]"),"taxa.extra",
INDIRECT("rec.uni[empresa]"),Y$6)</f>
        <v>0</v>
      </c>
      <c r="Z91" s="51"/>
      <c r="AA91" s="39"/>
      <c r="AB91" s="49">
        <f ca="1">SUMIFS(rec.uni[2028-05-01],
INDIRECT("rec.uni[natureza]"),"pro.soluto",
INDIRECT("rec.uni[empresa]"),AB$6)</f>
        <v>0</v>
      </c>
      <c r="AC91" s="51">
        <f ca="1">SUMIFS(rec.uni[2028-05-01],
INDIRECT("rec.uni[natureza]"),"parcela.fin.total.ik",
INDIRECT("rec.uni[empresa]"),AC$6)</f>
        <v>0</v>
      </c>
      <c r="AD91" s="49">
        <f ca="1">SUMIFS(rec.uni[2028-05-01],
INDIRECT("rec.uni[natureza]"),"taxa.extra",
INDIRECT("rec.uni[empresa]"),AD$6)</f>
        <v>0</v>
      </c>
      <c r="AE91" s="51"/>
      <c r="AF91" s="48"/>
      <c r="AG91" s="49">
        <f ca="1">SUMIFS(rec.uni[2028-05-01],
INDIRECT("rec.uni[natureza]"),"pro.soluto",
INDIRECT("rec.uni[empresa]"),AG$6)</f>
        <v>0</v>
      </c>
      <c r="AH91" s="38"/>
      <c r="AI91" s="51"/>
      <c r="AJ91" s="51"/>
      <c r="AK91" s="49">
        <f ca="1">SUMIFS(rec.uni[2028-05-01],
INDIRECT("rec.uni[natureza]"),"taxa.extra",
INDIRECT("rec.uni[empresa]"),AK$6)</f>
        <v>0</v>
      </c>
      <c r="AL91" s="51"/>
      <c r="AM91" s="39"/>
      <c r="AN91" s="49">
        <f ca="1">SUMIFS(rec.uni[2028-05-01],
INDIRECT("rec.uni[natureza]"),"pro.soluto",
INDIRECT("rec.uni[empresa]"),AN$6)</f>
        <v>0</v>
      </c>
      <c r="AO91" s="49">
        <f ca="1">SUMIFS(rec.uni[2028-05-01],
INDIRECT("rec.uni[natureza]"),"taxa.extra",
INDIRECT("rec.uni[empresa]"),AO$6)</f>
        <v>0</v>
      </c>
      <c r="AP91" s="143"/>
    </row>
    <row r="92" spans="1:42" x14ac:dyDescent="0.25">
      <c r="A92" s="47">
        <v>46905</v>
      </c>
      <c r="B92" s="39"/>
      <c r="C92" s="49">
        <f ca="1">SUMIFS(rec.uni[2028-06-01],
INDIRECT("rec.uni[natureza]"),"pro.soluto",
INDIRECT("rec.uni[empresa]"),C$6)</f>
        <v>0</v>
      </c>
      <c r="D92" s="38"/>
      <c r="E92" s="51"/>
      <c r="F92" s="51"/>
      <c r="G92" s="49">
        <f ca="1">SUMIFS(rec.uni[2028-06-01],
INDIRECT("rec.uni[natureza]"),"taxa.extra",
INDIRECT("rec.uni[empresa]"),G$6)</f>
        <v>0</v>
      </c>
      <c r="H92" s="51"/>
      <c r="I92" s="39"/>
      <c r="J92" s="49">
        <f ca="1">SUMIFS(rec.uni[2028-06-01],
INDIRECT("rec.uni[natureza]"),"pro.soluto",
INDIRECT("rec.uni[empresa]"),J$6)</f>
        <v>0</v>
      </c>
      <c r="K92" s="38"/>
      <c r="L92" s="51"/>
      <c r="M92" s="51"/>
      <c r="N92" s="49">
        <f ca="1">SUMIFS(rec.uni[2028-06-01],
INDIRECT("rec.uni[natureza]"),"taxa.extra",
INDIRECT("rec.uni[empresa]"),N$6)</f>
        <v>0</v>
      </c>
      <c r="O92" s="51"/>
      <c r="P92" s="39"/>
      <c r="Q92" s="49">
        <f ca="1">SUMIFS(rec.uni[2028-06-01],
INDIRECT("rec.uni[natureza]"),"pro.soluto",
INDIRECT("rec.uni[empresa]"),Q$6)</f>
        <v>0</v>
      </c>
      <c r="R92" s="38"/>
      <c r="S92" s="51"/>
      <c r="T92" s="51"/>
      <c r="U92" s="49">
        <f ca="1">SUMIFS(rec.uni[2028-06-01],
INDIRECT("rec.uni[natureza]"),"taxa.extra",
INDIRECT("rec.uni[empresa]"),U$6)</f>
        <v>0</v>
      </c>
      <c r="V92" s="51"/>
      <c r="W92" s="39"/>
      <c r="X92" s="49">
        <f ca="1">SUMIFS(rec.uni[2028-06-01],
INDIRECT("rec.uni[natureza]"),"pro.soluto",
INDIRECT("rec.uni[empresa]"),X$6)</f>
        <v>0</v>
      </c>
      <c r="Y92" s="49">
        <f ca="1">SUMIFS(rec.uni[2028-06-01],
INDIRECT("rec.uni[natureza]"),"taxa.extra",
INDIRECT("rec.uni[empresa]"),Y$6)</f>
        <v>0</v>
      </c>
      <c r="Z92" s="51"/>
      <c r="AA92" s="39"/>
      <c r="AB92" s="49">
        <f ca="1">SUMIFS(rec.uni[2028-06-01],
INDIRECT("rec.uni[natureza]"),"pro.soluto",
INDIRECT("rec.uni[empresa]"),AB$6)</f>
        <v>0</v>
      </c>
      <c r="AC92" s="51">
        <f ca="1">SUMIFS(rec.uni[2028-06-01],
INDIRECT("rec.uni[natureza]"),"parcela.fin.total.ik",
INDIRECT("rec.uni[empresa]"),AC$6)</f>
        <v>0</v>
      </c>
      <c r="AD92" s="49">
        <f ca="1">SUMIFS(rec.uni[2028-06-01],
INDIRECT("rec.uni[natureza]"),"taxa.extra",
INDIRECT("rec.uni[empresa]"),AD$6)</f>
        <v>0</v>
      </c>
      <c r="AE92" s="51"/>
      <c r="AF92" s="48"/>
      <c r="AG92" s="49">
        <f ca="1">SUMIFS(rec.uni[2028-06-01],
INDIRECT("rec.uni[natureza]"),"pro.soluto",
INDIRECT("rec.uni[empresa]"),AG$6)</f>
        <v>0</v>
      </c>
      <c r="AH92" s="38"/>
      <c r="AI92" s="51"/>
      <c r="AJ92" s="51"/>
      <c r="AK92" s="49">
        <f ca="1">SUMIFS(rec.uni[2028-06-01],
INDIRECT("rec.uni[natureza]"),"taxa.extra",
INDIRECT("rec.uni[empresa]"),AK$6)</f>
        <v>0</v>
      </c>
      <c r="AL92" s="51"/>
      <c r="AM92" s="39"/>
      <c r="AN92" s="49">
        <f ca="1">SUMIFS(rec.uni[2028-06-01],
INDIRECT("rec.uni[natureza]"),"pro.soluto",
INDIRECT("rec.uni[empresa]"),AN$6)</f>
        <v>0</v>
      </c>
      <c r="AO92" s="49">
        <f ca="1">SUMIFS(rec.uni[2028-06-01],
INDIRECT("rec.uni[natureza]"),"taxa.extra",
INDIRECT("rec.uni[empresa]"),AO$6)</f>
        <v>0</v>
      </c>
      <c r="AP92" s="143"/>
    </row>
    <row r="93" spans="1:42" x14ac:dyDescent="0.25">
      <c r="A93" s="47">
        <v>46935</v>
      </c>
      <c r="B93" s="39"/>
      <c r="C93" s="49">
        <f ca="1">SUMIFS(rec.uni[2028-07-01],
INDIRECT("rec.uni[natureza]"),"pro.soluto",
INDIRECT("rec.uni[empresa]"),C$6)</f>
        <v>0</v>
      </c>
      <c r="D93" s="38"/>
      <c r="E93" s="51"/>
      <c r="F93" s="51"/>
      <c r="G93" s="49">
        <f ca="1">SUMIFS(rec.uni[2028-07-01],
INDIRECT("rec.uni[natureza]"),"taxa.extra",
INDIRECT("rec.uni[empresa]"),G$6)</f>
        <v>0</v>
      </c>
      <c r="H93" s="51"/>
      <c r="I93" s="39"/>
      <c r="J93" s="49">
        <f ca="1">SUMIFS(rec.uni[2028-07-01],
INDIRECT("rec.uni[natureza]"),"pro.soluto",
INDIRECT("rec.uni[empresa]"),J$6)</f>
        <v>0</v>
      </c>
      <c r="K93" s="38"/>
      <c r="L93" s="51"/>
      <c r="M93" s="51"/>
      <c r="N93" s="49">
        <f ca="1">SUMIFS(rec.uni[2028-07-01],
INDIRECT("rec.uni[natureza]"),"taxa.extra",
INDIRECT("rec.uni[empresa]"),N$6)</f>
        <v>0</v>
      </c>
      <c r="O93" s="51"/>
      <c r="P93" s="39"/>
      <c r="Q93" s="49">
        <f ca="1">SUMIFS(rec.uni[2028-07-01],
INDIRECT("rec.uni[natureza]"),"pro.soluto",
INDIRECT("rec.uni[empresa]"),Q$6)</f>
        <v>0</v>
      </c>
      <c r="R93" s="38"/>
      <c r="S93" s="51"/>
      <c r="T93" s="51"/>
      <c r="U93" s="49">
        <f ca="1">SUMIFS(rec.uni[2028-07-01],
INDIRECT("rec.uni[natureza]"),"taxa.extra",
INDIRECT("rec.uni[empresa]"),U$6)</f>
        <v>0</v>
      </c>
      <c r="V93" s="51"/>
      <c r="W93" s="39"/>
      <c r="X93" s="49">
        <f ca="1">SUMIFS(rec.uni[2028-07-01],
INDIRECT("rec.uni[natureza]"),"pro.soluto",
INDIRECT("rec.uni[empresa]"),X$6)</f>
        <v>0</v>
      </c>
      <c r="Y93" s="49">
        <f ca="1">SUMIFS(rec.uni[2028-07-01],
INDIRECT("rec.uni[natureza]"),"taxa.extra",
INDIRECT("rec.uni[empresa]"),Y$6)</f>
        <v>0</v>
      </c>
      <c r="Z93" s="51"/>
      <c r="AA93" s="39"/>
      <c r="AB93" s="49">
        <f ca="1">SUMIFS(rec.uni[2028-07-01],
INDIRECT("rec.uni[natureza]"),"pro.soluto",
INDIRECT("rec.uni[empresa]"),AB$6)</f>
        <v>0</v>
      </c>
      <c r="AC93" s="51">
        <f ca="1">SUMIFS(rec.uni[2028-07-01],
INDIRECT("rec.uni[natureza]"),"parcela.fin.total.ik",
INDIRECT("rec.uni[empresa]"),AC$6)</f>
        <v>0</v>
      </c>
      <c r="AD93" s="49">
        <f ca="1">SUMIFS(rec.uni[2028-07-01],
INDIRECT("rec.uni[natureza]"),"taxa.extra",
INDIRECT("rec.uni[empresa]"),AD$6)</f>
        <v>0</v>
      </c>
      <c r="AE93" s="51"/>
      <c r="AF93" s="48"/>
      <c r="AG93" s="49">
        <f ca="1">SUMIFS(rec.uni[2028-07-01],
INDIRECT("rec.uni[natureza]"),"pro.soluto",
INDIRECT("rec.uni[empresa]"),AG$6)</f>
        <v>0</v>
      </c>
      <c r="AH93" s="38"/>
      <c r="AI93" s="51"/>
      <c r="AJ93" s="51"/>
      <c r="AK93" s="49">
        <f ca="1">SUMIFS(rec.uni[2028-07-01],
INDIRECT("rec.uni[natureza]"),"taxa.extra",
INDIRECT("rec.uni[empresa]"),AK$6)</f>
        <v>0</v>
      </c>
      <c r="AL93" s="51"/>
      <c r="AM93" s="39"/>
      <c r="AN93" s="49">
        <f ca="1">SUMIFS(rec.uni[2028-07-01],
INDIRECT("rec.uni[natureza]"),"pro.soluto",
INDIRECT("rec.uni[empresa]"),AN$6)</f>
        <v>0</v>
      </c>
      <c r="AO93" s="49">
        <f ca="1">SUMIFS(rec.uni[2028-07-01],
INDIRECT("rec.uni[natureza]"),"taxa.extra",
INDIRECT("rec.uni[empresa]"),AO$6)</f>
        <v>0</v>
      </c>
      <c r="AP93" s="143"/>
    </row>
    <row r="94" spans="1:42" x14ac:dyDescent="0.25">
      <c r="A94" s="47">
        <v>46966</v>
      </c>
      <c r="B94" s="39"/>
      <c r="C94" s="49">
        <f ca="1">SUMIFS(rec.uni[2028-08-01],
INDIRECT("rec.uni[natureza]"),"pro.soluto",
INDIRECT("rec.uni[empresa]"),C$6)</f>
        <v>0</v>
      </c>
      <c r="D94" s="38"/>
      <c r="E94" s="51"/>
      <c r="F94" s="51"/>
      <c r="G94" s="49">
        <f ca="1">SUMIFS(rec.uni[2028-08-01],
INDIRECT("rec.uni[natureza]"),"taxa.extra",
INDIRECT("rec.uni[empresa]"),G$6)</f>
        <v>0</v>
      </c>
      <c r="H94" s="51"/>
      <c r="I94" s="39"/>
      <c r="J94" s="49">
        <f ca="1">SUMIFS(rec.uni[2028-08-01],
INDIRECT("rec.uni[natureza]"),"pro.soluto",
INDIRECT("rec.uni[empresa]"),J$6)</f>
        <v>0</v>
      </c>
      <c r="K94" s="38"/>
      <c r="L94" s="51"/>
      <c r="M94" s="51"/>
      <c r="N94" s="49">
        <f ca="1">SUMIFS(rec.uni[2028-08-01],
INDIRECT("rec.uni[natureza]"),"taxa.extra",
INDIRECT("rec.uni[empresa]"),N$6)</f>
        <v>0</v>
      </c>
      <c r="O94" s="51"/>
      <c r="P94" s="39"/>
      <c r="Q94" s="49">
        <f ca="1">SUMIFS(rec.uni[2028-08-01],
INDIRECT("rec.uni[natureza]"),"pro.soluto",
INDIRECT("rec.uni[empresa]"),Q$6)</f>
        <v>0</v>
      </c>
      <c r="R94" s="38"/>
      <c r="S94" s="51"/>
      <c r="T94" s="51"/>
      <c r="U94" s="49">
        <f ca="1">SUMIFS(rec.uni[2028-08-01],
INDIRECT("rec.uni[natureza]"),"taxa.extra",
INDIRECT("rec.uni[empresa]"),U$6)</f>
        <v>0</v>
      </c>
      <c r="V94" s="51"/>
      <c r="W94" s="39"/>
      <c r="X94" s="49">
        <f ca="1">SUMIFS(rec.uni[2028-08-01],
INDIRECT("rec.uni[natureza]"),"pro.soluto",
INDIRECT("rec.uni[empresa]"),X$6)</f>
        <v>0</v>
      </c>
      <c r="Y94" s="49">
        <f ca="1">SUMIFS(rec.uni[2028-08-01],
INDIRECT("rec.uni[natureza]"),"taxa.extra",
INDIRECT("rec.uni[empresa]"),Y$6)</f>
        <v>0</v>
      </c>
      <c r="Z94" s="51"/>
      <c r="AA94" s="39"/>
      <c r="AB94" s="49">
        <f ca="1">SUMIFS(rec.uni[2028-08-01],
INDIRECT("rec.uni[natureza]"),"pro.soluto",
INDIRECT("rec.uni[empresa]"),AB$6)</f>
        <v>0</v>
      </c>
      <c r="AC94" s="51">
        <f ca="1">SUMIFS(rec.uni[2028-08-01],
INDIRECT("rec.uni[natureza]"),"parcela.fin.total.ik",
INDIRECT("rec.uni[empresa]"),AC$6)</f>
        <v>0</v>
      </c>
      <c r="AD94" s="49">
        <f ca="1">SUMIFS(rec.uni[2028-08-01],
INDIRECT("rec.uni[natureza]"),"taxa.extra",
INDIRECT("rec.uni[empresa]"),AD$6)</f>
        <v>0</v>
      </c>
      <c r="AE94" s="51"/>
      <c r="AF94" s="48"/>
      <c r="AG94" s="49">
        <f ca="1">SUMIFS(rec.uni[2028-08-01],
INDIRECT("rec.uni[natureza]"),"pro.soluto",
INDIRECT("rec.uni[empresa]"),AG$6)</f>
        <v>0</v>
      </c>
      <c r="AH94" s="38"/>
      <c r="AI94" s="51"/>
      <c r="AJ94" s="51"/>
      <c r="AK94" s="49">
        <f ca="1">SUMIFS(rec.uni[2028-08-01],
INDIRECT("rec.uni[natureza]"),"taxa.extra",
INDIRECT("rec.uni[empresa]"),AK$6)</f>
        <v>0</v>
      </c>
      <c r="AL94" s="51"/>
      <c r="AM94" s="39"/>
      <c r="AN94" s="49">
        <f ca="1">SUMIFS(rec.uni[2028-08-01],
INDIRECT("rec.uni[natureza]"),"pro.soluto",
INDIRECT("rec.uni[empresa]"),AN$6)</f>
        <v>0</v>
      </c>
      <c r="AO94" s="49">
        <f ca="1">SUMIFS(rec.uni[2028-08-01],
INDIRECT("rec.uni[natureza]"),"taxa.extra",
INDIRECT("rec.uni[empresa]"),AO$6)</f>
        <v>0</v>
      </c>
      <c r="AP94" s="143"/>
    </row>
    <row r="95" spans="1:42" x14ac:dyDescent="0.25">
      <c r="A95" s="47">
        <v>46997</v>
      </c>
      <c r="B95" s="39"/>
      <c r="C95" s="49">
        <f ca="1">SUMIFS(rec.uni[2028-09-01],
INDIRECT("rec.uni[natureza]"),"pro.soluto",
INDIRECT("rec.uni[empresa]"),C$6)</f>
        <v>0</v>
      </c>
      <c r="D95" s="38"/>
      <c r="E95" s="51"/>
      <c r="F95" s="51"/>
      <c r="G95" s="49">
        <f ca="1">SUMIFS(rec.uni[2028-09-01],
INDIRECT("rec.uni[natureza]"),"taxa.extra",
INDIRECT("rec.uni[empresa]"),G$6)</f>
        <v>0</v>
      </c>
      <c r="H95" s="51"/>
      <c r="I95" s="39"/>
      <c r="J95" s="49">
        <f ca="1">SUMIFS(rec.uni[2028-09-01],
INDIRECT("rec.uni[natureza]"),"pro.soluto",
INDIRECT("rec.uni[empresa]"),J$6)</f>
        <v>0</v>
      </c>
      <c r="K95" s="38"/>
      <c r="L95" s="51"/>
      <c r="M95" s="51"/>
      <c r="N95" s="49">
        <f ca="1">SUMIFS(rec.uni[2028-09-01],
INDIRECT("rec.uni[natureza]"),"taxa.extra",
INDIRECT("rec.uni[empresa]"),N$6)</f>
        <v>0</v>
      </c>
      <c r="O95" s="51"/>
      <c r="P95" s="39"/>
      <c r="Q95" s="49">
        <f ca="1">SUMIFS(rec.uni[2028-09-01],
INDIRECT("rec.uni[natureza]"),"pro.soluto",
INDIRECT("rec.uni[empresa]"),Q$6)</f>
        <v>0</v>
      </c>
      <c r="R95" s="38"/>
      <c r="S95" s="51"/>
      <c r="T95" s="51"/>
      <c r="U95" s="49">
        <f ca="1">SUMIFS(rec.uni[2028-09-01],
INDIRECT("rec.uni[natureza]"),"taxa.extra",
INDIRECT("rec.uni[empresa]"),U$6)</f>
        <v>0</v>
      </c>
      <c r="V95" s="51"/>
      <c r="W95" s="39"/>
      <c r="X95" s="49">
        <f ca="1">SUMIFS(rec.uni[2028-09-01],
INDIRECT("rec.uni[natureza]"),"pro.soluto",
INDIRECT("rec.uni[empresa]"),X$6)</f>
        <v>0</v>
      </c>
      <c r="Y95" s="49">
        <f ca="1">SUMIFS(rec.uni[2028-09-01],
INDIRECT("rec.uni[natureza]"),"taxa.extra",
INDIRECT("rec.uni[empresa]"),Y$6)</f>
        <v>0</v>
      </c>
      <c r="Z95" s="51"/>
      <c r="AA95" s="39"/>
      <c r="AB95" s="49">
        <f ca="1">SUMIFS(rec.uni[2028-09-01],
INDIRECT("rec.uni[natureza]"),"pro.soluto",
INDIRECT("rec.uni[empresa]"),AB$6)</f>
        <v>0</v>
      </c>
      <c r="AC95" s="51">
        <f ca="1">SUMIFS(rec.uni[2028-09-01],
INDIRECT("rec.uni[natureza]"),"parcela.fin.total.ik",
INDIRECT("rec.uni[empresa]"),AC$6)</f>
        <v>0</v>
      </c>
      <c r="AD95" s="49">
        <f ca="1">SUMIFS(rec.uni[2028-09-01],
INDIRECT("rec.uni[natureza]"),"taxa.extra",
INDIRECT("rec.uni[empresa]"),AD$6)</f>
        <v>0</v>
      </c>
      <c r="AE95" s="51"/>
      <c r="AF95" s="48"/>
      <c r="AG95" s="49">
        <f ca="1">SUMIFS(rec.uni[2028-09-01],
INDIRECT("rec.uni[natureza]"),"pro.soluto",
INDIRECT("rec.uni[empresa]"),AG$6)</f>
        <v>0</v>
      </c>
      <c r="AH95" s="38"/>
      <c r="AI95" s="51"/>
      <c r="AJ95" s="51"/>
      <c r="AK95" s="49">
        <f ca="1">SUMIFS(rec.uni[2028-09-01],
INDIRECT("rec.uni[natureza]"),"taxa.extra",
INDIRECT("rec.uni[empresa]"),AK$6)</f>
        <v>0</v>
      </c>
      <c r="AL95" s="51"/>
      <c r="AM95" s="39"/>
      <c r="AN95" s="49">
        <f ca="1">SUMIFS(rec.uni[2028-09-01],
INDIRECT("rec.uni[natureza]"),"pro.soluto",
INDIRECT("rec.uni[empresa]"),AN$6)</f>
        <v>0</v>
      </c>
      <c r="AO95" s="49">
        <f ca="1">SUMIFS(rec.uni[2028-09-01],
INDIRECT("rec.uni[natureza]"),"taxa.extra",
INDIRECT("rec.uni[empresa]"),AO$6)</f>
        <v>0</v>
      </c>
      <c r="AP95" s="143"/>
    </row>
    <row r="96" spans="1:42" x14ac:dyDescent="0.25">
      <c r="A96" s="47">
        <v>47027</v>
      </c>
      <c r="B96" s="39"/>
      <c r="C96" s="49">
        <f ca="1">SUMIFS(rec.uni[2028-10-01],
INDIRECT("rec.uni[natureza]"),"pro.soluto",
INDIRECT("rec.uni[empresa]"),C$6)</f>
        <v>0</v>
      </c>
      <c r="D96" s="38"/>
      <c r="E96" s="51"/>
      <c r="F96" s="51"/>
      <c r="G96" s="49">
        <f ca="1">SUMIFS(rec.uni[2028-10-01],
INDIRECT("rec.uni[natureza]"),"taxa.extra",
INDIRECT("rec.uni[empresa]"),G$6)</f>
        <v>0</v>
      </c>
      <c r="H96" s="51"/>
      <c r="I96" s="39"/>
      <c r="J96" s="49">
        <f ca="1">SUMIFS(rec.uni[2028-10-01],
INDIRECT("rec.uni[natureza]"),"pro.soluto",
INDIRECT("rec.uni[empresa]"),J$6)</f>
        <v>0</v>
      </c>
      <c r="K96" s="38"/>
      <c r="L96" s="51"/>
      <c r="M96" s="51"/>
      <c r="N96" s="49">
        <f ca="1">SUMIFS(rec.uni[2028-10-01],
INDIRECT("rec.uni[natureza]"),"taxa.extra",
INDIRECT("rec.uni[empresa]"),N$6)</f>
        <v>0</v>
      </c>
      <c r="O96" s="51"/>
      <c r="P96" s="39"/>
      <c r="Q96" s="49">
        <f ca="1">SUMIFS(rec.uni[2028-10-01],
INDIRECT("rec.uni[natureza]"),"pro.soluto",
INDIRECT("rec.uni[empresa]"),Q$6)</f>
        <v>0</v>
      </c>
      <c r="R96" s="38"/>
      <c r="S96" s="51"/>
      <c r="T96" s="51"/>
      <c r="U96" s="49">
        <f ca="1">SUMIFS(rec.uni[2028-10-01],
INDIRECT("rec.uni[natureza]"),"taxa.extra",
INDIRECT("rec.uni[empresa]"),U$6)</f>
        <v>0</v>
      </c>
      <c r="V96" s="51"/>
      <c r="W96" s="39"/>
      <c r="X96" s="49">
        <f ca="1">SUMIFS(rec.uni[2028-10-01],
INDIRECT("rec.uni[natureza]"),"pro.soluto",
INDIRECT("rec.uni[empresa]"),X$6)</f>
        <v>0</v>
      </c>
      <c r="Y96" s="49">
        <f ca="1">SUMIFS(rec.uni[2028-10-01],
INDIRECT("rec.uni[natureza]"),"taxa.extra",
INDIRECT("rec.uni[empresa]"),Y$6)</f>
        <v>0</v>
      </c>
      <c r="Z96" s="51"/>
      <c r="AA96" s="39"/>
      <c r="AB96" s="49">
        <f ca="1">SUMIFS(rec.uni[2028-10-01],
INDIRECT("rec.uni[natureza]"),"pro.soluto",
INDIRECT("rec.uni[empresa]"),AB$6)</f>
        <v>0</v>
      </c>
      <c r="AC96" s="51">
        <f ca="1">SUMIFS(rec.uni[2028-10-01],
INDIRECT("rec.uni[natureza]"),"parcela.fin.total.ik",
INDIRECT("rec.uni[empresa]"),AC$6)</f>
        <v>0</v>
      </c>
      <c r="AD96" s="49">
        <f ca="1">SUMIFS(rec.uni[2028-10-01],
INDIRECT("rec.uni[natureza]"),"taxa.extra",
INDIRECT("rec.uni[empresa]"),AD$6)</f>
        <v>0</v>
      </c>
      <c r="AE96" s="51"/>
      <c r="AF96" s="48"/>
      <c r="AG96" s="49">
        <f ca="1">SUMIFS(rec.uni[2028-10-01],
INDIRECT("rec.uni[natureza]"),"pro.soluto",
INDIRECT("rec.uni[empresa]"),AG$6)</f>
        <v>0</v>
      </c>
      <c r="AH96" s="38"/>
      <c r="AI96" s="51"/>
      <c r="AJ96" s="51"/>
      <c r="AK96" s="49">
        <f ca="1">SUMIFS(rec.uni[2028-10-01],
INDIRECT("rec.uni[natureza]"),"taxa.extra",
INDIRECT("rec.uni[empresa]"),AK$6)</f>
        <v>0</v>
      </c>
      <c r="AL96" s="51"/>
      <c r="AM96" s="39"/>
      <c r="AN96" s="49">
        <f ca="1">SUMIFS(rec.uni[2028-10-01],
INDIRECT("rec.uni[natureza]"),"pro.soluto",
INDIRECT("rec.uni[empresa]"),AN$6)</f>
        <v>0</v>
      </c>
      <c r="AO96" s="49">
        <f ca="1">SUMIFS(rec.uni[2028-10-01],
INDIRECT("rec.uni[natureza]"),"taxa.extra",
INDIRECT("rec.uni[empresa]"),AO$6)</f>
        <v>0</v>
      </c>
      <c r="AP96" s="143"/>
    </row>
    <row r="97" spans="1:42" x14ac:dyDescent="0.25">
      <c r="A97" s="47">
        <v>47058</v>
      </c>
      <c r="B97" s="39"/>
      <c r="C97" s="49">
        <f ca="1">SUMIFS(rec.uni[2028-11-01],
INDIRECT("rec.uni[natureza]"),"pro.soluto",
INDIRECT("rec.uni[empresa]"),C$6)</f>
        <v>0</v>
      </c>
      <c r="D97" s="38"/>
      <c r="E97" s="51"/>
      <c r="F97" s="51"/>
      <c r="G97" s="49">
        <f ca="1">SUMIFS(rec.uni[2028-11-01],
INDIRECT("rec.uni[natureza]"),"taxa.extra",
INDIRECT("rec.uni[empresa]"),G$6)</f>
        <v>0</v>
      </c>
      <c r="H97" s="51"/>
      <c r="I97" s="39"/>
      <c r="J97" s="49">
        <f ca="1">SUMIFS(rec.uni[2028-11-01],
INDIRECT("rec.uni[natureza]"),"pro.soluto",
INDIRECT("rec.uni[empresa]"),J$6)</f>
        <v>0</v>
      </c>
      <c r="K97" s="38"/>
      <c r="L97" s="51"/>
      <c r="M97" s="51"/>
      <c r="N97" s="49">
        <f ca="1">SUMIFS(rec.uni[2028-11-01],
INDIRECT("rec.uni[natureza]"),"taxa.extra",
INDIRECT("rec.uni[empresa]"),N$6)</f>
        <v>0</v>
      </c>
      <c r="O97" s="51"/>
      <c r="P97" s="39"/>
      <c r="Q97" s="49">
        <f ca="1">SUMIFS(rec.uni[2028-11-01],
INDIRECT("rec.uni[natureza]"),"pro.soluto",
INDIRECT("rec.uni[empresa]"),Q$6)</f>
        <v>0</v>
      </c>
      <c r="R97" s="38"/>
      <c r="S97" s="51"/>
      <c r="T97" s="51"/>
      <c r="U97" s="49">
        <f ca="1">SUMIFS(rec.uni[2028-11-01],
INDIRECT("rec.uni[natureza]"),"taxa.extra",
INDIRECT("rec.uni[empresa]"),U$6)</f>
        <v>0</v>
      </c>
      <c r="V97" s="51"/>
      <c r="W97" s="39"/>
      <c r="X97" s="49">
        <f ca="1">SUMIFS(rec.uni[2028-11-01],
INDIRECT("rec.uni[natureza]"),"pro.soluto",
INDIRECT("rec.uni[empresa]"),X$6)</f>
        <v>0</v>
      </c>
      <c r="Y97" s="49">
        <f ca="1">SUMIFS(rec.uni[2028-11-01],
INDIRECT("rec.uni[natureza]"),"taxa.extra",
INDIRECT("rec.uni[empresa]"),Y$6)</f>
        <v>0</v>
      </c>
      <c r="Z97" s="51"/>
      <c r="AA97" s="39"/>
      <c r="AB97" s="49">
        <f ca="1">SUMIFS(rec.uni[2028-11-01],
INDIRECT("rec.uni[natureza]"),"pro.soluto",
INDIRECT("rec.uni[empresa]"),AB$6)</f>
        <v>0</v>
      </c>
      <c r="AC97" s="51">
        <f ca="1">SUMIFS(rec.uni[2028-11-01],
INDIRECT("rec.uni[natureza]"),"parcela.fin.total.ik",
INDIRECT("rec.uni[empresa]"),AC$6)</f>
        <v>0</v>
      </c>
      <c r="AD97" s="49">
        <f ca="1">SUMIFS(rec.uni[2028-11-01],
INDIRECT("rec.uni[natureza]"),"taxa.extra",
INDIRECT("rec.uni[empresa]"),AD$6)</f>
        <v>0</v>
      </c>
      <c r="AE97" s="51"/>
      <c r="AF97" s="48"/>
      <c r="AG97" s="49">
        <f ca="1">SUMIFS(rec.uni[2028-11-01],
INDIRECT("rec.uni[natureza]"),"pro.soluto",
INDIRECT("rec.uni[empresa]"),AG$6)</f>
        <v>0</v>
      </c>
      <c r="AH97" s="38"/>
      <c r="AI97" s="51"/>
      <c r="AJ97" s="51"/>
      <c r="AK97" s="49">
        <f ca="1">SUMIFS(rec.uni[2028-11-01],
INDIRECT("rec.uni[natureza]"),"taxa.extra",
INDIRECT("rec.uni[empresa]"),AK$6)</f>
        <v>0</v>
      </c>
      <c r="AL97" s="51"/>
      <c r="AM97" s="39"/>
      <c r="AN97" s="49">
        <f ca="1">SUMIFS(rec.uni[2028-11-01],
INDIRECT("rec.uni[natureza]"),"pro.soluto",
INDIRECT("rec.uni[empresa]"),AN$6)</f>
        <v>0</v>
      </c>
      <c r="AO97" s="49">
        <f ca="1">SUMIFS(rec.uni[2028-11-01],
INDIRECT("rec.uni[natureza]"),"taxa.extra",
INDIRECT("rec.uni[empresa]"),AO$6)</f>
        <v>0</v>
      </c>
      <c r="AP97" s="143"/>
    </row>
    <row r="98" spans="1:42" x14ac:dyDescent="0.25">
      <c r="A98" s="47">
        <v>47088</v>
      </c>
      <c r="B98" s="39"/>
      <c r="C98" s="49">
        <f ca="1">SUMIFS(rec.uni[2028-12-01],
INDIRECT("rec.uni[natureza]"),"pro.soluto",
INDIRECT("rec.uni[empresa]"),C$6)</f>
        <v>0</v>
      </c>
      <c r="D98" s="38"/>
      <c r="E98" s="51"/>
      <c r="F98" s="51"/>
      <c r="G98" s="49">
        <f ca="1">SUMIFS(rec.uni[2028-12-01],
INDIRECT("rec.uni[natureza]"),"taxa.extra",
INDIRECT("rec.uni[empresa]"),G$6)</f>
        <v>0</v>
      </c>
      <c r="H98" s="51"/>
      <c r="I98" s="39"/>
      <c r="J98" s="49">
        <f ca="1">SUMIFS(rec.uni[2028-12-01],
INDIRECT("rec.uni[natureza]"),"pro.soluto",
INDIRECT("rec.uni[empresa]"),J$6)</f>
        <v>0</v>
      </c>
      <c r="K98" s="38"/>
      <c r="L98" s="51"/>
      <c r="M98" s="51"/>
      <c r="N98" s="49">
        <f ca="1">SUMIFS(rec.uni[2028-12-01],
INDIRECT("rec.uni[natureza]"),"taxa.extra",
INDIRECT("rec.uni[empresa]"),N$6)</f>
        <v>0</v>
      </c>
      <c r="O98" s="51"/>
      <c r="P98" s="39"/>
      <c r="Q98" s="49">
        <f ca="1">SUMIFS(rec.uni[2028-12-01],
INDIRECT("rec.uni[natureza]"),"pro.soluto",
INDIRECT("rec.uni[empresa]"),Q$6)</f>
        <v>0</v>
      </c>
      <c r="R98" s="38"/>
      <c r="S98" s="51"/>
      <c r="T98" s="51"/>
      <c r="U98" s="49">
        <f ca="1">SUMIFS(rec.uni[2028-12-01],
INDIRECT("rec.uni[natureza]"),"taxa.extra",
INDIRECT("rec.uni[empresa]"),U$6)</f>
        <v>0</v>
      </c>
      <c r="V98" s="51"/>
      <c r="W98" s="39"/>
      <c r="X98" s="49">
        <f ca="1">SUMIFS(rec.uni[2028-12-01],
INDIRECT("rec.uni[natureza]"),"pro.soluto",
INDIRECT("rec.uni[empresa]"),X$6)</f>
        <v>0</v>
      </c>
      <c r="Y98" s="49">
        <f ca="1">SUMIFS(rec.uni[2028-12-01],
INDIRECT("rec.uni[natureza]"),"taxa.extra",
INDIRECT("rec.uni[empresa]"),Y$6)</f>
        <v>0</v>
      </c>
      <c r="Z98" s="51"/>
      <c r="AA98" s="39"/>
      <c r="AB98" s="49">
        <f ca="1">SUMIFS(rec.uni[2028-12-01],
INDIRECT("rec.uni[natureza]"),"pro.soluto",
INDIRECT("rec.uni[empresa]"),AB$6)</f>
        <v>0</v>
      </c>
      <c r="AC98" s="51">
        <f ca="1">SUMIFS(rec.uni[2028-12-01],
INDIRECT("rec.uni[natureza]"),"parcela.fin.total.ik",
INDIRECT("rec.uni[empresa]"),AC$6)</f>
        <v>0</v>
      </c>
      <c r="AD98" s="49">
        <f ca="1">SUMIFS(rec.uni[2028-12-01],
INDIRECT("rec.uni[natureza]"),"taxa.extra",
INDIRECT("rec.uni[empresa]"),AD$6)</f>
        <v>0</v>
      </c>
      <c r="AE98" s="51"/>
      <c r="AF98" s="48"/>
      <c r="AG98" s="49">
        <f ca="1">SUMIFS(rec.uni[2028-12-01],
INDIRECT("rec.uni[natureza]"),"pro.soluto",
INDIRECT("rec.uni[empresa]"),AG$6)</f>
        <v>0</v>
      </c>
      <c r="AH98" s="38"/>
      <c r="AI98" s="51"/>
      <c r="AJ98" s="51"/>
      <c r="AK98" s="49">
        <f ca="1">SUMIFS(rec.uni[2028-12-01],
INDIRECT("rec.uni[natureza]"),"taxa.extra",
INDIRECT("rec.uni[empresa]"),AK$6)</f>
        <v>0</v>
      </c>
      <c r="AL98" s="51"/>
      <c r="AM98" s="39"/>
      <c r="AN98" s="49">
        <f ca="1">SUMIFS(rec.uni[2028-12-01],
INDIRECT("rec.uni[natureza]"),"pro.soluto",
INDIRECT("rec.uni[empresa]"),AN$6)</f>
        <v>0</v>
      </c>
      <c r="AO98" s="49">
        <f ca="1">SUMIFS(rec.uni[2028-12-01],
INDIRECT("rec.uni[natureza]"),"taxa.extra",
INDIRECT("rec.uni[empresa]"),AO$6)</f>
        <v>0</v>
      </c>
      <c r="AP98" s="143"/>
    </row>
    <row r="99" spans="1:42" x14ac:dyDescent="0.25">
      <c r="A99" s="47">
        <v>47119</v>
      </c>
      <c r="B99" s="39"/>
      <c r="C99" s="49">
        <f ca="1">SUMIFS(rec.uni[2029-01-01],
INDIRECT("rec.uni[natureza]"),"pro.soluto",
INDIRECT("rec.uni[empresa]"),C$6)</f>
        <v>0</v>
      </c>
      <c r="D99" s="38"/>
      <c r="E99" s="51"/>
      <c r="F99" s="51"/>
      <c r="G99" s="49">
        <f ca="1">SUMIFS(rec.uni[2029-01-01],
INDIRECT("rec.uni[natureza]"),"taxa.extra",
INDIRECT("rec.uni[empresa]"),G$6)</f>
        <v>0</v>
      </c>
      <c r="H99" s="51"/>
      <c r="I99" s="39"/>
      <c r="J99" s="49">
        <f ca="1">SUMIFS(rec.uni[2029-01-01],
INDIRECT("rec.uni[natureza]"),"pro.soluto",
INDIRECT("rec.uni[empresa]"),J$6)</f>
        <v>0</v>
      </c>
      <c r="K99" s="38"/>
      <c r="L99" s="51"/>
      <c r="M99" s="51"/>
      <c r="N99" s="49">
        <f ca="1">SUMIFS(rec.uni[2029-01-01],
INDIRECT("rec.uni[natureza]"),"taxa.extra",
INDIRECT("rec.uni[empresa]"),N$6)</f>
        <v>0</v>
      </c>
      <c r="O99" s="51"/>
      <c r="P99" s="39"/>
      <c r="Q99" s="49">
        <f ca="1">SUMIFS(rec.uni[2029-01-01],
INDIRECT("rec.uni[natureza]"),"pro.soluto",
INDIRECT("rec.uni[empresa]"),Q$6)</f>
        <v>0</v>
      </c>
      <c r="R99" s="38"/>
      <c r="S99" s="51"/>
      <c r="T99" s="51"/>
      <c r="U99" s="49">
        <f ca="1">SUMIFS(rec.uni[2029-01-01],
INDIRECT("rec.uni[natureza]"),"taxa.extra",
INDIRECT("rec.uni[empresa]"),U$6)</f>
        <v>0</v>
      </c>
      <c r="V99" s="51"/>
      <c r="W99" s="39"/>
      <c r="X99" s="49">
        <f ca="1">SUMIFS(rec.uni[2029-01-01],
INDIRECT("rec.uni[natureza]"),"pro.soluto",
INDIRECT("rec.uni[empresa]"),X$6)</f>
        <v>0</v>
      </c>
      <c r="Y99" s="49">
        <f ca="1">SUMIFS(rec.uni[2029-01-01],
INDIRECT("rec.uni[natureza]"),"taxa.extra",
INDIRECT("rec.uni[empresa]"),Y$6)</f>
        <v>0</v>
      </c>
      <c r="Z99" s="51"/>
      <c r="AA99" s="39"/>
      <c r="AB99" s="49">
        <f ca="1">SUMIFS(rec.uni[2029-01-01],
INDIRECT("rec.uni[natureza]"),"pro.soluto",
INDIRECT("rec.uni[empresa]"),AB$6)</f>
        <v>0</v>
      </c>
      <c r="AC99" s="51">
        <f ca="1">SUMIFS(rec.uni[2029-01-01],
INDIRECT("rec.uni[natureza]"),"parcela.fin.total.ik",
INDIRECT("rec.uni[empresa]"),AC$6)</f>
        <v>0</v>
      </c>
      <c r="AD99" s="49">
        <f ca="1">SUMIFS(rec.uni[2029-01-01],
INDIRECT("rec.uni[natureza]"),"taxa.extra",
INDIRECT("rec.uni[empresa]"),AD$6)</f>
        <v>0</v>
      </c>
      <c r="AE99" s="51"/>
      <c r="AF99" s="48"/>
      <c r="AG99" s="49">
        <f ca="1">SUMIFS(rec.uni[2029-01-01],
INDIRECT("rec.uni[natureza]"),"pro.soluto",
INDIRECT("rec.uni[empresa]"),AG$6)</f>
        <v>0</v>
      </c>
      <c r="AH99" s="38"/>
      <c r="AI99" s="51"/>
      <c r="AJ99" s="51"/>
      <c r="AK99" s="49">
        <f ca="1">SUMIFS(rec.uni[2029-01-01],
INDIRECT("rec.uni[natureza]"),"taxa.extra",
INDIRECT("rec.uni[empresa]"),AK$6)</f>
        <v>0</v>
      </c>
      <c r="AL99" s="51"/>
      <c r="AM99" s="39"/>
      <c r="AN99" s="49">
        <f ca="1">SUMIFS(rec.uni[2029-01-01],
INDIRECT("rec.uni[natureza]"),"pro.soluto",
INDIRECT("rec.uni[empresa]"),AN$6)</f>
        <v>0</v>
      </c>
      <c r="AO99" s="49">
        <f ca="1">SUMIFS(rec.uni[2029-01-01],
INDIRECT("rec.uni[natureza]"),"taxa.extra",
INDIRECT("rec.uni[empresa]"),AO$6)</f>
        <v>0</v>
      </c>
      <c r="AP99" s="143"/>
    </row>
    <row r="100" spans="1:42" x14ac:dyDescent="0.25">
      <c r="A100" s="47">
        <v>47150</v>
      </c>
      <c r="B100" s="39"/>
      <c r="C100" s="49">
        <f ca="1">SUMIFS(rec.uni[2029-02-01],
INDIRECT("rec.uni[natureza]"),"pro.soluto",
INDIRECT("rec.uni[empresa]"),C$6)</f>
        <v>0</v>
      </c>
      <c r="D100" s="38"/>
      <c r="E100" s="51"/>
      <c r="F100" s="51"/>
      <c r="G100" s="49">
        <f ca="1">SUMIFS(rec.uni[2029-02-01],
INDIRECT("rec.uni[natureza]"),"taxa.extra",
INDIRECT("rec.uni[empresa]"),G$6)</f>
        <v>0</v>
      </c>
      <c r="H100" s="51"/>
      <c r="I100" s="39"/>
      <c r="J100" s="49">
        <f ca="1">SUMIFS(rec.uni[2029-02-01],
INDIRECT("rec.uni[natureza]"),"pro.soluto",
INDIRECT("rec.uni[empresa]"),J$6)</f>
        <v>0</v>
      </c>
      <c r="K100" s="38"/>
      <c r="L100" s="51"/>
      <c r="M100" s="51"/>
      <c r="N100" s="49">
        <f ca="1">SUMIFS(rec.uni[2029-02-01],
INDIRECT("rec.uni[natureza]"),"taxa.extra",
INDIRECT("rec.uni[empresa]"),N$6)</f>
        <v>0</v>
      </c>
      <c r="O100" s="51"/>
      <c r="P100" s="39"/>
      <c r="Q100" s="49">
        <f ca="1">SUMIFS(rec.uni[2029-02-01],
INDIRECT("rec.uni[natureza]"),"pro.soluto",
INDIRECT("rec.uni[empresa]"),Q$6)</f>
        <v>0</v>
      </c>
      <c r="R100" s="38"/>
      <c r="S100" s="51"/>
      <c r="T100" s="51"/>
      <c r="U100" s="49">
        <f ca="1">SUMIFS(rec.uni[2029-02-01],
INDIRECT("rec.uni[natureza]"),"taxa.extra",
INDIRECT("rec.uni[empresa]"),U$6)</f>
        <v>0</v>
      </c>
      <c r="V100" s="51"/>
      <c r="W100" s="39"/>
      <c r="X100" s="49">
        <f ca="1">SUMIFS(rec.uni[2029-02-01],
INDIRECT("rec.uni[natureza]"),"pro.soluto",
INDIRECT("rec.uni[empresa]"),X$6)</f>
        <v>0</v>
      </c>
      <c r="Y100" s="49">
        <f ca="1">SUMIFS(rec.uni[2029-02-01],
INDIRECT("rec.uni[natureza]"),"taxa.extra",
INDIRECT("rec.uni[empresa]"),Y$6)</f>
        <v>0</v>
      </c>
      <c r="Z100" s="51"/>
      <c r="AA100" s="39"/>
      <c r="AB100" s="49">
        <f ca="1">SUMIFS(rec.uni[2029-02-01],
INDIRECT("rec.uni[natureza]"),"pro.soluto",
INDIRECT("rec.uni[empresa]"),AB$6)</f>
        <v>0</v>
      </c>
      <c r="AC100" s="51">
        <f ca="1">SUMIFS(rec.uni[2029-02-01],
INDIRECT("rec.uni[natureza]"),"parcela.fin.total.ik",
INDIRECT("rec.uni[empresa]"),AC$6)</f>
        <v>0</v>
      </c>
      <c r="AD100" s="49">
        <f ca="1">SUMIFS(rec.uni[2029-02-01],
INDIRECT("rec.uni[natureza]"),"taxa.extra",
INDIRECT("rec.uni[empresa]"),AD$6)</f>
        <v>0</v>
      </c>
      <c r="AE100" s="51"/>
      <c r="AF100" s="48"/>
      <c r="AG100" s="49">
        <f ca="1">SUMIFS(rec.uni[2029-02-01],
INDIRECT("rec.uni[natureza]"),"pro.soluto",
INDIRECT("rec.uni[empresa]"),AG$6)</f>
        <v>0</v>
      </c>
      <c r="AH100" s="38"/>
      <c r="AI100" s="51"/>
      <c r="AJ100" s="51"/>
      <c r="AK100" s="49">
        <f ca="1">SUMIFS(rec.uni[2029-02-01],
INDIRECT("rec.uni[natureza]"),"taxa.extra",
INDIRECT("rec.uni[empresa]"),AK$6)</f>
        <v>0</v>
      </c>
      <c r="AL100" s="51"/>
      <c r="AM100" s="39"/>
      <c r="AN100" s="49">
        <f ca="1">SUMIFS(rec.uni[2029-02-01],
INDIRECT("rec.uni[natureza]"),"pro.soluto",
INDIRECT("rec.uni[empresa]"),AN$6)</f>
        <v>0</v>
      </c>
      <c r="AO100" s="49">
        <f ca="1">SUMIFS(rec.uni[2029-02-01],
INDIRECT("rec.uni[natureza]"),"taxa.extra",
INDIRECT("rec.uni[empresa]"),AO$6)</f>
        <v>0</v>
      </c>
      <c r="AP100" s="143"/>
    </row>
    <row r="101" spans="1:42" x14ac:dyDescent="0.25">
      <c r="A101" s="47">
        <v>47178</v>
      </c>
      <c r="B101" s="39"/>
      <c r="C101" s="49">
        <f ca="1">SUMIFS(rec.uni[2029-03-01],
INDIRECT("rec.uni[natureza]"),"pro.soluto",
INDIRECT("rec.uni[empresa]"),C$6)</f>
        <v>0</v>
      </c>
      <c r="D101" s="38"/>
      <c r="E101" s="51"/>
      <c r="F101" s="51"/>
      <c r="G101" s="49">
        <f ca="1">SUMIFS(rec.uni[2029-03-01],
INDIRECT("rec.uni[natureza]"),"taxa.extra",
INDIRECT("rec.uni[empresa]"),G$6)</f>
        <v>0</v>
      </c>
      <c r="H101" s="51"/>
      <c r="I101" s="39"/>
      <c r="J101" s="49">
        <f ca="1">SUMIFS(rec.uni[2029-03-01],
INDIRECT("rec.uni[natureza]"),"pro.soluto",
INDIRECT("rec.uni[empresa]"),J$6)</f>
        <v>0</v>
      </c>
      <c r="K101" s="38"/>
      <c r="L101" s="51"/>
      <c r="M101" s="51"/>
      <c r="N101" s="49">
        <f ca="1">SUMIFS(rec.uni[2029-03-01],
INDIRECT("rec.uni[natureza]"),"taxa.extra",
INDIRECT("rec.uni[empresa]"),N$6)</f>
        <v>0</v>
      </c>
      <c r="O101" s="51"/>
      <c r="P101" s="39"/>
      <c r="Q101" s="49">
        <f ca="1">SUMIFS(rec.uni[2029-03-01],
INDIRECT("rec.uni[natureza]"),"pro.soluto",
INDIRECT("rec.uni[empresa]"),Q$6)</f>
        <v>0</v>
      </c>
      <c r="R101" s="38"/>
      <c r="S101" s="51"/>
      <c r="T101" s="51"/>
      <c r="U101" s="49">
        <f ca="1">SUMIFS(rec.uni[2029-03-01],
INDIRECT("rec.uni[natureza]"),"taxa.extra",
INDIRECT("rec.uni[empresa]"),U$6)</f>
        <v>0</v>
      </c>
      <c r="V101" s="51"/>
      <c r="W101" s="39"/>
      <c r="X101" s="49">
        <f ca="1">SUMIFS(rec.uni[2029-03-01],
INDIRECT("rec.uni[natureza]"),"pro.soluto",
INDIRECT("rec.uni[empresa]"),X$6)</f>
        <v>0</v>
      </c>
      <c r="Y101" s="49">
        <f ca="1">SUMIFS(rec.uni[2029-03-01],
INDIRECT("rec.uni[natureza]"),"taxa.extra",
INDIRECT("rec.uni[empresa]"),Y$6)</f>
        <v>0</v>
      </c>
      <c r="Z101" s="51"/>
      <c r="AA101" s="39"/>
      <c r="AB101" s="49">
        <f ca="1">SUMIFS(rec.uni[2029-03-01],
INDIRECT("rec.uni[natureza]"),"pro.soluto",
INDIRECT("rec.uni[empresa]"),AB$6)</f>
        <v>0</v>
      </c>
      <c r="AC101" s="51">
        <f ca="1">SUMIFS(rec.uni[2029-03-01],
INDIRECT("rec.uni[natureza]"),"parcela.fin.total.ik",
INDIRECT("rec.uni[empresa]"),AC$6)</f>
        <v>0</v>
      </c>
      <c r="AD101" s="49">
        <f ca="1">SUMIFS(rec.uni[2029-03-01],
INDIRECT("rec.uni[natureza]"),"taxa.extra",
INDIRECT("rec.uni[empresa]"),AD$6)</f>
        <v>0</v>
      </c>
      <c r="AE101" s="51"/>
      <c r="AF101" s="48"/>
      <c r="AG101" s="49">
        <f ca="1">SUMIFS(rec.uni[2029-03-01],
INDIRECT("rec.uni[natureza]"),"pro.soluto",
INDIRECT("rec.uni[empresa]"),AG$6)</f>
        <v>0</v>
      </c>
      <c r="AH101" s="38"/>
      <c r="AI101" s="51"/>
      <c r="AJ101" s="51"/>
      <c r="AK101" s="49">
        <f ca="1">SUMIFS(rec.uni[2029-03-01],
INDIRECT("rec.uni[natureza]"),"taxa.extra",
INDIRECT("rec.uni[empresa]"),AK$6)</f>
        <v>0</v>
      </c>
      <c r="AL101" s="51"/>
      <c r="AM101" s="39"/>
      <c r="AN101" s="49">
        <f ca="1">SUMIFS(rec.uni[2029-03-01],
INDIRECT("rec.uni[natureza]"),"pro.soluto",
INDIRECT("rec.uni[empresa]"),AN$6)</f>
        <v>0</v>
      </c>
      <c r="AO101" s="49">
        <f ca="1">SUMIFS(rec.uni[2029-03-01],
INDIRECT("rec.uni[natureza]"),"taxa.extra",
INDIRECT("rec.uni[empresa]"),AO$6)</f>
        <v>0</v>
      </c>
      <c r="AP101" s="143"/>
    </row>
    <row r="102" spans="1:42" x14ac:dyDescent="0.25">
      <c r="A102" s="47">
        <v>47209</v>
      </c>
      <c r="B102" s="39"/>
      <c r="C102" s="49">
        <f ca="1">SUMIFS(rec.uni[2029-04-01],
INDIRECT("rec.uni[natureza]"),"pro.soluto",
INDIRECT("rec.uni[empresa]"),C$6)</f>
        <v>0</v>
      </c>
      <c r="D102" s="38"/>
      <c r="E102" s="51"/>
      <c r="F102" s="51"/>
      <c r="G102" s="49">
        <f ca="1">SUMIFS(rec.uni[2029-04-01],
INDIRECT("rec.uni[natureza]"),"taxa.extra",
INDIRECT("rec.uni[empresa]"),G$6)</f>
        <v>0</v>
      </c>
      <c r="H102" s="51"/>
      <c r="I102" s="39"/>
      <c r="J102" s="49">
        <f ca="1">SUMIFS(rec.uni[2029-04-01],
INDIRECT("rec.uni[natureza]"),"pro.soluto",
INDIRECT("rec.uni[empresa]"),J$6)</f>
        <v>0</v>
      </c>
      <c r="K102" s="38"/>
      <c r="L102" s="51"/>
      <c r="M102" s="51"/>
      <c r="N102" s="49">
        <f ca="1">SUMIFS(rec.uni[2029-04-01],
INDIRECT("rec.uni[natureza]"),"taxa.extra",
INDIRECT("rec.uni[empresa]"),N$6)</f>
        <v>0</v>
      </c>
      <c r="O102" s="51"/>
      <c r="P102" s="39"/>
      <c r="Q102" s="49">
        <f ca="1">SUMIFS(rec.uni[2029-04-01],
INDIRECT("rec.uni[natureza]"),"pro.soluto",
INDIRECT("rec.uni[empresa]"),Q$6)</f>
        <v>0</v>
      </c>
      <c r="R102" s="38"/>
      <c r="S102" s="51"/>
      <c r="T102" s="51"/>
      <c r="U102" s="49">
        <f ca="1">SUMIFS(rec.uni[2029-04-01],
INDIRECT("rec.uni[natureza]"),"taxa.extra",
INDIRECT("rec.uni[empresa]"),U$6)</f>
        <v>0</v>
      </c>
      <c r="V102" s="51"/>
      <c r="W102" s="39"/>
      <c r="X102" s="49">
        <f ca="1">SUMIFS(rec.uni[2029-04-01],
INDIRECT("rec.uni[natureza]"),"pro.soluto",
INDIRECT("rec.uni[empresa]"),X$6)</f>
        <v>0</v>
      </c>
      <c r="Y102" s="49">
        <f ca="1">SUMIFS(rec.uni[2029-04-01],
INDIRECT("rec.uni[natureza]"),"taxa.extra",
INDIRECT("rec.uni[empresa]"),Y$6)</f>
        <v>0</v>
      </c>
      <c r="Z102" s="51"/>
      <c r="AA102" s="39"/>
      <c r="AB102" s="49">
        <f ca="1">SUMIFS(rec.uni[2029-04-01],
INDIRECT("rec.uni[natureza]"),"pro.soluto",
INDIRECT("rec.uni[empresa]"),AB$6)</f>
        <v>0</v>
      </c>
      <c r="AC102" s="51">
        <f ca="1">SUMIFS(rec.uni[2029-04-01],
INDIRECT("rec.uni[natureza]"),"parcela.fin.total.ik",
INDIRECT("rec.uni[empresa]"),AC$6)</f>
        <v>0</v>
      </c>
      <c r="AD102" s="49">
        <f ca="1">SUMIFS(rec.uni[2029-04-01],
INDIRECT("rec.uni[natureza]"),"taxa.extra",
INDIRECT("rec.uni[empresa]"),AD$6)</f>
        <v>0</v>
      </c>
      <c r="AE102" s="51"/>
      <c r="AF102" s="48"/>
      <c r="AG102" s="49">
        <f ca="1">SUMIFS(rec.uni[2029-04-01],
INDIRECT("rec.uni[natureza]"),"pro.soluto",
INDIRECT("rec.uni[empresa]"),AG$6)</f>
        <v>0</v>
      </c>
      <c r="AH102" s="38"/>
      <c r="AI102" s="51"/>
      <c r="AJ102" s="51"/>
      <c r="AK102" s="49">
        <f ca="1">SUMIFS(rec.uni[2029-04-01],
INDIRECT("rec.uni[natureza]"),"taxa.extra",
INDIRECT("rec.uni[empresa]"),AK$6)</f>
        <v>0</v>
      </c>
      <c r="AL102" s="51"/>
      <c r="AM102" s="39"/>
      <c r="AN102" s="49">
        <f ca="1">SUMIFS(rec.uni[2029-04-01],
INDIRECT("rec.uni[natureza]"),"pro.soluto",
INDIRECT("rec.uni[empresa]"),AN$6)</f>
        <v>0</v>
      </c>
      <c r="AO102" s="49">
        <f ca="1">SUMIFS(rec.uni[2029-04-01],
INDIRECT("rec.uni[natureza]"),"taxa.extra",
INDIRECT("rec.uni[empresa]"),AO$6)</f>
        <v>0</v>
      </c>
      <c r="AP102" s="143"/>
    </row>
    <row r="103" spans="1:42" x14ac:dyDescent="0.25">
      <c r="A103" s="47">
        <v>47239</v>
      </c>
      <c r="B103" s="39"/>
      <c r="C103" s="49">
        <f ca="1">SUMIFS(rec.uni[2029-05-01],
INDIRECT("rec.uni[natureza]"),"pro.soluto",
INDIRECT("rec.uni[empresa]"),C$6)</f>
        <v>0</v>
      </c>
      <c r="D103" s="38"/>
      <c r="E103" s="51"/>
      <c r="F103" s="51"/>
      <c r="G103" s="49">
        <f ca="1">SUMIFS(rec.uni[2029-05-01],
INDIRECT("rec.uni[natureza]"),"taxa.extra",
INDIRECT("rec.uni[empresa]"),G$6)</f>
        <v>0</v>
      </c>
      <c r="H103" s="51"/>
      <c r="I103" s="39"/>
      <c r="J103" s="49">
        <f ca="1">SUMIFS(rec.uni[2029-05-01],
INDIRECT("rec.uni[natureza]"),"pro.soluto",
INDIRECT("rec.uni[empresa]"),J$6)</f>
        <v>0</v>
      </c>
      <c r="K103" s="38"/>
      <c r="L103" s="51"/>
      <c r="M103" s="51"/>
      <c r="N103" s="49">
        <f ca="1">SUMIFS(rec.uni[2029-05-01],
INDIRECT("rec.uni[natureza]"),"taxa.extra",
INDIRECT("rec.uni[empresa]"),N$6)</f>
        <v>0</v>
      </c>
      <c r="O103" s="51"/>
      <c r="P103" s="39"/>
      <c r="Q103" s="49">
        <f ca="1">SUMIFS(rec.uni[2029-05-01],
INDIRECT("rec.uni[natureza]"),"pro.soluto",
INDIRECT("rec.uni[empresa]"),Q$6)</f>
        <v>0</v>
      </c>
      <c r="R103" s="38"/>
      <c r="S103" s="51"/>
      <c r="T103" s="51"/>
      <c r="U103" s="49">
        <f ca="1">SUMIFS(rec.uni[2029-05-01],
INDIRECT("rec.uni[natureza]"),"taxa.extra",
INDIRECT("rec.uni[empresa]"),U$6)</f>
        <v>0</v>
      </c>
      <c r="V103" s="51"/>
      <c r="W103" s="39"/>
      <c r="X103" s="49">
        <f ca="1">SUMIFS(rec.uni[2029-05-01],
INDIRECT("rec.uni[natureza]"),"pro.soluto",
INDIRECT("rec.uni[empresa]"),X$6)</f>
        <v>0</v>
      </c>
      <c r="Y103" s="49">
        <f ca="1">SUMIFS(rec.uni[2029-05-01],
INDIRECT("rec.uni[natureza]"),"taxa.extra",
INDIRECT("rec.uni[empresa]"),Y$6)</f>
        <v>0</v>
      </c>
      <c r="Z103" s="51"/>
      <c r="AA103" s="39"/>
      <c r="AB103" s="49">
        <f ca="1">SUMIFS(rec.uni[2029-05-01],
INDIRECT("rec.uni[natureza]"),"pro.soluto",
INDIRECT("rec.uni[empresa]"),AB$6)</f>
        <v>0</v>
      </c>
      <c r="AC103" s="51">
        <f ca="1">SUMIFS(rec.uni[2029-05-01],
INDIRECT("rec.uni[natureza]"),"parcela.fin.total.ik",
INDIRECT("rec.uni[empresa]"),AC$6)</f>
        <v>0</v>
      </c>
      <c r="AD103" s="49">
        <f ca="1">SUMIFS(rec.uni[2029-05-01],
INDIRECT("rec.uni[natureza]"),"taxa.extra",
INDIRECT("rec.uni[empresa]"),AD$6)</f>
        <v>0</v>
      </c>
      <c r="AE103" s="51"/>
      <c r="AF103" s="48"/>
      <c r="AG103" s="49">
        <f ca="1">SUMIFS(rec.uni[2029-05-01],
INDIRECT("rec.uni[natureza]"),"pro.soluto",
INDIRECT("rec.uni[empresa]"),AG$6)</f>
        <v>0</v>
      </c>
      <c r="AH103" s="38"/>
      <c r="AI103" s="51"/>
      <c r="AJ103" s="51"/>
      <c r="AK103" s="49">
        <f ca="1">SUMIFS(rec.uni[2029-05-01],
INDIRECT("rec.uni[natureza]"),"taxa.extra",
INDIRECT("rec.uni[empresa]"),AK$6)</f>
        <v>0</v>
      </c>
      <c r="AL103" s="51"/>
      <c r="AM103" s="39"/>
      <c r="AN103" s="49">
        <f ca="1">SUMIFS(rec.uni[2029-05-01],
INDIRECT("rec.uni[natureza]"),"pro.soluto",
INDIRECT("rec.uni[empresa]"),AN$6)</f>
        <v>0</v>
      </c>
      <c r="AO103" s="49">
        <f ca="1">SUMIFS(rec.uni[2029-05-01],
INDIRECT("rec.uni[natureza]"),"taxa.extra",
INDIRECT("rec.uni[empresa]"),AO$6)</f>
        <v>0</v>
      </c>
      <c r="AP103" s="143"/>
    </row>
    <row r="104" spans="1:42" x14ac:dyDescent="0.25">
      <c r="A104" s="47">
        <v>47270</v>
      </c>
      <c r="B104" s="39"/>
      <c r="C104" s="49">
        <f ca="1">SUMIFS(rec.uni[2029-06-01],
INDIRECT("rec.uni[natureza]"),"pro.soluto",
INDIRECT("rec.uni[empresa]"),C$6)</f>
        <v>0</v>
      </c>
      <c r="D104" s="38"/>
      <c r="E104" s="51"/>
      <c r="F104" s="51"/>
      <c r="G104" s="49">
        <f ca="1">SUMIFS(rec.uni[2029-06-01],
INDIRECT("rec.uni[natureza]"),"taxa.extra",
INDIRECT("rec.uni[empresa]"),G$6)</f>
        <v>0</v>
      </c>
      <c r="H104" s="51"/>
      <c r="I104" s="39"/>
      <c r="J104" s="49">
        <f ca="1">SUMIFS(rec.uni[2029-06-01],
INDIRECT("rec.uni[natureza]"),"pro.soluto",
INDIRECT("rec.uni[empresa]"),J$6)</f>
        <v>0</v>
      </c>
      <c r="K104" s="38"/>
      <c r="L104" s="51"/>
      <c r="M104" s="51"/>
      <c r="N104" s="49">
        <f ca="1">SUMIFS(rec.uni[2029-06-01],
INDIRECT("rec.uni[natureza]"),"taxa.extra",
INDIRECT("rec.uni[empresa]"),N$6)</f>
        <v>0</v>
      </c>
      <c r="O104" s="51"/>
      <c r="P104" s="39"/>
      <c r="Q104" s="49">
        <f ca="1">SUMIFS(rec.uni[2029-06-01],
INDIRECT("rec.uni[natureza]"),"pro.soluto",
INDIRECT("rec.uni[empresa]"),Q$6)</f>
        <v>0</v>
      </c>
      <c r="R104" s="38"/>
      <c r="S104" s="51"/>
      <c r="T104" s="51"/>
      <c r="U104" s="49">
        <f ca="1">SUMIFS(rec.uni[2029-06-01],
INDIRECT("rec.uni[natureza]"),"taxa.extra",
INDIRECT("rec.uni[empresa]"),U$6)</f>
        <v>0</v>
      </c>
      <c r="V104" s="51"/>
      <c r="W104" s="39"/>
      <c r="X104" s="49">
        <f ca="1">SUMIFS(rec.uni[2029-06-01],
INDIRECT("rec.uni[natureza]"),"pro.soluto",
INDIRECT("rec.uni[empresa]"),X$6)</f>
        <v>0</v>
      </c>
      <c r="Y104" s="49">
        <f ca="1">SUMIFS(rec.uni[2029-06-01],
INDIRECT("rec.uni[natureza]"),"taxa.extra",
INDIRECT("rec.uni[empresa]"),Y$6)</f>
        <v>0</v>
      </c>
      <c r="Z104" s="51"/>
      <c r="AA104" s="39"/>
      <c r="AB104" s="49">
        <f ca="1">SUMIFS(rec.uni[2029-06-01],
INDIRECT("rec.uni[natureza]"),"pro.soluto",
INDIRECT("rec.uni[empresa]"),AB$6)</f>
        <v>0</v>
      </c>
      <c r="AC104" s="51">
        <f ca="1">SUMIFS(rec.uni[2029-06-01],
INDIRECT("rec.uni[natureza]"),"parcela.fin.total.ik",
INDIRECT("rec.uni[empresa]"),AC$6)</f>
        <v>0</v>
      </c>
      <c r="AD104" s="49">
        <f ca="1">SUMIFS(rec.uni[2029-06-01],
INDIRECT("rec.uni[natureza]"),"taxa.extra",
INDIRECT("rec.uni[empresa]"),AD$6)</f>
        <v>0</v>
      </c>
      <c r="AE104" s="51"/>
      <c r="AF104" s="48"/>
      <c r="AG104" s="49">
        <f ca="1">SUMIFS(rec.uni[2029-06-01],
INDIRECT("rec.uni[natureza]"),"pro.soluto",
INDIRECT("rec.uni[empresa]"),AG$6)</f>
        <v>0</v>
      </c>
      <c r="AH104" s="38"/>
      <c r="AI104" s="51"/>
      <c r="AJ104" s="51"/>
      <c r="AK104" s="49">
        <f ca="1">SUMIFS(rec.uni[2029-06-01],
INDIRECT("rec.uni[natureza]"),"taxa.extra",
INDIRECT("rec.uni[empresa]"),AK$6)</f>
        <v>0</v>
      </c>
      <c r="AL104" s="51"/>
      <c r="AM104" s="39"/>
      <c r="AN104" s="49">
        <f ca="1">SUMIFS(rec.uni[2029-06-01],
INDIRECT("rec.uni[natureza]"),"pro.soluto",
INDIRECT("rec.uni[empresa]"),AN$6)</f>
        <v>0</v>
      </c>
      <c r="AO104" s="49">
        <f ca="1">SUMIFS(rec.uni[2029-06-01],
INDIRECT("rec.uni[natureza]"),"taxa.extra",
INDIRECT("rec.uni[empresa]"),AO$6)</f>
        <v>0</v>
      </c>
      <c r="AP104" s="143"/>
    </row>
    <row r="105" spans="1:42" x14ac:dyDescent="0.25">
      <c r="A105" s="47">
        <v>47300</v>
      </c>
      <c r="B105" s="39"/>
      <c r="C105" s="49">
        <f ca="1">SUMIFS(rec.uni[2029-07-01],
INDIRECT("rec.uni[natureza]"),"pro.soluto",
INDIRECT("rec.uni[empresa]"),C$6)</f>
        <v>0</v>
      </c>
      <c r="D105" s="38"/>
      <c r="E105" s="51"/>
      <c r="F105" s="51"/>
      <c r="G105" s="49">
        <f ca="1">SUMIFS(rec.uni[2029-07-01],
INDIRECT("rec.uni[natureza]"),"taxa.extra",
INDIRECT("rec.uni[empresa]"),G$6)</f>
        <v>0</v>
      </c>
      <c r="H105" s="51"/>
      <c r="I105" s="39"/>
      <c r="J105" s="49">
        <f ca="1">SUMIFS(rec.uni[2029-07-01],
INDIRECT("rec.uni[natureza]"),"pro.soluto",
INDIRECT("rec.uni[empresa]"),J$6)</f>
        <v>0</v>
      </c>
      <c r="K105" s="38"/>
      <c r="L105" s="51"/>
      <c r="M105" s="51"/>
      <c r="N105" s="49">
        <f ca="1">SUMIFS(rec.uni[2029-07-01],
INDIRECT("rec.uni[natureza]"),"taxa.extra",
INDIRECT("rec.uni[empresa]"),N$6)</f>
        <v>0</v>
      </c>
      <c r="O105" s="51"/>
      <c r="P105" s="39"/>
      <c r="Q105" s="49">
        <f ca="1">SUMIFS(rec.uni[2029-07-01],
INDIRECT("rec.uni[natureza]"),"pro.soluto",
INDIRECT("rec.uni[empresa]"),Q$6)</f>
        <v>0</v>
      </c>
      <c r="R105" s="38"/>
      <c r="S105" s="51"/>
      <c r="T105" s="51"/>
      <c r="U105" s="49">
        <f ca="1">SUMIFS(rec.uni[2029-07-01],
INDIRECT("rec.uni[natureza]"),"taxa.extra",
INDIRECT("rec.uni[empresa]"),U$6)</f>
        <v>0</v>
      </c>
      <c r="V105" s="51"/>
      <c r="W105" s="39"/>
      <c r="X105" s="49">
        <f ca="1">SUMIFS(rec.uni[2029-07-01],
INDIRECT("rec.uni[natureza]"),"pro.soluto",
INDIRECT("rec.uni[empresa]"),X$6)</f>
        <v>0</v>
      </c>
      <c r="Y105" s="49">
        <f ca="1">SUMIFS(rec.uni[2029-07-01],
INDIRECT("rec.uni[natureza]"),"taxa.extra",
INDIRECT("rec.uni[empresa]"),Y$6)</f>
        <v>0</v>
      </c>
      <c r="Z105" s="51"/>
      <c r="AA105" s="39"/>
      <c r="AB105" s="49">
        <f ca="1">SUMIFS(rec.uni[2029-07-01],
INDIRECT("rec.uni[natureza]"),"pro.soluto",
INDIRECT("rec.uni[empresa]"),AB$6)</f>
        <v>0</v>
      </c>
      <c r="AC105" s="51">
        <f ca="1">SUMIFS(rec.uni[2029-07-01],
INDIRECT("rec.uni[natureza]"),"parcela.fin.total.ik",
INDIRECT("rec.uni[empresa]"),AC$6)</f>
        <v>0</v>
      </c>
      <c r="AD105" s="49">
        <f ca="1">SUMIFS(rec.uni[2029-07-01],
INDIRECT("rec.uni[natureza]"),"taxa.extra",
INDIRECT("rec.uni[empresa]"),AD$6)</f>
        <v>0</v>
      </c>
      <c r="AE105" s="51"/>
      <c r="AF105" s="48"/>
      <c r="AG105" s="49">
        <f ca="1">SUMIFS(rec.uni[2029-07-01],
INDIRECT("rec.uni[natureza]"),"pro.soluto",
INDIRECT("rec.uni[empresa]"),AG$6)</f>
        <v>0</v>
      </c>
      <c r="AH105" s="38"/>
      <c r="AI105" s="51"/>
      <c r="AJ105" s="51"/>
      <c r="AK105" s="49">
        <f ca="1">SUMIFS(rec.uni[2029-07-01],
INDIRECT("rec.uni[natureza]"),"taxa.extra",
INDIRECT("rec.uni[empresa]"),AK$6)</f>
        <v>0</v>
      </c>
      <c r="AL105" s="51"/>
      <c r="AM105" s="39"/>
      <c r="AN105" s="49">
        <f ca="1">SUMIFS(rec.uni[2029-07-01],
INDIRECT("rec.uni[natureza]"),"pro.soluto",
INDIRECT("rec.uni[empresa]"),AN$6)</f>
        <v>0</v>
      </c>
      <c r="AO105" s="49">
        <f ca="1">SUMIFS(rec.uni[2029-07-01],
INDIRECT("rec.uni[natureza]"),"taxa.extra",
INDIRECT("rec.uni[empresa]"),AO$6)</f>
        <v>0</v>
      </c>
      <c r="AP105" s="143"/>
    </row>
    <row r="106" spans="1:42" x14ac:dyDescent="0.25">
      <c r="A106" s="47">
        <v>47331</v>
      </c>
      <c r="B106" s="39"/>
      <c r="C106" s="49">
        <f ca="1">SUMIFS(rec.uni[2029-08-01],
INDIRECT("rec.uni[natureza]"),"pro.soluto",
INDIRECT("rec.uni[empresa]"),C$6)</f>
        <v>0</v>
      </c>
      <c r="D106" s="38"/>
      <c r="E106" s="51"/>
      <c r="F106" s="51"/>
      <c r="G106" s="49">
        <f ca="1">SUMIFS(rec.uni[2029-08-01],
INDIRECT("rec.uni[natureza]"),"taxa.extra",
INDIRECT("rec.uni[empresa]"),G$6)</f>
        <v>0</v>
      </c>
      <c r="H106" s="51"/>
      <c r="I106" s="39"/>
      <c r="J106" s="49">
        <f ca="1">SUMIFS(rec.uni[2029-08-01],
INDIRECT("rec.uni[natureza]"),"pro.soluto",
INDIRECT("rec.uni[empresa]"),J$6)</f>
        <v>0</v>
      </c>
      <c r="K106" s="38"/>
      <c r="L106" s="51"/>
      <c r="M106" s="51"/>
      <c r="N106" s="49">
        <f ca="1">SUMIFS(rec.uni[2029-08-01],
INDIRECT("rec.uni[natureza]"),"taxa.extra",
INDIRECT("rec.uni[empresa]"),N$6)</f>
        <v>0</v>
      </c>
      <c r="O106" s="51"/>
      <c r="P106" s="39"/>
      <c r="Q106" s="49">
        <f ca="1">SUMIFS(rec.uni[2029-08-01],
INDIRECT("rec.uni[natureza]"),"pro.soluto",
INDIRECT("rec.uni[empresa]"),Q$6)</f>
        <v>0</v>
      </c>
      <c r="R106" s="38"/>
      <c r="S106" s="51"/>
      <c r="T106" s="51"/>
      <c r="U106" s="49">
        <f ca="1">SUMIFS(rec.uni[2029-08-01],
INDIRECT("rec.uni[natureza]"),"taxa.extra",
INDIRECT("rec.uni[empresa]"),U$6)</f>
        <v>0</v>
      </c>
      <c r="V106" s="51"/>
      <c r="W106" s="39"/>
      <c r="X106" s="49">
        <f ca="1">SUMIFS(rec.uni[2029-08-01],
INDIRECT("rec.uni[natureza]"),"pro.soluto",
INDIRECT("rec.uni[empresa]"),X$6)</f>
        <v>0</v>
      </c>
      <c r="Y106" s="49">
        <f ca="1">SUMIFS(rec.uni[2029-08-01],
INDIRECT("rec.uni[natureza]"),"taxa.extra",
INDIRECT("rec.uni[empresa]"),Y$6)</f>
        <v>0</v>
      </c>
      <c r="Z106" s="51"/>
      <c r="AA106" s="39"/>
      <c r="AB106" s="49">
        <f ca="1">SUMIFS(rec.uni[2029-08-01],
INDIRECT("rec.uni[natureza]"),"pro.soluto",
INDIRECT("rec.uni[empresa]"),AB$6)</f>
        <v>0</v>
      </c>
      <c r="AC106" s="51">
        <f ca="1">SUMIFS(rec.uni[2029-08-01],
INDIRECT("rec.uni[natureza]"),"parcela.fin.total.ik",
INDIRECT("rec.uni[empresa]"),AC$6)</f>
        <v>0</v>
      </c>
      <c r="AD106" s="49">
        <f ca="1">SUMIFS(rec.uni[2029-08-01],
INDIRECT("rec.uni[natureza]"),"taxa.extra",
INDIRECT("rec.uni[empresa]"),AD$6)</f>
        <v>0</v>
      </c>
      <c r="AE106" s="51"/>
      <c r="AF106" s="48"/>
      <c r="AG106" s="49">
        <f ca="1">SUMIFS(rec.uni[2029-08-01],
INDIRECT("rec.uni[natureza]"),"pro.soluto",
INDIRECT("rec.uni[empresa]"),AG$6)</f>
        <v>0</v>
      </c>
      <c r="AH106" s="38"/>
      <c r="AI106" s="51"/>
      <c r="AJ106" s="51"/>
      <c r="AK106" s="49">
        <f ca="1">SUMIFS(rec.uni[2029-08-01],
INDIRECT("rec.uni[natureza]"),"taxa.extra",
INDIRECT("rec.uni[empresa]"),AK$6)</f>
        <v>0</v>
      </c>
      <c r="AL106" s="51"/>
      <c r="AM106" s="39"/>
      <c r="AN106" s="49">
        <f ca="1">SUMIFS(rec.uni[2029-08-01],
INDIRECT("rec.uni[natureza]"),"pro.soluto",
INDIRECT("rec.uni[empresa]"),AN$6)</f>
        <v>0</v>
      </c>
      <c r="AO106" s="49">
        <f ca="1">SUMIFS(rec.uni[2029-08-01],
INDIRECT("rec.uni[natureza]"),"taxa.extra",
INDIRECT("rec.uni[empresa]"),AO$6)</f>
        <v>0</v>
      </c>
      <c r="AP106" s="143"/>
    </row>
    <row r="107" spans="1:42" x14ac:dyDescent="0.25">
      <c r="A107" s="47">
        <v>47362</v>
      </c>
      <c r="B107" s="39"/>
      <c r="C107" s="49">
        <f ca="1">SUMIFS(rec.uni[2029-09-01],
INDIRECT("rec.uni[natureza]"),"pro.soluto",
INDIRECT("rec.uni[empresa]"),C$6)</f>
        <v>0</v>
      </c>
      <c r="D107" s="38"/>
      <c r="E107" s="51"/>
      <c r="F107" s="51"/>
      <c r="G107" s="49">
        <f ca="1">SUMIFS(rec.uni[2029-09-01],
INDIRECT("rec.uni[natureza]"),"taxa.extra",
INDIRECT("rec.uni[empresa]"),G$6)</f>
        <v>0</v>
      </c>
      <c r="H107" s="51"/>
      <c r="I107" s="39"/>
      <c r="J107" s="49">
        <f ca="1">SUMIFS(rec.uni[2029-09-01],
INDIRECT("rec.uni[natureza]"),"pro.soluto",
INDIRECT("rec.uni[empresa]"),J$6)</f>
        <v>0</v>
      </c>
      <c r="K107" s="38"/>
      <c r="L107" s="51"/>
      <c r="M107" s="51"/>
      <c r="N107" s="49">
        <f ca="1">SUMIFS(rec.uni[2029-09-01],
INDIRECT("rec.uni[natureza]"),"taxa.extra",
INDIRECT("rec.uni[empresa]"),N$6)</f>
        <v>0</v>
      </c>
      <c r="O107" s="51"/>
      <c r="P107" s="39"/>
      <c r="Q107" s="49">
        <f ca="1">SUMIFS(rec.uni[2029-09-01],
INDIRECT("rec.uni[natureza]"),"pro.soluto",
INDIRECT("rec.uni[empresa]"),Q$6)</f>
        <v>0</v>
      </c>
      <c r="R107" s="38"/>
      <c r="S107" s="51"/>
      <c r="T107" s="51"/>
      <c r="U107" s="49">
        <f ca="1">SUMIFS(rec.uni[2029-09-01],
INDIRECT("rec.uni[natureza]"),"taxa.extra",
INDIRECT("rec.uni[empresa]"),U$6)</f>
        <v>0</v>
      </c>
      <c r="V107" s="51"/>
      <c r="W107" s="39"/>
      <c r="X107" s="49">
        <f ca="1">SUMIFS(rec.uni[2029-09-01],
INDIRECT("rec.uni[natureza]"),"pro.soluto",
INDIRECT("rec.uni[empresa]"),X$6)</f>
        <v>0</v>
      </c>
      <c r="Y107" s="49">
        <f ca="1">SUMIFS(rec.uni[2029-09-01],
INDIRECT("rec.uni[natureza]"),"taxa.extra",
INDIRECT("rec.uni[empresa]"),Y$6)</f>
        <v>0</v>
      </c>
      <c r="Z107" s="51"/>
      <c r="AA107" s="39"/>
      <c r="AB107" s="49">
        <f ca="1">SUMIFS(rec.uni[2029-09-01],
INDIRECT("rec.uni[natureza]"),"pro.soluto",
INDIRECT("rec.uni[empresa]"),AB$6)</f>
        <v>0</v>
      </c>
      <c r="AC107" s="51">
        <f ca="1">SUMIFS(rec.uni[2029-09-01],
INDIRECT("rec.uni[natureza]"),"parcela.fin.total.ik",
INDIRECT("rec.uni[empresa]"),AC$6)</f>
        <v>0</v>
      </c>
      <c r="AD107" s="49">
        <f ca="1">SUMIFS(rec.uni[2029-09-01],
INDIRECT("rec.uni[natureza]"),"taxa.extra",
INDIRECT("rec.uni[empresa]"),AD$6)</f>
        <v>0</v>
      </c>
      <c r="AE107" s="51"/>
      <c r="AF107" s="48"/>
      <c r="AG107" s="49">
        <f ca="1">SUMIFS(rec.uni[2029-09-01],
INDIRECT("rec.uni[natureza]"),"pro.soluto",
INDIRECT("rec.uni[empresa]"),AG$6)</f>
        <v>0</v>
      </c>
      <c r="AH107" s="38"/>
      <c r="AI107" s="51"/>
      <c r="AJ107" s="51"/>
      <c r="AK107" s="49">
        <f ca="1">SUMIFS(rec.uni[2029-09-01],
INDIRECT("rec.uni[natureza]"),"taxa.extra",
INDIRECT("rec.uni[empresa]"),AK$6)</f>
        <v>0</v>
      </c>
      <c r="AL107" s="51"/>
      <c r="AM107" s="39"/>
      <c r="AN107" s="49">
        <f ca="1">SUMIFS(rec.uni[2029-09-01],
INDIRECT("rec.uni[natureza]"),"pro.soluto",
INDIRECT("rec.uni[empresa]"),AN$6)</f>
        <v>0</v>
      </c>
      <c r="AO107" s="49">
        <f ca="1">SUMIFS(rec.uni[2029-09-01],
INDIRECT("rec.uni[natureza]"),"taxa.extra",
INDIRECT("rec.uni[empresa]"),AO$6)</f>
        <v>0</v>
      </c>
      <c r="AP107" s="143"/>
    </row>
    <row r="108" spans="1:42" x14ac:dyDescent="0.25">
      <c r="A108" s="47">
        <v>47392</v>
      </c>
      <c r="B108" s="39"/>
      <c r="C108" s="49">
        <f ca="1">SUMIFS(rec.uni[2029-10-01],
INDIRECT("rec.uni[natureza]"),"pro.soluto",
INDIRECT("rec.uni[empresa]"),C$6)</f>
        <v>0</v>
      </c>
      <c r="D108" s="38"/>
      <c r="E108" s="51"/>
      <c r="F108" s="51"/>
      <c r="G108" s="49">
        <f ca="1">SUMIFS(rec.uni[2029-10-01],
INDIRECT("rec.uni[natureza]"),"taxa.extra",
INDIRECT("rec.uni[empresa]"),G$6)</f>
        <v>0</v>
      </c>
      <c r="H108" s="51"/>
      <c r="I108" s="39"/>
      <c r="J108" s="49">
        <f ca="1">SUMIFS(rec.uni[2029-10-01],
INDIRECT("rec.uni[natureza]"),"pro.soluto",
INDIRECT("rec.uni[empresa]"),J$6)</f>
        <v>0</v>
      </c>
      <c r="K108" s="38"/>
      <c r="L108" s="51"/>
      <c r="M108" s="51"/>
      <c r="N108" s="49">
        <f ca="1">SUMIFS(rec.uni[2029-10-01],
INDIRECT("rec.uni[natureza]"),"taxa.extra",
INDIRECT("rec.uni[empresa]"),N$6)</f>
        <v>0</v>
      </c>
      <c r="O108" s="51"/>
      <c r="P108" s="39"/>
      <c r="Q108" s="49">
        <f ca="1">SUMIFS(rec.uni[2029-10-01],
INDIRECT("rec.uni[natureza]"),"pro.soluto",
INDIRECT("rec.uni[empresa]"),Q$6)</f>
        <v>0</v>
      </c>
      <c r="R108" s="38"/>
      <c r="S108" s="51"/>
      <c r="T108" s="51"/>
      <c r="U108" s="49">
        <f ca="1">SUMIFS(rec.uni[2029-10-01],
INDIRECT("rec.uni[natureza]"),"taxa.extra",
INDIRECT("rec.uni[empresa]"),U$6)</f>
        <v>0</v>
      </c>
      <c r="V108" s="51"/>
      <c r="W108" s="39"/>
      <c r="X108" s="49">
        <f ca="1">SUMIFS(rec.uni[2029-10-01],
INDIRECT("rec.uni[natureza]"),"pro.soluto",
INDIRECT("rec.uni[empresa]"),X$6)</f>
        <v>0</v>
      </c>
      <c r="Y108" s="49">
        <f ca="1">SUMIFS(rec.uni[2029-10-01],
INDIRECT("rec.uni[natureza]"),"taxa.extra",
INDIRECT("rec.uni[empresa]"),Y$6)</f>
        <v>0</v>
      </c>
      <c r="Z108" s="51"/>
      <c r="AA108" s="39"/>
      <c r="AB108" s="49">
        <f ca="1">SUMIFS(rec.uni[2029-10-01],
INDIRECT("rec.uni[natureza]"),"pro.soluto",
INDIRECT("rec.uni[empresa]"),AB$6)</f>
        <v>0</v>
      </c>
      <c r="AC108" s="51">
        <f ca="1">SUMIFS(rec.uni[2029-10-01],
INDIRECT("rec.uni[natureza]"),"parcela.fin.total.ik",
INDIRECT("rec.uni[empresa]"),AC$6)</f>
        <v>0</v>
      </c>
      <c r="AD108" s="49">
        <f ca="1">SUMIFS(rec.uni[2029-10-01],
INDIRECT("rec.uni[natureza]"),"taxa.extra",
INDIRECT("rec.uni[empresa]"),AD$6)</f>
        <v>0</v>
      </c>
      <c r="AE108" s="51"/>
      <c r="AF108" s="48"/>
      <c r="AG108" s="49">
        <f ca="1">SUMIFS(rec.uni[2029-10-01],
INDIRECT("rec.uni[natureza]"),"pro.soluto",
INDIRECT("rec.uni[empresa]"),AG$6)</f>
        <v>0</v>
      </c>
      <c r="AH108" s="38"/>
      <c r="AI108" s="51"/>
      <c r="AJ108" s="51"/>
      <c r="AK108" s="49">
        <f ca="1">SUMIFS(rec.uni[2029-10-01],
INDIRECT("rec.uni[natureza]"),"taxa.extra",
INDIRECT("rec.uni[empresa]"),AK$6)</f>
        <v>0</v>
      </c>
      <c r="AL108" s="51"/>
      <c r="AM108" s="39"/>
      <c r="AN108" s="49">
        <f ca="1">SUMIFS(rec.uni[2029-10-01],
INDIRECT("rec.uni[natureza]"),"pro.soluto",
INDIRECT("rec.uni[empresa]"),AN$6)</f>
        <v>0</v>
      </c>
      <c r="AO108" s="49">
        <f ca="1">SUMIFS(rec.uni[2029-10-01],
INDIRECT("rec.uni[natureza]"),"taxa.extra",
INDIRECT("rec.uni[empresa]"),AO$6)</f>
        <v>0</v>
      </c>
      <c r="AP108" s="143"/>
    </row>
    <row r="109" spans="1:42" x14ac:dyDescent="0.25">
      <c r="A109" s="47">
        <v>47423</v>
      </c>
      <c r="B109" s="39"/>
      <c r="C109" s="49">
        <f ca="1">SUMIFS(rec.uni[2029-11-01],
INDIRECT("rec.uni[natureza]"),"pro.soluto",
INDIRECT("rec.uni[empresa]"),C$6)</f>
        <v>0</v>
      </c>
      <c r="D109" s="38"/>
      <c r="E109" s="51"/>
      <c r="F109" s="51"/>
      <c r="G109" s="49">
        <f ca="1">SUMIFS(rec.uni[2029-11-01],
INDIRECT("rec.uni[natureza]"),"taxa.extra",
INDIRECT("rec.uni[empresa]"),G$6)</f>
        <v>0</v>
      </c>
      <c r="H109" s="51"/>
      <c r="I109" s="39"/>
      <c r="J109" s="49">
        <f ca="1">SUMIFS(rec.uni[2029-11-01],
INDIRECT("rec.uni[natureza]"),"pro.soluto",
INDIRECT("rec.uni[empresa]"),J$6)</f>
        <v>0</v>
      </c>
      <c r="K109" s="38"/>
      <c r="L109" s="51"/>
      <c r="M109" s="51"/>
      <c r="N109" s="49">
        <f ca="1">SUMIFS(rec.uni[2029-11-01],
INDIRECT("rec.uni[natureza]"),"taxa.extra",
INDIRECT("rec.uni[empresa]"),N$6)</f>
        <v>0</v>
      </c>
      <c r="O109" s="51"/>
      <c r="P109" s="39"/>
      <c r="Q109" s="49">
        <f ca="1">SUMIFS(rec.uni[2029-11-01],
INDIRECT("rec.uni[natureza]"),"pro.soluto",
INDIRECT("rec.uni[empresa]"),Q$6)</f>
        <v>0</v>
      </c>
      <c r="R109" s="38"/>
      <c r="S109" s="51"/>
      <c r="T109" s="51"/>
      <c r="U109" s="49">
        <f ca="1">SUMIFS(rec.uni[2029-11-01],
INDIRECT("rec.uni[natureza]"),"taxa.extra",
INDIRECT("rec.uni[empresa]"),U$6)</f>
        <v>0</v>
      </c>
      <c r="V109" s="51"/>
      <c r="W109" s="39"/>
      <c r="X109" s="49">
        <f ca="1">SUMIFS(rec.uni[2029-11-01],
INDIRECT("rec.uni[natureza]"),"pro.soluto",
INDIRECT("rec.uni[empresa]"),X$6)</f>
        <v>0</v>
      </c>
      <c r="Y109" s="49">
        <f ca="1">SUMIFS(rec.uni[2029-11-01],
INDIRECT("rec.uni[natureza]"),"taxa.extra",
INDIRECT("rec.uni[empresa]"),Y$6)</f>
        <v>0</v>
      </c>
      <c r="Z109" s="51"/>
      <c r="AA109" s="39"/>
      <c r="AB109" s="49">
        <f ca="1">SUMIFS(rec.uni[2029-11-01],
INDIRECT("rec.uni[natureza]"),"pro.soluto",
INDIRECT("rec.uni[empresa]"),AB$6)</f>
        <v>0</v>
      </c>
      <c r="AC109" s="51">
        <f ca="1">SUMIFS(rec.uni[2029-11-01],
INDIRECT("rec.uni[natureza]"),"parcela.fin.total.ik",
INDIRECT("rec.uni[empresa]"),AC$6)</f>
        <v>0</v>
      </c>
      <c r="AD109" s="49">
        <f ca="1">SUMIFS(rec.uni[2029-11-01],
INDIRECT("rec.uni[natureza]"),"taxa.extra",
INDIRECT("rec.uni[empresa]"),AD$6)</f>
        <v>0</v>
      </c>
      <c r="AE109" s="51"/>
      <c r="AF109" s="48"/>
      <c r="AG109" s="49">
        <f ca="1">SUMIFS(rec.uni[2029-11-01],
INDIRECT("rec.uni[natureza]"),"pro.soluto",
INDIRECT("rec.uni[empresa]"),AG$6)</f>
        <v>0</v>
      </c>
      <c r="AH109" s="38"/>
      <c r="AI109" s="51"/>
      <c r="AJ109" s="51"/>
      <c r="AK109" s="49">
        <f ca="1">SUMIFS(rec.uni[2029-11-01],
INDIRECT("rec.uni[natureza]"),"taxa.extra",
INDIRECT("rec.uni[empresa]"),AK$6)</f>
        <v>0</v>
      </c>
      <c r="AL109" s="51"/>
      <c r="AM109" s="39"/>
      <c r="AN109" s="49">
        <f ca="1">SUMIFS(rec.uni[2029-11-01],
INDIRECT("rec.uni[natureza]"),"pro.soluto",
INDIRECT("rec.uni[empresa]"),AN$6)</f>
        <v>0</v>
      </c>
      <c r="AO109" s="49">
        <f ca="1">SUMIFS(rec.uni[2029-11-01],
INDIRECT("rec.uni[natureza]"),"taxa.extra",
INDIRECT("rec.uni[empresa]"),AO$6)</f>
        <v>0</v>
      </c>
      <c r="AP109" s="143"/>
    </row>
    <row r="110" spans="1:42" x14ac:dyDescent="0.25">
      <c r="A110" s="47">
        <v>47453</v>
      </c>
      <c r="B110" s="39"/>
      <c r="C110" s="49">
        <f ca="1">SUMIFS(rec.uni[2029-12-01],
INDIRECT("rec.uni[natureza]"),"pro.soluto",
INDIRECT("rec.uni[empresa]"),C$6)</f>
        <v>0</v>
      </c>
      <c r="D110" s="38"/>
      <c r="E110" s="51"/>
      <c r="F110" s="51"/>
      <c r="G110" s="49">
        <f ca="1">SUMIFS(rec.uni[2029-12-01],
INDIRECT("rec.uni[natureza]"),"taxa.extra",
INDIRECT("rec.uni[empresa]"),G$6)</f>
        <v>0</v>
      </c>
      <c r="H110" s="51"/>
      <c r="I110" s="39"/>
      <c r="J110" s="49">
        <f ca="1">SUMIFS(rec.uni[2029-12-01],
INDIRECT("rec.uni[natureza]"),"pro.soluto",
INDIRECT("rec.uni[empresa]"),J$6)</f>
        <v>0</v>
      </c>
      <c r="K110" s="38"/>
      <c r="L110" s="51"/>
      <c r="M110" s="51"/>
      <c r="N110" s="49">
        <f ca="1">SUMIFS(rec.uni[2029-12-01],
INDIRECT("rec.uni[natureza]"),"taxa.extra",
INDIRECT("rec.uni[empresa]"),N$6)</f>
        <v>0</v>
      </c>
      <c r="O110" s="51"/>
      <c r="P110" s="39"/>
      <c r="Q110" s="49">
        <f ca="1">SUMIFS(rec.uni[2029-12-01],
INDIRECT("rec.uni[natureza]"),"pro.soluto",
INDIRECT("rec.uni[empresa]"),Q$6)</f>
        <v>0</v>
      </c>
      <c r="R110" s="38"/>
      <c r="S110" s="51"/>
      <c r="T110" s="51"/>
      <c r="U110" s="49">
        <f ca="1">SUMIFS(rec.uni[2029-12-01],
INDIRECT("rec.uni[natureza]"),"taxa.extra",
INDIRECT("rec.uni[empresa]"),U$6)</f>
        <v>0</v>
      </c>
      <c r="V110" s="51"/>
      <c r="W110" s="39"/>
      <c r="X110" s="49">
        <f ca="1">SUMIFS(rec.uni[2029-12-01],
INDIRECT("rec.uni[natureza]"),"pro.soluto",
INDIRECT("rec.uni[empresa]"),X$6)</f>
        <v>0</v>
      </c>
      <c r="Y110" s="49">
        <f ca="1">SUMIFS(rec.uni[2029-12-01],
INDIRECT("rec.uni[natureza]"),"taxa.extra",
INDIRECT("rec.uni[empresa]"),Y$6)</f>
        <v>0</v>
      </c>
      <c r="Z110" s="51"/>
      <c r="AA110" s="39"/>
      <c r="AB110" s="49">
        <f ca="1">SUMIFS(rec.uni[2029-12-01],
INDIRECT("rec.uni[natureza]"),"pro.soluto",
INDIRECT("rec.uni[empresa]"),AB$6)</f>
        <v>0</v>
      </c>
      <c r="AC110" s="51">
        <f ca="1">SUMIFS(rec.uni[2029-12-01],
INDIRECT("rec.uni[natureza]"),"parcela.fin.total.ik",
INDIRECT("rec.uni[empresa]"),AC$6)</f>
        <v>0</v>
      </c>
      <c r="AD110" s="49">
        <f ca="1">SUMIFS(rec.uni[2029-12-01],
INDIRECT("rec.uni[natureza]"),"taxa.extra",
INDIRECT("rec.uni[empresa]"),AD$6)</f>
        <v>0</v>
      </c>
      <c r="AE110" s="51"/>
      <c r="AF110" s="48"/>
      <c r="AG110" s="49">
        <f ca="1">SUMIFS(rec.uni[2029-12-01],
INDIRECT("rec.uni[natureza]"),"pro.soluto",
INDIRECT("rec.uni[empresa]"),AG$6)</f>
        <v>0</v>
      </c>
      <c r="AH110" s="38"/>
      <c r="AI110" s="51"/>
      <c r="AJ110" s="51"/>
      <c r="AK110" s="49">
        <f ca="1">SUMIFS(rec.uni[2029-12-01],
INDIRECT("rec.uni[natureza]"),"taxa.extra",
INDIRECT("rec.uni[empresa]"),AK$6)</f>
        <v>0</v>
      </c>
      <c r="AL110" s="51"/>
      <c r="AM110" s="39"/>
      <c r="AN110" s="49">
        <f ca="1">SUMIFS(rec.uni[2029-12-01],
INDIRECT("rec.uni[natureza]"),"pro.soluto",
INDIRECT("rec.uni[empresa]"),AN$6)</f>
        <v>0</v>
      </c>
      <c r="AO110" s="49">
        <f ca="1">SUMIFS(rec.uni[2029-12-01],
INDIRECT("rec.uni[natureza]"),"taxa.extra",
INDIRECT("rec.uni[empresa]"),AO$6)</f>
        <v>0</v>
      </c>
      <c r="AP110" s="143"/>
    </row>
    <row r="111" spans="1:42" x14ac:dyDescent="0.25">
      <c r="A111" s="47">
        <v>47484</v>
      </c>
      <c r="B111" s="39"/>
      <c r="C111" s="49">
        <f ca="1">SUMIFS(rec.uni[2030-01-01],
INDIRECT("rec.uni[natureza]"),"pro.soluto",
INDIRECT("rec.uni[empresa]"),C$6)</f>
        <v>0</v>
      </c>
      <c r="D111" s="38"/>
      <c r="E111" s="51"/>
      <c r="F111" s="51"/>
      <c r="G111" s="49">
        <f ca="1">SUMIFS(rec.uni[2030-01-01],
INDIRECT("rec.uni[natureza]"),"taxa.extra",
INDIRECT("rec.uni[empresa]"),G$6)</f>
        <v>0</v>
      </c>
      <c r="H111" s="51"/>
      <c r="I111" s="39"/>
      <c r="J111" s="49">
        <f ca="1">SUMIFS(rec.uni[2030-01-01],
INDIRECT("rec.uni[natureza]"),"pro.soluto",
INDIRECT("rec.uni[empresa]"),J$6)</f>
        <v>0</v>
      </c>
      <c r="K111" s="38"/>
      <c r="L111" s="51"/>
      <c r="M111" s="51"/>
      <c r="N111" s="49">
        <f ca="1">SUMIFS(rec.uni[2030-01-01],
INDIRECT("rec.uni[natureza]"),"taxa.extra",
INDIRECT("rec.uni[empresa]"),N$6)</f>
        <v>0</v>
      </c>
      <c r="O111" s="51"/>
      <c r="P111" s="39"/>
      <c r="Q111" s="49">
        <f ca="1">SUMIFS(rec.uni[2030-01-01],
INDIRECT("rec.uni[natureza]"),"pro.soluto",
INDIRECT("rec.uni[empresa]"),Q$6)</f>
        <v>0</v>
      </c>
      <c r="R111" s="38"/>
      <c r="S111" s="51"/>
      <c r="T111" s="51"/>
      <c r="U111" s="49">
        <f ca="1">SUMIFS(rec.uni[2030-01-01],
INDIRECT("rec.uni[natureza]"),"taxa.extra",
INDIRECT("rec.uni[empresa]"),U$6)</f>
        <v>0</v>
      </c>
      <c r="V111" s="51"/>
      <c r="W111" s="39"/>
      <c r="X111" s="49">
        <f ca="1">SUMIFS(rec.uni[2030-01-01],
INDIRECT("rec.uni[natureza]"),"pro.soluto",
INDIRECT("rec.uni[empresa]"),X$6)</f>
        <v>0</v>
      </c>
      <c r="Y111" s="49">
        <f ca="1">SUMIFS(rec.uni[2030-01-01],
INDIRECT("rec.uni[natureza]"),"taxa.extra",
INDIRECT("rec.uni[empresa]"),Y$6)</f>
        <v>0</v>
      </c>
      <c r="Z111" s="51"/>
      <c r="AA111" s="39"/>
      <c r="AB111" s="49">
        <f ca="1">SUMIFS(rec.uni[2030-01-01],
INDIRECT("rec.uni[natureza]"),"pro.soluto",
INDIRECT("rec.uni[empresa]"),AB$6)</f>
        <v>0</v>
      </c>
      <c r="AC111" s="51">
        <f ca="1">SUMIFS(rec.uni[2030-01-01],
INDIRECT("rec.uni[natureza]"),"parcela.fin.total.ik",
INDIRECT("rec.uni[empresa]"),AC$6)</f>
        <v>0</v>
      </c>
      <c r="AD111" s="49">
        <f ca="1">SUMIFS(rec.uni[2030-01-01],
INDIRECT("rec.uni[natureza]"),"taxa.extra",
INDIRECT("rec.uni[empresa]"),AD$6)</f>
        <v>0</v>
      </c>
      <c r="AE111" s="51"/>
      <c r="AF111" s="48"/>
      <c r="AG111" s="49">
        <f ca="1">SUMIFS(rec.uni[2030-01-01],
INDIRECT("rec.uni[natureza]"),"pro.soluto",
INDIRECT("rec.uni[empresa]"),AG$6)</f>
        <v>0</v>
      </c>
      <c r="AH111" s="38"/>
      <c r="AI111" s="51"/>
      <c r="AJ111" s="51"/>
      <c r="AK111" s="49">
        <f ca="1">SUMIFS(rec.uni[2030-01-01],
INDIRECT("rec.uni[natureza]"),"taxa.extra",
INDIRECT("rec.uni[empresa]"),AK$6)</f>
        <v>0</v>
      </c>
      <c r="AL111" s="51"/>
      <c r="AM111" s="39"/>
      <c r="AN111" s="49">
        <f ca="1">SUMIFS(rec.uni[2030-01-01],
INDIRECT("rec.uni[natureza]"),"pro.soluto",
INDIRECT("rec.uni[empresa]"),AN$6)</f>
        <v>0</v>
      </c>
      <c r="AO111" s="49">
        <f ca="1">SUMIFS(rec.uni[2030-01-01],
INDIRECT("rec.uni[natureza]"),"taxa.extra",
INDIRECT("rec.uni[empresa]"),AO$6)</f>
        <v>0</v>
      </c>
      <c r="AP111" s="143"/>
    </row>
    <row r="112" spans="1:42" x14ac:dyDescent="0.25">
      <c r="A112" s="47">
        <v>47515</v>
      </c>
      <c r="B112" s="39"/>
      <c r="C112" s="49">
        <f ca="1">SUMIFS(rec.uni[2030-02-01],
INDIRECT("rec.uni[natureza]"),"pro.soluto",
INDIRECT("rec.uni[empresa]"),C$6)</f>
        <v>0</v>
      </c>
      <c r="D112" s="38"/>
      <c r="E112" s="51"/>
      <c r="F112" s="51"/>
      <c r="G112" s="49">
        <f ca="1">SUMIFS(rec.uni[2030-02-01],
INDIRECT("rec.uni[natureza]"),"taxa.extra",
INDIRECT("rec.uni[empresa]"),G$6)</f>
        <v>0</v>
      </c>
      <c r="H112" s="51"/>
      <c r="I112" s="39"/>
      <c r="J112" s="49">
        <f ca="1">SUMIFS(rec.uni[2030-02-01],
INDIRECT("rec.uni[natureza]"),"pro.soluto",
INDIRECT("rec.uni[empresa]"),J$6)</f>
        <v>0</v>
      </c>
      <c r="K112" s="38"/>
      <c r="L112" s="51"/>
      <c r="M112" s="51"/>
      <c r="N112" s="49">
        <f ca="1">SUMIFS(rec.uni[2030-02-01],
INDIRECT("rec.uni[natureza]"),"taxa.extra",
INDIRECT("rec.uni[empresa]"),N$6)</f>
        <v>0</v>
      </c>
      <c r="O112" s="51"/>
      <c r="P112" s="39"/>
      <c r="Q112" s="49">
        <f ca="1">SUMIFS(rec.uni[2030-02-01],
INDIRECT("rec.uni[natureza]"),"pro.soluto",
INDIRECT("rec.uni[empresa]"),Q$6)</f>
        <v>0</v>
      </c>
      <c r="R112" s="38"/>
      <c r="S112" s="51"/>
      <c r="T112" s="51"/>
      <c r="U112" s="49">
        <f ca="1">SUMIFS(rec.uni[2030-02-01],
INDIRECT("rec.uni[natureza]"),"taxa.extra",
INDIRECT("rec.uni[empresa]"),U$6)</f>
        <v>0</v>
      </c>
      <c r="V112" s="51"/>
      <c r="W112" s="39"/>
      <c r="X112" s="49">
        <f ca="1">SUMIFS(rec.uni[2030-02-01],
INDIRECT("rec.uni[natureza]"),"pro.soluto",
INDIRECT("rec.uni[empresa]"),X$6)</f>
        <v>0</v>
      </c>
      <c r="Y112" s="49">
        <f ca="1">SUMIFS(rec.uni[2030-02-01],
INDIRECT("rec.uni[natureza]"),"taxa.extra",
INDIRECT("rec.uni[empresa]"),Y$6)</f>
        <v>0</v>
      </c>
      <c r="Z112" s="51"/>
      <c r="AA112" s="39"/>
      <c r="AB112" s="49">
        <f ca="1">SUMIFS(rec.uni[2030-02-01],
INDIRECT("rec.uni[natureza]"),"pro.soluto",
INDIRECT("rec.uni[empresa]"),AB$6)</f>
        <v>0</v>
      </c>
      <c r="AC112" s="51">
        <f ca="1">SUMIFS(rec.uni[2030-02-01],
INDIRECT("rec.uni[natureza]"),"parcela.fin.total.ik",
INDIRECT("rec.uni[empresa]"),AC$6)</f>
        <v>0</v>
      </c>
      <c r="AD112" s="49">
        <f ca="1">SUMIFS(rec.uni[2030-02-01],
INDIRECT("rec.uni[natureza]"),"taxa.extra",
INDIRECT("rec.uni[empresa]"),AD$6)</f>
        <v>0</v>
      </c>
      <c r="AE112" s="51"/>
      <c r="AF112" s="48"/>
      <c r="AG112" s="49">
        <f ca="1">SUMIFS(rec.uni[2030-02-01],
INDIRECT("rec.uni[natureza]"),"pro.soluto",
INDIRECT("rec.uni[empresa]"),AG$6)</f>
        <v>0</v>
      </c>
      <c r="AH112" s="38"/>
      <c r="AI112" s="51"/>
      <c r="AJ112" s="51"/>
      <c r="AK112" s="49">
        <f ca="1">SUMIFS(rec.uni[2030-02-01],
INDIRECT("rec.uni[natureza]"),"taxa.extra",
INDIRECT("rec.uni[empresa]"),AK$6)</f>
        <v>0</v>
      </c>
      <c r="AL112" s="51"/>
      <c r="AM112" s="39"/>
      <c r="AN112" s="49">
        <f ca="1">SUMIFS(rec.uni[2030-02-01],
INDIRECT("rec.uni[natureza]"),"pro.soluto",
INDIRECT("rec.uni[empresa]"),AN$6)</f>
        <v>0</v>
      </c>
      <c r="AO112" s="49">
        <f ca="1">SUMIFS(rec.uni[2030-02-01],
INDIRECT("rec.uni[natureza]"),"taxa.extra",
INDIRECT("rec.uni[empresa]"),AO$6)</f>
        <v>0</v>
      </c>
      <c r="AP112" s="143"/>
    </row>
    <row r="113" spans="1:42" x14ac:dyDescent="0.25">
      <c r="A113" s="47">
        <v>47543</v>
      </c>
      <c r="B113" s="39"/>
      <c r="C113" s="49">
        <f ca="1">SUMIFS(rec.uni[2030-03-01],
INDIRECT("rec.uni[natureza]"),"pro.soluto",
INDIRECT("rec.uni[empresa]"),C$6)</f>
        <v>0</v>
      </c>
      <c r="D113" s="38"/>
      <c r="E113" s="51"/>
      <c r="F113" s="51"/>
      <c r="G113" s="49">
        <f ca="1">SUMIFS(rec.uni[2030-03-01],
INDIRECT("rec.uni[natureza]"),"taxa.extra",
INDIRECT("rec.uni[empresa]"),G$6)</f>
        <v>0</v>
      </c>
      <c r="H113" s="51"/>
      <c r="I113" s="39"/>
      <c r="J113" s="49">
        <f ca="1">SUMIFS(rec.uni[2030-03-01],
INDIRECT("rec.uni[natureza]"),"pro.soluto",
INDIRECT("rec.uni[empresa]"),J$6)</f>
        <v>0</v>
      </c>
      <c r="K113" s="38"/>
      <c r="L113" s="51"/>
      <c r="M113" s="51"/>
      <c r="N113" s="49">
        <f ca="1">SUMIFS(rec.uni[2030-03-01],
INDIRECT("rec.uni[natureza]"),"taxa.extra",
INDIRECT("rec.uni[empresa]"),N$6)</f>
        <v>0</v>
      </c>
      <c r="O113" s="51"/>
      <c r="P113" s="39"/>
      <c r="Q113" s="49">
        <f ca="1">SUMIFS(rec.uni[2030-03-01],
INDIRECT("rec.uni[natureza]"),"pro.soluto",
INDIRECT("rec.uni[empresa]"),Q$6)</f>
        <v>0</v>
      </c>
      <c r="R113" s="38"/>
      <c r="S113" s="51"/>
      <c r="T113" s="51"/>
      <c r="U113" s="49">
        <f ca="1">SUMIFS(rec.uni[2030-03-01],
INDIRECT("rec.uni[natureza]"),"taxa.extra",
INDIRECT("rec.uni[empresa]"),U$6)</f>
        <v>0</v>
      </c>
      <c r="V113" s="51"/>
      <c r="W113" s="39"/>
      <c r="X113" s="49">
        <f ca="1">SUMIFS(rec.uni[2030-03-01],
INDIRECT("rec.uni[natureza]"),"pro.soluto",
INDIRECT("rec.uni[empresa]"),X$6)</f>
        <v>0</v>
      </c>
      <c r="Y113" s="49">
        <f ca="1">SUMIFS(rec.uni[2030-03-01],
INDIRECT("rec.uni[natureza]"),"taxa.extra",
INDIRECT("rec.uni[empresa]"),Y$6)</f>
        <v>0</v>
      </c>
      <c r="Z113" s="51"/>
      <c r="AA113" s="39"/>
      <c r="AB113" s="49">
        <f ca="1">SUMIFS(rec.uni[2030-03-01],
INDIRECT("rec.uni[natureza]"),"pro.soluto",
INDIRECT("rec.uni[empresa]"),AB$6)</f>
        <v>0</v>
      </c>
      <c r="AC113" s="51">
        <f ca="1">SUMIFS(rec.uni[2030-03-01],
INDIRECT("rec.uni[natureza]"),"parcela.fin.total.ik",
INDIRECT("rec.uni[empresa]"),AC$6)</f>
        <v>0</v>
      </c>
      <c r="AD113" s="49">
        <f ca="1">SUMIFS(rec.uni[2030-03-01],
INDIRECT("rec.uni[natureza]"),"taxa.extra",
INDIRECT("rec.uni[empresa]"),AD$6)</f>
        <v>0</v>
      </c>
      <c r="AE113" s="51"/>
      <c r="AF113" s="48"/>
      <c r="AG113" s="49">
        <f ca="1">SUMIFS(rec.uni[2030-03-01],
INDIRECT("rec.uni[natureza]"),"pro.soluto",
INDIRECT("rec.uni[empresa]"),AG$6)</f>
        <v>0</v>
      </c>
      <c r="AH113" s="38"/>
      <c r="AI113" s="51"/>
      <c r="AJ113" s="51"/>
      <c r="AK113" s="49">
        <f ca="1">SUMIFS(rec.uni[2030-03-01],
INDIRECT("rec.uni[natureza]"),"taxa.extra",
INDIRECT("rec.uni[empresa]"),AK$6)</f>
        <v>0</v>
      </c>
      <c r="AL113" s="51"/>
      <c r="AM113" s="39"/>
      <c r="AN113" s="49">
        <f ca="1">SUMIFS(rec.uni[2030-03-01],
INDIRECT("rec.uni[natureza]"),"pro.soluto",
INDIRECT("rec.uni[empresa]"),AN$6)</f>
        <v>0</v>
      </c>
      <c r="AO113" s="49">
        <f ca="1">SUMIFS(rec.uni[2030-03-01],
INDIRECT("rec.uni[natureza]"),"taxa.extra",
INDIRECT("rec.uni[empresa]"),AO$6)</f>
        <v>0</v>
      </c>
      <c r="AP113" s="143"/>
    </row>
    <row r="114" spans="1:42" x14ac:dyDescent="0.25">
      <c r="A114" s="47">
        <v>47574</v>
      </c>
      <c r="B114" s="39"/>
      <c r="C114" s="49">
        <f ca="1">SUMIFS(rec.uni[2030-04-01],
INDIRECT("rec.uni[natureza]"),"pro.soluto",
INDIRECT("rec.uni[empresa]"),C$6)</f>
        <v>0</v>
      </c>
      <c r="D114" s="38"/>
      <c r="E114" s="51"/>
      <c r="F114" s="51"/>
      <c r="G114" s="49">
        <f ca="1">SUMIFS(rec.uni[2030-04-01],
INDIRECT("rec.uni[natureza]"),"taxa.extra",
INDIRECT("rec.uni[empresa]"),G$6)</f>
        <v>0</v>
      </c>
      <c r="H114" s="51"/>
      <c r="I114" s="39"/>
      <c r="J114" s="49">
        <f ca="1">SUMIFS(rec.uni[2030-04-01],
INDIRECT("rec.uni[natureza]"),"pro.soluto",
INDIRECT("rec.uni[empresa]"),J$6)</f>
        <v>0</v>
      </c>
      <c r="K114" s="38"/>
      <c r="L114" s="51"/>
      <c r="M114" s="51"/>
      <c r="N114" s="49">
        <f ca="1">SUMIFS(rec.uni[2030-04-01],
INDIRECT("rec.uni[natureza]"),"taxa.extra",
INDIRECT("rec.uni[empresa]"),N$6)</f>
        <v>0</v>
      </c>
      <c r="O114" s="51"/>
      <c r="P114" s="39"/>
      <c r="Q114" s="49">
        <f ca="1">SUMIFS(rec.uni[2030-04-01],
INDIRECT("rec.uni[natureza]"),"pro.soluto",
INDIRECT("rec.uni[empresa]"),Q$6)</f>
        <v>0</v>
      </c>
      <c r="R114" s="38"/>
      <c r="S114" s="51"/>
      <c r="T114" s="51"/>
      <c r="U114" s="49">
        <f ca="1">SUMIFS(rec.uni[2030-04-01],
INDIRECT("rec.uni[natureza]"),"taxa.extra",
INDIRECT("rec.uni[empresa]"),U$6)</f>
        <v>0</v>
      </c>
      <c r="V114" s="51"/>
      <c r="W114" s="39"/>
      <c r="X114" s="49">
        <f ca="1">SUMIFS(rec.uni[2030-04-01],
INDIRECT("rec.uni[natureza]"),"pro.soluto",
INDIRECT("rec.uni[empresa]"),X$6)</f>
        <v>0</v>
      </c>
      <c r="Y114" s="49">
        <f ca="1">SUMIFS(rec.uni[2030-04-01],
INDIRECT("rec.uni[natureza]"),"taxa.extra",
INDIRECT("rec.uni[empresa]"),Y$6)</f>
        <v>0</v>
      </c>
      <c r="Z114" s="51"/>
      <c r="AA114" s="39"/>
      <c r="AB114" s="49">
        <f ca="1">SUMIFS(rec.uni[2030-04-01],
INDIRECT("rec.uni[natureza]"),"pro.soluto",
INDIRECT("rec.uni[empresa]"),AB$6)</f>
        <v>0</v>
      </c>
      <c r="AC114" s="51">
        <f ca="1">SUMIFS(rec.uni[2030-04-01],
INDIRECT("rec.uni[natureza]"),"parcela.fin.total.ik",
INDIRECT("rec.uni[empresa]"),AC$6)</f>
        <v>0</v>
      </c>
      <c r="AD114" s="49">
        <f ca="1">SUMIFS(rec.uni[2030-04-01],
INDIRECT("rec.uni[natureza]"),"taxa.extra",
INDIRECT("rec.uni[empresa]"),AD$6)</f>
        <v>0</v>
      </c>
      <c r="AE114" s="51"/>
      <c r="AF114" s="48"/>
      <c r="AG114" s="49">
        <f ca="1">SUMIFS(rec.uni[2030-04-01],
INDIRECT("rec.uni[natureza]"),"pro.soluto",
INDIRECT("rec.uni[empresa]"),AG$6)</f>
        <v>0</v>
      </c>
      <c r="AH114" s="38"/>
      <c r="AI114" s="51"/>
      <c r="AJ114" s="51"/>
      <c r="AK114" s="49">
        <f ca="1">SUMIFS(rec.uni[2030-04-01],
INDIRECT("rec.uni[natureza]"),"taxa.extra",
INDIRECT("rec.uni[empresa]"),AK$6)</f>
        <v>0</v>
      </c>
      <c r="AL114" s="51"/>
      <c r="AM114" s="39"/>
      <c r="AN114" s="49">
        <f ca="1">SUMIFS(rec.uni[2030-04-01],
INDIRECT("rec.uni[natureza]"),"pro.soluto",
INDIRECT("rec.uni[empresa]"),AN$6)</f>
        <v>0</v>
      </c>
      <c r="AO114" s="49">
        <f ca="1">SUMIFS(rec.uni[2030-04-01],
INDIRECT("rec.uni[natureza]"),"taxa.extra",
INDIRECT("rec.uni[empresa]"),AO$6)</f>
        <v>0</v>
      </c>
      <c r="AP114" s="143"/>
    </row>
    <row r="115" spans="1:42" x14ac:dyDescent="0.25">
      <c r="A115" s="47">
        <v>47604</v>
      </c>
      <c r="B115" s="39"/>
      <c r="C115" s="49">
        <f ca="1">SUMIFS(rec.uni[2030-05-01],
INDIRECT("rec.uni[natureza]"),"pro.soluto",
INDIRECT("rec.uni[empresa]"),C$6)</f>
        <v>0</v>
      </c>
      <c r="D115" s="38"/>
      <c r="E115" s="51"/>
      <c r="F115" s="51"/>
      <c r="G115" s="49">
        <f ca="1">SUMIFS(rec.uni[2030-05-01],
INDIRECT("rec.uni[natureza]"),"taxa.extra",
INDIRECT("rec.uni[empresa]"),G$6)</f>
        <v>0</v>
      </c>
      <c r="H115" s="51"/>
      <c r="I115" s="39"/>
      <c r="J115" s="49">
        <f ca="1">SUMIFS(rec.uni[2030-05-01],
INDIRECT("rec.uni[natureza]"),"pro.soluto",
INDIRECT("rec.uni[empresa]"),J$6)</f>
        <v>0</v>
      </c>
      <c r="K115" s="38"/>
      <c r="L115" s="51"/>
      <c r="M115" s="51"/>
      <c r="N115" s="49">
        <f ca="1">SUMIFS(rec.uni[2030-05-01],
INDIRECT("rec.uni[natureza]"),"taxa.extra",
INDIRECT("rec.uni[empresa]"),N$6)</f>
        <v>0</v>
      </c>
      <c r="O115" s="51"/>
      <c r="P115" s="39"/>
      <c r="Q115" s="49">
        <f ca="1">SUMIFS(rec.uni[2030-05-01],
INDIRECT("rec.uni[natureza]"),"pro.soluto",
INDIRECT("rec.uni[empresa]"),Q$6)</f>
        <v>0</v>
      </c>
      <c r="R115" s="38"/>
      <c r="S115" s="51"/>
      <c r="T115" s="51"/>
      <c r="U115" s="49">
        <f ca="1">SUMIFS(rec.uni[2030-05-01],
INDIRECT("rec.uni[natureza]"),"taxa.extra",
INDIRECT("rec.uni[empresa]"),U$6)</f>
        <v>0</v>
      </c>
      <c r="V115" s="51"/>
      <c r="W115" s="39"/>
      <c r="X115" s="49">
        <f ca="1">SUMIFS(rec.uni[2030-05-01],
INDIRECT("rec.uni[natureza]"),"pro.soluto",
INDIRECT("rec.uni[empresa]"),X$6)</f>
        <v>0</v>
      </c>
      <c r="Y115" s="49">
        <f ca="1">SUMIFS(rec.uni[2030-05-01],
INDIRECT("rec.uni[natureza]"),"taxa.extra",
INDIRECT("rec.uni[empresa]"),Y$6)</f>
        <v>0</v>
      </c>
      <c r="Z115" s="51"/>
      <c r="AA115" s="39"/>
      <c r="AB115" s="49">
        <f ca="1">SUMIFS(rec.uni[2030-05-01],
INDIRECT("rec.uni[natureza]"),"pro.soluto",
INDIRECT("rec.uni[empresa]"),AB$6)</f>
        <v>0</v>
      </c>
      <c r="AC115" s="51">
        <f ca="1">SUMIFS(rec.uni[2030-05-01],
INDIRECT("rec.uni[natureza]"),"parcela.fin.total.ik",
INDIRECT("rec.uni[empresa]"),AC$6)</f>
        <v>0</v>
      </c>
      <c r="AD115" s="49">
        <f ca="1">SUMIFS(rec.uni[2030-05-01],
INDIRECT("rec.uni[natureza]"),"taxa.extra",
INDIRECT("rec.uni[empresa]"),AD$6)</f>
        <v>0</v>
      </c>
      <c r="AE115" s="51"/>
      <c r="AF115" s="48"/>
      <c r="AG115" s="49">
        <f ca="1">SUMIFS(rec.uni[2030-05-01],
INDIRECT("rec.uni[natureza]"),"pro.soluto",
INDIRECT("rec.uni[empresa]"),AG$6)</f>
        <v>0</v>
      </c>
      <c r="AH115" s="38"/>
      <c r="AI115" s="51"/>
      <c r="AJ115" s="51"/>
      <c r="AK115" s="49">
        <f ca="1">SUMIFS(rec.uni[2030-05-01],
INDIRECT("rec.uni[natureza]"),"taxa.extra",
INDIRECT("rec.uni[empresa]"),AK$6)</f>
        <v>0</v>
      </c>
      <c r="AL115" s="51"/>
      <c r="AM115" s="39"/>
      <c r="AN115" s="49">
        <f ca="1">SUMIFS(rec.uni[2030-05-01],
INDIRECT("rec.uni[natureza]"),"pro.soluto",
INDIRECT("rec.uni[empresa]"),AN$6)</f>
        <v>0</v>
      </c>
      <c r="AO115" s="49">
        <f ca="1">SUMIFS(rec.uni[2030-05-01],
INDIRECT("rec.uni[natureza]"),"taxa.extra",
INDIRECT("rec.uni[empresa]"),AO$6)</f>
        <v>0</v>
      </c>
      <c r="AP115" s="143"/>
    </row>
    <row r="116" spans="1:42" x14ac:dyDescent="0.25">
      <c r="A116" s="47">
        <v>47635</v>
      </c>
      <c r="B116" s="39"/>
      <c r="C116" s="49">
        <f ca="1">SUMIFS(rec.uni[2030-06-01],
INDIRECT("rec.uni[natureza]"),"pro.soluto",
INDIRECT("rec.uni[empresa]"),C$6)</f>
        <v>0</v>
      </c>
      <c r="D116" s="38"/>
      <c r="E116" s="51"/>
      <c r="F116" s="51"/>
      <c r="G116" s="49">
        <f ca="1">SUMIFS(rec.uni[2030-06-01],
INDIRECT("rec.uni[natureza]"),"taxa.extra",
INDIRECT("rec.uni[empresa]"),G$6)</f>
        <v>0</v>
      </c>
      <c r="H116" s="51"/>
      <c r="I116" s="39"/>
      <c r="J116" s="49">
        <f ca="1">SUMIFS(rec.uni[2030-06-01],
INDIRECT("rec.uni[natureza]"),"pro.soluto",
INDIRECT("rec.uni[empresa]"),J$6)</f>
        <v>0</v>
      </c>
      <c r="K116" s="38"/>
      <c r="L116" s="51"/>
      <c r="M116" s="51"/>
      <c r="N116" s="49">
        <f ca="1">SUMIFS(rec.uni[2030-06-01],
INDIRECT("rec.uni[natureza]"),"taxa.extra",
INDIRECT("rec.uni[empresa]"),N$6)</f>
        <v>0</v>
      </c>
      <c r="O116" s="51"/>
      <c r="P116" s="39"/>
      <c r="Q116" s="49">
        <f ca="1">SUMIFS(rec.uni[2030-06-01],
INDIRECT("rec.uni[natureza]"),"pro.soluto",
INDIRECT("rec.uni[empresa]"),Q$6)</f>
        <v>0</v>
      </c>
      <c r="R116" s="38"/>
      <c r="S116" s="51"/>
      <c r="T116" s="51"/>
      <c r="U116" s="49">
        <f ca="1">SUMIFS(rec.uni[2030-06-01],
INDIRECT("rec.uni[natureza]"),"taxa.extra",
INDIRECT("rec.uni[empresa]"),U$6)</f>
        <v>0</v>
      </c>
      <c r="V116" s="51"/>
      <c r="W116" s="39"/>
      <c r="X116" s="49">
        <f ca="1">SUMIFS(rec.uni[2030-06-01],
INDIRECT("rec.uni[natureza]"),"pro.soluto",
INDIRECT("rec.uni[empresa]"),X$6)</f>
        <v>0</v>
      </c>
      <c r="Y116" s="49">
        <f ca="1">SUMIFS(rec.uni[2030-06-01],
INDIRECT("rec.uni[natureza]"),"taxa.extra",
INDIRECT("rec.uni[empresa]"),Y$6)</f>
        <v>0</v>
      </c>
      <c r="Z116" s="51"/>
      <c r="AA116" s="39"/>
      <c r="AB116" s="49">
        <f ca="1">SUMIFS(rec.uni[2030-06-01],
INDIRECT("rec.uni[natureza]"),"pro.soluto",
INDIRECT("rec.uni[empresa]"),AB$6)</f>
        <v>0</v>
      </c>
      <c r="AC116" s="51">
        <f ca="1">SUMIFS(rec.uni[2030-06-01],
INDIRECT("rec.uni[natureza]"),"parcela.fin.total.ik",
INDIRECT("rec.uni[empresa]"),AC$6)</f>
        <v>0</v>
      </c>
      <c r="AD116" s="49">
        <f ca="1">SUMIFS(rec.uni[2030-06-01],
INDIRECT("rec.uni[natureza]"),"taxa.extra",
INDIRECT("rec.uni[empresa]"),AD$6)</f>
        <v>0</v>
      </c>
      <c r="AE116" s="51"/>
      <c r="AF116" s="48"/>
      <c r="AG116" s="49">
        <f ca="1">SUMIFS(rec.uni[2030-06-01],
INDIRECT("rec.uni[natureza]"),"pro.soluto",
INDIRECT("rec.uni[empresa]"),AG$6)</f>
        <v>0</v>
      </c>
      <c r="AH116" s="38"/>
      <c r="AI116" s="51"/>
      <c r="AJ116" s="51"/>
      <c r="AK116" s="49">
        <f ca="1">SUMIFS(rec.uni[2030-06-01],
INDIRECT("rec.uni[natureza]"),"taxa.extra",
INDIRECT("rec.uni[empresa]"),AK$6)</f>
        <v>0</v>
      </c>
      <c r="AL116" s="51"/>
      <c r="AM116" s="39"/>
      <c r="AN116" s="49">
        <f ca="1">SUMIFS(rec.uni[2030-06-01],
INDIRECT("rec.uni[natureza]"),"pro.soluto",
INDIRECT("rec.uni[empresa]"),AN$6)</f>
        <v>0</v>
      </c>
      <c r="AO116" s="49">
        <f ca="1">SUMIFS(rec.uni[2030-06-01],
INDIRECT("rec.uni[natureza]"),"taxa.extra",
INDIRECT("rec.uni[empresa]"),AO$6)</f>
        <v>0</v>
      </c>
      <c r="AP116" s="143"/>
    </row>
    <row r="117" spans="1:42" x14ac:dyDescent="0.25">
      <c r="A117" s="47">
        <v>47665</v>
      </c>
      <c r="B117" s="39"/>
      <c r="C117" s="49">
        <f ca="1">SUMIFS(rec.uni[2030-07-01],
INDIRECT("rec.uni[natureza]"),"pro.soluto",
INDIRECT("rec.uni[empresa]"),C$6)</f>
        <v>0</v>
      </c>
      <c r="D117" s="38"/>
      <c r="E117" s="51"/>
      <c r="F117" s="51"/>
      <c r="G117" s="49">
        <f ca="1">SUMIFS(rec.uni[2030-07-01],
INDIRECT("rec.uni[natureza]"),"taxa.extra",
INDIRECT("rec.uni[empresa]"),G$6)</f>
        <v>0</v>
      </c>
      <c r="H117" s="51"/>
      <c r="I117" s="39"/>
      <c r="J117" s="49">
        <f ca="1">SUMIFS(rec.uni[2030-07-01],
INDIRECT("rec.uni[natureza]"),"pro.soluto",
INDIRECT("rec.uni[empresa]"),J$6)</f>
        <v>0</v>
      </c>
      <c r="K117" s="38"/>
      <c r="L117" s="51"/>
      <c r="M117" s="51"/>
      <c r="N117" s="49">
        <f ca="1">SUMIFS(rec.uni[2030-07-01],
INDIRECT("rec.uni[natureza]"),"taxa.extra",
INDIRECT("rec.uni[empresa]"),N$6)</f>
        <v>0</v>
      </c>
      <c r="O117" s="51"/>
      <c r="P117" s="39"/>
      <c r="Q117" s="49">
        <f ca="1">SUMIFS(rec.uni[2030-07-01],
INDIRECT("rec.uni[natureza]"),"pro.soluto",
INDIRECT("rec.uni[empresa]"),Q$6)</f>
        <v>0</v>
      </c>
      <c r="R117" s="38"/>
      <c r="S117" s="51"/>
      <c r="T117" s="51"/>
      <c r="U117" s="49">
        <f ca="1">SUMIFS(rec.uni[2030-07-01],
INDIRECT("rec.uni[natureza]"),"taxa.extra",
INDIRECT("rec.uni[empresa]"),U$6)</f>
        <v>0</v>
      </c>
      <c r="V117" s="51"/>
      <c r="W117" s="39"/>
      <c r="X117" s="49">
        <f ca="1">SUMIFS(rec.uni[2030-07-01],
INDIRECT("rec.uni[natureza]"),"pro.soluto",
INDIRECT("rec.uni[empresa]"),X$6)</f>
        <v>0</v>
      </c>
      <c r="Y117" s="49">
        <f ca="1">SUMIFS(rec.uni[2030-07-01],
INDIRECT("rec.uni[natureza]"),"taxa.extra",
INDIRECT("rec.uni[empresa]"),Y$6)</f>
        <v>0</v>
      </c>
      <c r="Z117" s="51"/>
      <c r="AA117" s="39"/>
      <c r="AB117" s="49">
        <f ca="1">SUMIFS(rec.uni[2030-07-01],
INDIRECT("rec.uni[natureza]"),"pro.soluto",
INDIRECT("rec.uni[empresa]"),AB$6)</f>
        <v>0</v>
      </c>
      <c r="AC117" s="51">
        <f ca="1">SUMIFS(rec.uni[2030-07-01],
INDIRECT("rec.uni[natureza]"),"parcela.fin.total.ik",
INDIRECT("rec.uni[empresa]"),AC$6)</f>
        <v>0</v>
      </c>
      <c r="AD117" s="49">
        <f ca="1">SUMIFS(rec.uni[2030-07-01],
INDIRECT("rec.uni[natureza]"),"taxa.extra",
INDIRECT("rec.uni[empresa]"),AD$6)</f>
        <v>0</v>
      </c>
      <c r="AE117" s="51"/>
      <c r="AF117" s="48"/>
      <c r="AG117" s="49">
        <f ca="1">SUMIFS(rec.uni[2030-07-01],
INDIRECT("rec.uni[natureza]"),"pro.soluto",
INDIRECT("rec.uni[empresa]"),AG$6)</f>
        <v>0</v>
      </c>
      <c r="AH117" s="38"/>
      <c r="AI117" s="51"/>
      <c r="AJ117" s="51"/>
      <c r="AK117" s="49">
        <f ca="1">SUMIFS(rec.uni[2030-07-01],
INDIRECT("rec.uni[natureza]"),"taxa.extra",
INDIRECT("rec.uni[empresa]"),AK$6)</f>
        <v>0</v>
      </c>
      <c r="AL117" s="51"/>
      <c r="AM117" s="39"/>
      <c r="AN117" s="49">
        <f ca="1">SUMIFS(rec.uni[2030-07-01],
INDIRECT("rec.uni[natureza]"),"pro.soluto",
INDIRECT("rec.uni[empresa]"),AN$6)</f>
        <v>0</v>
      </c>
      <c r="AO117" s="49">
        <f ca="1">SUMIFS(rec.uni[2030-07-01],
INDIRECT("rec.uni[natureza]"),"taxa.extra",
INDIRECT("rec.uni[empresa]"),AO$6)</f>
        <v>0</v>
      </c>
      <c r="AP117" s="143"/>
    </row>
    <row r="118" spans="1:42" x14ac:dyDescent="0.25">
      <c r="A118" s="47">
        <v>47696</v>
      </c>
      <c r="B118" s="39"/>
      <c r="C118" s="49">
        <f ca="1">SUMIFS(rec.uni[2030-08-01],
INDIRECT("rec.uni[natureza]"),"pro.soluto",
INDIRECT("rec.uni[empresa]"),C$6)</f>
        <v>0</v>
      </c>
      <c r="D118" s="38"/>
      <c r="E118" s="51"/>
      <c r="F118" s="51"/>
      <c r="G118" s="49">
        <f ca="1">SUMIFS(rec.uni[2030-08-01],
INDIRECT("rec.uni[natureza]"),"taxa.extra",
INDIRECT("rec.uni[empresa]"),G$6)</f>
        <v>0</v>
      </c>
      <c r="H118" s="51"/>
      <c r="I118" s="39"/>
      <c r="J118" s="49">
        <f ca="1">SUMIFS(rec.uni[2030-08-01],
INDIRECT("rec.uni[natureza]"),"pro.soluto",
INDIRECT("rec.uni[empresa]"),J$6)</f>
        <v>0</v>
      </c>
      <c r="K118" s="38"/>
      <c r="L118" s="51"/>
      <c r="M118" s="51"/>
      <c r="N118" s="49">
        <f ca="1">SUMIFS(rec.uni[2030-08-01],
INDIRECT("rec.uni[natureza]"),"taxa.extra",
INDIRECT("rec.uni[empresa]"),N$6)</f>
        <v>0</v>
      </c>
      <c r="O118" s="51"/>
      <c r="P118" s="39"/>
      <c r="Q118" s="49">
        <f ca="1">SUMIFS(rec.uni[2030-08-01],
INDIRECT("rec.uni[natureza]"),"pro.soluto",
INDIRECT("rec.uni[empresa]"),Q$6)</f>
        <v>0</v>
      </c>
      <c r="R118" s="38"/>
      <c r="S118" s="51"/>
      <c r="T118" s="51"/>
      <c r="U118" s="49">
        <f ca="1">SUMIFS(rec.uni[2030-08-01],
INDIRECT("rec.uni[natureza]"),"taxa.extra",
INDIRECT("rec.uni[empresa]"),U$6)</f>
        <v>0</v>
      </c>
      <c r="V118" s="51"/>
      <c r="W118" s="39"/>
      <c r="X118" s="49">
        <f ca="1">SUMIFS(rec.uni[2030-08-01],
INDIRECT("rec.uni[natureza]"),"pro.soluto",
INDIRECT("rec.uni[empresa]"),X$6)</f>
        <v>0</v>
      </c>
      <c r="Y118" s="49">
        <f ca="1">SUMIFS(rec.uni[2030-08-01],
INDIRECT("rec.uni[natureza]"),"taxa.extra",
INDIRECT("rec.uni[empresa]"),Y$6)</f>
        <v>0</v>
      </c>
      <c r="Z118" s="51"/>
      <c r="AA118" s="39"/>
      <c r="AB118" s="49">
        <f ca="1">SUMIFS(rec.uni[2030-08-01],
INDIRECT("rec.uni[natureza]"),"pro.soluto",
INDIRECT("rec.uni[empresa]"),AB$6)</f>
        <v>0</v>
      </c>
      <c r="AC118" s="51">
        <f ca="1">SUMIFS(rec.uni[2030-08-01],
INDIRECT("rec.uni[natureza]"),"parcela.fin.total.ik",
INDIRECT("rec.uni[empresa]"),AC$6)</f>
        <v>0</v>
      </c>
      <c r="AD118" s="49">
        <f ca="1">SUMIFS(rec.uni[2030-08-01],
INDIRECT("rec.uni[natureza]"),"taxa.extra",
INDIRECT("rec.uni[empresa]"),AD$6)</f>
        <v>0</v>
      </c>
      <c r="AE118" s="51"/>
      <c r="AF118" s="48"/>
      <c r="AG118" s="49">
        <f ca="1">SUMIFS(rec.uni[2030-08-01],
INDIRECT("rec.uni[natureza]"),"pro.soluto",
INDIRECT("rec.uni[empresa]"),AG$6)</f>
        <v>0</v>
      </c>
      <c r="AH118" s="38"/>
      <c r="AI118" s="51"/>
      <c r="AJ118" s="51"/>
      <c r="AK118" s="49">
        <f ca="1">SUMIFS(rec.uni[2030-08-01],
INDIRECT("rec.uni[natureza]"),"taxa.extra",
INDIRECT("rec.uni[empresa]"),AK$6)</f>
        <v>0</v>
      </c>
      <c r="AL118" s="51"/>
      <c r="AM118" s="39"/>
      <c r="AN118" s="49">
        <f ca="1">SUMIFS(rec.uni[2030-08-01],
INDIRECT("rec.uni[natureza]"),"pro.soluto",
INDIRECT("rec.uni[empresa]"),AN$6)</f>
        <v>0</v>
      </c>
      <c r="AO118" s="49">
        <f ca="1">SUMIFS(rec.uni[2030-08-01],
INDIRECT("rec.uni[natureza]"),"taxa.extra",
INDIRECT("rec.uni[empresa]"),AO$6)</f>
        <v>0</v>
      </c>
      <c r="AP118" s="143"/>
    </row>
    <row r="119" spans="1:42" x14ac:dyDescent="0.25">
      <c r="A119" s="47">
        <v>47727</v>
      </c>
      <c r="B119" s="39"/>
      <c r="C119" s="49">
        <f ca="1">SUMIFS(rec.uni[2030-09-01],
INDIRECT("rec.uni[natureza]"),"pro.soluto",
INDIRECT("rec.uni[empresa]"),C$6)</f>
        <v>0</v>
      </c>
      <c r="D119" s="38"/>
      <c r="E119" s="51"/>
      <c r="F119" s="51"/>
      <c r="G119" s="49">
        <f ca="1">SUMIFS(rec.uni[2030-09-01],
INDIRECT("rec.uni[natureza]"),"taxa.extra",
INDIRECT("rec.uni[empresa]"),G$6)</f>
        <v>0</v>
      </c>
      <c r="H119" s="51"/>
      <c r="I119" s="39"/>
      <c r="J119" s="49">
        <f ca="1">SUMIFS(rec.uni[2030-09-01],
INDIRECT("rec.uni[natureza]"),"pro.soluto",
INDIRECT("rec.uni[empresa]"),J$6)</f>
        <v>0</v>
      </c>
      <c r="K119" s="38"/>
      <c r="L119" s="51"/>
      <c r="M119" s="51"/>
      <c r="N119" s="49">
        <f ca="1">SUMIFS(rec.uni[2030-09-01],
INDIRECT("rec.uni[natureza]"),"taxa.extra",
INDIRECT("rec.uni[empresa]"),N$6)</f>
        <v>0</v>
      </c>
      <c r="O119" s="51"/>
      <c r="P119" s="39"/>
      <c r="Q119" s="49">
        <f ca="1">SUMIFS(rec.uni[2030-09-01],
INDIRECT("rec.uni[natureza]"),"pro.soluto",
INDIRECT("rec.uni[empresa]"),Q$6)</f>
        <v>0</v>
      </c>
      <c r="R119" s="38"/>
      <c r="S119" s="51"/>
      <c r="T119" s="51"/>
      <c r="U119" s="49">
        <f ca="1">SUMIFS(rec.uni[2030-09-01],
INDIRECT("rec.uni[natureza]"),"taxa.extra",
INDIRECT("rec.uni[empresa]"),U$6)</f>
        <v>0</v>
      </c>
      <c r="V119" s="51"/>
      <c r="W119" s="39"/>
      <c r="X119" s="49">
        <f ca="1">SUMIFS(rec.uni[2030-09-01],
INDIRECT("rec.uni[natureza]"),"pro.soluto",
INDIRECT("rec.uni[empresa]"),X$6)</f>
        <v>0</v>
      </c>
      <c r="Y119" s="49">
        <f ca="1">SUMIFS(rec.uni[2030-09-01],
INDIRECT("rec.uni[natureza]"),"taxa.extra",
INDIRECT("rec.uni[empresa]"),Y$6)</f>
        <v>0</v>
      </c>
      <c r="Z119" s="51"/>
      <c r="AA119" s="39"/>
      <c r="AB119" s="49">
        <f ca="1">SUMIFS(rec.uni[2030-09-01],
INDIRECT("rec.uni[natureza]"),"pro.soluto",
INDIRECT("rec.uni[empresa]"),AB$6)</f>
        <v>0</v>
      </c>
      <c r="AC119" s="51">
        <f ca="1">SUMIFS(rec.uni[2030-09-01],
INDIRECT("rec.uni[natureza]"),"parcela.fin.total.ik",
INDIRECT("rec.uni[empresa]"),AC$6)</f>
        <v>0</v>
      </c>
      <c r="AD119" s="49">
        <f ca="1">SUMIFS(rec.uni[2030-09-01],
INDIRECT("rec.uni[natureza]"),"taxa.extra",
INDIRECT("rec.uni[empresa]"),AD$6)</f>
        <v>0</v>
      </c>
      <c r="AE119" s="51"/>
      <c r="AF119" s="48"/>
      <c r="AG119" s="49">
        <f ca="1">SUMIFS(rec.uni[2030-09-01],
INDIRECT("rec.uni[natureza]"),"pro.soluto",
INDIRECT("rec.uni[empresa]"),AG$6)</f>
        <v>0</v>
      </c>
      <c r="AH119" s="38"/>
      <c r="AI119" s="51"/>
      <c r="AJ119" s="51"/>
      <c r="AK119" s="49">
        <f ca="1">SUMIFS(rec.uni[2030-09-01],
INDIRECT("rec.uni[natureza]"),"taxa.extra",
INDIRECT("rec.uni[empresa]"),AK$6)</f>
        <v>0</v>
      </c>
      <c r="AL119" s="51"/>
      <c r="AM119" s="39"/>
      <c r="AN119" s="49">
        <f ca="1">SUMIFS(rec.uni[2030-09-01],
INDIRECT("rec.uni[natureza]"),"pro.soluto",
INDIRECT("rec.uni[empresa]"),AN$6)</f>
        <v>0</v>
      </c>
      <c r="AO119" s="49">
        <f ca="1">SUMIFS(rec.uni[2030-09-01],
INDIRECT("rec.uni[natureza]"),"taxa.extra",
INDIRECT("rec.uni[empresa]"),AO$6)</f>
        <v>0</v>
      </c>
      <c r="AP119" s="143"/>
    </row>
    <row r="120" spans="1:42" x14ac:dyDescent="0.25">
      <c r="A120" s="47">
        <v>47757</v>
      </c>
      <c r="B120" s="39"/>
      <c r="C120" s="49">
        <f ca="1">SUMIFS(rec.uni[2030-10-01],
INDIRECT("rec.uni[natureza]"),"pro.soluto",
INDIRECT("rec.uni[empresa]"),C$6)</f>
        <v>0</v>
      </c>
      <c r="D120" s="38"/>
      <c r="E120" s="51"/>
      <c r="F120" s="51"/>
      <c r="G120" s="49">
        <f ca="1">SUMIFS(rec.uni[2030-10-01],
INDIRECT("rec.uni[natureza]"),"taxa.extra",
INDIRECT("rec.uni[empresa]"),G$6)</f>
        <v>0</v>
      </c>
      <c r="H120" s="51"/>
      <c r="I120" s="39"/>
      <c r="J120" s="49">
        <f ca="1">SUMIFS(rec.uni[2030-10-01],
INDIRECT("rec.uni[natureza]"),"pro.soluto",
INDIRECT("rec.uni[empresa]"),J$6)</f>
        <v>0</v>
      </c>
      <c r="K120" s="38"/>
      <c r="L120" s="51"/>
      <c r="M120" s="51"/>
      <c r="N120" s="49">
        <f ca="1">SUMIFS(rec.uni[2030-10-01],
INDIRECT("rec.uni[natureza]"),"taxa.extra",
INDIRECT("rec.uni[empresa]"),N$6)</f>
        <v>0</v>
      </c>
      <c r="O120" s="51"/>
      <c r="P120" s="39"/>
      <c r="Q120" s="49">
        <f ca="1">SUMIFS(rec.uni[2030-10-01],
INDIRECT("rec.uni[natureza]"),"pro.soluto",
INDIRECT("rec.uni[empresa]"),Q$6)</f>
        <v>0</v>
      </c>
      <c r="R120" s="38"/>
      <c r="S120" s="51"/>
      <c r="T120" s="51"/>
      <c r="U120" s="49">
        <f ca="1">SUMIFS(rec.uni[2030-10-01],
INDIRECT("rec.uni[natureza]"),"taxa.extra",
INDIRECT("rec.uni[empresa]"),U$6)</f>
        <v>0</v>
      </c>
      <c r="V120" s="51"/>
      <c r="W120" s="39"/>
      <c r="X120" s="49">
        <f ca="1">SUMIFS(rec.uni[2030-10-01],
INDIRECT("rec.uni[natureza]"),"pro.soluto",
INDIRECT("rec.uni[empresa]"),X$6)</f>
        <v>0</v>
      </c>
      <c r="Y120" s="49">
        <f ca="1">SUMIFS(rec.uni[2030-10-01],
INDIRECT("rec.uni[natureza]"),"taxa.extra",
INDIRECT("rec.uni[empresa]"),Y$6)</f>
        <v>0</v>
      </c>
      <c r="Z120" s="51"/>
      <c r="AA120" s="39"/>
      <c r="AB120" s="49">
        <f ca="1">SUMIFS(rec.uni[2030-10-01],
INDIRECT("rec.uni[natureza]"),"pro.soluto",
INDIRECT("rec.uni[empresa]"),AB$6)</f>
        <v>0</v>
      </c>
      <c r="AC120" s="51">
        <f ca="1">SUMIFS(rec.uni[2030-10-01],
INDIRECT("rec.uni[natureza]"),"parcela.fin.total.ik",
INDIRECT("rec.uni[empresa]"),AC$6)</f>
        <v>0</v>
      </c>
      <c r="AD120" s="49">
        <f ca="1">SUMIFS(rec.uni[2030-10-01],
INDIRECT("rec.uni[natureza]"),"taxa.extra",
INDIRECT("rec.uni[empresa]"),AD$6)</f>
        <v>0</v>
      </c>
      <c r="AE120" s="51"/>
      <c r="AF120" s="48"/>
      <c r="AG120" s="49">
        <f ca="1">SUMIFS(rec.uni[2030-10-01],
INDIRECT("rec.uni[natureza]"),"pro.soluto",
INDIRECT("rec.uni[empresa]"),AG$6)</f>
        <v>0</v>
      </c>
      <c r="AH120" s="38"/>
      <c r="AI120" s="51"/>
      <c r="AJ120" s="51"/>
      <c r="AK120" s="49">
        <f ca="1">SUMIFS(rec.uni[2030-10-01],
INDIRECT("rec.uni[natureza]"),"taxa.extra",
INDIRECT("rec.uni[empresa]"),AK$6)</f>
        <v>0</v>
      </c>
      <c r="AL120" s="51"/>
      <c r="AM120" s="39"/>
      <c r="AN120" s="49">
        <f ca="1">SUMIFS(rec.uni[2030-10-01],
INDIRECT("rec.uni[natureza]"),"pro.soluto",
INDIRECT("rec.uni[empresa]"),AN$6)</f>
        <v>0</v>
      </c>
      <c r="AO120" s="49">
        <f ca="1">SUMIFS(rec.uni[2030-10-01],
INDIRECT("rec.uni[natureza]"),"taxa.extra",
INDIRECT("rec.uni[empresa]"),AO$6)</f>
        <v>0</v>
      </c>
      <c r="AP120" s="143"/>
    </row>
    <row r="121" spans="1:42" x14ac:dyDescent="0.25">
      <c r="A121" s="47">
        <v>47788</v>
      </c>
      <c r="B121" s="39"/>
      <c r="C121" s="49">
        <f ca="1">SUMIFS(rec.uni[2030-11-01],
INDIRECT("rec.uni[natureza]"),"pro.soluto",
INDIRECT("rec.uni[empresa]"),C$6)</f>
        <v>0</v>
      </c>
      <c r="D121" s="38"/>
      <c r="E121" s="51"/>
      <c r="F121" s="51"/>
      <c r="G121" s="49">
        <f ca="1">SUMIFS(rec.uni[2030-11-01],
INDIRECT("rec.uni[natureza]"),"taxa.extra",
INDIRECT("rec.uni[empresa]"),G$6)</f>
        <v>0</v>
      </c>
      <c r="H121" s="51"/>
      <c r="I121" s="39"/>
      <c r="J121" s="49">
        <f ca="1">SUMIFS(rec.uni[2030-11-01],
INDIRECT("rec.uni[natureza]"),"pro.soluto",
INDIRECT("rec.uni[empresa]"),J$6)</f>
        <v>0</v>
      </c>
      <c r="K121" s="38"/>
      <c r="L121" s="51"/>
      <c r="M121" s="51"/>
      <c r="N121" s="49">
        <f ca="1">SUMIFS(rec.uni[2030-11-01],
INDIRECT("rec.uni[natureza]"),"taxa.extra",
INDIRECT("rec.uni[empresa]"),N$6)</f>
        <v>0</v>
      </c>
      <c r="O121" s="51"/>
      <c r="P121" s="39"/>
      <c r="Q121" s="49">
        <f ca="1">SUMIFS(rec.uni[2030-11-01],
INDIRECT("rec.uni[natureza]"),"pro.soluto",
INDIRECT("rec.uni[empresa]"),Q$6)</f>
        <v>0</v>
      </c>
      <c r="R121" s="38"/>
      <c r="S121" s="51"/>
      <c r="T121" s="51"/>
      <c r="U121" s="49">
        <f ca="1">SUMIFS(rec.uni[2030-11-01],
INDIRECT("rec.uni[natureza]"),"taxa.extra",
INDIRECT("rec.uni[empresa]"),U$6)</f>
        <v>0</v>
      </c>
      <c r="V121" s="51"/>
      <c r="W121" s="39"/>
      <c r="X121" s="49">
        <f ca="1">SUMIFS(rec.uni[2030-11-01],
INDIRECT("rec.uni[natureza]"),"pro.soluto",
INDIRECT("rec.uni[empresa]"),X$6)</f>
        <v>0</v>
      </c>
      <c r="Y121" s="49">
        <f ca="1">SUMIFS(rec.uni[2030-11-01],
INDIRECT("rec.uni[natureza]"),"taxa.extra",
INDIRECT("rec.uni[empresa]"),Y$6)</f>
        <v>0</v>
      </c>
      <c r="Z121" s="51"/>
      <c r="AA121" s="39"/>
      <c r="AB121" s="49">
        <f ca="1">SUMIFS(rec.uni[2030-11-01],
INDIRECT("rec.uni[natureza]"),"pro.soluto",
INDIRECT("rec.uni[empresa]"),AB$6)</f>
        <v>0</v>
      </c>
      <c r="AC121" s="51">
        <f ca="1">SUMIFS(rec.uni[2030-11-01],
INDIRECT("rec.uni[natureza]"),"parcela.fin.total.ik",
INDIRECT("rec.uni[empresa]"),AC$6)</f>
        <v>0</v>
      </c>
      <c r="AD121" s="49">
        <f ca="1">SUMIFS(rec.uni[2030-11-01],
INDIRECT("rec.uni[natureza]"),"taxa.extra",
INDIRECT("rec.uni[empresa]"),AD$6)</f>
        <v>0</v>
      </c>
      <c r="AE121" s="51"/>
      <c r="AF121" s="48"/>
      <c r="AG121" s="49">
        <f ca="1">SUMIFS(rec.uni[2030-11-01],
INDIRECT("rec.uni[natureza]"),"pro.soluto",
INDIRECT("rec.uni[empresa]"),AG$6)</f>
        <v>0</v>
      </c>
      <c r="AH121" s="38"/>
      <c r="AI121" s="51"/>
      <c r="AJ121" s="51"/>
      <c r="AK121" s="49">
        <f ca="1">SUMIFS(rec.uni[2030-11-01],
INDIRECT("rec.uni[natureza]"),"taxa.extra",
INDIRECT("rec.uni[empresa]"),AK$6)</f>
        <v>0</v>
      </c>
      <c r="AL121" s="51"/>
      <c r="AM121" s="39"/>
      <c r="AN121" s="49">
        <f ca="1">SUMIFS(rec.uni[2030-11-01],
INDIRECT("rec.uni[natureza]"),"pro.soluto",
INDIRECT("rec.uni[empresa]"),AN$6)</f>
        <v>0</v>
      </c>
      <c r="AO121" s="49">
        <f ca="1">SUMIFS(rec.uni[2030-11-01],
INDIRECT("rec.uni[natureza]"),"taxa.extra",
INDIRECT("rec.uni[empresa]"),AO$6)</f>
        <v>0</v>
      </c>
      <c r="AP121" s="143"/>
    </row>
    <row r="122" spans="1:42" x14ac:dyDescent="0.25">
      <c r="A122" s="47">
        <v>47818</v>
      </c>
      <c r="B122" s="52"/>
      <c r="C122" s="53">
        <f ca="1">SUMIFS(rec.uni[2030-12-01],
INDIRECT("rec.uni[natureza]"),"pro.soluto",
INDIRECT("rec.uni[empresa]"),C$6)</f>
        <v>0</v>
      </c>
      <c r="D122" s="54"/>
      <c r="E122" s="55"/>
      <c r="F122" s="55"/>
      <c r="G122" s="53">
        <f ca="1">SUMIFS(rec.uni[2030-12-01],
INDIRECT("rec.uni[natureza]"),"taxa.extra",
INDIRECT("rec.uni[empresa]"),G$6)</f>
        <v>0</v>
      </c>
      <c r="H122" s="55"/>
      <c r="I122" s="52"/>
      <c r="J122" s="53">
        <f ca="1">SUMIFS(rec.uni[2030-12-01],
INDIRECT("rec.uni[natureza]"),"pro.soluto",
INDIRECT("rec.uni[empresa]"),J$6)</f>
        <v>0</v>
      </c>
      <c r="K122" s="54"/>
      <c r="L122" s="55"/>
      <c r="M122" s="55"/>
      <c r="N122" s="53">
        <f ca="1">SUMIFS(rec.uni[2030-12-01],
INDIRECT("rec.uni[natureza]"),"taxa.extra",
INDIRECT("rec.uni[empresa]"),N$6)</f>
        <v>0</v>
      </c>
      <c r="O122" s="55"/>
      <c r="P122" s="52"/>
      <c r="Q122" s="53">
        <f ca="1">SUMIFS(rec.uni[2030-12-01],
INDIRECT("rec.uni[natureza]"),"pro.soluto",
INDIRECT("rec.uni[empresa]"),Q$6)</f>
        <v>0</v>
      </c>
      <c r="R122" s="54"/>
      <c r="S122" s="55"/>
      <c r="T122" s="55"/>
      <c r="U122" s="53">
        <f ca="1">SUMIFS(rec.uni[2030-12-01],
INDIRECT("rec.uni[natureza]"),"taxa.extra",
INDIRECT("rec.uni[empresa]"),U$6)</f>
        <v>0</v>
      </c>
      <c r="V122" s="55"/>
      <c r="W122" s="52"/>
      <c r="X122" s="53">
        <f ca="1">SUMIFS(rec.uni[2030-12-01],
INDIRECT("rec.uni[natureza]"),"pro.soluto",
INDIRECT("rec.uni[empresa]"),X$6)</f>
        <v>0</v>
      </c>
      <c r="Y122" s="53">
        <f ca="1">SUMIFS(rec.uni[2030-12-01],
INDIRECT("rec.uni[natureza]"),"taxa.extra",
INDIRECT("rec.uni[empresa]"),Y$6)</f>
        <v>0</v>
      </c>
      <c r="Z122" s="55"/>
      <c r="AA122" s="52"/>
      <c r="AB122" s="53">
        <f ca="1">SUMIFS(rec.uni[2030-12-01],
INDIRECT("rec.uni[natureza]"),"pro.soluto",
INDIRECT("rec.uni[empresa]"),AB$6)</f>
        <v>0</v>
      </c>
      <c r="AC122" s="55">
        <f ca="1">SUMIFS(rec.uni[2030-12-01],
INDIRECT("rec.uni[natureza]"),"parcela.fin.total.ik",
INDIRECT("rec.uni[empresa]"),AC$6)</f>
        <v>0</v>
      </c>
      <c r="AD122" s="53">
        <f ca="1">SUMIFS(rec.uni[2030-12-01],
INDIRECT("rec.uni[natureza]"),"taxa.extra",
INDIRECT("rec.uni[empresa]"),AD$6)</f>
        <v>0</v>
      </c>
      <c r="AE122" s="55"/>
      <c r="AF122" s="56"/>
      <c r="AG122" s="53">
        <f ca="1">SUMIFS(rec.uni[2030-12-01],
INDIRECT("rec.uni[natureza]"),"pro.soluto",
INDIRECT("rec.uni[empresa]"),AG$6)</f>
        <v>0</v>
      </c>
      <c r="AH122" s="54"/>
      <c r="AI122" s="55"/>
      <c r="AJ122" s="55"/>
      <c r="AK122" s="53">
        <f ca="1">SUMIFS(rec.uni[2030-12-01],
INDIRECT("rec.uni[natureza]"),"taxa.extra",
INDIRECT("rec.uni[empresa]"),AK$6)</f>
        <v>0</v>
      </c>
      <c r="AL122" s="55"/>
      <c r="AM122" s="52"/>
      <c r="AN122" s="53">
        <f ca="1">SUMIFS(rec.uni[2030-12-01],
INDIRECT("rec.uni[natureza]"),"pro.soluto",
INDIRECT("rec.uni[empresa]"),AN$6)</f>
        <v>0</v>
      </c>
      <c r="AO122" s="53">
        <f ca="1">SUMIFS(rec.uni[2030-12-01],
INDIRECT("rec.uni[natureza]"),"taxa.extra",
INDIRECT("rec.uni[empresa]"),AO$6)</f>
        <v>0</v>
      </c>
      <c r="AP122" s="144"/>
    </row>
  </sheetData>
  <conditionalFormatting sqref="A11:AP122">
    <cfRule type="expression" dxfId="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1 AF9:AF10 AM9:AM10 AA9:AA1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5F8D0-58DB-427C-9BD3-2940CBFA0EC4}">
  <sheetPr>
    <tabColor rgb="FFFFFF00"/>
  </sheetPr>
  <dimension ref="A1:AP122"/>
  <sheetViews>
    <sheetView showGridLines="0" tabSelected="1" topLeftCell="W1" zoomScale="80" zoomScaleNormal="80" workbookViewId="0">
      <selection activeCell="AL15" sqref="AL15"/>
    </sheetView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156">
        <v>2301149</v>
      </c>
      <c r="H2" s="10"/>
      <c r="I2" s="7" t="s">
        <v>7</v>
      </c>
      <c r="J2" s="11"/>
      <c r="K2" s="156">
        <v>1567849</v>
      </c>
      <c r="O2" s="10"/>
      <c r="P2" s="7" t="s">
        <v>7</v>
      </c>
      <c r="Q2" s="11"/>
      <c r="R2" s="156">
        <v>5448793</v>
      </c>
      <c r="V2" s="10"/>
      <c r="W2" s="7" t="s">
        <v>7</v>
      </c>
      <c r="X2" s="11"/>
      <c r="Y2" s="156">
        <v>30073218</v>
      </c>
      <c r="Z2" s="10"/>
      <c r="AA2" s="7" t="s">
        <v>7</v>
      </c>
      <c r="AB2" s="11"/>
      <c r="AC2" s="156">
        <v>420000</v>
      </c>
      <c r="AE2" s="10"/>
      <c r="AF2" s="7" t="s">
        <v>7</v>
      </c>
      <c r="AG2" s="11"/>
      <c r="AH2" s="156">
        <v>2222876</v>
      </c>
      <c r="AL2" s="10"/>
      <c r="AM2" s="7" t="s">
        <v>7</v>
      </c>
      <c r="AN2" s="11"/>
      <c r="AO2" s="156">
        <v>35524021</v>
      </c>
      <c r="AP2" s="10"/>
    </row>
    <row r="3" spans="1:42" ht="15.75" x14ac:dyDescent="0.25">
      <c r="B3" s="12" t="s">
        <v>8</v>
      </c>
      <c r="C3" s="13"/>
      <c r="D3" s="157">
        <v>12</v>
      </c>
      <c r="H3" s="10"/>
      <c r="I3" s="12" t="s">
        <v>8</v>
      </c>
      <c r="J3" s="15"/>
      <c r="K3" s="157">
        <v>6</v>
      </c>
      <c r="O3" s="10"/>
      <c r="P3" s="12" t="s">
        <v>8</v>
      </c>
      <c r="Q3" s="15"/>
      <c r="R3" s="157">
        <v>13</v>
      </c>
      <c r="V3" s="10"/>
      <c r="W3" s="12" t="s">
        <v>8</v>
      </c>
      <c r="X3" s="15"/>
      <c r="Y3" s="157">
        <v>93</v>
      </c>
      <c r="Z3" s="10"/>
      <c r="AA3" s="12" t="s">
        <v>8</v>
      </c>
      <c r="AB3" s="15"/>
      <c r="AC3" s="157">
        <v>1</v>
      </c>
      <c r="AE3" s="10"/>
      <c r="AF3" s="12" t="s">
        <v>8</v>
      </c>
      <c r="AG3" s="15"/>
      <c r="AH3" s="157">
        <v>7</v>
      </c>
      <c r="AL3" s="10"/>
      <c r="AM3" s="12" t="s">
        <v>8</v>
      </c>
      <c r="AN3" s="15"/>
      <c r="AO3" s="157">
        <v>107</v>
      </c>
      <c r="AP3" s="10"/>
    </row>
    <row r="4" spans="1:42" ht="15.75" x14ac:dyDescent="0.25">
      <c r="B4" s="7" t="s">
        <v>9</v>
      </c>
      <c r="C4" s="8"/>
      <c r="D4" s="158"/>
      <c r="H4" s="10"/>
      <c r="I4" s="7" t="s">
        <v>9</v>
      </c>
      <c r="J4" s="11"/>
      <c r="K4" s="158"/>
      <c r="O4" s="10"/>
      <c r="P4" s="7" t="s">
        <v>9</v>
      </c>
      <c r="Q4" s="11"/>
      <c r="R4" s="158"/>
      <c r="V4" s="10"/>
      <c r="W4" s="7" t="s">
        <v>9</v>
      </c>
      <c r="X4" s="11"/>
      <c r="Y4" s="158"/>
      <c r="Z4" s="10"/>
      <c r="AA4" s="16"/>
      <c r="AE4" s="10"/>
      <c r="AF4" s="7" t="s">
        <v>9</v>
      </c>
      <c r="AG4" s="11"/>
      <c r="AH4" s="158"/>
      <c r="AL4" s="10"/>
      <c r="AM4" s="7" t="s">
        <v>9</v>
      </c>
      <c r="AN4" s="11"/>
      <c r="AO4" s="158"/>
      <c r="AP4" s="10"/>
    </row>
    <row r="5" spans="1:42" ht="15.75" x14ac:dyDescent="0.25">
      <c r="B5" s="17" t="s">
        <v>10</v>
      </c>
      <c r="C5" s="18"/>
      <c r="D5" s="159"/>
      <c r="H5" s="20"/>
      <c r="I5" s="17" t="s">
        <v>10</v>
      </c>
      <c r="J5" s="21"/>
      <c r="K5" s="159"/>
      <c r="O5" s="20"/>
      <c r="P5" s="17" t="s">
        <v>10</v>
      </c>
      <c r="Q5" s="21"/>
      <c r="R5" s="159"/>
      <c r="V5" s="20"/>
      <c r="W5" s="17" t="s">
        <v>10</v>
      </c>
      <c r="X5" s="21"/>
      <c r="Y5" s="159"/>
      <c r="Z5" s="20"/>
      <c r="AA5" s="22"/>
      <c r="AB5" s="23"/>
      <c r="AE5" s="20"/>
      <c r="AF5" s="17" t="s">
        <v>10</v>
      </c>
      <c r="AG5" s="21"/>
      <c r="AH5" s="159"/>
      <c r="AL5" s="20"/>
      <c r="AM5" s="17" t="s">
        <v>10</v>
      </c>
      <c r="AN5" s="21"/>
      <c r="AO5" s="159"/>
      <c r="AP5" s="20"/>
    </row>
    <row r="6" spans="1:42" ht="15.75" x14ac:dyDescent="0.25">
      <c r="A6" s="24" t="s">
        <v>11</v>
      </c>
      <c r="B6" s="25" t="s">
        <v>12</v>
      </c>
      <c r="C6" s="26" t="s">
        <v>12</v>
      </c>
      <c r="D6" s="26" t="s">
        <v>12</v>
      </c>
      <c r="E6" s="26" t="s">
        <v>12</v>
      </c>
      <c r="F6" s="27" t="s">
        <v>12</v>
      </c>
      <c r="G6" s="26" t="s">
        <v>12</v>
      </c>
      <c r="H6" s="28" t="s">
        <v>12</v>
      </c>
      <c r="I6" s="25" t="s">
        <v>13</v>
      </c>
      <c r="J6" s="26" t="s">
        <v>13</v>
      </c>
      <c r="K6" s="26" t="s">
        <v>13</v>
      </c>
      <c r="L6" s="26" t="s">
        <v>13</v>
      </c>
      <c r="M6" s="26" t="s">
        <v>13</v>
      </c>
      <c r="N6" s="26" t="s">
        <v>13</v>
      </c>
      <c r="O6" s="28" t="s">
        <v>13</v>
      </c>
      <c r="P6" s="25" t="s">
        <v>14</v>
      </c>
      <c r="Q6" s="26" t="s">
        <v>14</v>
      </c>
      <c r="R6" s="26" t="s">
        <v>14</v>
      </c>
      <c r="S6" s="26" t="s">
        <v>14</v>
      </c>
      <c r="T6" s="26" t="s">
        <v>14</v>
      </c>
      <c r="U6" s="26" t="s">
        <v>14</v>
      </c>
      <c r="V6" s="28" t="s">
        <v>14</v>
      </c>
      <c r="W6" s="25" t="s">
        <v>15</v>
      </c>
      <c r="X6" s="26" t="s">
        <v>15</v>
      </c>
      <c r="Y6" s="26" t="s">
        <v>15</v>
      </c>
      <c r="Z6" s="28" t="s">
        <v>15</v>
      </c>
      <c r="AA6" s="25" t="s">
        <v>16</v>
      </c>
      <c r="AB6" s="26" t="s">
        <v>16</v>
      </c>
      <c r="AC6" s="26" t="s">
        <v>16</v>
      </c>
      <c r="AD6" s="26" t="s">
        <v>16</v>
      </c>
      <c r="AE6" s="28" t="s">
        <v>16</v>
      </c>
      <c r="AF6" s="25" t="s">
        <v>17</v>
      </c>
      <c r="AG6" s="26" t="s">
        <v>17</v>
      </c>
      <c r="AH6" s="26" t="s">
        <v>17</v>
      </c>
      <c r="AI6" s="26" t="s">
        <v>17</v>
      </c>
      <c r="AJ6" s="26" t="s">
        <v>17</v>
      </c>
      <c r="AK6" s="26" t="s">
        <v>17</v>
      </c>
      <c r="AL6" s="28" t="s">
        <v>17</v>
      </c>
      <c r="AM6" s="25" t="s">
        <v>18</v>
      </c>
      <c r="AN6" s="26" t="s">
        <v>18</v>
      </c>
      <c r="AO6" s="26" t="s">
        <v>18</v>
      </c>
      <c r="AP6" s="28" t="s">
        <v>18</v>
      </c>
    </row>
    <row r="7" spans="1:42" ht="30" x14ac:dyDescent="0.25">
      <c r="A7" s="24" t="s">
        <v>19</v>
      </c>
      <c r="B7" s="29" t="s">
        <v>20</v>
      </c>
      <c r="C7" s="30" t="s">
        <v>21</v>
      </c>
      <c r="D7" s="30" t="s">
        <v>22</v>
      </c>
      <c r="E7" s="30" t="s">
        <v>23</v>
      </c>
      <c r="F7" s="31" t="s">
        <v>24</v>
      </c>
      <c r="G7" s="30" t="s">
        <v>25</v>
      </c>
      <c r="H7" s="32" t="s">
        <v>26</v>
      </c>
      <c r="I7" s="29" t="s">
        <v>20</v>
      </c>
      <c r="J7" s="30" t="s">
        <v>21</v>
      </c>
      <c r="K7" s="30" t="s">
        <v>22</v>
      </c>
      <c r="L7" s="30" t="s">
        <v>23</v>
      </c>
      <c r="M7" s="31" t="s">
        <v>24</v>
      </c>
      <c r="N7" s="30" t="s">
        <v>25</v>
      </c>
      <c r="O7" s="32" t="s">
        <v>26</v>
      </c>
      <c r="P7" s="29" t="s">
        <v>20</v>
      </c>
      <c r="Q7" s="30" t="s">
        <v>21</v>
      </c>
      <c r="R7" s="30" t="s">
        <v>22</v>
      </c>
      <c r="S7" s="30" t="s">
        <v>23</v>
      </c>
      <c r="T7" s="31" t="s">
        <v>24</v>
      </c>
      <c r="U7" s="30" t="s">
        <v>25</v>
      </c>
      <c r="V7" s="32" t="s">
        <v>26</v>
      </c>
      <c r="W7" s="29" t="s">
        <v>20</v>
      </c>
      <c r="X7" s="30" t="s">
        <v>21</v>
      </c>
      <c r="Y7" s="30" t="s">
        <v>25</v>
      </c>
      <c r="Z7" s="32" t="s">
        <v>26</v>
      </c>
      <c r="AA7" s="29" t="s">
        <v>20</v>
      </c>
      <c r="AB7" s="30" t="s">
        <v>21</v>
      </c>
      <c r="AC7" s="30" t="s">
        <v>27</v>
      </c>
      <c r="AD7" s="30" t="s">
        <v>25</v>
      </c>
      <c r="AE7" s="32" t="s">
        <v>26</v>
      </c>
      <c r="AF7" s="29" t="s">
        <v>20</v>
      </c>
      <c r="AG7" s="30" t="s">
        <v>21</v>
      </c>
      <c r="AH7" s="30" t="s">
        <v>22</v>
      </c>
      <c r="AI7" s="30" t="s">
        <v>23</v>
      </c>
      <c r="AJ7" s="31" t="s">
        <v>24</v>
      </c>
      <c r="AK7" s="30" t="s">
        <v>25</v>
      </c>
      <c r="AL7" s="32" t="s">
        <v>26</v>
      </c>
      <c r="AM7" s="29" t="s">
        <v>20</v>
      </c>
      <c r="AN7" s="30" t="s">
        <v>21</v>
      </c>
      <c r="AO7" s="30" t="s">
        <v>25</v>
      </c>
      <c r="AP7" s="32" t="s">
        <v>26</v>
      </c>
    </row>
    <row r="8" spans="1:42" ht="15.75" x14ac:dyDescent="0.25">
      <c r="A8" s="33" t="s">
        <v>28</v>
      </c>
      <c r="B8" s="34">
        <f t="shared" ref="B8:AP8" si="0">SUMIF($A$11:$A$122,"&lt;="&amp;$A$1,B$11:B$122)</f>
        <v>84</v>
      </c>
      <c r="C8" s="35">
        <f t="shared" si="0"/>
        <v>5441368</v>
      </c>
      <c r="D8" s="35">
        <f t="shared" si="0"/>
        <v>10969791</v>
      </c>
      <c r="E8" s="35">
        <f t="shared" si="0"/>
        <v>2076560</v>
      </c>
      <c r="F8" s="36">
        <f t="shared" si="0"/>
        <v>0</v>
      </c>
      <c r="G8" s="35">
        <f t="shared" si="0"/>
        <v>0</v>
      </c>
      <c r="H8" s="37">
        <f t="shared" si="0"/>
        <v>0</v>
      </c>
      <c r="I8" s="34">
        <f t="shared" si="0"/>
        <v>151</v>
      </c>
      <c r="J8" s="35">
        <f t="shared" si="0"/>
        <v>17547728</v>
      </c>
      <c r="K8" s="35">
        <f t="shared" si="0"/>
        <v>18611890</v>
      </c>
      <c r="L8" s="35">
        <f t="shared" si="0"/>
        <v>3812440</v>
      </c>
      <c r="M8" s="36">
        <f t="shared" si="0"/>
        <v>0</v>
      </c>
      <c r="N8" s="35">
        <f t="shared" si="0"/>
        <v>0</v>
      </c>
      <c r="O8" s="37">
        <f t="shared" si="0"/>
        <v>0</v>
      </c>
      <c r="P8" s="34">
        <f>SUMIF($A$11:$A$122,"&lt;="&amp;$A$1,P$11:P$122)</f>
        <v>128</v>
      </c>
      <c r="Q8" s="35">
        <f t="shared" si="0"/>
        <v>8224551</v>
      </c>
      <c r="R8" s="35">
        <f t="shared" si="0"/>
        <v>4747377</v>
      </c>
      <c r="S8" s="35">
        <f t="shared" si="0"/>
        <v>4683225</v>
      </c>
      <c r="T8" s="36">
        <f t="shared" si="0"/>
        <v>0</v>
      </c>
      <c r="U8" s="35">
        <f t="shared" si="0"/>
        <v>0</v>
      </c>
      <c r="V8" s="37">
        <f t="shared" si="0"/>
        <v>0</v>
      </c>
      <c r="W8" s="34">
        <f t="shared" ref="T8:AP8" si="1">SUMIF($A$11:$A$122,"&lt;="&amp;$A$1,W$11:W$122)</f>
        <v>121</v>
      </c>
      <c r="X8" s="35">
        <f t="shared" si="0"/>
        <v>1155519</v>
      </c>
      <c r="Y8" s="35">
        <f t="shared" si="0"/>
        <v>0</v>
      </c>
      <c r="Z8" s="37">
        <f t="shared" si="0"/>
        <v>0</v>
      </c>
      <c r="AA8" s="34">
        <f t="shared" si="1"/>
        <v>55</v>
      </c>
      <c r="AB8" s="35">
        <f t="shared" si="0"/>
        <v>8478046</v>
      </c>
      <c r="AC8" s="38" t="s">
        <v>44</v>
      </c>
      <c r="AD8" s="35">
        <f t="shared" si="0"/>
        <v>0</v>
      </c>
      <c r="AE8" s="37">
        <f t="shared" si="0"/>
        <v>0</v>
      </c>
      <c r="AF8" s="34">
        <f t="shared" si="1"/>
        <v>190</v>
      </c>
      <c r="AG8" s="35">
        <f t="shared" si="0"/>
        <v>11982013.73</v>
      </c>
      <c r="AH8" s="35">
        <f t="shared" si="0"/>
        <v>6607255</v>
      </c>
      <c r="AI8" s="35">
        <f t="shared" si="0"/>
        <v>6328879</v>
      </c>
      <c r="AJ8" s="36">
        <f t="shared" si="0"/>
        <v>0</v>
      </c>
      <c r="AK8" s="35">
        <f t="shared" si="0"/>
        <v>0</v>
      </c>
      <c r="AL8" s="37">
        <f t="shared" si="0"/>
        <v>0</v>
      </c>
      <c r="AM8" s="34">
        <f t="shared" si="1"/>
        <v>270</v>
      </c>
      <c r="AN8" s="35">
        <f t="shared" si="0"/>
        <v>4070583</v>
      </c>
      <c r="AO8" s="35">
        <f t="shared" si="0"/>
        <v>0</v>
      </c>
      <c r="AP8" s="37">
        <f t="shared" si="0"/>
        <v>0</v>
      </c>
    </row>
    <row r="9" spans="1:42" ht="15.75" x14ac:dyDescent="0.25">
      <c r="A9" s="33" t="s">
        <v>29</v>
      </c>
      <c r="B9" s="34">
        <f>B$10-B$8</f>
        <v>-84</v>
      </c>
      <c r="C9" s="35">
        <f>SUMIF($A$11:$A$122,"&gt;"&amp;$A$1,C$11:C$122)</f>
        <v>2532963</v>
      </c>
      <c r="D9" s="153">
        <f t="shared" ref="D9:H9" si="2">SUMIF($A$11:$A$122,"&gt;"&amp;$A$1,D$11:D$122)</f>
        <v>2411486</v>
      </c>
      <c r="E9" s="153">
        <f t="shared" si="2"/>
        <v>163842</v>
      </c>
      <c r="F9" s="154">
        <f t="shared" si="2"/>
        <v>0</v>
      </c>
      <c r="G9" s="35">
        <f t="shared" si="2"/>
        <v>0</v>
      </c>
      <c r="H9" s="155">
        <f t="shared" si="2"/>
        <v>0</v>
      </c>
      <c r="I9" s="34">
        <f>I$10-I$8</f>
        <v>-151</v>
      </c>
      <c r="J9" s="35">
        <f t="shared" ref="J9:AP9" si="3">SUMIF($A$11:$A$122,"&gt;"&amp;$A$1,J$11:J$122)</f>
        <v>42900</v>
      </c>
      <c r="K9" s="153">
        <f t="shared" si="3"/>
        <v>0</v>
      </c>
      <c r="L9" s="153">
        <f t="shared" si="3"/>
        <v>0</v>
      </c>
      <c r="M9" s="154">
        <f t="shared" si="3"/>
        <v>0</v>
      </c>
      <c r="N9" s="35">
        <f t="shared" si="3"/>
        <v>0</v>
      </c>
      <c r="O9" s="155">
        <f t="shared" si="3"/>
        <v>0</v>
      </c>
      <c r="P9" s="34">
        <f>P$10-P$8</f>
        <v>-128</v>
      </c>
      <c r="Q9" s="35">
        <f t="shared" si="3"/>
        <v>6883519</v>
      </c>
      <c r="R9" s="153">
        <f t="shared" si="3"/>
        <v>17101428</v>
      </c>
      <c r="S9" s="153">
        <f t="shared" si="3"/>
        <v>148936</v>
      </c>
      <c r="T9" s="154">
        <f t="shared" si="3"/>
        <v>0</v>
      </c>
      <c r="U9" s="35">
        <f t="shared" si="3"/>
        <v>0</v>
      </c>
      <c r="V9" s="155">
        <f t="shared" si="3"/>
        <v>0</v>
      </c>
      <c r="W9" s="34">
        <f>W$10-W$8</f>
        <v>-121</v>
      </c>
      <c r="X9" s="35">
        <f t="shared" si="3"/>
        <v>5494622</v>
      </c>
      <c r="Y9" s="35">
        <f t="shared" si="3"/>
        <v>0</v>
      </c>
      <c r="Z9" s="155">
        <f t="shared" si="3"/>
        <v>0</v>
      </c>
      <c r="AA9" s="34">
        <f>AA$10-AA$8</f>
        <v>-55</v>
      </c>
      <c r="AB9" s="35">
        <f t="shared" si="3"/>
        <v>3542427</v>
      </c>
      <c r="AC9" s="153">
        <f>SUMIF($A$11:$A$122,"&gt;"&amp;$A$1,AC$11:AC$122)</f>
        <v>13476430</v>
      </c>
      <c r="AD9" s="35">
        <f t="shared" si="3"/>
        <v>0</v>
      </c>
      <c r="AE9" s="155">
        <f t="shared" si="3"/>
        <v>0</v>
      </c>
      <c r="AF9" s="34">
        <f>AF$10-AF$8</f>
        <v>-190</v>
      </c>
      <c r="AG9" s="35">
        <f t="shared" si="3"/>
        <v>6927535</v>
      </c>
      <c r="AH9" s="153">
        <f t="shared" si="3"/>
        <v>25947554</v>
      </c>
      <c r="AI9" s="153">
        <f t="shared" si="3"/>
        <v>369231</v>
      </c>
      <c r="AJ9" s="154">
        <f t="shared" si="3"/>
        <v>0</v>
      </c>
      <c r="AK9" s="35">
        <f t="shared" si="3"/>
        <v>0</v>
      </c>
      <c r="AL9" s="155">
        <f t="shared" si="3"/>
        <v>0</v>
      </c>
      <c r="AM9" s="34">
        <f>AM$10-AM$8</f>
        <v>-270</v>
      </c>
      <c r="AN9" s="35">
        <f t="shared" si="3"/>
        <v>14956888</v>
      </c>
      <c r="AO9" s="35">
        <f t="shared" si="3"/>
        <v>0</v>
      </c>
      <c r="AP9" s="155">
        <f t="shared" si="3"/>
        <v>0</v>
      </c>
    </row>
    <row r="10" spans="1:42" ht="15.75" x14ac:dyDescent="0.25">
      <c r="A10" s="43" t="s">
        <v>30</v>
      </c>
      <c r="B10" s="145">
        <f>unis!H4</f>
        <v>0</v>
      </c>
      <c r="C10" s="44">
        <f t="shared" ref="C10:H10" si="4">SUM(C8:C9)</f>
        <v>7974331</v>
      </c>
      <c r="D10" s="44">
        <f t="shared" si="4"/>
        <v>13381277</v>
      </c>
      <c r="E10" s="44">
        <f t="shared" si="4"/>
        <v>2240402</v>
      </c>
      <c r="F10" s="45">
        <f t="shared" si="4"/>
        <v>0</v>
      </c>
      <c r="G10" s="44">
        <f t="shared" si="4"/>
        <v>0</v>
      </c>
      <c r="H10" s="46">
        <f t="shared" si="4"/>
        <v>0</v>
      </c>
      <c r="I10" s="145">
        <f>unis!H8</f>
        <v>0</v>
      </c>
      <c r="J10" s="44">
        <f t="shared" ref="J10:O10" si="5">SUM(J8:J9)</f>
        <v>17590628</v>
      </c>
      <c r="K10" s="44">
        <f t="shared" si="5"/>
        <v>18611890</v>
      </c>
      <c r="L10" s="44">
        <f t="shared" si="5"/>
        <v>3812440</v>
      </c>
      <c r="M10" s="45">
        <f t="shared" si="5"/>
        <v>0</v>
      </c>
      <c r="N10" s="44">
        <f t="shared" si="5"/>
        <v>0</v>
      </c>
      <c r="O10" s="46">
        <f t="shared" si="5"/>
        <v>0</v>
      </c>
      <c r="P10" s="145">
        <f>unis!H12</f>
        <v>0</v>
      </c>
      <c r="Q10" s="44">
        <f t="shared" ref="Q10:V10" si="6">SUM(Q8:Q9)</f>
        <v>15108070</v>
      </c>
      <c r="R10" s="44">
        <f t="shared" si="6"/>
        <v>21848805</v>
      </c>
      <c r="S10" s="44">
        <f t="shared" si="6"/>
        <v>4832161</v>
      </c>
      <c r="T10" s="45">
        <f t="shared" si="6"/>
        <v>0</v>
      </c>
      <c r="U10" s="44">
        <f t="shared" si="6"/>
        <v>0</v>
      </c>
      <c r="V10" s="46">
        <f t="shared" si="6"/>
        <v>0</v>
      </c>
      <c r="W10" s="145">
        <f>unis!H16</f>
        <v>0</v>
      </c>
      <c r="X10" s="44">
        <f>SUM(X8:X9)</f>
        <v>6650141</v>
      </c>
      <c r="Y10" s="44">
        <f>SUM(Y8:Y9)</f>
        <v>0</v>
      </c>
      <c r="Z10" s="46">
        <f>SUM(Z8:Z9)</f>
        <v>0</v>
      </c>
      <c r="AA10" s="145">
        <f>unis!H20</f>
        <v>0</v>
      </c>
      <c r="AB10" s="44">
        <f>SUM(AB8:AB9)</f>
        <v>12020473</v>
      </c>
      <c r="AC10" s="44">
        <f>SUM(AC8:AC9)</f>
        <v>13476430</v>
      </c>
      <c r="AD10" s="44">
        <f>SUM(AD8:AD9)</f>
        <v>0</v>
      </c>
      <c r="AE10" s="46">
        <f>SUM(AE8:AE9)</f>
        <v>0</v>
      </c>
      <c r="AF10" s="145">
        <f>unis!H24</f>
        <v>0</v>
      </c>
      <c r="AG10" s="44">
        <f t="shared" ref="AG10:AL10" si="7">SUM(AG8:AG9)</f>
        <v>18909548.73</v>
      </c>
      <c r="AH10" s="44">
        <f t="shared" si="7"/>
        <v>32554809</v>
      </c>
      <c r="AI10" s="44">
        <f t="shared" si="7"/>
        <v>6698110</v>
      </c>
      <c r="AJ10" s="45">
        <f t="shared" si="7"/>
        <v>0</v>
      </c>
      <c r="AK10" s="44">
        <f t="shared" si="7"/>
        <v>0</v>
      </c>
      <c r="AL10" s="46">
        <f t="shared" si="7"/>
        <v>0</v>
      </c>
      <c r="AM10" s="145">
        <f>unis!H28</f>
        <v>0</v>
      </c>
      <c r="AN10" s="44">
        <f>SUM(AN8:AN9)</f>
        <v>19027471</v>
      </c>
      <c r="AO10" s="44">
        <f>SUM(AO8:AO9)</f>
        <v>0</v>
      </c>
      <c r="AP10" s="46">
        <f>SUM(AP8:AP9)</f>
        <v>0</v>
      </c>
    </row>
    <row r="11" spans="1:42" x14ac:dyDescent="0.25">
      <c r="A11" s="47">
        <v>44440</v>
      </c>
      <c r="B11" s="145"/>
      <c r="C11" s="146"/>
      <c r="D11" s="146"/>
      <c r="E11" s="146"/>
      <c r="F11" s="146"/>
      <c r="G11" s="146"/>
      <c r="H11" s="147"/>
      <c r="I11" s="145"/>
      <c r="J11" s="146"/>
      <c r="K11" s="146"/>
      <c r="L11" s="146"/>
      <c r="M11" s="146"/>
      <c r="N11" s="146"/>
      <c r="O11" s="147"/>
      <c r="P11" s="145"/>
      <c r="Q11" s="146"/>
      <c r="R11" s="146"/>
      <c r="S11" s="146"/>
      <c r="T11" s="146"/>
      <c r="U11" s="146"/>
      <c r="V11" s="147"/>
      <c r="W11" s="145"/>
      <c r="X11" s="146"/>
      <c r="Y11" s="146"/>
      <c r="Z11" s="147"/>
      <c r="AA11" s="145"/>
      <c r="AB11" s="146"/>
      <c r="AC11" s="146"/>
      <c r="AD11" s="146"/>
      <c r="AE11" s="147"/>
      <c r="AF11" s="145"/>
      <c r="AG11" s="146"/>
      <c r="AH11" s="146"/>
      <c r="AI11" s="146"/>
      <c r="AJ11" s="146"/>
      <c r="AK11" s="146"/>
      <c r="AL11" s="147"/>
      <c r="AM11" s="145"/>
      <c r="AN11" s="146"/>
      <c r="AO11" s="146"/>
      <c r="AP11" s="147"/>
    </row>
    <row r="12" spans="1:42" x14ac:dyDescent="0.25">
      <c r="A12" s="47">
        <v>44470</v>
      </c>
      <c r="B12" s="145"/>
      <c r="C12" s="146"/>
      <c r="D12" s="146"/>
      <c r="E12" s="146"/>
      <c r="F12" s="146"/>
      <c r="G12" s="146"/>
      <c r="H12" s="147"/>
      <c r="I12" s="145"/>
      <c r="J12" s="146"/>
      <c r="K12" s="146"/>
      <c r="L12" s="146"/>
      <c r="M12" s="146"/>
      <c r="N12" s="146"/>
      <c r="O12" s="147"/>
      <c r="P12" s="145"/>
      <c r="Q12" s="146"/>
      <c r="R12" s="146"/>
      <c r="S12" s="146"/>
      <c r="T12" s="146"/>
      <c r="U12" s="146"/>
      <c r="V12" s="147"/>
      <c r="W12" s="145"/>
      <c r="X12" s="146"/>
      <c r="Y12" s="146"/>
      <c r="Z12" s="147"/>
      <c r="AA12" s="145"/>
      <c r="AB12" s="146"/>
      <c r="AC12" s="146"/>
      <c r="AD12" s="146"/>
      <c r="AE12" s="147"/>
      <c r="AF12" s="145"/>
      <c r="AG12" s="146"/>
      <c r="AH12" s="146"/>
      <c r="AI12" s="146"/>
      <c r="AJ12" s="146"/>
      <c r="AK12" s="146"/>
      <c r="AL12" s="147"/>
      <c r="AM12" s="145"/>
      <c r="AN12" s="146"/>
      <c r="AO12" s="146"/>
      <c r="AP12" s="147"/>
    </row>
    <row r="13" spans="1:42" x14ac:dyDescent="0.25">
      <c r="A13" s="47">
        <v>44501</v>
      </c>
      <c r="B13" s="145"/>
      <c r="C13" s="146"/>
      <c r="D13" s="146"/>
      <c r="E13" s="146"/>
      <c r="F13" s="146"/>
      <c r="G13" s="146"/>
      <c r="H13" s="147"/>
      <c r="I13" s="145"/>
      <c r="J13" s="146"/>
      <c r="K13" s="146"/>
      <c r="L13" s="146"/>
      <c r="M13" s="146"/>
      <c r="N13" s="146"/>
      <c r="O13" s="147"/>
      <c r="P13" s="145"/>
      <c r="Q13" s="146"/>
      <c r="R13" s="146"/>
      <c r="S13" s="146"/>
      <c r="T13" s="146"/>
      <c r="U13" s="146"/>
      <c r="V13" s="147"/>
      <c r="W13" s="145"/>
      <c r="X13" s="146"/>
      <c r="Y13" s="146"/>
      <c r="Z13" s="147"/>
      <c r="AA13" s="145"/>
      <c r="AB13" s="146"/>
      <c r="AC13" s="146"/>
      <c r="AD13" s="146"/>
      <c r="AE13" s="147"/>
      <c r="AF13" s="145"/>
      <c r="AG13" s="146"/>
      <c r="AH13" s="146"/>
      <c r="AI13" s="146"/>
      <c r="AJ13" s="146"/>
      <c r="AK13" s="146"/>
      <c r="AL13" s="147"/>
      <c r="AM13" s="145"/>
      <c r="AN13" s="146"/>
      <c r="AO13" s="146"/>
      <c r="AP13" s="147"/>
    </row>
    <row r="14" spans="1:42" x14ac:dyDescent="0.25">
      <c r="A14" s="47">
        <v>44531</v>
      </c>
      <c r="B14" s="145"/>
      <c r="C14" s="146"/>
      <c r="D14" s="146"/>
      <c r="E14" s="146"/>
      <c r="F14" s="146"/>
      <c r="G14" s="146"/>
      <c r="H14" s="147"/>
      <c r="I14" s="145"/>
      <c r="J14" s="146"/>
      <c r="K14" s="146"/>
      <c r="L14" s="146"/>
      <c r="M14" s="146"/>
      <c r="N14" s="146"/>
      <c r="O14" s="147"/>
      <c r="P14" s="145"/>
      <c r="Q14" s="146"/>
      <c r="R14" s="146"/>
      <c r="S14" s="146"/>
      <c r="T14" s="146"/>
      <c r="U14" s="146"/>
      <c r="V14" s="147"/>
      <c r="W14" s="145"/>
      <c r="X14" s="146"/>
      <c r="Y14" s="146"/>
      <c r="Z14" s="147"/>
      <c r="AA14" s="145"/>
      <c r="AB14" s="146"/>
      <c r="AC14" s="146"/>
      <c r="AD14" s="146"/>
      <c r="AE14" s="147"/>
      <c r="AF14" s="145"/>
      <c r="AG14" s="146"/>
      <c r="AH14" s="146"/>
      <c r="AI14" s="146"/>
      <c r="AJ14" s="146"/>
      <c r="AK14" s="146"/>
      <c r="AL14" s="147"/>
      <c r="AM14" s="145"/>
      <c r="AN14" s="146"/>
      <c r="AO14" s="146"/>
      <c r="AP14" s="147"/>
    </row>
    <row r="15" spans="1:42" x14ac:dyDescent="0.25">
      <c r="A15" s="47">
        <v>44562</v>
      </c>
      <c r="B15" s="145"/>
      <c r="C15" s="146"/>
      <c r="D15" s="146"/>
      <c r="E15" s="146"/>
      <c r="F15" s="146"/>
      <c r="G15" s="146"/>
      <c r="H15" s="147"/>
      <c r="I15" s="145">
        <v>17</v>
      </c>
      <c r="J15" s="146">
        <v>1297500</v>
      </c>
      <c r="K15" s="146"/>
      <c r="L15" s="146"/>
      <c r="M15" s="146"/>
      <c r="N15" s="146"/>
      <c r="O15" s="147"/>
      <c r="P15" s="145"/>
      <c r="Q15" s="146"/>
      <c r="R15" s="146"/>
      <c r="S15" s="146"/>
      <c r="T15" s="146"/>
      <c r="U15" s="146"/>
      <c r="V15" s="147"/>
      <c r="W15" s="145"/>
      <c r="X15" s="146"/>
      <c r="Y15" s="146"/>
      <c r="Z15" s="147"/>
      <c r="AA15" s="145"/>
      <c r="AB15" s="146"/>
      <c r="AC15" s="146"/>
      <c r="AD15" s="146"/>
      <c r="AE15" s="147"/>
      <c r="AF15" s="145"/>
      <c r="AG15" s="146"/>
      <c r="AH15" s="146"/>
      <c r="AI15" s="146"/>
      <c r="AJ15" s="146"/>
      <c r="AK15" s="146"/>
      <c r="AL15" s="147"/>
      <c r="AM15" s="145"/>
      <c r="AN15" s="146"/>
      <c r="AO15" s="146"/>
      <c r="AP15" s="147"/>
    </row>
    <row r="16" spans="1:42" x14ac:dyDescent="0.25">
      <c r="A16" s="47">
        <v>44593</v>
      </c>
      <c r="B16" s="145"/>
      <c r="C16" s="146"/>
      <c r="D16" s="146"/>
      <c r="E16" s="146"/>
      <c r="F16" s="146"/>
      <c r="G16" s="146"/>
      <c r="H16" s="147"/>
      <c r="I16" s="145" t="s">
        <v>45</v>
      </c>
      <c r="J16" s="146">
        <v>547500</v>
      </c>
      <c r="K16" s="146"/>
      <c r="L16" s="146"/>
      <c r="M16" s="146"/>
      <c r="N16" s="146"/>
      <c r="O16" s="147"/>
      <c r="P16" s="145"/>
      <c r="Q16" s="146"/>
      <c r="R16" s="146"/>
      <c r="S16" s="146"/>
      <c r="T16" s="146"/>
      <c r="U16" s="146"/>
      <c r="V16" s="147"/>
      <c r="W16" s="145"/>
      <c r="X16" s="146"/>
      <c r="Y16" s="146"/>
      <c r="Z16" s="147"/>
      <c r="AA16" s="145"/>
      <c r="AB16" s="146"/>
      <c r="AC16" s="146"/>
      <c r="AD16" s="146"/>
      <c r="AE16" s="147"/>
      <c r="AF16" s="145"/>
      <c r="AG16" s="146"/>
      <c r="AH16" s="146"/>
      <c r="AI16" s="146"/>
      <c r="AJ16" s="146"/>
      <c r="AK16" s="146"/>
      <c r="AL16" s="147"/>
      <c r="AM16" s="145"/>
      <c r="AN16" s="146"/>
      <c r="AO16" s="146"/>
      <c r="AP16" s="147"/>
    </row>
    <row r="17" spans="1:42" x14ac:dyDescent="0.25">
      <c r="A17" s="47">
        <v>44621</v>
      </c>
      <c r="B17" s="145"/>
      <c r="C17" s="146"/>
      <c r="D17" s="146"/>
      <c r="E17" s="146"/>
      <c r="F17" s="146"/>
      <c r="G17" s="146"/>
      <c r="H17" s="147"/>
      <c r="I17" s="145">
        <v>34</v>
      </c>
      <c r="J17" s="146">
        <v>445979</v>
      </c>
      <c r="K17" s="146"/>
      <c r="L17" s="146"/>
      <c r="M17" s="146"/>
      <c r="N17" s="146"/>
      <c r="O17" s="147"/>
      <c r="P17" s="145"/>
      <c r="Q17" s="146"/>
      <c r="R17" s="146"/>
      <c r="S17" s="146"/>
      <c r="T17" s="146"/>
      <c r="U17" s="146"/>
      <c r="V17" s="147"/>
      <c r="W17" s="145"/>
      <c r="X17" s="146"/>
      <c r="Y17" s="146"/>
      <c r="Z17" s="147"/>
      <c r="AA17" s="145"/>
      <c r="AB17" s="146"/>
      <c r="AC17" s="146"/>
      <c r="AD17" s="146"/>
      <c r="AE17" s="147"/>
      <c r="AF17" s="145"/>
      <c r="AG17" s="146"/>
      <c r="AH17" s="146"/>
      <c r="AI17" s="146"/>
      <c r="AJ17" s="146"/>
      <c r="AK17" s="146"/>
      <c r="AL17" s="147"/>
      <c r="AM17" s="145"/>
      <c r="AN17" s="146"/>
      <c r="AO17" s="146"/>
      <c r="AP17" s="147"/>
    </row>
    <row r="18" spans="1:42" x14ac:dyDescent="0.25">
      <c r="A18" s="47">
        <v>44652</v>
      </c>
      <c r="B18" s="145"/>
      <c r="C18" s="146"/>
      <c r="D18" s="146"/>
      <c r="E18" s="146"/>
      <c r="F18" s="146"/>
      <c r="G18" s="146"/>
      <c r="H18" s="147"/>
      <c r="I18" s="145">
        <v>17</v>
      </c>
      <c r="J18" s="146">
        <v>1071608</v>
      </c>
      <c r="K18" s="146"/>
      <c r="L18" s="146"/>
      <c r="M18" s="146"/>
      <c r="N18" s="146"/>
      <c r="O18" s="147"/>
      <c r="P18" s="145"/>
      <c r="Q18" s="146"/>
      <c r="R18" s="146"/>
      <c r="S18" s="146"/>
      <c r="T18" s="146"/>
      <c r="U18" s="146"/>
      <c r="V18" s="147"/>
      <c r="W18" s="145"/>
      <c r="X18" s="146"/>
      <c r="Y18" s="146"/>
      <c r="Z18" s="147"/>
      <c r="AA18" s="145"/>
      <c r="AB18" s="146"/>
      <c r="AC18" s="146"/>
      <c r="AD18" s="146"/>
      <c r="AE18" s="147"/>
      <c r="AF18" s="145"/>
      <c r="AG18" s="146"/>
      <c r="AH18" s="146"/>
      <c r="AI18" s="146"/>
      <c r="AJ18" s="146"/>
      <c r="AK18" s="146"/>
      <c r="AL18" s="147"/>
      <c r="AM18" s="145"/>
      <c r="AN18" s="146"/>
      <c r="AO18" s="146"/>
      <c r="AP18" s="147"/>
    </row>
    <row r="19" spans="1:42" x14ac:dyDescent="0.25">
      <c r="A19" s="47">
        <v>44682</v>
      </c>
      <c r="B19" s="145"/>
      <c r="C19" s="146"/>
      <c r="D19" s="146"/>
      <c r="E19" s="146"/>
      <c r="F19" s="146"/>
      <c r="G19" s="146"/>
      <c r="H19" s="147"/>
      <c r="I19" s="145">
        <v>23</v>
      </c>
      <c r="J19" s="146">
        <v>162495</v>
      </c>
      <c r="K19" s="146"/>
      <c r="L19" s="146"/>
      <c r="M19" s="146"/>
      <c r="N19" s="146"/>
      <c r="O19" s="147"/>
      <c r="P19" s="145"/>
      <c r="Q19" s="146"/>
      <c r="R19" s="146"/>
      <c r="S19" s="146"/>
      <c r="T19" s="146"/>
      <c r="U19" s="146"/>
      <c r="V19" s="147"/>
      <c r="W19" s="145"/>
      <c r="X19" s="146"/>
      <c r="Y19" s="146"/>
      <c r="Z19" s="147"/>
      <c r="AA19" s="145"/>
      <c r="AB19" s="146"/>
      <c r="AC19" s="146"/>
      <c r="AD19" s="146"/>
      <c r="AE19" s="147"/>
      <c r="AF19" s="145"/>
      <c r="AG19" s="146"/>
      <c r="AH19" s="146"/>
      <c r="AI19" s="146"/>
      <c r="AJ19" s="146"/>
      <c r="AK19" s="146"/>
      <c r="AL19" s="147"/>
      <c r="AM19" s="145"/>
      <c r="AN19" s="146"/>
      <c r="AO19" s="146"/>
      <c r="AP19" s="147"/>
    </row>
    <row r="20" spans="1:42" x14ac:dyDescent="0.25">
      <c r="A20" s="47">
        <v>44713</v>
      </c>
      <c r="B20" s="145"/>
      <c r="C20" s="146"/>
      <c r="D20" s="146"/>
      <c r="E20" s="146"/>
      <c r="F20" s="146"/>
      <c r="G20" s="146"/>
      <c r="H20" s="147"/>
      <c r="I20" s="145">
        <v>10</v>
      </c>
      <c r="J20" s="146">
        <v>48360</v>
      </c>
      <c r="K20" s="146"/>
      <c r="L20" s="146"/>
      <c r="M20" s="146"/>
      <c r="N20" s="146"/>
      <c r="O20" s="147"/>
      <c r="P20" s="145"/>
      <c r="Q20" s="146"/>
      <c r="R20" s="146"/>
      <c r="S20" s="146"/>
      <c r="T20" s="146"/>
      <c r="U20" s="146"/>
      <c r="V20" s="147"/>
      <c r="W20" s="145"/>
      <c r="X20" s="146"/>
      <c r="Y20" s="146"/>
      <c r="Z20" s="147"/>
      <c r="AA20" s="145"/>
      <c r="AB20" s="146"/>
      <c r="AC20" s="146"/>
      <c r="AD20" s="146"/>
      <c r="AE20" s="147"/>
      <c r="AF20" s="145"/>
      <c r="AG20" s="146"/>
      <c r="AH20" s="146"/>
      <c r="AI20" s="146"/>
      <c r="AJ20" s="146"/>
      <c r="AK20" s="146"/>
      <c r="AL20" s="147"/>
      <c r="AM20" s="145"/>
      <c r="AN20" s="146"/>
      <c r="AO20" s="146"/>
      <c r="AP20" s="147"/>
    </row>
    <row r="21" spans="1:42" x14ac:dyDescent="0.25">
      <c r="A21" s="47">
        <v>44743</v>
      </c>
      <c r="B21" s="145"/>
      <c r="C21" s="146"/>
      <c r="D21" s="146"/>
      <c r="E21" s="146"/>
      <c r="F21" s="146"/>
      <c r="G21" s="146"/>
      <c r="H21" s="147"/>
      <c r="I21" s="145">
        <v>10</v>
      </c>
      <c r="J21" s="146">
        <v>285668</v>
      </c>
      <c r="K21" s="146"/>
      <c r="L21" s="146"/>
      <c r="M21" s="146"/>
      <c r="N21" s="146"/>
      <c r="O21" s="147"/>
      <c r="P21" s="145"/>
      <c r="Q21" s="146"/>
      <c r="R21" s="146"/>
      <c r="S21" s="146"/>
      <c r="T21" s="146"/>
      <c r="U21" s="146"/>
      <c r="V21" s="147"/>
      <c r="W21" s="145"/>
      <c r="X21" s="146"/>
      <c r="Y21" s="146"/>
      <c r="Z21" s="147"/>
      <c r="AA21" s="145"/>
      <c r="AB21" s="146"/>
      <c r="AC21" s="146"/>
      <c r="AD21" s="146"/>
      <c r="AE21" s="147"/>
      <c r="AF21" s="145"/>
      <c r="AG21" s="146"/>
      <c r="AH21" s="146"/>
      <c r="AI21" s="146"/>
      <c r="AJ21" s="146"/>
      <c r="AK21" s="146"/>
      <c r="AL21" s="147"/>
      <c r="AM21" s="145"/>
      <c r="AN21" s="146"/>
      <c r="AO21" s="146"/>
      <c r="AP21" s="147"/>
    </row>
    <row r="22" spans="1:42" x14ac:dyDescent="0.25">
      <c r="A22" s="47">
        <v>44774</v>
      </c>
      <c r="B22" s="145"/>
      <c r="C22" s="146"/>
      <c r="D22" s="146"/>
      <c r="E22" s="146"/>
      <c r="F22" s="146"/>
      <c r="G22" s="146"/>
      <c r="H22" s="147"/>
      <c r="I22" s="145">
        <v>10</v>
      </c>
      <c r="J22" s="146">
        <v>762659</v>
      </c>
      <c r="K22" s="146"/>
      <c r="L22" s="146"/>
      <c r="M22" s="146"/>
      <c r="N22" s="146"/>
      <c r="O22" s="147"/>
      <c r="P22" s="145"/>
      <c r="Q22" s="146"/>
      <c r="R22" s="146"/>
      <c r="S22" s="146"/>
      <c r="T22" s="146"/>
      <c r="U22" s="146"/>
      <c r="V22" s="147"/>
      <c r="W22" s="145"/>
      <c r="X22" s="146"/>
      <c r="Y22" s="146"/>
      <c r="Z22" s="147"/>
      <c r="AA22" s="145"/>
      <c r="AB22" s="146"/>
      <c r="AC22" s="146"/>
      <c r="AD22" s="146"/>
      <c r="AE22" s="147"/>
      <c r="AF22" s="145"/>
      <c r="AG22" s="146"/>
      <c r="AH22" s="146"/>
      <c r="AI22" s="146"/>
      <c r="AJ22" s="146"/>
      <c r="AK22" s="146"/>
      <c r="AL22" s="147"/>
      <c r="AM22" s="145"/>
      <c r="AN22" s="146"/>
      <c r="AO22" s="146"/>
      <c r="AP22" s="147"/>
    </row>
    <row r="23" spans="1:42" x14ac:dyDescent="0.25">
      <c r="A23" s="47">
        <v>44805</v>
      </c>
      <c r="B23" s="145"/>
      <c r="C23" s="146"/>
      <c r="D23" s="146"/>
      <c r="E23" s="146"/>
      <c r="F23" s="146"/>
      <c r="G23" s="146"/>
      <c r="H23" s="147"/>
      <c r="I23" s="145">
        <v>6</v>
      </c>
      <c r="J23" s="146">
        <v>82249</v>
      </c>
      <c r="K23" s="146"/>
      <c r="L23" s="146"/>
      <c r="M23" s="146"/>
      <c r="N23" s="146"/>
      <c r="O23" s="147"/>
      <c r="P23" s="145"/>
      <c r="Q23" s="146"/>
      <c r="R23" s="146"/>
      <c r="S23" s="146"/>
      <c r="T23" s="146"/>
      <c r="U23" s="146"/>
      <c r="V23" s="147"/>
      <c r="W23" s="145"/>
      <c r="X23" s="146"/>
      <c r="Y23" s="146"/>
      <c r="Z23" s="147"/>
      <c r="AA23" s="145"/>
      <c r="AB23" s="146"/>
      <c r="AC23" s="146"/>
      <c r="AD23" s="146"/>
      <c r="AE23" s="147"/>
      <c r="AF23" s="145"/>
      <c r="AG23" s="146"/>
      <c r="AH23" s="146"/>
      <c r="AI23" s="146"/>
      <c r="AJ23" s="146"/>
      <c r="AK23" s="146"/>
      <c r="AL23" s="147"/>
      <c r="AM23" s="145"/>
      <c r="AN23" s="146"/>
      <c r="AO23" s="146"/>
      <c r="AP23" s="147"/>
    </row>
    <row r="24" spans="1:42" x14ac:dyDescent="0.25">
      <c r="A24" s="47">
        <v>44835</v>
      </c>
      <c r="B24" s="145"/>
      <c r="C24" s="146"/>
      <c r="D24" s="146"/>
      <c r="E24" s="146"/>
      <c r="F24" s="146"/>
      <c r="G24" s="146"/>
      <c r="H24" s="147"/>
      <c r="I24" s="145">
        <v>3</v>
      </c>
      <c r="J24" s="146">
        <v>99316</v>
      </c>
      <c r="K24" s="146"/>
      <c r="L24" s="146"/>
      <c r="M24" s="146"/>
      <c r="N24" s="146"/>
      <c r="O24" s="147"/>
      <c r="P24" s="145"/>
      <c r="Q24" s="146"/>
      <c r="R24" s="146"/>
      <c r="S24" s="146"/>
      <c r="T24" s="146"/>
      <c r="U24" s="146"/>
      <c r="V24" s="147"/>
      <c r="W24" s="145"/>
      <c r="X24" s="146"/>
      <c r="Y24" s="146"/>
      <c r="Z24" s="147"/>
      <c r="AA24" s="145"/>
      <c r="AB24" s="146"/>
      <c r="AC24" s="146"/>
      <c r="AD24" s="146"/>
      <c r="AE24" s="147"/>
      <c r="AF24" s="145"/>
      <c r="AG24" s="146"/>
      <c r="AH24" s="146"/>
      <c r="AI24" s="146"/>
      <c r="AJ24" s="146"/>
      <c r="AK24" s="146"/>
      <c r="AL24" s="147"/>
      <c r="AM24" s="145"/>
      <c r="AN24" s="146"/>
      <c r="AO24" s="146"/>
      <c r="AP24" s="147"/>
    </row>
    <row r="25" spans="1:42" x14ac:dyDescent="0.25">
      <c r="A25" s="47">
        <v>44866</v>
      </c>
      <c r="B25" s="145"/>
      <c r="C25" s="146"/>
      <c r="D25" s="146"/>
      <c r="E25" s="146"/>
      <c r="F25" s="146"/>
      <c r="G25" s="146"/>
      <c r="H25" s="147"/>
      <c r="I25" s="145">
        <v>5</v>
      </c>
      <c r="J25" s="146">
        <v>158293</v>
      </c>
      <c r="K25" s="146"/>
      <c r="L25" s="146"/>
      <c r="M25" s="146"/>
      <c r="N25" s="146"/>
      <c r="O25" s="147"/>
      <c r="P25" s="145"/>
      <c r="Q25" s="146"/>
      <c r="R25" s="146"/>
      <c r="S25" s="146"/>
      <c r="T25" s="146"/>
      <c r="U25" s="146"/>
      <c r="V25" s="147"/>
      <c r="W25" s="145"/>
      <c r="X25" s="146"/>
      <c r="Y25" s="146"/>
      <c r="Z25" s="147"/>
      <c r="AA25" s="145"/>
      <c r="AB25" s="146"/>
      <c r="AC25" s="146"/>
      <c r="AD25" s="146"/>
      <c r="AE25" s="147"/>
      <c r="AF25" s="145"/>
      <c r="AG25" s="146"/>
      <c r="AH25" s="146"/>
      <c r="AI25" s="146"/>
      <c r="AJ25" s="146"/>
      <c r="AK25" s="146"/>
      <c r="AL25" s="147"/>
      <c r="AM25" s="145"/>
      <c r="AN25" s="146"/>
      <c r="AO25" s="146"/>
      <c r="AP25" s="147"/>
    </row>
    <row r="26" spans="1:42" x14ac:dyDescent="0.25">
      <c r="A26" s="47">
        <v>44896</v>
      </c>
      <c r="B26" s="145"/>
      <c r="C26" s="146"/>
      <c r="D26" s="146"/>
      <c r="E26" s="146"/>
      <c r="F26" s="146"/>
      <c r="G26" s="146"/>
      <c r="H26" s="147"/>
      <c r="I26" s="145">
        <v>2</v>
      </c>
      <c r="J26" s="146">
        <v>343398</v>
      </c>
      <c r="K26" s="146"/>
      <c r="L26" s="146"/>
      <c r="M26" s="146"/>
      <c r="N26" s="146"/>
      <c r="O26" s="147"/>
      <c r="P26" s="145"/>
      <c r="Q26" s="146"/>
      <c r="R26" s="146"/>
      <c r="S26" s="146"/>
      <c r="T26" s="146"/>
      <c r="U26" s="146"/>
      <c r="V26" s="147"/>
      <c r="W26" s="145"/>
      <c r="X26" s="146"/>
      <c r="Y26" s="146"/>
      <c r="Z26" s="147"/>
      <c r="AA26" s="145"/>
      <c r="AB26" s="146"/>
      <c r="AC26" s="146"/>
      <c r="AD26" s="146"/>
      <c r="AE26" s="147"/>
      <c r="AF26" s="145"/>
      <c r="AG26" s="146"/>
      <c r="AH26" s="146"/>
      <c r="AI26" s="146"/>
      <c r="AJ26" s="146"/>
      <c r="AK26" s="146"/>
      <c r="AL26" s="147"/>
      <c r="AM26" s="145"/>
      <c r="AN26" s="146"/>
      <c r="AO26" s="146"/>
      <c r="AP26" s="147"/>
    </row>
    <row r="27" spans="1:42" x14ac:dyDescent="0.25">
      <c r="A27" s="47">
        <v>44927</v>
      </c>
      <c r="B27" s="145"/>
      <c r="C27" s="146"/>
      <c r="D27" s="146"/>
      <c r="E27" s="146"/>
      <c r="F27" s="146"/>
      <c r="G27" s="146"/>
      <c r="H27" s="147"/>
      <c r="I27" s="145" t="s">
        <v>45</v>
      </c>
      <c r="J27" s="146">
        <v>194374</v>
      </c>
      <c r="K27" s="146"/>
      <c r="L27" s="146">
        <v>2375950</v>
      </c>
      <c r="M27" s="146"/>
      <c r="N27" s="146"/>
      <c r="O27" s="147"/>
      <c r="P27" s="145"/>
      <c r="Q27" s="146"/>
      <c r="R27" s="146"/>
      <c r="S27" s="146"/>
      <c r="T27" s="146"/>
      <c r="U27" s="146"/>
      <c r="V27" s="147"/>
      <c r="W27" s="145"/>
      <c r="X27" s="146"/>
      <c r="Y27" s="146"/>
      <c r="Z27" s="147"/>
      <c r="AA27" s="145"/>
      <c r="AB27" s="146"/>
      <c r="AC27" s="146"/>
      <c r="AD27" s="146"/>
      <c r="AE27" s="147"/>
      <c r="AF27" s="145"/>
      <c r="AG27" s="146"/>
      <c r="AH27" s="146"/>
      <c r="AI27" s="146"/>
      <c r="AJ27" s="146"/>
      <c r="AK27" s="146"/>
      <c r="AL27" s="147"/>
      <c r="AM27" s="145"/>
      <c r="AN27" s="146"/>
      <c r="AO27" s="146"/>
      <c r="AP27" s="147"/>
    </row>
    <row r="28" spans="1:42" x14ac:dyDescent="0.25">
      <c r="A28" s="47">
        <v>44958</v>
      </c>
      <c r="B28" s="145"/>
      <c r="C28" s="146"/>
      <c r="D28" s="146"/>
      <c r="E28" s="146"/>
      <c r="F28" s="146"/>
      <c r="G28" s="146"/>
      <c r="H28" s="147"/>
      <c r="I28" s="145">
        <v>1</v>
      </c>
      <c r="J28" s="146">
        <v>175007</v>
      </c>
      <c r="K28" s="146"/>
      <c r="L28" s="146">
        <v>63903</v>
      </c>
      <c r="M28" s="146"/>
      <c r="N28" s="146"/>
      <c r="O28" s="147"/>
      <c r="P28" s="145"/>
      <c r="Q28" s="146"/>
      <c r="R28" s="146"/>
      <c r="S28" s="146"/>
      <c r="T28" s="146"/>
      <c r="U28" s="146"/>
      <c r="V28" s="147"/>
      <c r="W28" s="145"/>
      <c r="X28" s="146"/>
      <c r="Y28" s="146"/>
      <c r="Z28" s="147"/>
      <c r="AA28" s="145"/>
      <c r="AB28" s="146"/>
      <c r="AC28" s="146"/>
      <c r="AD28" s="146"/>
      <c r="AE28" s="147"/>
      <c r="AF28" s="145"/>
      <c r="AG28" s="146"/>
      <c r="AH28" s="146"/>
      <c r="AI28" s="146"/>
      <c r="AJ28" s="146"/>
      <c r="AK28" s="146"/>
      <c r="AL28" s="147"/>
      <c r="AM28" s="145"/>
      <c r="AN28" s="146"/>
      <c r="AO28" s="146"/>
      <c r="AP28" s="147"/>
    </row>
    <row r="29" spans="1:42" x14ac:dyDescent="0.25">
      <c r="A29" s="47">
        <v>44986</v>
      </c>
      <c r="B29" s="145"/>
      <c r="C29" s="146"/>
      <c r="D29" s="146"/>
      <c r="E29" s="146"/>
      <c r="F29" s="146"/>
      <c r="G29" s="146"/>
      <c r="H29" s="147"/>
      <c r="I29" s="145">
        <v>3</v>
      </c>
      <c r="J29" s="146">
        <v>418097</v>
      </c>
      <c r="K29" s="146">
        <v>966522</v>
      </c>
      <c r="L29" s="146">
        <v>420493</v>
      </c>
      <c r="M29" s="146"/>
      <c r="N29" s="146"/>
      <c r="O29" s="147"/>
      <c r="P29" s="145"/>
      <c r="Q29" s="146"/>
      <c r="R29" s="146"/>
      <c r="S29" s="146"/>
      <c r="T29" s="146"/>
      <c r="U29" s="146"/>
      <c r="V29" s="147"/>
      <c r="W29" s="145"/>
      <c r="X29" s="146"/>
      <c r="Y29" s="146"/>
      <c r="Z29" s="147"/>
      <c r="AA29" s="145"/>
      <c r="AB29" s="146"/>
      <c r="AC29" s="146"/>
      <c r="AD29" s="146"/>
      <c r="AE29" s="147"/>
      <c r="AF29" s="145"/>
      <c r="AG29" s="146"/>
      <c r="AH29" s="146"/>
      <c r="AI29" s="146"/>
      <c r="AJ29" s="146"/>
      <c r="AK29" s="146"/>
      <c r="AL29" s="147"/>
      <c r="AM29" s="145"/>
      <c r="AN29" s="146"/>
      <c r="AO29" s="146"/>
      <c r="AP29" s="147"/>
    </row>
    <row r="30" spans="1:42" x14ac:dyDescent="0.25">
      <c r="A30" s="47">
        <v>45017</v>
      </c>
      <c r="B30" s="145">
        <v>5</v>
      </c>
      <c r="C30" s="146"/>
      <c r="D30" s="146"/>
      <c r="E30" s="146"/>
      <c r="F30" s="146"/>
      <c r="G30" s="146"/>
      <c r="H30" s="147"/>
      <c r="I30" s="145">
        <v>1</v>
      </c>
      <c r="J30" s="146">
        <v>143416</v>
      </c>
      <c r="K30" s="146" t="s">
        <v>45</v>
      </c>
      <c r="L30" s="146" t="s">
        <v>45</v>
      </c>
      <c r="M30" s="146"/>
      <c r="N30" s="146"/>
      <c r="O30" s="147"/>
      <c r="P30" s="145"/>
      <c r="Q30" s="146"/>
      <c r="R30" s="146"/>
      <c r="S30" s="146"/>
      <c r="T30" s="146"/>
      <c r="U30" s="146"/>
      <c r="V30" s="147"/>
      <c r="W30" s="145"/>
      <c r="X30" s="146"/>
      <c r="Y30" s="146"/>
      <c r="Z30" s="147"/>
      <c r="AA30" s="145"/>
      <c r="AB30" s="146"/>
      <c r="AC30" s="146"/>
      <c r="AD30" s="146"/>
      <c r="AE30" s="147"/>
      <c r="AF30" s="145"/>
      <c r="AG30" s="146"/>
      <c r="AH30" s="146"/>
      <c r="AI30" s="146"/>
      <c r="AJ30" s="146"/>
      <c r="AK30" s="146"/>
      <c r="AL30" s="147"/>
      <c r="AM30" s="145"/>
      <c r="AN30" s="146"/>
      <c r="AO30" s="146"/>
      <c r="AP30" s="147"/>
    </row>
    <row r="31" spans="1:42" x14ac:dyDescent="0.25">
      <c r="A31" s="47">
        <v>45047</v>
      </c>
      <c r="B31" s="145">
        <v>4</v>
      </c>
      <c r="C31" s="146"/>
      <c r="D31" s="146"/>
      <c r="E31" s="146"/>
      <c r="F31" s="146"/>
      <c r="G31" s="146"/>
      <c r="H31" s="147"/>
      <c r="I31" s="145">
        <v>2</v>
      </c>
      <c r="J31" s="146">
        <v>125617</v>
      </c>
      <c r="K31" s="146">
        <v>363997</v>
      </c>
      <c r="L31" s="146" t="s">
        <v>45</v>
      </c>
      <c r="M31" s="146"/>
      <c r="N31" s="146"/>
      <c r="O31" s="147"/>
      <c r="P31" s="145"/>
      <c r="Q31" s="146"/>
      <c r="R31" s="146"/>
      <c r="S31" s="146"/>
      <c r="T31" s="146"/>
      <c r="U31" s="146"/>
      <c r="V31" s="147"/>
      <c r="W31" s="145"/>
      <c r="X31" s="146"/>
      <c r="Y31" s="146"/>
      <c r="Z31" s="147"/>
      <c r="AA31" s="145">
        <v>10</v>
      </c>
      <c r="AB31" s="146">
        <v>499400</v>
      </c>
      <c r="AC31" s="146"/>
      <c r="AD31" s="146"/>
      <c r="AE31" s="147"/>
      <c r="AF31" s="145"/>
      <c r="AG31" s="146"/>
      <c r="AH31" s="146"/>
      <c r="AI31" s="146"/>
      <c r="AJ31" s="146"/>
      <c r="AK31" s="146"/>
      <c r="AL31" s="147"/>
      <c r="AM31" s="145"/>
      <c r="AN31" s="146"/>
      <c r="AO31" s="146"/>
      <c r="AP31" s="147"/>
    </row>
    <row r="32" spans="1:42" x14ac:dyDescent="0.25">
      <c r="A32" s="47">
        <v>45078</v>
      </c>
      <c r="B32" s="145">
        <v>6</v>
      </c>
      <c r="C32" s="146"/>
      <c r="D32" s="146"/>
      <c r="E32" s="146"/>
      <c r="F32" s="146"/>
      <c r="G32" s="146"/>
      <c r="H32" s="147"/>
      <c r="I32" s="145" t="s">
        <v>45</v>
      </c>
      <c r="J32" s="146">
        <v>198451</v>
      </c>
      <c r="K32" s="146">
        <v>100651</v>
      </c>
      <c r="L32" s="146" t="s">
        <v>45</v>
      </c>
      <c r="M32" s="146"/>
      <c r="N32" s="146"/>
      <c r="O32" s="147"/>
      <c r="P32" s="145"/>
      <c r="Q32" s="146"/>
      <c r="R32" s="146"/>
      <c r="S32" s="146"/>
      <c r="T32" s="146"/>
      <c r="U32" s="146"/>
      <c r="V32" s="147"/>
      <c r="W32" s="145"/>
      <c r="X32" s="146"/>
      <c r="Y32" s="146"/>
      <c r="Z32" s="147"/>
      <c r="AA32" s="145" t="s">
        <v>45</v>
      </c>
      <c r="AB32" s="146" t="s">
        <v>45</v>
      </c>
      <c r="AC32" s="146"/>
      <c r="AD32" s="146"/>
      <c r="AE32" s="147"/>
      <c r="AF32" s="145"/>
      <c r="AG32" s="146"/>
      <c r="AH32" s="146"/>
      <c r="AI32" s="146"/>
      <c r="AJ32" s="146"/>
      <c r="AK32" s="146"/>
      <c r="AL32" s="147"/>
      <c r="AM32" s="145"/>
      <c r="AN32" s="146"/>
      <c r="AO32" s="146"/>
      <c r="AP32" s="147"/>
    </row>
    <row r="33" spans="1:42" x14ac:dyDescent="0.25">
      <c r="A33" s="47">
        <v>45108</v>
      </c>
      <c r="B33" s="145">
        <v>2</v>
      </c>
      <c r="C33" s="146"/>
      <c r="D33" s="146"/>
      <c r="E33" s="146"/>
      <c r="F33" s="146"/>
      <c r="G33" s="146"/>
      <c r="H33" s="147"/>
      <c r="I33" s="145" t="s">
        <v>45</v>
      </c>
      <c r="J33" s="146">
        <v>145549</v>
      </c>
      <c r="K33" s="146">
        <v>298156</v>
      </c>
      <c r="L33" s="146">
        <v>186371</v>
      </c>
      <c r="M33" s="146"/>
      <c r="N33" s="146"/>
      <c r="O33" s="147"/>
      <c r="P33" s="145"/>
      <c r="Q33" s="146"/>
      <c r="R33" s="146"/>
      <c r="S33" s="146"/>
      <c r="T33" s="146"/>
      <c r="U33" s="146"/>
      <c r="V33" s="147"/>
      <c r="W33" s="145"/>
      <c r="X33" s="146"/>
      <c r="Y33" s="146"/>
      <c r="Z33" s="147"/>
      <c r="AA33" s="145" t="s">
        <v>45</v>
      </c>
      <c r="AB33" s="146">
        <v>5000</v>
      </c>
      <c r="AC33" s="146"/>
      <c r="AD33" s="146"/>
      <c r="AE33" s="147"/>
      <c r="AF33" s="145"/>
      <c r="AG33" s="146"/>
      <c r="AH33" s="146"/>
      <c r="AI33" s="146"/>
      <c r="AJ33" s="146"/>
      <c r="AK33" s="146"/>
      <c r="AL33" s="147"/>
      <c r="AM33" s="145"/>
      <c r="AN33" s="146"/>
      <c r="AO33" s="146"/>
      <c r="AP33" s="147"/>
    </row>
    <row r="34" spans="1:42" x14ac:dyDescent="0.25">
      <c r="A34" s="47">
        <v>45139</v>
      </c>
      <c r="B34" s="145">
        <v>31</v>
      </c>
      <c r="C34" s="146"/>
      <c r="D34" s="146"/>
      <c r="E34" s="146"/>
      <c r="F34" s="146"/>
      <c r="G34" s="146"/>
      <c r="H34" s="147"/>
      <c r="I34" s="145">
        <v>1</v>
      </c>
      <c r="J34" s="146">
        <v>243439</v>
      </c>
      <c r="K34" s="146">
        <v>390493</v>
      </c>
      <c r="L34" s="146" t="s">
        <v>45</v>
      </c>
      <c r="M34" s="146"/>
      <c r="N34" s="146"/>
      <c r="O34" s="147"/>
      <c r="P34" s="145"/>
      <c r="Q34" s="146"/>
      <c r="R34" s="146"/>
      <c r="S34" s="146"/>
      <c r="T34" s="146"/>
      <c r="U34" s="146"/>
      <c r="V34" s="147"/>
      <c r="W34" s="145"/>
      <c r="X34" s="146"/>
      <c r="Y34" s="146"/>
      <c r="Z34" s="147"/>
      <c r="AA34" s="145" t="s">
        <v>45</v>
      </c>
      <c r="AB34" s="146">
        <v>374675</v>
      </c>
      <c r="AC34" s="146"/>
      <c r="AD34" s="146"/>
      <c r="AE34" s="147"/>
      <c r="AF34" s="145"/>
      <c r="AG34" s="146">
        <v>150000</v>
      </c>
      <c r="AH34" s="146"/>
      <c r="AI34" s="146"/>
      <c r="AJ34" s="146"/>
      <c r="AK34" s="146"/>
      <c r="AL34" s="147"/>
      <c r="AM34" s="145"/>
      <c r="AN34" s="146"/>
      <c r="AO34" s="146"/>
      <c r="AP34" s="147"/>
    </row>
    <row r="35" spans="1:42" x14ac:dyDescent="0.25">
      <c r="A35" s="47">
        <v>45170</v>
      </c>
      <c r="B35" s="145">
        <v>2</v>
      </c>
      <c r="C35" s="146"/>
      <c r="D35" s="146"/>
      <c r="E35" s="146"/>
      <c r="F35" s="146"/>
      <c r="G35" s="146"/>
      <c r="H35" s="147"/>
      <c r="I35" s="145">
        <v>1</v>
      </c>
      <c r="J35" s="146">
        <v>184722</v>
      </c>
      <c r="K35" s="146">
        <v>589751</v>
      </c>
      <c r="L35" s="146">
        <v>72032</v>
      </c>
      <c r="M35" s="146"/>
      <c r="N35" s="146"/>
      <c r="O35" s="147"/>
      <c r="P35" s="145"/>
      <c r="Q35" s="146"/>
      <c r="R35" s="146"/>
      <c r="S35" s="146"/>
      <c r="T35" s="146"/>
      <c r="U35" s="146"/>
      <c r="V35" s="147"/>
      <c r="W35" s="145"/>
      <c r="X35" s="146"/>
      <c r="Y35" s="146"/>
      <c r="Z35" s="147"/>
      <c r="AA35" s="145" t="s">
        <v>45</v>
      </c>
      <c r="AB35" s="146">
        <v>1456250</v>
      </c>
      <c r="AC35" s="146"/>
      <c r="AD35" s="146"/>
      <c r="AE35" s="147"/>
      <c r="AF35" s="145"/>
      <c r="AG35" s="146" t="s">
        <v>45</v>
      </c>
      <c r="AH35" s="146"/>
      <c r="AI35" s="146"/>
      <c r="AJ35" s="146"/>
      <c r="AK35" s="146"/>
      <c r="AL35" s="147"/>
      <c r="AM35" s="145"/>
      <c r="AN35" s="146"/>
      <c r="AO35" s="146"/>
      <c r="AP35" s="147"/>
    </row>
    <row r="36" spans="1:42" x14ac:dyDescent="0.25">
      <c r="A36" s="47">
        <v>45200</v>
      </c>
      <c r="B36" s="145" t="s">
        <v>45</v>
      </c>
      <c r="C36" s="146"/>
      <c r="D36" s="146"/>
      <c r="E36" s="146">
        <v>967838</v>
      </c>
      <c r="F36" s="146"/>
      <c r="G36" s="146"/>
      <c r="H36" s="147"/>
      <c r="I36" s="145">
        <v>1</v>
      </c>
      <c r="J36" s="146">
        <v>226050</v>
      </c>
      <c r="K36" s="146">
        <v>837176</v>
      </c>
      <c r="L36" s="146" t="s">
        <v>45</v>
      </c>
      <c r="M36" s="146"/>
      <c r="N36" s="146"/>
      <c r="O36" s="147"/>
      <c r="P36" s="145"/>
      <c r="Q36" s="146"/>
      <c r="R36" s="146"/>
      <c r="S36" s="146"/>
      <c r="T36" s="146"/>
      <c r="U36" s="146"/>
      <c r="V36" s="147"/>
      <c r="W36" s="145"/>
      <c r="X36" s="146"/>
      <c r="Y36" s="146"/>
      <c r="Z36" s="147"/>
      <c r="AA36" s="145" t="s">
        <v>45</v>
      </c>
      <c r="AB36" s="146">
        <v>540500</v>
      </c>
      <c r="AC36" s="146"/>
      <c r="AD36" s="146"/>
      <c r="AE36" s="147"/>
      <c r="AF36" s="145"/>
      <c r="AG36" s="146" t="s">
        <v>45</v>
      </c>
      <c r="AH36" s="146"/>
      <c r="AI36" s="146"/>
      <c r="AJ36" s="146"/>
      <c r="AK36" s="146"/>
      <c r="AL36" s="147"/>
      <c r="AM36" s="145"/>
      <c r="AN36" s="146"/>
      <c r="AO36" s="146"/>
      <c r="AP36" s="147"/>
    </row>
    <row r="37" spans="1:42" x14ac:dyDescent="0.25">
      <c r="A37" s="47">
        <v>45231</v>
      </c>
      <c r="B37" s="145">
        <v>1</v>
      </c>
      <c r="C37" s="146"/>
      <c r="D37" s="146"/>
      <c r="E37" s="146" t="s">
        <v>45</v>
      </c>
      <c r="F37" s="146"/>
      <c r="G37" s="146"/>
      <c r="H37" s="147"/>
      <c r="I37" s="145">
        <v>1</v>
      </c>
      <c r="J37" s="146">
        <v>301352</v>
      </c>
      <c r="K37" s="146">
        <v>1061327</v>
      </c>
      <c r="L37" s="146">
        <v>41248</v>
      </c>
      <c r="M37" s="146"/>
      <c r="N37" s="146"/>
      <c r="O37" s="147"/>
      <c r="P37" s="145"/>
      <c r="Q37" s="146"/>
      <c r="R37" s="146"/>
      <c r="S37" s="146"/>
      <c r="T37" s="146"/>
      <c r="U37" s="146"/>
      <c r="V37" s="147"/>
      <c r="W37" s="145"/>
      <c r="X37" s="146"/>
      <c r="Y37" s="146"/>
      <c r="Z37" s="147"/>
      <c r="AA37" s="145" t="s">
        <v>45</v>
      </c>
      <c r="AB37" s="146">
        <v>1500</v>
      </c>
      <c r="AC37" s="146"/>
      <c r="AD37" s="146"/>
      <c r="AE37" s="147"/>
      <c r="AF37" s="145"/>
      <c r="AG37" s="146" t="s">
        <v>45</v>
      </c>
      <c r="AH37" s="146"/>
      <c r="AI37" s="146"/>
      <c r="AJ37" s="146"/>
      <c r="AK37" s="146"/>
      <c r="AL37" s="147"/>
      <c r="AM37" s="145"/>
      <c r="AN37" s="146"/>
      <c r="AO37" s="146"/>
      <c r="AP37" s="147"/>
    </row>
    <row r="38" spans="1:42" x14ac:dyDescent="0.25">
      <c r="A38" s="47">
        <v>45261</v>
      </c>
      <c r="B38" s="145">
        <v>1</v>
      </c>
      <c r="C38" s="146">
        <v>252528</v>
      </c>
      <c r="D38" s="146"/>
      <c r="E38" s="146" t="s">
        <v>45</v>
      </c>
      <c r="F38" s="146"/>
      <c r="G38" s="146"/>
      <c r="H38" s="147"/>
      <c r="I38" s="145" t="s">
        <v>45</v>
      </c>
      <c r="J38" s="146">
        <v>443264</v>
      </c>
      <c r="K38" s="146" t="s">
        <v>45</v>
      </c>
      <c r="L38" s="146" t="s">
        <v>45</v>
      </c>
      <c r="M38" s="146"/>
      <c r="N38" s="146"/>
      <c r="O38" s="147"/>
      <c r="P38" s="145"/>
      <c r="Q38" s="146"/>
      <c r="R38" s="146"/>
      <c r="S38" s="146"/>
      <c r="T38" s="146"/>
      <c r="U38" s="146"/>
      <c r="V38" s="147"/>
      <c r="W38" s="145"/>
      <c r="X38" s="146"/>
      <c r="Y38" s="146"/>
      <c r="Z38" s="147"/>
      <c r="AA38" s="145" t="s">
        <v>45</v>
      </c>
      <c r="AB38" s="146">
        <v>1500</v>
      </c>
      <c r="AC38" s="146"/>
      <c r="AD38" s="146"/>
      <c r="AE38" s="147"/>
      <c r="AF38" s="145">
        <v>64</v>
      </c>
      <c r="AG38" s="146">
        <v>173815.8</v>
      </c>
      <c r="AH38" s="146"/>
      <c r="AI38" s="146"/>
      <c r="AJ38" s="146"/>
      <c r="AK38" s="146"/>
      <c r="AL38" s="147"/>
      <c r="AM38" s="145"/>
      <c r="AN38" s="146"/>
      <c r="AO38" s="146"/>
      <c r="AP38" s="147"/>
    </row>
    <row r="39" spans="1:42" x14ac:dyDescent="0.25">
      <c r="A39" s="47">
        <v>45292</v>
      </c>
      <c r="B39" s="145">
        <v>4</v>
      </c>
      <c r="C39" s="146">
        <v>4343</v>
      </c>
      <c r="D39" s="146"/>
      <c r="E39" s="146">
        <v>209069</v>
      </c>
      <c r="F39" s="146"/>
      <c r="G39" s="146"/>
      <c r="H39" s="147"/>
      <c r="I39" s="145" t="s">
        <v>45</v>
      </c>
      <c r="J39" s="146">
        <v>1790508</v>
      </c>
      <c r="K39" s="146">
        <v>2095060</v>
      </c>
      <c r="L39" s="146">
        <v>179663</v>
      </c>
      <c r="M39" s="146"/>
      <c r="N39" s="146"/>
      <c r="O39" s="147"/>
      <c r="P39" s="145"/>
      <c r="Q39" s="146"/>
      <c r="R39" s="146"/>
      <c r="S39" s="146"/>
      <c r="T39" s="146"/>
      <c r="U39" s="146"/>
      <c r="V39" s="147"/>
      <c r="W39" s="145"/>
      <c r="X39" s="146"/>
      <c r="Y39" s="146"/>
      <c r="Z39" s="147"/>
      <c r="AA39" s="145" t="s">
        <v>45</v>
      </c>
      <c r="AB39" s="146" t="s">
        <v>45</v>
      </c>
      <c r="AC39" s="146"/>
      <c r="AD39" s="146"/>
      <c r="AE39" s="147"/>
      <c r="AF39" s="145">
        <v>29</v>
      </c>
      <c r="AG39" s="146">
        <v>510112.2</v>
      </c>
      <c r="AH39" s="146"/>
      <c r="AI39" s="146"/>
      <c r="AJ39" s="146"/>
      <c r="AK39" s="146"/>
      <c r="AL39" s="147"/>
      <c r="AM39" s="145"/>
      <c r="AN39" s="146"/>
      <c r="AO39" s="146"/>
      <c r="AP39" s="147"/>
    </row>
    <row r="40" spans="1:42" x14ac:dyDescent="0.25">
      <c r="A40" s="47">
        <v>45323</v>
      </c>
      <c r="B40" s="145" t="s">
        <v>45</v>
      </c>
      <c r="C40" s="146">
        <v>249066</v>
      </c>
      <c r="D40" s="146"/>
      <c r="E40" s="146" t="s">
        <v>45</v>
      </c>
      <c r="F40" s="146"/>
      <c r="G40" s="146"/>
      <c r="H40" s="147"/>
      <c r="I40" s="145" t="s">
        <v>45</v>
      </c>
      <c r="J40" s="146">
        <v>963116</v>
      </c>
      <c r="K40" s="146">
        <v>917624</v>
      </c>
      <c r="L40" s="146" t="s">
        <v>45</v>
      </c>
      <c r="M40" s="146"/>
      <c r="N40" s="146"/>
      <c r="O40" s="147"/>
      <c r="P40" s="145"/>
      <c r="Q40" s="146"/>
      <c r="R40" s="146"/>
      <c r="S40" s="146"/>
      <c r="T40" s="146"/>
      <c r="U40" s="146"/>
      <c r="V40" s="147"/>
      <c r="W40" s="145"/>
      <c r="X40" s="146"/>
      <c r="Y40" s="146"/>
      <c r="Z40" s="147"/>
      <c r="AA40" s="145" t="s">
        <v>45</v>
      </c>
      <c r="AB40" s="146" t="s">
        <v>45</v>
      </c>
      <c r="AC40" s="146"/>
      <c r="AD40" s="146"/>
      <c r="AE40" s="147"/>
      <c r="AF40" s="145">
        <v>18</v>
      </c>
      <c r="AG40" s="146">
        <v>427104.25</v>
      </c>
      <c r="AH40" s="146"/>
      <c r="AI40" s="146"/>
      <c r="AJ40" s="146"/>
      <c r="AK40" s="146"/>
      <c r="AL40" s="147"/>
      <c r="AM40" s="145"/>
      <c r="AN40" s="146"/>
      <c r="AO40" s="146"/>
      <c r="AP40" s="147"/>
    </row>
    <row r="41" spans="1:42" x14ac:dyDescent="0.25">
      <c r="A41" s="47">
        <v>45352</v>
      </c>
      <c r="B41" s="145" t="s">
        <v>45</v>
      </c>
      <c r="C41" s="146">
        <v>54720</v>
      </c>
      <c r="D41" s="146">
        <v>292376</v>
      </c>
      <c r="E41" s="146" t="s">
        <v>45</v>
      </c>
      <c r="F41" s="146"/>
      <c r="G41" s="146"/>
      <c r="H41" s="147"/>
      <c r="I41" s="145" t="s">
        <v>45</v>
      </c>
      <c r="J41" s="146">
        <v>700166</v>
      </c>
      <c r="K41" s="146">
        <v>589902</v>
      </c>
      <c r="L41" s="146" t="s">
        <v>45</v>
      </c>
      <c r="M41" s="146"/>
      <c r="N41" s="146"/>
      <c r="O41" s="147"/>
      <c r="P41" s="145"/>
      <c r="Q41" s="146"/>
      <c r="R41" s="146"/>
      <c r="S41" s="146"/>
      <c r="T41" s="146"/>
      <c r="U41" s="146"/>
      <c r="V41" s="147"/>
      <c r="W41" s="145"/>
      <c r="X41" s="146"/>
      <c r="Y41" s="146"/>
      <c r="Z41" s="147"/>
      <c r="AA41" s="145">
        <v>35</v>
      </c>
      <c r="AB41" s="146">
        <v>550139</v>
      </c>
      <c r="AC41" s="146"/>
      <c r="AD41" s="146"/>
      <c r="AE41" s="147"/>
      <c r="AF41" s="145">
        <v>36</v>
      </c>
      <c r="AG41" s="146">
        <v>623169.46</v>
      </c>
      <c r="AH41" s="146"/>
      <c r="AI41" s="146"/>
      <c r="AJ41" s="146"/>
      <c r="AK41" s="146"/>
      <c r="AL41" s="147"/>
      <c r="AM41" s="145"/>
      <c r="AN41" s="146"/>
      <c r="AO41" s="146"/>
      <c r="AP41" s="147"/>
    </row>
    <row r="42" spans="1:42" x14ac:dyDescent="0.25">
      <c r="A42" s="47">
        <v>45383</v>
      </c>
      <c r="B42" s="145">
        <v>2</v>
      </c>
      <c r="C42" s="146">
        <v>42122</v>
      </c>
      <c r="D42" s="146">
        <v>478730</v>
      </c>
      <c r="E42" s="146">
        <v>185855</v>
      </c>
      <c r="F42" s="146"/>
      <c r="G42" s="146"/>
      <c r="H42" s="147"/>
      <c r="I42" s="145" t="s">
        <v>45</v>
      </c>
      <c r="J42" s="146">
        <v>1274523</v>
      </c>
      <c r="K42" s="146">
        <v>1048323</v>
      </c>
      <c r="L42" s="146">
        <v>71590</v>
      </c>
      <c r="M42" s="146"/>
      <c r="N42" s="146"/>
      <c r="O42" s="147"/>
      <c r="P42" s="145"/>
      <c r="Q42" s="146"/>
      <c r="R42" s="146"/>
      <c r="S42" s="146"/>
      <c r="T42" s="146"/>
      <c r="U42" s="146"/>
      <c r="V42" s="147"/>
      <c r="W42" s="145"/>
      <c r="X42" s="146"/>
      <c r="Y42" s="146"/>
      <c r="Z42" s="147"/>
      <c r="AA42" s="145">
        <v>5</v>
      </c>
      <c r="AB42" s="146">
        <v>1269411</v>
      </c>
      <c r="AC42" s="146"/>
      <c r="AD42" s="146"/>
      <c r="AE42" s="147"/>
      <c r="AF42" s="145">
        <v>2</v>
      </c>
      <c r="AG42" s="146">
        <v>559633.68999999994</v>
      </c>
      <c r="AH42" s="146"/>
      <c r="AI42" s="146"/>
      <c r="AJ42" s="146"/>
      <c r="AK42" s="146"/>
      <c r="AL42" s="147"/>
      <c r="AM42" s="145"/>
      <c r="AN42" s="146"/>
      <c r="AO42" s="146"/>
      <c r="AP42" s="147"/>
    </row>
    <row r="43" spans="1:42" x14ac:dyDescent="0.25">
      <c r="A43" s="47">
        <v>45413</v>
      </c>
      <c r="B43" s="145">
        <v>1</v>
      </c>
      <c r="C43" s="146">
        <v>134549</v>
      </c>
      <c r="D43" s="146">
        <v>440382</v>
      </c>
      <c r="E43" s="146">
        <v>145966</v>
      </c>
      <c r="F43" s="146"/>
      <c r="G43" s="146"/>
      <c r="H43" s="147"/>
      <c r="I43" s="145" t="s">
        <v>45</v>
      </c>
      <c r="J43" s="146">
        <v>722207</v>
      </c>
      <c r="K43" s="146">
        <v>951264</v>
      </c>
      <c r="L43" s="146">
        <v>76601</v>
      </c>
      <c r="M43" s="146"/>
      <c r="N43" s="146"/>
      <c r="O43" s="147"/>
      <c r="P43" s="145"/>
      <c r="Q43" s="146"/>
      <c r="R43" s="146"/>
      <c r="S43" s="146"/>
      <c r="T43" s="146"/>
      <c r="U43" s="146"/>
      <c r="V43" s="147"/>
      <c r="W43" s="145"/>
      <c r="X43" s="146"/>
      <c r="Y43" s="146"/>
      <c r="Z43" s="147"/>
      <c r="AA43" s="145">
        <v>3</v>
      </c>
      <c r="AB43" s="146">
        <v>723043</v>
      </c>
      <c r="AC43" s="146"/>
      <c r="AD43" s="146"/>
      <c r="AE43" s="147"/>
      <c r="AF43" s="145">
        <v>2</v>
      </c>
      <c r="AG43" s="146">
        <v>230958.13</v>
      </c>
      <c r="AH43" s="146"/>
      <c r="AI43" s="146"/>
      <c r="AJ43" s="146"/>
      <c r="AK43" s="146"/>
      <c r="AL43" s="147"/>
      <c r="AM43" s="145"/>
      <c r="AN43" s="146"/>
      <c r="AO43" s="146"/>
      <c r="AP43" s="147"/>
    </row>
    <row r="44" spans="1:42" x14ac:dyDescent="0.25">
      <c r="A44" s="47">
        <v>45444</v>
      </c>
      <c r="B44" s="145">
        <v>1</v>
      </c>
      <c r="C44" s="146">
        <v>90998</v>
      </c>
      <c r="D44" s="146" t="s">
        <v>45</v>
      </c>
      <c r="E44" s="146" t="s">
        <v>45</v>
      </c>
      <c r="F44" s="146"/>
      <c r="G44" s="146"/>
      <c r="H44" s="147"/>
      <c r="I44" s="145" t="s">
        <v>45</v>
      </c>
      <c r="J44" s="146">
        <v>971975</v>
      </c>
      <c r="K44" s="146">
        <v>823434</v>
      </c>
      <c r="L44" s="146" t="s">
        <v>45</v>
      </c>
      <c r="M44" s="146"/>
      <c r="N44" s="146"/>
      <c r="O44" s="147"/>
      <c r="P44" s="145"/>
      <c r="Q44" s="146"/>
      <c r="R44" s="146"/>
      <c r="S44" s="146"/>
      <c r="T44" s="146"/>
      <c r="U44" s="146"/>
      <c r="V44" s="147"/>
      <c r="W44" s="145"/>
      <c r="X44" s="146"/>
      <c r="Y44" s="146"/>
      <c r="Z44" s="147"/>
      <c r="AA44" s="145" t="s">
        <v>45</v>
      </c>
      <c r="AB44" s="146">
        <v>170633</v>
      </c>
      <c r="AC44" s="146"/>
      <c r="AD44" s="146"/>
      <c r="AE44" s="147"/>
      <c r="AF44" s="145">
        <v>6</v>
      </c>
      <c r="AG44" s="146">
        <v>180845.32</v>
      </c>
      <c r="AH44" s="146"/>
      <c r="AI44" s="146"/>
      <c r="AJ44" s="146"/>
      <c r="AK44" s="146"/>
      <c r="AL44" s="147"/>
      <c r="AM44" s="145"/>
      <c r="AN44" s="146"/>
      <c r="AO44" s="146"/>
      <c r="AP44" s="147"/>
    </row>
    <row r="45" spans="1:42" x14ac:dyDescent="0.25">
      <c r="A45" s="47">
        <v>45474</v>
      </c>
      <c r="B45" s="145">
        <v>7</v>
      </c>
      <c r="C45" s="146">
        <v>79132</v>
      </c>
      <c r="D45" s="146">
        <v>355484</v>
      </c>
      <c r="E45" s="146">
        <v>34076</v>
      </c>
      <c r="F45" s="146"/>
      <c r="G45" s="146"/>
      <c r="H45" s="147"/>
      <c r="I45" s="145">
        <v>1</v>
      </c>
      <c r="J45" s="146">
        <v>164960</v>
      </c>
      <c r="K45" s="146">
        <v>834056</v>
      </c>
      <c r="L45" s="146">
        <v>99305</v>
      </c>
      <c r="M45" s="146"/>
      <c r="N45" s="146"/>
      <c r="O45" s="147"/>
      <c r="P45" s="145">
        <v>32</v>
      </c>
      <c r="Q45" s="146">
        <v>580237</v>
      </c>
      <c r="R45" s="146"/>
      <c r="S45" s="146"/>
      <c r="T45" s="146"/>
      <c r="U45" s="146"/>
      <c r="V45" s="147"/>
      <c r="W45" s="145"/>
      <c r="X45" s="146"/>
      <c r="Y45" s="146"/>
      <c r="Z45" s="147"/>
      <c r="AA45" s="145" t="s">
        <v>45</v>
      </c>
      <c r="AB45" s="146">
        <v>248148</v>
      </c>
      <c r="AC45" s="146"/>
      <c r="AD45" s="146"/>
      <c r="AE45" s="147"/>
      <c r="AF45" s="145">
        <v>2</v>
      </c>
      <c r="AG45" s="146">
        <v>190831.38</v>
      </c>
      <c r="AH45" s="146"/>
      <c r="AI45" s="146"/>
      <c r="AJ45" s="146"/>
      <c r="AK45" s="146"/>
      <c r="AL45" s="147"/>
      <c r="AM45" s="145"/>
      <c r="AN45" s="146"/>
      <c r="AO45" s="146"/>
      <c r="AP45" s="147"/>
    </row>
    <row r="46" spans="1:42" x14ac:dyDescent="0.25">
      <c r="A46" s="47">
        <v>45505</v>
      </c>
      <c r="B46" s="145">
        <v>1</v>
      </c>
      <c r="C46" s="146">
        <v>250222</v>
      </c>
      <c r="D46" s="146">
        <v>151586</v>
      </c>
      <c r="E46" s="146">
        <v>116958</v>
      </c>
      <c r="F46" s="146"/>
      <c r="G46" s="146"/>
      <c r="H46" s="147"/>
      <c r="I46" s="145">
        <v>1</v>
      </c>
      <c r="J46" s="146">
        <v>548222</v>
      </c>
      <c r="K46" s="146">
        <v>592696</v>
      </c>
      <c r="L46" s="146" t="s">
        <v>45</v>
      </c>
      <c r="M46" s="146"/>
      <c r="N46" s="146"/>
      <c r="O46" s="147"/>
      <c r="P46" s="145">
        <v>30</v>
      </c>
      <c r="Q46" s="146">
        <v>299399</v>
      </c>
      <c r="R46" s="146"/>
      <c r="S46" s="146"/>
      <c r="T46" s="146"/>
      <c r="U46" s="146"/>
      <c r="V46" s="147"/>
      <c r="W46" s="145"/>
      <c r="X46" s="146"/>
      <c r="Y46" s="146"/>
      <c r="Z46" s="147"/>
      <c r="AA46" s="145" t="s">
        <v>45</v>
      </c>
      <c r="AB46" s="146">
        <v>116356</v>
      </c>
      <c r="AC46" s="146"/>
      <c r="AD46" s="146"/>
      <c r="AE46" s="147"/>
      <c r="AF46" s="145">
        <v>2</v>
      </c>
      <c r="AG46" s="146">
        <v>220373.27</v>
      </c>
      <c r="AH46" s="146"/>
      <c r="AI46" s="146"/>
      <c r="AJ46" s="146"/>
      <c r="AK46" s="146"/>
      <c r="AL46" s="147"/>
      <c r="AM46" s="145"/>
      <c r="AN46" s="146"/>
      <c r="AO46" s="146"/>
      <c r="AP46" s="147"/>
    </row>
    <row r="47" spans="1:42" x14ac:dyDescent="0.25">
      <c r="A47" s="47">
        <v>45536</v>
      </c>
      <c r="B47" s="145">
        <v>3</v>
      </c>
      <c r="C47" s="146">
        <v>288783</v>
      </c>
      <c r="D47" s="146">
        <v>600424</v>
      </c>
      <c r="E47" s="146">
        <v>229817</v>
      </c>
      <c r="F47" s="146"/>
      <c r="G47" s="146"/>
      <c r="H47" s="147"/>
      <c r="I47" s="145">
        <v>1</v>
      </c>
      <c r="J47" s="146">
        <v>201279</v>
      </c>
      <c r="K47" s="146">
        <v>494201</v>
      </c>
      <c r="L47" s="146" t="s">
        <v>45</v>
      </c>
      <c r="M47" s="146"/>
      <c r="N47" s="146"/>
      <c r="O47" s="147"/>
      <c r="P47" s="145">
        <v>22</v>
      </c>
      <c r="Q47" s="146">
        <v>42952</v>
      </c>
      <c r="R47" s="146"/>
      <c r="S47" s="146"/>
      <c r="T47" s="146"/>
      <c r="U47" s="146"/>
      <c r="V47" s="147"/>
      <c r="W47" s="145"/>
      <c r="X47" s="146"/>
      <c r="Y47" s="146"/>
      <c r="Z47" s="147"/>
      <c r="AA47" s="145" t="s">
        <v>45</v>
      </c>
      <c r="AB47" s="146">
        <v>95410</v>
      </c>
      <c r="AC47" s="146"/>
      <c r="AD47" s="146"/>
      <c r="AE47" s="147"/>
      <c r="AF47" s="145">
        <v>2</v>
      </c>
      <c r="AG47" s="146">
        <v>402034.39</v>
      </c>
      <c r="AH47" s="146"/>
      <c r="AI47" s="146"/>
      <c r="AJ47" s="146"/>
      <c r="AK47" s="146"/>
      <c r="AL47" s="147"/>
      <c r="AM47" s="145"/>
      <c r="AN47" s="146"/>
      <c r="AO47" s="146"/>
      <c r="AP47" s="147"/>
    </row>
    <row r="48" spans="1:42" x14ac:dyDescent="0.25">
      <c r="A48" s="47">
        <v>45566</v>
      </c>
      <c r="B48" s="145">
        <v>1</v>
      </c>
      <c r="C48" s="146">
        <v>85079</v>
      </c>
      <c r="D48" s="146">
        <v>1033883</v>
      </c>
      <c r="E48" s="146">
        <v>34374</v>
      </c>
      <c r="F48" s="146"/>
      <c r="G48" s="146"/>
      <c r="H48" s="147"/>
      <c r="I48" s="145" t="s">
        <v>45</v>
      </c>
      <c r="J48" s="146">
        <v>403061</v>
      </c>
      <c r="K48" s="146">
        <v>750025</v>
      </c>
      <c r="L48" s="146">
        <v>36237</v>
      </c>
      <c r="M48" s="146"/>
      <c r="N48" s="146"/>
      <c r="O48" s="147"/>
      <c r="P48" s="145">
        <v>14</v>
      </c>
      <c r="Q48" s="146">
        <v>115273</v>
      </c>
      <c r="R48" s="146"/>
      <c r="S48" s="146"/>
      <c r="T48" s="146"/>
      <c r="U48" s="146"/>
      <c r="V48" s="147"/>
      <c r="W48" s="145"/>
      <c r="X48" s="146"/>
      <c r="Y48" s="146"/>
      <c r="Z48" s="147"/>
      <c r="AA48" s="145" t="s">
        <v>45</v>
      </c>
      <c r="AB48" s="146">
        <v>116427</v>
      </c>
      <c r="AC48" s="146"/>
      <c r="AD48" s="146"/>
      <c r="AE48" s="147"/>
      <c r="AF48" s="145">
        <v>2</v>
      </c>
      <c r="AG48" s="146">
        <v>416087.06</v>
      </c>
      <c r="AH48" s="146"/>
      <c r="AI48" s="146"/>
      <c r="AJ48" s="146"/>
      <c r="AK48" s="146"/>
      <c r="AL48" s="147"/>
      <c r="AM48" s="145"/>
      <c r="AN48" s="146"/>
      <c r="AO48" s="146"/>
      <c r="AP48" s="147"/>
    </row>
    <row r="49" spans="1:42" x14ac:dyDescent="0.25">
      <c r="A49" s="47">
        <v>45597</v>
      </c>
      <c r="B49" s="145" t="s">
        <v>45</v>
      </c>
      <c r="C49" s="146">
        <v>356149</v>
      </c>
      <c r="D49" s="146">
        <v>52708</v>
      </c>
      <c r="E49" s="146">
        <v>29331</v>
      </c>
      <c r="F49" s="146"/>
      <c r="G49" s="146"/>
      <c r="H49" s="147"/>
      <c r="I49" s="145" t="s">
        <v>45</v>
      </c>
      <c r="J49" s="146">
        <v>208700</v>
      </c>
      <c r="K49" s="146">
        <v>1004267</v>
      </c>
      <c r="L49" s="146">
        <v>35599</v>
      </c>
      <c r="M49" s="146"/>
      <c r="N49" s="146"/>
      <c r="O49" s="147"/>
      <c r="P49" s="145">
        <v>10</v>
      </c>
      <c r="Q49" s="146">
        <v>45450</v>
      </c>
      <c r="R49" s="146"/>
      <c r="S49" s="146"/>
      <c r="T49" s="146"/>
      <c r="U49" s="146"/>
      <c r="V49" s="147"/>
      <c r="W49" s="145"/>
      <c r="X49" s="146"/>
      <c r="Y49" s="146"/>
      <c r="Z49" s="147"/>
      <c r="AA49" s="145" t="s">
        <v>45</v>
      </c>
      <c r="AB49" s="146">
        <v>96304</v>
      </c>
      <c r="AC49" s="146"/>
      <c r="AD49" s="146"/>
      <c r="AE49" s="147"/>
      <c r="AF49" s="145">
        <v>1</v>
      </c>
      <c r="AG49" s="146">
        <v>3023371.18</v>
      </c>
      <c r="AH49" s="146"/>
      <c r="AI49" s="146">
        <v>2828889</v>
      </c>
      <c r="AJ49" s="146"/>
      <c r="AK49" s="146"/>
      <c r="AL49" s="147"/>
      <c r="AM49" s="145"/>
      <c r="AN49" s="146"/>
      <c r="AO49" s="146"/>
      <c r="AP49" s="147"/>
    </row>
    <row r="50" spans="1:42" x14ac:dyDescent="0.25">
      <c r="A50" s="47">
        <v>45627</v>
      </c>
      <c r="B50" s="145" t="s">
        <v>45</v>
      </c>
      <c r="C50" s="146">
        <v>594301</v>
      </c>
      <c r="D50" s="146">
        <v>643506</v>
      </c>
      <c r="E50" s="146" t="s">
        <v>45</v>
      </c>
      <c r="F50" s="146"/>
      <c r="G50" s="146"/>
      <c r="H50" s="147"/>
      <c r="I50" s="145" t="s">
        <v>45</v>
      </c>
      <c r="J50" s="146">
        <v>357717</v>
      </c>
      <c r="K50" s="146">
        <v>734496</v>
      </c>
      <c r="L50" s="146">
        <v>41248</v>
      </c>
      <c r="M50" s="146"/>
      <c r="N50" s="146"/>
      <c r="O50" s="147"/>
      <c r="P50" s="145">
        <v>5</v>
      </c>
      <c r="Q50" s="146">
        <v>61032</v>
      </c>
      <c r="R50" s="146"/>
      <c r="S50" s="146"/>
      <c r="T50" s="146"/>
      <c r="U50" s="146"/>
      <c r="V50" s="147"/>
      <c r="W50" s="145">
        <v>37</v>
      </c>
      <c r="X50" s="146">
        <v>262541</v>
      </c>
      <c r="Y50" s="146"/>
      <c r="Z50" s="147"/>
      <c r="AA50" s="145" t="s">
        <v>45</v>
      </c>
      <c r="AB50" s="146">
        <v>294651</v>
      </c>
      <c r="AC50" s="146"/>
      <c r="AD50" s="146"/>
      <c r="AE50" s="147"/>
      <c r="AF50" s="145">
        <v>2</v>
      </c>
      <c r="AG50" s="146">
        <v>1362090.6</v>
      </c>
      <c r="AH50" s="146">
        <v>495939</v>
      </c>
      <c r="AI50" s="146">
        <v>103299</v>
      </c>
      <c r="AJ50" s="146"/>
      <c r="AK50" s="146"/>
      <c r="AL50" s="147"/>
      <c r="AM50" s="145"/>
      <c r="AN50" s="146"/>
      <c r="AO50" s="146"/>
      <c r="AP50" s="147"/>
    </row>
    <row r="51" spans="1:42" x14ac:dyDescent="0.25">
      <c r="A51" s="47">
        <v>45658</v>
      </c>
      <c r="B51" s="145" t="s">
        <v>45</v>
      </c>
      <c r="C51" s="146">
        <v>498417</v>
      </c>
      <c r="D51" s="146">
        <v>1163143</v>
      </c>
      <c r="E51" s="146">
        <v>29331</v>
      </c>
      <c r="F51" s="146"/>
      <c r="G51" s="146"/>
      <c r="H51" s="147"/>
      <c r="I51" s="145" t="s">
        <v>45</v>
      </c>
      <c r="J51" s="146">
        <v>162303</v>
      </c>
      <c r="K51" s="146" t="s">
        <v>45</v>
      </c>
      <c r="L51" s="146" t="s">
        <v>45</v>
      </c>
      <c r="M51" s="146"/>
      <c r="N51" s="146"/>
      <c r="O51" s="147"/>
      <c r="P51" s="145">
        <v>5</v>
      </c>
      <c r="Q51" s="146">
        <v>54250</v>
      </c>
      <c r="R51" s="146"/>
      <c r="S51" s="146"/>
      <c r="T51" s="146"/>
      <c r="U51" s="146"/>
      <c r="V51" s="147"/>
      <c r="W51" s="145">
        <v>15</v>
      </c>
      <c r="X51" s="146">
        <v>155415</v>
      </c>
      <c r="Y51" s="146"/>
      <c r="Z51" s="147"/>
      <c r="AA51" s="145" t="s">
        <v>45</v>
      </c>
      <c r="AB51" s="146">
        <v>172391</v>
      </c>
      <c r="AC51" s="146"/>
      <c r="AD51" s="146"/>
      <c r="AE51" s="147"/>
      <c r="AF51" s="145">
        <v>1</v>
      </c>
      <c r="AG51" s="146">
        <v>463163</v>
      </c>
      <c r="AH51" s="146">
        <v>44304</v>
      </c>
      <c r="AI51" s="146">
        <v>61297</v>
      </c>
      <c r="AJ51" s="146"/>
      <c r="AK51" s="146"/>
      <c r="AL51" s="147"/>
      <c r="AM51" s="145">
        <v>2</v>
      </c>
      <c r="AN51" s="146"/>
      <c r="AO51" s="146"/>
      <c r="AP51" s="147"/>
    </row>
    <row r="52" spans="1:42" x14ac:dyDescent="0.25">
      <c r="A52" s="47">
        <v>45689</v>
      </c>
      <c r="B52" s="145" t="s">
        <v>45</v>
      </c>
      <c r="C52" s="146">
        <v>105008</v>
      </c>
      <c r="D52" s="146" t="s">
        <v>45</v>
      </c>
      <c r="E52" s="146" t="s">
        <v>45</v>
      </c>
      <c r="F52" s="146"/>
      <c r="G52" s="146"/>
      <c r="H52" s="147"/>
      <c r="I52" s="145" t="s">
        <v>45</v>
      </c>
      <c r="J52" s="146">
        <v>617475</v>
      </c>
      <c r="K52" s="146">
        <v>93151</v>
      </c>
      <c r="L52" s="146" t="s">
        <v>45</v>
      </c>
      <c r="M52" s="146"/>
      <c r="N52" s="146"/>
      <c r="O52" s="147"/>
      <c r="P52" s="145">
        <v>5</v>
      </c>
      <c r="Q52" s="146">
        <v>46310</v>
      </c>
      <c r="R52" s="146"/>
      <c r="S52" s="146"/>
      <c r="T52" s="146"/>
      <c r="U52" s="146"/>
      <c r="V52" s="147"/>
      <c r="W52" s="145">
        <v>11</v>
      </c>
      <c r="X52" s="146">
        <v>106136</v>
      </c>
      <c r="Y52" s="146"/>
      <c r="Z52" s="147"/>
      <c r="AA52" s="145" t="s">
        <v>45</v>
      </c>
      <c r="AB52" s="146">
        <v>104494</v>
      </c>
      <c r="AC52" s="146"/>
      <c r="AD52" s="146"/>
      <c r="AE52" s="147"/>
      <c r="AF52" s="145">
        <v>1</v>
      </c>
      <c r="AG52" s="146">
        <v>242545</v>
      </c>
      <c r="AH52" s="146">
        <v>58613</v>
      </c>
      <c r="AI52" s="146">
        <v>318826</v>
      </c>
      <c r="AJ52" s="146"/>
      <c r="AK52" s="146"/>
      <c r="AL52" s="147"/>
      <c r="AM52" s="145" t="s">
        <v>45</v>
      </c>
      <c r="AN52" s="146"/>
      <c r="AO52" s="146"/>
      <c r="AP52" s="147"/>
    </row>
    <row r="53" spans="1:42" x14ac:dyDescent="0.25">
      <c r="A53" s="47">
        <v>45717</v>
      </c>
      <c r="B53" s="145" t="s">
        <v>45</v>
      </c>
      <c r="C53" s="146">
        <v>361694</v>
      </c>
      <c r="D53" s="146">
        <v>867482</v>
      </c>
      <c r="E53" s="146" t="s">
        <v>45</v>
      </c>
      <c r="F53" s="146"/>
      <c r="G53" s="146"/>
      <c r="H53" s="147"/>
      <c r="I53" s="145" t="s">
        <v>45</v>
      </c>
      <c r="J53" s="146">
        <v>65451</v>
      </c>
      <c r="K53" s="146">
        <v>352901</v>
      </c>
      <c r="L53" s="146" t="s">
        <v>45</v>
      </c>
      <c r="M53" s="146"/>
      <c r="N53" s="146"/>
      <c r="O53" s="147"/>
      <c r="P53" s="145">
        <v>5</v>
      </c>
      <c r="Q53" s="146">
        <v>56284</v>
      </c>
      <c r="R53" s="146"/>
      <c r="S53" s="146"/>
      <c r="T53" s="146"/>
      <c r="U53" s="146"/>
      <c r="V53" s="147"/>
      <c r="W53" s="145">
        <v>5</v>
      </c>
      <c r="X53" s="146">
        <v>67242</v>
      </c>
      <c r="Y53" s="146"/>
      <c r="Z53" s="147"/>
      <c r="AA53" s="145" t="s">
        <v>45</v>
      </c>
      <c r="AB53" s="146">
        <v>254718</v>
      </c>
      <c r="AC53" s="146"/>
      <c r="AD53" s="146"/>
      <c r="AE53" s="147"/>
      <c r="AF53" s="145">
        <v>1</v>
      </c>
      <c r="AG53" s="146">
        <v>305213</v>
      </c>
      <c r="AH53" s="146">
        <v>527178</v>
      </c>
      <c r="AI53" s="146">
        <v>1687809</v>
      </c>
      <c r="AJ53" s="146"/>
      <c r="AK53" s="146"/>
      <c r="AL53" s="147"/>
      <c r="AM53" s="145" t="s">
        <v>45</v>
      </c>
      <c r="AN53" s="146"/>
      <c r="AO53" s="146"/>
      <c r="AP53" s="147"/>
    </row>
    <row r="54" spans="1:42" x14ac:dyDescent="0.25">
      <c r="A54" s="47">
        <v>45748</v>
      </c>
      <c r="B54" s="145" t="s">
        <v>45</v>
      </c>
      <c r="C54" s="146">
        <v>184143</v>
      </c>
      <c r="D54" s="146">
        <v>504379</v>
      </c>
      <c r="E54" s="146" t="s">
        <v>45</v>
      </c>
      <c r="F54" s="146"/>
      <c r="G54" s="146"/>
      <c r="H54" s="147"/>
      <c r="I54" s="145" t="s">
        <v>45</v>
      </c>
      <c r="J54" s="146">
        <v>40080</v>
      </c>
      <c r="K54" s="146" t="s">
        <v>45</v>
      </c>
      <c r="L54" s="146" t="s">
        <v>45</v>
      </c>
      <c r="M54" s="146"/>
      <c r="N54" s="146"/>
      <c r="O54" s="147"/>
      <c r="P54" s="145">
        <v>-2</v>
      </c>
      <c r="Q54" s="146">
        <v>63633</v>
      </c>
      <c r="R54" s="146"/>
      <c r="S54" s="146"/>
      <c r="T54" s="146"/>
      <c r="U54" s="146"/>
      <c r="V54" s="147"/>
      <c r="W54" s="145">
        <v>6</v>
      </c>
      <c r="X54" s="146">
        <v>53259</v>
      </c>
      <c r="Y54" s="146"/>
      <c r="Z54" s="147"/>
      <c r="AA54" s="145" t="s">
        <v>45</v>
      </c>
      <c r="AB54" s="146">
        <v>138414</v>
      </c>
      <c r="AC54" s="146"/>
      <c r="AD54" s="146"/>
      <c r="AE54" s="147"/>
      <c r="AF54" s="145">
        <v>1</v>
      </c>
      <c r="AG54" s="146">
        <v>379772</v>
      </c>
      <c r="AH54" s="146">
        <v>381667</v>
      </c>
      <c r="AI54" s="146" t="s">
        <v>45</v>
      </c>
      <c r="AJ54" s="146"/>
      <c r="AK54" s="146"/>
      <c r="AL54" s="147"/>
      <c r="AM54" s="145" t="s">
        <v>45</v>
      </c>
      <c r="AN54" s="146"/>
      <c r="AO54" s="146"/>
      <c r="AP54" s="147"/>
    </row>
    <row r="55" spans="1:42" x14ac:dyDescent="0.25">
      <c r="A55" s="47">
        <v>45778</v>
      </c>
      <c r="B55" s="145">
        <v>8</v>
      </c>
      <c r="C55" s="146">
        <v>393264</v>
      </c>
      <c r="D55" s="146">
        <v>303619</v>
      </c>
      <c r="E55" s="146" t="s">
        <v>45</v>
      </c>
      <c r="F55" s="146"/>
      <c r="G55" s="146"/>
      <c r="H55" s="147"/>
      <c r="I55" s="145" t="s">
        <v>45</v>
      </c>
      <c r="J55" s="146">
        <v>32565</v>
      </c>
      <c r="K55" s="146">
        <v>443100</v>
      </c>
      <c r="L55" s="146">
        <v>76405</v>
      </c>
      <c r="M55" s="146"/>
      <c r="N55" s="146"/>
      <c r="O55" s="147"/>
      <c r="P55" s="145" t="s">
        <v>45</v>
      </c>
      <c r="Q55" s="146">
        <v>157227</v>
      </c>
      <c r="R55" s="146"/>
      <c r="S55" s="146"/>
      <c r="T55" s="146"/>
      <c r="U55" s="146"/>
      <c r="V55" s="147"/>
      <c r="W55" s="145">
        <v>8</v>
      </c>
      <c r="X55" s="146">
        <v>54106</v>
      </c>
      <c r="Y55" s="146"/>
      <c r="Z55" s="147"/>
      <c r="AA55" s="145" t="s">
        <v>45</v>
      </c>
      <c r="AB55" s="146">
        <v>116203</v>
      </c>
      <c r="AC55" s="146"/>
      <c r="AD55" s="146"/>
      <c r="AE55" s="147"/>
      <c r="AF55" s="145">
        <v>1</v>
      </c>
      <c r="AG55" s="146">
        <v>287507</v>
      </c>
      <c r="AH55" s="146">
        <v>84505</v>
      </c>
      <c r="AI55" s="146">
        <v>236330</v>
      </c>
      <c r="AJ55" s="146"/>
      <c r="AK55" s="146"/>
      <c r="AL55" s="147"/>
      <c r="AM55" s="145" t="s">
        <v>45</v>
      </c>
      <c r="AN55" s="146"/>
      <c r="AO55" s="146"/>
      <c r="AP55" s="147"/>
    </row>
    <row r="56" spans="1:42" x14ac:dyDescent="0.25">
      <c r="A56" s="47">
        <v>45809</v>
      </c>
      <c r="B56" s="145">
        <v>1</v>
      </c>
      <c r="C56" s="146">
        <v>322109</v>
      </c>
      <c r="D56" s="146">
        <v>651851</v>
      </c>
      <c r="E56" s="146" t="s">
        <v>45</v>
      </c>
      <c r="F56" s="146"/>
      <c r="G56" s="146"/>
      <c r="H56" s="147"/>
      <c r="I56" s="145" t="s">
        <v>45</v>
      </c>
      <c r="J56" s="146">
        <v>28121</v>
      </c>
      <c r="K56" s="146">
        <v>1160037</v>
      </c>
      <c r="L56" s="146" t="s">
        <v>45</v>
      </c>
      <c r="M56" s="146"/>
      <c r="N56" s="146"/>
      <c r="O56" s="147"/>
      <c r="P56" s="145" t="s">
        <v>45</v>
      </c>
      <c r="Q56" s="146">
        <v>1549051</v>
      </c>
      <c r="R56" s="146"/>
      <c r="S56" s="146">
        <v>1443110</v>
      </c>
      <c r="T56" s="146"/>
      <c r="U56" s="146"/>
      <c r="V56" s="147"/>
      <c r="W56" s="145">
        <v>9</v>
      </c>
      <c r="X56" s="146">
        <v>52368</v>
      </c>
      <c r="Y56" s="146"/>
      <c r="Z56" s="147"/>
      <c r="AA56" s="145" t="s">
        <v>45</v>
      </c>
      <c r="AB56" s="146">
        <v>662741</v>
      </c>
      <c r="AC56" s="146"/>
      <c r="AD56" s="146"/>
      <c r="AE56" s="147"/>
      <c r="AF56" s="145">
        <v>1</v>
      </c>
      <c r="AG56" s="146">
        <v>311613</v>
      </c>
      <c r="AH56" s="146">
        <v>81943</v>
      </c>
      <c r="AI56" s="146">
        <v>235728</v>
      </c>
      <c r="AJ56" s="146"/>
      <c r="AK56" s="146"/>
      <c r="AL56" s="147"/>
      <c r="AM56" s="145" t="s">
        <v>45</v>
      </c>
      <c r="AN56" s="146"/>
      <c r="AO56" s="146"/>
      <c r="AP56" s="147"/>
    </row>
    <row r="57" spans="1:42" x14ac:dyDescent="0.25">
      <c r="A57" s="47">
        <v>45839</v>
      </c>
      <c r="B57" s="145">
        <v>1</v>
      </c>
      <c r="C57" s="146">
        <v>198354</v>
      </c>
      <c r="D57" s="146">
        <v>386649</v>
      </c>
      <c r="E57" s="146" t="s">
        <v>45</v>
      </c>
      <c r="F57" s="146"/>
      <c r="G57" s="146"/>
      <c r="H57" s="147"/>
      <c r="I57" s="145">
        <v>-1</v>
      </c>
      <c r="J57" s="146">
        <v>96843</v>
      </c>
      <c r="K57" s="146" t="s">
        <v>45</v>
      </c>
      <c r="L57" s="146" t="s">
        <v>45</v>
      </c>
      <c r="M57" s="146"/>
      <c r="N57" s="146"/>
      <c r="O57" s="147"/>
      <c r="P57" s="145" t="s">
        <v>45</v>
      </c>
      <c r="Q57" s="146">
        <v>2893764</v>
      </c>
      <c r="R57" s="146">
        <v>837585</v>
      </c>
      <c r="S57" s="146">
        <v>1974732</v>
      </c>
      <c r="T57" s="146"/>
      <c r="U57" s="146"/>
      <c r="V57" s="147"/>
      <c r="W57" s="145">
        <v>7</v>
      </c>
      <c r="X57" s="146">
        <v>116668</v>
      </c>
      <c r="Y57" s="146"/>
      <c r="Z57" s="147"/>
      <c r="AA57" s="145" t="s">
        <v>45</v>
      </c>
      <c r="AB57" s="146">
        <v>111735</v>
      </c>
      <c r="AC57" s="146"/>
      <c r="AD57" s="146"/>
      <c r="AE57" s="147"/>
      <c r="AF57" s="145">
        <v>1</v>
      </c>
      <c r="AG57" s="146">
        <v>336890</v>
      </c>
      <c r="AH57" s="146">
        <v>1698788</v>
      </c>
      <c r="AI57" s="146">
        <v>503380</v>
      </c>
      <c r="AJ57" s="146"/>
      <c r="AK57" s="146"/>
      <c r="AL57" s="147"/>
      <c r="AM57" s="145">
        <v>181</v>
      </c>
      <c r="AN57" s="146">
        <v>1915241</v>
      </c>
      <c r="AO57" s="146"/>
      <c r="AP57" s="147"/>
    </row>
    <row r="58" spans="1:42" x14ac:dyDescent="0.25">
      <c r="A58" s="47">
        <v>45870</v>
      </c>
      <c r="B58" s="145">
        <v>1</v>
      </c>
      <c r="C58" s="146">
        <v>425551</v>
      </c>
      <c r="D58" s="146">
        <v>1166855</v>
      </c>
      <c r="E58" s="146">
        <v>58842</v>
      </c>
      <c r="F58" s="146"/>
      <c r="G58" s="146"/>
      <c r="H58" s="147"/>
      <c r="I58" s="145" t="s">
        <v>45</v>
      </c>
      <c r="J58" s="146">
        <v>64422</v>
      </c>
      <c r="K58" s="146">
        <v>185306</v>
      </c>
      <c r="L58" s="146">
        <v>35795</v>
      </c>
      <c r="M58" s="146"/>
      <c r="N58" s="146"/>
      <c r="O58" s="147"/>
      <c r="P58" s="145">
        <v>1</v>
      </c>
      <c r="Q58" s="146">
        <v>1260483</v>
      </c>
      <c r="R58" s="146">
        <v>995004</v>
      </c>
      <c r="S58" s="146" t="s">
        <v>45</v>
      </c>
      <c r="T58" s="146"/>
      <c r="U58" s="146"/>
      <c r="V58" s="147"/>
      <c r="W58" s="145">
        <v>7</v>
      </c>
      <c r="X58" s="146">
        <v>61363</v>
      </c>
      <c r="Y58" s="146"/>
      <c r="Z58" s="147"/>
      <c r="AA58" s="145">
        <v>2</v>
      </c>
      <c r="AB58" s="146">
        <v>121872</v>
      </c>
      <c r="AC58" s="146"/>
      <c r="AD58" s="146"/>
      <c r="AE58" s="147"/>
      <c r="AF58" s="145" t="s">
        <v>45</v>
      </c>
      <c r="AG58" s="146">
        <v>387302</v>
      </c>
      <c r="AH58" s="146">
        <v>658563</v>
      </c>
      <c r="AI58" s="146">
        <v>92717</v>
      </c>
      <c r="AJ58" s="146"/>
      <c r="AK58" s="146"/>
      <c r="AL58" s="147"/>
      <c r="AM58" s="145">
        <v>19</v>
      </c>
      <c r="AN58" s="146">
        <v>888444</v>
      </c>
      <c r="AO58" s="146"/>
      <c r="AP58" s="147"/>
    </row>
    <row r="59" spans="1:42" x14ac:dyDescent="0.25">
      <c r="A59" s="47">
        <v>45901</v>
      </c>
      <c r="B59" s="145">
        <v>1</v>
      </c>
      <c r="C59" s="146">
        <v>154765</v>
      </c>
      <c r="D59" s="146">
        <v>563535</v>
      </c>
      <c r="E59" s="146">
        <v>35103</v>
      </c>
      <c r="F59" s="146"/>
      <c r="G59" s="146"/>
      <c r="H59" s="147"/>
      <c r="I59" s="145">
        <v>1</v>
      </c>
      <c r="J59" s="146">
        <v>21166</v>
      </c>
      <c r="K59" s="146">
        <v>933974</v>
      </c>
      <c r="L59" s="146" t="s">
        <v>45</v>
      </c>
      <c r="M59" s="146"/>
      <c r="N59" s="146"/>
      <c r="O59" s="147"/>
      <c r="P59" s="145">
        <v>1</v>
      </c>
      <c r="Q59" s="146">
        <v>456912</v>
      </c>
      <c r="R59" s="146">
        <v>973533</v>
      </c>
      <c r="S59" s="146">
        <v>1120860</v>
      </c>
      <c r="T59" s="146"/>
      <c r="U59" s="146"/>
      <c r="V59" s="147"/>
      <c r="W59" s="145">
        <v>8</v>
      </c>
      <c r="X59" s="146">
        <v>86815</v>
      </c>
      <c r="Y59" s="146"/>
      <c r="Z59" s="147"/>
      <c r="AA59" s="145" t="s">
        <v>45</v>
      </c>
      <c r="AB59" s="146">
        <v>107535</v>
      </c>
      <c r="AC59" s="146"/>
      <c r="AD59" s="146"/>
      <c r="AE59" s="147"/>
      <c r="AF59" s="145" t="s">
        <v>45</v>
      </c>
      <c r="AG59" s="146">
        <v>313641</v>
      </c>
      <c r="AH59" s="146">
        <v>946843</v>
      </c>
      <c r="AI59" s="146">
        <v>165441</v>
      </c>
      <c r="AJ59" s="146"/>
      <c r="AK59" s="146"/>
      <c r="AL59" s="147"/>
      <c r="AM59" s="145">
        <v>13</v>
      </c>
      <c r="AN59" s="146">
        <v>419611</v>
      </c>
      <c r="AO59" s="146"/>
      <c r="AP59" s="147"/>
    </row>
    <row r="60" spans="1:42" x14ac:dyDescent="0.25">
      <c r="A60" s="47">
        <v>45931</v>
      </c>
      <c r="B60" s="145" t="s">
        <v>45</v>
      </c>
      <c r="C60" s="146">
        <v>154874</v>
      </c>
      <c r="D60" s="146">
        <v>710328</v>
      </c>
      <c r="E60" s="146" t="s">
        <v>45</v>
      </c>
      <c r="F60" s="146"/>
      <c r="G60" s="146"/>
      <c r="H60" s="147"/>
      <c r="I60" s="145" t="s">
        <v>45</v>
      </c>
      <c r="J60" s="146">
        <v>3382</v>
      </c>
      <c r="K60" s="146" t="s">
        <v>45</v>
      </c>
      <c r="L60" s="146" t="s">
        <v>45</v>
      </c>
      <c r="M60" s="146"/>
      <c r="N60" s="146"/>
      <c r="O60" s="147"/>
      <c r="P60" s="145" t="s">
        <v>45</v>
      </c>
      <c r="Q60" s="146">
        <v>428046</v>
      </c>
      <c r="R60" s="146">
        <v>956562</v>
      </c>
      <c r="S60" s="146">
        <v>144523</v>
      </c>
      <c r="T60" s="146"/>
      <c r="U60" s="146"/>
      <c r="V60" s="147"/>
      <c r="W60" s="145">
        <v>8</v>
      </c>
      <c r="X60" s="146">
        <v>76138</v>
      </c>
      <c r="Y60" s="146"/>
      <c r="Z60" s="147"/>
      <c r="AA60" s="145" t="s">
        <v>45</v>
      </c>
      <c r="AB60" s="146">
        <v>81980</v>
      </c>
      <c r="AC60" s="146"/>
      <c r="AD60" s="146"/>
      <c r="AE60" s="147"/>
      <c r="AF60" s="145">
        <v>15</v>
      </c>
      <c r="AG60" s="146">
        <v>333428</v>
      </c>
      <c r="AH60" s="146">
        <v>547764</v>
      </c>
      <c r="AI60" s="146">
        <v>95163</v>
      </c>
      <c r="AJ60" s="146"/>
      <c r="AK60" s="146"/>
      <c r="AL60" s="147"/>
      <c r="AM60" s="145">
        <v>55</v>
      </c>
      <c r="AN60" s="146">
        <v>727302</v>
      </c>
      <c r="AO60" s="146"/>
      <c r="AP60" s="147"/>
    </row>
    <row r="61" spans="1:42" x14ac:dyDescent="0.25">
      <c r="A61" s="47">
        <v>45962</v>
      </c>
      <c r="B61" s="145"/>
      <c r="C61" s="146">
        <v>161197</v>
      </c>
      <c r="D61" s="146">
        <v>602871</v>
      </c>
      <c r="E61" s="148"/>
      <c r="F61" s="148"/>
      <c r="G61" s="146"/>
      <c r="H61" s="147"/>
      <c r="I61" s="145"/>
      <c r="J61" s="146">
        <v>5123</v>
      </c>
      <c r="K61" s="146"/>
      <c r="L61" s="148"/>
      <c r="M61" s="148"/>
      <c r="N61" s="146"/>
      <c r="O61" s="147"/>
      <c r="P61" s="145"/>
      <c r="Q61" s="146">
        <v>114248</v>
      </c>
      <c r="R61" s="146">
        <v>984693</v>
      </c>
      <c r="S61" s="148"/>
      <c r="T61" s="148"/>
      <c r="U61" s="146"/>
      <c r="V61" s="147"/>
      <c r="W61" s="145"/>
      <c r="X61" s="146">
        <v>63468</v>
      </c>
      <c r="Y61" s="146"/>
      <c r="Z61" s="147"/>
      <c r="AA61" s="145"/>
      <c r="AB61" s="146">
        <v>46616</v>
      </c>
      <c r="AC61" s="148"/>
      <c r="AD61" s="146"/>
      <c r="AE61" s="147"/>
      <c r="AF61" s="145"/>
      <c r="AG61" s="146">
        <v>150513</v>
      </c>
      <c r="AH61" s="146">
        <v>1081148</v>
      </c>
      <c r="AI61" s="148"/>
      <c r="AJ61" s="148"/>
      <c r="AK61" s="146"/>
      <c r="AL61" s="147"/>
      <c r="AM61" s="145"/>
      <c r="AN61" s="146">
        <v>119985</v>
      </c>
      <c r="AO61" s="146"/>
      <c r="AP61" s="147"/>
    </row>
    <row r="62" spans="1:42" x14ac:dyDescent="0.25">
      <c r="A62" s="47">
        <v>45992</v>
      </c>
      <c r="B62" s="145"/>
      <c r="C62" s="146">
        <v>141631</v>
      </c>
      <c r="D62" s="146">
        <v>602871</v>
      </c>
      <c r="E62" s="148"/>
      <c r="F62" s="148"/>
      <c r="G62" s="146"/>
      <c r="H62" s="148"/>
      <c r="I62" s="145"/>
      <c r="J62" s="146">
        <v>9894</v>
      </c>
      <c r="K62" s="146"/>
      <c r="L62" s="148"/>
      <c r="M62" s="148"/>
      <c r="N62" s="146"/>
      <c r="O62" s="148"/>
      <c r="P62" s="145"/>
      <c r="Q62" s="146">
        <v>554354</v>
      </c>
      <c r="R62" s="146">
        <v>984693</v>
      </c>
      <c r="S62" s="148"/>
      <c r="T62" s="148"/>
      <c r="U62" s="146"/>
      <c r="V62" s="148"/>
      <c r="W62" s="145"/>
      <c r="X62" s="146">
        <v>630431</v>
      </c>
      <c r="Y62" s="146"/>
      <c r="Z62" s="148"/>
      <c r="AA62" s="145"/>
      <c r="AB62" s="146">
        <v>400120</v>
      </c>
      <c r="AC62" s="148"/>
      <c r="AD62" s="146"/>
      <c r="AE62" s="148"/>
      <c r="AF62" s="145"/>
      <c r="AG62" s="146">
        <v>1425862</v>
      </c>
      <c r="AH62" s="146">
        <v>1081148</v>
      </c>
      <c r="AI62" s="148"/>
      <c r="AJ62" s="148"/>
      <c r="AK62" s="146"/>
      <c r="AL62" s="148"/>
      <c r="AM62" s="145"/>
      <c r="AN62" s="146">
        <v>536488</v>
      </c>
      <c r="AO62" s="146"/>
      <c r="AP62" s="147"/>
    </row>
    <row r="63" spans="1:42" x14ac:dyDescent="0.25">
      <c r="A63" s="47">
        <v>46023</v>
      </c>
      <c r="B63" s="145"/>
      <c r="C63" s="146">
        <v>134552</v>
      </c>
      <c r="D63" s="146">
        <v>452154</v>
      </c>
      <c r="E63" s="148">
        <v>163842</v>
      </c>
      <c r="F63" s="148"/>
      <c r="G63" s="146"/>
      <c r="H63" s="148"/>
      <c r="I63" s="145"/>
      <c r="J63" s="146">
        <v>1796</v>
      </c>
      <c r="K63" s="146"/>
      <c r="L63" s="148"/>
      <c r="M63" s="148"/>
      <c r="N63" s="146"/>
      <c r="O63" s="148"/>
      <c r="P63" s="145"/>
      <c r="Q63" s="146">
        <v>206072</v>
      </c>
      <c r="R63" s="146">
        <v>984693</v>
      </c>
      <c r="S63" s="148"/>
      <c r="T63" s="148"/>
      <c r="U63" s="146"/>
      <c r="V63" s="148"/>
      <c r="W63" s="145"/>
      <c r="X63" s="146">
        <v>87746</v>
      </c>
      <c r="Y63" s="146"/>
      <c r="Z63" s="148"/>
      <c r="AA63" s="145"/>
      <c r="AB63" s="146">
        <v>146553</v>
      </c>
      <c r="AC63" s="148"/>
      <c r="AD63" s="146"/>
      <c r="AE63" s="148"/>
      <c r="AF63" s="145"/>
      <c r="AG63" s="146">
        <v>415011</v>
      </c>
      <c r="AH63" s="146">
        <v>1081148</v>
      </c>
      <c r="AI63" s="148"/>
      <c r="AJ63" s="148"/>
      <c r="AK63" s="146"/>
      <c r="AL63" s="148"/>
      <c r="AM63" s="145"/>
      <c r="AN63" s="146">
        <v>224803</v>
      </c>
      <c r="AO63" s="146"/>
      <c r="AP63" s="147"/>
    </row>
    <row r="64" spans="1:42" x14ac:dyDescent="0.25">
      <c r="A64" s="47">
        <v>46054</v>
      </c>
      <c r="B64" s="145"/>
      <c r="C64" s="146">
        <v>196652</v>
      </c>
      <c r="D64" s="146">
        <v>371313</v>
      </c>
      <c r="E64" s="148"/>
      <c r="F64" s="148"/>
      <c r="G64" s="146"/>
      <c r="H64" s="148"/>
      <c r="I64" s="145"/>
      <c r="J64" s="146">
        <v>2059</v>
      </c>
      <c r="K64" s="146"/>
      <c r="L64" s="148"/>
      <c r="M64" s="148"/>
      <c r="N64" s="146"/>
      <c r="O64" s="148"/>
      <c r="P64" s="145"/>
      <c r="Q64" s="146">
        <v>189120</v>
      </c>
      <c r="R64" s="146">
        <v>984693</v>
      </c>
      <c r="S64" s="148">
        <v>148936</v>
      </c>
      <c r="T64" s="148"/>
      <c r="U64" s="146"/>
      <c r="V64" s="148"/>
      <c r="W64" s="145"/>
      <c r="X64" s="146">
        <v>88705</v>
      </c>
      <c r="Y64" s="146"/>
      <c r="Z64" s="148"/>
      <c r="AA64" s="145"/>
      <c r="AB64" s="146">
        <v>82751</v>
      </c>
      <c r="AC64" s="148"/>
      <c r="AD64" s="146"/>
      <c r="AE64" s="148"/>
      <c r="AF64" s="145"/>
      <c r="AG64" s="146">
        <v>316791</v>
      </c>
      <c r="AH64" s="146">
        <v>1081148</v>
      </c>
      <c r="AI64" s="148"/>
      <c r="AJ64" s="148"/>
      <c r="AK64" s="146"/>
      <c r="AL64" s="148"/>
      <c r="AM64" s="145"/>
      <c r="AN64" s="146">
        <v>231915</v>
      </c>
      <c r="AO64" s="146"/>
      <c r="AP64" s="147"/>
    </row>
    <row r="65" spans="1:42" x14ac:dyDescent="0.25">
      <c r="A65" s="47">
        <v>46082</v>
      </c>
      <c r="B65" s="145"/>
      <c r="C65" s="146">
        <v>190600</v>
      </c>
      <c r="D65" s="146">
        <v>985148</v>
      </c>
      <c r="E65" s="148"/>
      <c r="F65" s="148"/>
      <c r="G65" s="146"/>
      <c r="H65" s="148"/>
      <c r="I65" s="145"/>
      <c r="J65" s="146">
        <v>2153</v>
      </c>
      <c r="K65" s="146"/>
      <c r="L65" s="148"/>
      <c r="M65" s="148"/>
      <c r="N65" s="146"/>
      <c r="O65" s="148"/>
      <c r="P65" s="145"/>
      <c r="Q65" s="146">
        <v>256209</v>
      </c>
      <c r="R65" s="146">
        <v>729402</v>
      </c>
      <c r="S65" s="148" t="s">
        <v>45</v>
      </c>
      <c r="T65" s="148"/>
      <c r="U65" s="146"/>
      <c r="V65" s="148"/>
      <c r="W65" s="145"/>
      <c r="X65" s="146">
        <v>89085</v>
      </c>
      <c r="Y65" s="146"/>
      <c r="Z65" s="148"/>
      <c r="AA65" s="145"/>
      <c r="AB65" s="146">
        <v>262310</v>
      </c>
      <c r="AC65" s="148"/>
      <c r="AD65" s="146"/>
      <c r="AE65" s="148"/>
      <c r="AF65" s="145"/>
      <c r="AG65" s="146">
        <v>419249</v>
      </c>
      <c r="AH65" s="146">
        <v>1621722</v>
      </c>
      <c r="AI65" s="148">
        <v>205128</v>
      </c>
      <c r="AJ65" s="148"/>
      <c r="AK65" s="146"/>
      <c r="AL65" s="148"/>
      <c r="AM65" s="145"/>
      <c r="AN65" s="146">
        <v>215074</v>
      </c>
      <c r="AO65" s="146"/>
      <c r="AP65" s="147"/>
    </row>
    <row r="66" spans="1:42" x14ac:dyDescent="0.25">
      <c r="A66" s="47">
        <v>46113</v>
      </c>
      <c r="B66" s="145"/>
      <c r="C66" s="146">
        <v>149202</v>
      </c>
      <c r="D66" s="146" t="s">
        <v>45</v>
      </c>
      <c r="E66" s="148"/>
      <c r="F66" s="148"/>
      <c r="G66" s="146"/>
      <c r="H66" s="148"/>
      <c r="I66" s="145"/>
      <c r="J66" s="146">
        <v>1796</v>
      </c>
      <c r="K66" s="146"/>
      <c r="L66" s="148"/>
      <c r="M66" s="148"/>
      <c r="N66" s="146"/>
      <c r="O66" s="148"/>
      <c r="P66" s="145"/>
      <c r="Q66" s="146">
        <v>202833</v>
      </c>
      <c r="R66" s="146">
        <v>729402</v>
      </c>
      <c r="S66" s="148" t="s">
        <v>45</v>
      </c>
      <c r="T66" s="148"/>
      <c r="U66" s="146"/>
      <c r="V66" s="148"/>
      <c r="W66" s="145"/>
      <c r="X66" s="146">
        <v>89761</v>
      </c>
      <c r="Y66" s="146"/>
      <c r="Z66" s="148"/>
      <c r="AA66" s="145"/>
      <c r="AB66" s="146">
        <v>185568</v>
      </c>
      <c r="AC66" s="148"/>
      <c r="AD66" s="146"/>
      <c r="AE66" s="148"/>
      <c r="AF66" s="145"/>
      <c r="AG66" s="146">
        <v>336277</v>
      </c>
      <c r="AH66" s="146">
        <v>1621722</v>
      </c>
      <c r="AI66" s="148">
        <v>164103</v>
      </c>
      <c r="AJ66" s="148"/>
      <c r="AK66" s="146"/>
      <c r="AL66" s="148"/>
      <c r="AM66" s="145"/>
      <c r="AN66" s="146">
        <v>226155</v>
      </c>
      <c r="AO66" s="146"/>
      <c r="AP66" s="147"/>
    </row>
    <row r="67" spans="1:42" x14ac:dyDescent="0.25">
      <c r="A67" s="47">
        <v>46143</v>
      </c>
      <c r="B67" s="145"/>
      <c r="C67" s="146">
        <v>158391</v>
      </c>
      <c r="D67" s="146"/>
      <c r="E67" s="148"/>
      <c r="F67" s="148"/>
      <c r="G67" s="146"/>
      <c r="H67" s="148"/>
      <c r="I67" s="145"/>
      <c r="J67" s="146">
        <v>1796</v>
      </c>
      <c r="K67" s="146"/>
      <c r="L67" s="148"/>
      <c r="M67" s="148"/>
      <c r="N67" s="146"/>
      <c r="O67" s="148"/>
      <c r="P67" s="145"/>
      <c r="Q67" s="146">
        <v>218049</v>
      </c>
      <c r="R67" s="146">
        <v>911753</v>
      </c>
      <c r="S67" s="148"/>
      <c r="T67" s="148"/>
      <c r="U67" s="146"/>
      <c r="V67" s="148"/>
      <c r="W67" s="145"/>
      <c r="X67" s="146">
        <v>91254</v>
      </c>
      <c r="Y67" s="146"/>
      <c r="Z67" s="148"/>
      <c r="AA67" s="145"/>
      <c r="AB67" s="146">
        <v>90787</v>
      </c>
      <c r="AC67" s="148"/>
      <c r="AD67" s="146"/>
      <c r="AE67" s="148"/>
      <c r="AF67" s="145"/>
      <c r="AG67" s="146">
        <v>295161</v>
      </c>
      <c r="AH67" s="146">
        <v>1621722</v>
      </c>
      <c r="AI67" s="148"/>
      <c r="AJ67" s="148"/>
      <c r="AK67" s="146"/>
      <c r="AL67" s="148"/>
      <c r="AM67" s="145"/>
      <c r="AN67" s="146">
        <v>432293</v>
      </c>
      <c r="AO67" s="146"/>
      <c r="AP67" s="147"/>
    </row>
    <row r="68" spans="1:42" x14ac:dyDescent="0.25">
      <c r="A68" s="47">
        <v>46174</v>
      </c>
      <c r="B68" s="145"/>
      <c r="C68" s="146">
        <v>163064</v>
      </c>
      <c r="D68" s="146"/>
      <c r="E68" s="148"/>
      <c r="F68" s="148"/>
      <c r="G68" s="146"/>
      <c r="H68" s="148"/>
      <c r="I68" s="145"/>
      <c r="J68" s="146">
        <v>1796</v>
      </c>
      <c r="K68" s="146"/>
      <c r="L68" s="148"/>
      <c r="M68" s="148"/>
      <c r="N68" s="146"/>
      <c r="O68" s="148"/>
      <c r="P68" s="145"/>
      <c r="Q68" s="146">
        <v>221372</v>
      </c>
      <c r="R68" s="146">
        <v>911753</v>
      </c>
      <c r="S68" s="148"/>
      <c r="T68" s="148"/>
      <c r="U68" s="146"/>
      <c r="V68" s="148"/>
      <c r="W68" s="145"/>
      <c r="X68" s="146">
        <v>111142</v>
      </c>
      <c r="Y68" s="146"/>
      <c r="Z68" s="148"/>
      <c r="AA68" s="145"/>
      <c r="AB68" s="146">
        <v>124863</v>
      </c>
      <c r="AC68" s="148"/>
      <c r="AD68" s="146"/>
      <c r="AE68" s="148"/>
      <c r="AF68" s="145"/>
      <c r="AG68" s="146">
        <v>360216</v>
      </c>
      <c r="AH68" s="146">
        <v>1621722</v>
      </c>
      <c r="AI68" s="148"/>
      <c r="AJ68" s="148"/>
      <c r="AK68" s="146"/>
      <c r="AL68" s="148"/>
      <c r="AM68" s="145"/>
      <c r="AN68" s="146">
        <v>369900</v>
      </c>
      <c r="AO68" s="146"/>
      <c r="AP68" s="147"/>
    </row>
    <row r="69" spans="1:42" x14ac:dyDescent="0.25">
      <c r="A69" s="47">
        <v>46204</v>
      </c>
      <c r="B69" s="145"/>
      <c r="C69" s="146">
        <v>128658</v>
      </c>
      <c r="D69" s="146"/>
      <c r="E69" s="148"/>
      <c r="F69" s="148"/>
      <c r="G69" s="146"/>
      <c r="H69" s="148"/>
      <c r="I69" s="145"/>
      <c r="J69" s="146">
        <v>1796</v>
      </c>
      <c r="K69" s="146"/>
      <c r="L69" s="148"/>
      <c r="M69" s="148"/>
      <c r="N69" s="146"/>
      <c r="O69" s="148"/>
      <c r="P69" s="145"/>
      <c r="Q69" s="146">
        <v>553738</v>
      </c>
      <c r="R69" s="146">
        <v>911753</v>
      </c>
      <c r="S69" s="148"/>
      <c r="T69" s="148"/>
      <c r="U69" s="146"/>
      <c r="V69" s="148"/>
      <c r="W69" s="145"/>
      <c r="X69" s="146">
        <v>95634</v>
      </c>
      <c r="Y69" s="146"/>
      <c r="Z69" s="148"/>
      <c r="AA69" s="145"/>
      <c r="AB69" s="146">
        <v>101893</v>
      </c>
      <c r="AC69" s="148"/>
      <c r="AD69" s="146"/>
      <c r="AE69" s="148"/>
      <c r="AF69" s="145"/>
      <c r="AG69" s="146">
        <v>381626</v>
      </c>
      <c r="AH69" s="146">
        <v>1621722</v>
      </c>
      <c r="AI69" s="148"/>
      <c r="AJ69" s="148"/>
      <c r="AK69" s="146"/>
      <c r="AL69" s="148"/>
      <c r="AM69" s="145"/>
      <c r="AN69" s="146">
        <v>742240</v>
      </c>
      <c r="AO69" s="146"/>
      <c r="AP69" s="147"/>
    </row>
    <row r="70" spans="1:42" x14ac:dyDescent="0.25">
      <c r="A70" s="47">
        <v>46235</v>
      </c>
      <c r="B70" s="145"/>
      <c r="C70" s="146">
        <v>432380</v>
      </c>
      <c r="D70" s="146"/>
      <c r="E70" s="148"/>
      <c r="F70" s="148"/>
      <c r="G70" s="146"/>
      <c r="H70" s="148"/>
      <c r="I70" s="145"/>
      <c r="J70" s="146">
        <v>1796</v>
      </c>
      <c r="K70" s="146"/>
      <c r="L70" s="148"/>
      <c r="M70" s="148"/>
      <c r="N70" s="146"/>
      <c r="O70" s="148"/>
      <c r="P70" s="145"/>
      <c r="Q70" s="146">
        <v>317105</v>
      </c>
      <c r="R70" s="146">
        <v>911753</v>
      </c>
      <c r="S70" s="148"/>
      <c r="T70" s="148"/>
      <c r="U70" s="146"/>
      <c r="V70" s="148"/>
      <c r="W70" s="145"/>
      <c r="X70" s="146">
        <v>97346</v>
      </c>
      <c r="Y70" s="146"/>
      <c r="Z70" s="148"/>
      <c r="AA70" s="145"/>
      <c r="AB70" s="146">
        <v>82751</v>
      </c>
      <c r="AC70" s="148">
        <v>2695286</v>
      </c>
      <c r="AD70" s="146"/>
      <c r="AE70" s="148"/>
      <c r="AF70" s="145"/>
      <c r="AG70" s="146">
        <v>302622</v>
      </c>
      <c r="AH70" s="146">
        <v>1621722</v>
      </c>
      <c r="AI70" s="148"/>
      <c r="AJ70" s="148"/>
      <c r="AK70" s="146"/>
      <c r="AL70" s="148"/>
      <c r="AM70" s="145"/>
      <c r="AN70" s="146">
        <v>254784</v>
      </c>
      <c r="AO70" s="146"/>
      <c r="AP70" s="147"/>
    </row>
    <row r="71" spans="1:42" x14ac:dyDescent="0.25">
      <c r="A71" s="47">
        <v>46266</v>
      </c>
      <c r="B71" s="145"/>
      <c r="C71" s="146">
        <v>459696</v>
      </c>
      <c r="D71" s="146"/>
      <c r="E71" s="148"/>
      <c r="F71" s="148"/>
      <c r="G71" s="146"/>
      <c r="H71" s="148"/>
      <c r="I71" s="145"/>
      <c r="J71" s="146">
        <v>1796</v>
      </c>
      <c r="K71" s="146"/>
      <c r="L71" s="148"/>
      <c r="M71" s="148"/>
      <c r="N71" s="146"/>
      <c r="O71" s="148"/>
      <c r="P71" s="145"/>
      <c r="Q71" s="146">
        <v>202828</v>
      </c>
      <c r="R71" s="146">
        <v>911753</v>
      </c>
      <c r="S71" s="148"/>
      <c r="T71" s="148"/>
      <c r="U71" s="146"/>
      <c r="V71" s="148"/>
      <c r="W71" s="145"/>
      <c r="X71" s="146">
        <v>98315</v>
      </c>
      <c r="Y71" s="146"/>
      <c r="Z71" s="148"/>
      <c r="AA71" s="145"/>
      <c r="AB71" s="146">
        <v>82751</v>
      </c>
      <c r="AC71" s="148">
        <v>2695286</v>
      </c>
      <c r="AD71" s="146"/>
      <c r="AE71" s="148"/>
      <c r="AF71" s="145"/>
      <c r="AG71" s="146">
        <v>276582</v>
      </c>
      <c r="AH71" s="146">
        <v>1621722</v>
      </c>
      <c r="AI71" s="148"/>
      <c r="AJ71" s="148"/>
      <c r="AK71" s="146"/>
      <c r="AL71" s="148"/>
      <c r="AM71" s="145"/>
      <c r="AN71" s="146">
        <v>285230</v>
      </c>
      <c r="AO71" s="146"/>
      <c r="AP71" s="147"/>
    </row>
    <row r="72" spans="1:42" x14ac:dyDescent="0.25">
      <c r="A72" s="47">
        <v>46296</v>
      </c>
      <c r="B72" s="145"/>
      <c r="C72" s="146">
        <v>128929</v>
      </c>
      <c r="D72" s="146"/>
      <c r="E72" s="148"/>
      <c r="F72" s="148"/>
      <c r="G72" s="146"/>
      <c r="H72" s="148"/>
      <c r="I72" s="145"/>
      <c r="J72" s="146">
        <v>1796</v>
      </c>
      <c r="K72" s="146"/>
      <c r="L72" s="148"/>
      <c r="M72" s="148"/>
      <c r="N72" s="146"/>
      <c r="O72" s="148"/>
      <c r="P72" s="145"/>
      <c r="Q72" s="146">
        <v>198013</v>
      </c>
      <c r="R72" s="146">
        <v>911753</v>
      </c>
      <c r="S72" s="148"/>
      <c r="T72" s="148"/>
      <c r="U72" s="146"/>
      <c r="V72" s="148"/>
      <c r="W72" s="145"/>
      <c r="X72" s="146">
        <v>98983</v>
      </c>
      <c r="Y72" s="146"/>
      <c r="Z72" s="148"/>
      <c r="AA72" s="145"/>
      <c r="AB72" s="146">
        <v>82751</v>
      </c>
      <c r="AC72" s="148">
        <v>2695286</v>
      </c>
      <c r="AD72" s="146"/>
      <c r="AE72" s="148"/>
      <c r="AF72" s="145"/>
      <c r="AG72" s="146">
        <v>1404421</v>
      </c>
      <c r="AH72" s="146">
        <v>1621722</v>
      </c>
      <c r="AI72" s="148"/>
      <c r="AJ72" s="148"/>
      <c r="AK72" s="146"/>
      <c r="AL72" s="148"/>
      <c r="AM72" s="145"/>
      <c r="AN72" s="146">
        <v>281965</v>
      </c>
      <c r="AO72" s="146"/>
      <c r="AP72" s="147"/>
    </row>
    <row r="73" spans="1:42" x14ac:dyDescent="0.25">
      <c r="A73" s="47">
        <v>46327</v>
      </c>
      <c r="B73" s="145"/>
      <c r="C73" s="146">
        <v>21390</v>
      </c>
      <c r="D73" s="146"/>
      <c r="E73" s="148"/>
      <c r="F73" s="148"/>
      <c r="G73" s="146"/>
      <c r="H73" s="148"/>
      <c r="I73" s="145"/>
      <c r="J73" s="146">
        <v>1796</v>
      </c>
      <c r="K73" s="146"/>
      <c r="L73" s="148"/>
      <c r="M73" s="148"/>
      <c r="N73" s="146"/>
      <c r="O73" s="148"/>
      <c r="P73" s="145"/>
      <c r="Q73" s="146">
        <v>208674</v>
      </c>
      <c r="R73" s="146">
        <v>911753</v>
      </c>
      <c r="S73" s="148"/>
      <c r="T73" s="148"/>
      <c r="U73" s="146"/>
      <c r="V73" s="148"/>
      <c r="W73" s="145"/>
      <c r="X73" s="146">
        <v>100463</v>
      </c>
      <c r="Y73" s="146"/>
      <c r="Z73" s="148"/>
      <c r="AA73" s="145"/>
      <c r="AB73" s="146">
        <v>80901</v>
      </c>
      <c r="AC73" s="148">
        <v>2695286</v>
      </c>
      <c r="AD73" s="146"/>
      <c r="AE73" s="148"/>
      <c r="AF73" s="145"/>
      <c r="AG73" s="146">
        <v>308532</v>
      </c>
      <c r="AH73" s="146">
        <v>1216292</v>
      </c>
      <c r="AI73" s="148"/>
      <c r="AJ73" s="148"/>
      <c r="AK73" s="146"/>
      <c r="AL73" s="148"/>
      <c r="AM73" s="145"/>
      <c r="AN73" s="146">
        <v>253816</v>
      </c>
      <c r="AO73" s="146"/>
      <c r="AP73" s="147"/>
    </row>
    <row r="74" spans="1:42" x14ac:dyDescent="0.25">
      <c r="A74" s="47">
        <v>46357</v>
      </c>
      <c r="B74" s="145"/>
      <c r="C74" s="146">
        <v>29191</v>
      </c>
      <c r="D74" s="146"/>
      <c r="E74" s="148"/>
      <c r="F74" s="148"/>
      <c r="G74" s="146"/>
      <c r="H74" s="148"/>
      <c r="I74" s="145"/>
      <c r="J74" s="146">
        <v>1909</v>
      </c>
      <c r="K74" s="146"/>
      <c r="L74" s="148"/>
      <c r="M74" s="148"/>
      <c r="N74" s="146"/>
      <c r="O74" s="148"/>
      <c r="P74" s="145"/>
      <c r="Q74" s="146">
        <v>677780</v>
      </c>
      <c r="R74" s="146">
        <v>911753</v>
      </c>
      <c r="S74" s="148"/>
      <c r="T74" s="148"/>
      <c r="U74" s="146"/>
      <c r="V74" s="148"/>
      <c r="W74" s="145"/>
      <c r="X74" s="146">
        <v>769598</v>
      </c>
      <c r="Y74" s="146"/>
      <c r="Z74" s="148"/>
      <c r="AA74" s="145"/>
      <c r="AB74" s="146">
        <v>209858</v>
      </c>
      <c r="AC74" s="148">
        <v>2695286</v>
      </c>
      <c r="AD74" s="146"/>
      <c r="AE74" s="148"/>
      <c r="AF74" s="145"/>
      <c r="AG74" s="146">
        <v>452852</v>
      </c>
      <c r="AH74" s="146">
        <v>1216292</v>
      </c>
      <c r="AI74" s="148"/>
      <c r="AJ74" s="148"/>
      <c r="AK74" s="146"/>
      <c r="AL74" s="148"/>
      <c r="AM74" s="145"/>
      <c r="AN74" s="146">
        <v>813260</v>
      </c>
      <c r="AO74" s="146"/>
      <c r="AP74" s="147"/>
    </row>
    <row r="75" spans="1:42" x14ac:dyDescent="0.25">
      <c r="A75" s="47">
        <v>46388</v>
      </c>
      <c r="B75" s="145"/>
      <c r="C75" s="146">
        <v>9509</v>
      </c>
      <c r="D75" s="146"/>
      <c r="E75" s="148"/>
      <c r="F75" s="148"/>
      <c r="G75" s="146"/>
      <c r="H75" s="148"/>
      <c r="I75" s="145"/>
      <c r="J75" s="146">
        <v>1796</v>
      </c>
      <c r="K75" s="146"/>
      <c r="L75" s="148"/>
      <c r="M75" s="148"/>
      <c r="N75" s="146"/>
      <c r="O75" s="148"/>
      <c r="P75" s="145"/>
      <c r="Q75" s="146">
        <v>212201</v>
      </c>
      <c r="R75" s="146">
        <v>729402</v>
      </c>
      <c r="S75" s="148"/>
      <c r="T75" s="148"/>
      <c r="U75" s="146"/>
      <c r="V75" s="148"/>
      <c r="W75" s="145"/>
      <c r="X75" s="146">
        <v>105699</v>
      </c>
      <c r="Y75" s="146"/>
      <c r="Z75" s="148"/>
      <c r="AA75" s="145"/>
      <c r="AB75" s="146">
        <v>185357</v>
      </c>
      <c r="AC75" s="148"/>
      <c r="AD75" s="146"/>
      <c r="AE75" s="148"/>
      <c r="AF75" s="145"/>
      <c r="AG75" s="146">
        <v>51436</v>
      </c>
      <c r="AH75" s="146">
        <v>1216292</v>
      </c>
      <c r="AI75" s="148"/>
      <c r="AJ75" s="148"/>
      <c r="AK75" s="146"/>
      <c r="AL75" s="148"/>
      <c r="AM75" s="145"/>
      <c r="AN75" s="146">
        <v>292055</v>
      </c>
      <c r="AO75" s="146"/>
      <c r="AP75" s="147"/>
    </row>
    <row r="76" spans="1:42" x14ac:dyDescent="0.25">
      <c r="A76" s="47">
        <v>46419</v>
      </c>
      <c r="B76" s="145"/>
      <c r="C76" s="146">
        <v>11193</v>
      </c>
      <c r="D76" s="146"/>
      <c r="E76" s="148"/>
      <c r="F76" s="148"/>
      <c r="G76" s="146"/>
      <c r="H76" s="148"/>
      <c r="I76" s="145"/>
      <c r="J76" s="146">
        <v>1796</v>
      </c>
      <c r="K76" s="146"/>
      <c r="L76" s="148"/>
      <c r="M76" s="148"/>
      <c r="N76" s="146"/>
      <c r="O76" s="148"/>
      <c r="P76" s="145"/>
      <c r="Q76" s="146">
        <v>198026</v>
      </c>
      <c r="R76" s="146">
        <v>729402</v>
      </c>
      <c r="S76" s="148"/>
      <c r="T76" s="148"/>
      <c r="U76" s="146"/>
      <c r="V76" s="148"/>
      <c r="W76" s="145"/>
      <c r="X76" s="146">
        <v>105206</v>
      </c>
      <c r="Y76" s="146"/>
      <c r="Z76" s="148"/>
      <c r="AA76" s="145"/>
      <c r="AB76" s="146">
        <v>1266146</v>
      </c>
      <c r="AC76" s="148"/>
      <c r="AD76" s="146"/>
      <c r="AE76" s="148"/>
      <c r="AF76" s="145"/>
      <c r="AG76" s="146">
        <v>67827</v>
      </c>
      <c r="AH76" s="146">
        <v>1216292</v>
      </c>
      <c r="AI76" s="148"/>
      <c r="AJ76" s="148"/>
      <c r="AK76" s="146"/>
      <c r="AL76" s="148"/>
      <c r="AM76" s="145"/>
      <c r="AN76" s="146">
        <v>273100</v>
      </c>
      <c r="AO76" s="146"/>
      <c r="AP76" s="147"/>
    </row>
    <row r="77" spans="1:42" x14ac:dyDescent="0.25">
      <c r="A77" s="47">
        <v>46447</v>
      </c>
      <c r="B77" s="145"/>
      <c r="C77" s="146">
        <v>18437</v>
      </c>
      <c r="D77" s="146"/>
      <c r="E77" s="148"/>
      <c r="F77" s="148"/>
      <c r="G77" s="146"/>
      <c r="H77" s="148"/>
      <c r="I77" s="145"/>
      <c r="J77" s="146">
        <v>2210</v>
      </c>
      <c r="K77" s="146"/>
      <c r="L77" s="148"/>
      <c r="M77" s="148"/>
      <c r="N77" s="146"/>
      <c r="O77" s="148"/>
      <c r="P77" s="145"/>
      <c r="Q77" s="146">
        <v>216721</v>
      </c>
      <c r="R77" s="146">
        <v>729402</v>
      </c>
      <c r="S77" s="148"/>
      <c r="T77" s="148"/>
      <c r="U77" s="146"/>
      <c r="V77" s="148"/>
      <c r="W77" s="145"/>
      <c r="X77" s="146">
        <v>107013</v>
      </c>
      <c r="Y77" s="146"/>
      <c r="Z77" s="148"/>
      <c r="AA77" s="145"/>
      <c r="AB77" s="146">
        <v>91177</v>
      </c>
      <c r="AC77" s="148"/>
      <c r="AD77" s="146"/>
      <c r="AE77" s="148"/>
      <c r="AF77" s="145"/>
      <c r="AG77" s="146">
        <v>32553</v>
      </c>
      <c r="AH77" s="146">
        <v>2940616</v>
      </c>
      <c r="AI77" s="148"/>
      <c r="AJ77" s="148"/>
      <c r="AK77" s="146"/>
      <c r="AL77" s="148"/>
      <c r="AM77" s="145"/>
      <c r="AN77" s="146">
        <v>288860</v>
      </c>
      <c r="AO77" s="146"/>
      <c r="AP77" s="147"/>
    </row>
    <row r="78" spans="1:42" x14ac:dyDescent="0.25">
      <c r="A78" s="47">
        <v>46478</v>
      </c>
      <c r="B78" s="145"/>
      <c r="C78" s="146">
        <v>8630</v>
      </c>
      <c r="D78" s="146"/>
      <c r="E78" s="148"/>
      <c r="F78" s="148"/>
      <c r="G78" s="146"/>
      <c r="H78" s="148"/>
      <c r="I78" s="145"/>
      <c r="J78" s="146">
        <v>924</v>
      </c>
      <c r="K78" s="146"/>
      <c r="L78" s="148"/>
      <c r="M78" s="148"/>
      <c r="N78" s="146"/>
      <c r="O78" s="148"/>
      <c r="P78" s="145"/>
      <c r="Q78" s="146">
        <v>201235</v>
      </c>
      <c r="R78" s="146">
        <v>547052</v>
      </c>
      <c r="S78" s="148"/>
      <c r="T78" s="148"/>
      <c r="U78" s="146"/>
      <c r="V78" s="148"/>
      <c r="W78" s="145"/>
      <c r="X78" s="146">
        <v>108470</v>
      </c>
      <c r="Y78" s="146"/>
      <c r="Z78" s="148"/>
      <c r="AA78" s="145"/>
      <c r="AB78" s="146">
        <v>16867</v>
      </c>
      <c r="AC78" s="148"/>
      <c r="AD78" s="146"/>
      <c r="AE78" s="148"/>
      <c r="AF78" s="145"/>
      <c r="AG78" s="146">
        <v>29847</v>
      </c>
      <c r="AH78" s="146">
        <v>1924550</v>
      </c>
      <c r="AI78" s="148"/>
      <c r="AJ78" s="148"/>
      <c r="AK78" s="146"/>
      <c r="AL78" s="148"/>
      <c r="AM78" s="145"/>
      <c r="AN78" s="146">
        <v>288143</v>
      </c>
      <c r="AO78" s="146"/>
      <c r="AP78" s="147"/>
    </row>
    <row r="79" spans="1:42" x14ac:dyDescent="0.25">
      <c r="A79" s="47">
        <v>46508</v>
      </c>
      <c r="B79" s="145"/>
      <c r="C79" s="146">
        <v>9032</v>
      </c>
      <c r="D79" s="146"/>
      <c r="E79" s="148"/>
      <c r="F79" s="148"/>
      <c r="G79" s="146"/>
      <c r="H79" s="148"/>
      <c r="I79" s="145"/>
      <c r="J79" s="146">
        <v>924</v>
      </c>
      <c r="K79" s="146"/>
      <c r="L79" s="148"/>
      <c r="M79" s="148"/>
      <c r="N79" s="146"/>
      <c r="O79" s="148"/>
      <c r="P79" s="145"/>
      <c r="Q79" s="146">
        <v>190188</v>
      </c>
      <c r="R79" s="146">
        <v>1424313</v>
      </c>
      <c r="S79" s="148"/>
      <c r="T79" s="148"/>
      <c r="U79" s="146"/>
      <c r="V79" s="148"/>
      <c r="W79" s="145"/>
      <c r="X79" s="146">
        <v>107983</v>
      </c>
      <c r="Y79" s="146"/>
      <c r="Z79" s="148"/>
      <c r="AA79" s="145"/>
      <c r="AB79" s="146">
        <v>39232</v>
      </c>
      <c r="AC79" s="148"/>
      <c r="AD79" s="146"/>
      <c r="AE79" s="148"/>
      <c r="AF79" s="145"/>
      <c r="AG79" s="146">
        <v>21569</v>
      </c>
      <c r="AH79" s="146" t="s">
        <v>45</v>
      </c>
      <c r="AI79" s="148"/>
      <c r="AJ79" s="148"/>
      <c r="AK79" s="146"/>
      <c r="AL79" s="148"/>
      <c r="AM79" s="145"/>
      <c r="AN79" s="146">
        <v>493906</v>
      </c>
      <c r="AO79" s="146"/>
      <c r="AP79" s="147"/>
    </row>
    <row r="80" spans="1:42" x14ac:dyDescent="0.25">
      <c r="A80" s="47">
        <v>46539</v>
      </c>
      <c r="B80" s="145"/>
      <c r="C80" s="146">
        <v>14257</v>
      </c>
      <c r="D80" s="146"/>
      <c r="E80" s="148"/>
      <c r="F80" s="148"/>
      <c r="G80" s="146"/>
      <c r="H80" s="148"/>
      <c r="I80" s="145"/>
      <c r="J80" s="146">
        <v>924</v>
      </c>
      <c r="K80" s="146"/>
      <c r="L80" s="148"/>
      <c r="M80" s="148"/>
      <c r="N80" s="146"/>
      <c r="O80" s="148"/>
      <c r="P80" s="145"/>
      <c r="Q80" s="146">
        <v>367598</v>
      </c>
      <c r="R80" s="146">
        <v>1234950</v>
      </c>
      <c r="S80" s="148"/>
      <c r="T80" s="148"/>
      <c r="U80" s="146"/>
      <c r="V80" s="148"/>
      <c r="W80" s="145"/>
      <c r="X80" s="146">
        <v>162030</v>
      </c>
      <c r="Y80" s="146"/>
      <c r="Z80" s="148"/>
      <c r="AA80" s="145"/>
      <c r="AB80" s="146">
        <v>4843</v>
      </c>
      <c r="AC80" s="148"/>
      <c r="AD80" s="146"/>
      <c r="AE80" s="148"/>
      <c r="AF80" s="145"/>
      <c r="AG80" s="146">
        <v>19047</v>
      </c>
      <c r="AH80" s="146"/>
      <c r="AI80" s="148"/>
      <c r="AJ80" s="148"/>
      <c r="AK80" s="146"/>
      <c r="AL80" s="148"/>
      <c r="AM80" s="145"/>
      <c r="AN80" s="146">
        <v>360051</v>
      </c>
      <c r="AO80" s="146"/>
      <c r="AP80" s="147"/>
    </row>
    <row r="81" spans="1:42" x14ac:dyDescent="0.25">
      <c r="A81" s="47">
        <v>46569</v>
      </c>
      <c r="B81" s="145"/>
      <c r="C81" s="146">
        <v>5458</v>
      </c>
      <c r="D81" s="146"/>
      <c r="E81" s="148"/>
      <c r="F81" s="148"/>
      <c r="G81" s="146"/>
      <c r="H81" s="148"/>
      <c r="I81" s="145"/>
      <c r="J81" s="146">
        <v>924</v>
      </c>
      <c r="K81" s="146"/>
      <c r="L81" s="148"/>
      <c r="M81" s="148"/>
      <c r="N81" s="146"/>
      <c r="O81" s="148"/>
      <c r="P81" s="145"/>
      <c r="Q81" s="146">
        <v>1291991</v>
      </c>
      <c r="R81" s="146"/>
      <c r="S81" s="148"/>
      <c r="T81" s="148"/>
      <c r="U81" s="146"/>
      <c r="V81" s="148"/>
      <c r="W81" s="145"/>
      <c r="X81" s="146">
        <v>109480</v>
      </c>
      <c r="Y81" s="146"/>
      <c r="Z81" s="148"/>
      <c r="AA81" s="145"/>
      <c r="AB81" s="146">
        <v>4843</v>
      </c>
      <c r="AC81" s="148"/>
      <c r="AD81" s="146"/>
      <c r="AE81" s="148"/>
      <c r="AF81" s="145"/>
      <c r="AG81" s="146">
        <v>5015</v>
      </c>
      <c r="AH81" s="146"/>
      <c r="AI81" s="148"/>
      <c r="AJ81" s="148"/>
      <c r="AK81" s="146"/>
      <c r="AL81" s="148"/>
      <c r="AM81" s="145"/>
      <c r="AN81" s="146">
        <v>821462</v>
      </c>
      <c r="AO81" s="146"/>
      <c r="AP81" s="147"/>
    </row>
    <row r="82" spans="1:42" x14ac:dyDescent="0.25">
      <c r="A82" s="47">
        <v>46600</v>
      </c>
      <c r="B82" s="145"/>
      <c r="C82" s="146">
        <v>5345</v>
      </c>
      <c r="D82" s="146"/>
      <c r="E82" s="148"/>
      <c r="F82" s="148"/>
      <c r="G82" s="146"/>
      <c r="H82" s="148"/>
      <c r="I82" s="145"/>
      <c r="J82" s="146">
        <v>1223</v>
      </c>
      <c r="K82" s="146"/>
      <c r="L82" s="148"/>
      <c r="M82" s="148"/>
      <c r="N82" s="146"/>
      <c r="O82" s="148"/>
      <c r="P82" s="145"/>
      <c r="Q82" s="146">
        <v>82744</v>
      </c>
      <c r="R82" s="146"/>
      <c r="S82" s="148"/>
      <c r="T82" s="148"/>
      <c r="U82" s="146"/>
      <c r="V82" s="148"/>
      <c r="W82" s="145"/>
      <c r="X82" s="146">
        <v>110341</v>
      </c>
      <c r="Y82" s="146"/>
      <c r="Z82" s="148"/>
      <c r="AA82" s="145"/>
      <c r="AB82" s="146" t="s">
        <v>45</v>
      </c>
      <c r="AC82" s="148"/>
      <c r="AD82" s="146"/>
      <c r="AE82" s="148"/>
      <c r="AF82" s="145"/>
      <c r="AG82" s="146">
        <v>1638</v>
      </c>
      <c r="AH82" s="146"/>
      <c r="AI82" s="148"/>
      <c r="AJ82" s="148"/>
      <c r="AK82" s="146"/>
      <c r="AL82" s="148"/>
      <c r="AM82" s="145"/>
      <c r="AN82" s="146">
        <v>285920</v>
      </c>
      <c r="AO82" s="146"/>
      <c r="AP82" s="147"/>
    </row>
    <row r="83" spans="1:42" x14ac:dyDescent="0.25">
      <c r="A83" s="47">
        <v>46631</v>
      </c>
      <c r="B83" s="145"/>
      <c r="C83" s="146">
        <v>5232</v>
      </c>
      <c r="D83" s="146"/>
      <c r="E83" s="148"/>
      <c r="F83" s="148"/>
      <c r="G83" s="146"/>
      <c r="H83" s="148"/>
      <c r="I83" s="145"/>
      <c r="J83" s="146"/>
      <c r="K83" s="146"/>
      <c r="L83" s="148"/>
      <c r="M83" s="148"/>
      <c r="N83" s="146"/>
      <c r="O83" s="148"/>
      <c r="P83" s="145"/>
      <c r="Q83" s="146">
        <v>63451</v>
      </c>
      <c r="R83" s="146"/>
      <c r="S83" s="148"/>
      <c r="T83" s="148"/>
      <c r="U83" s="146"/>
      <c r="V83" s="148"/>
      <c r="W83" s="145"/>
      <c r="X83" s="146">
        <v>110877</v>
      </c>
      <c r="Y83" s="146"/>
      <c r="Z83" s="148"/>
      <c r="AA83" s="145"/>
      <c r="AB83" s="146" t="s">
        <v>45</v>
      </c>
      <c r="AC83" s="148"/>
      <c r="AD83" s="146"/>
      <c r="AE83" s="148"/>
      <c r="AF83" s="145"/>
      <c r="AG83" s="146">
        <v>442</v>
      </c>
      <c r="AH83" s="146"/>
      <c r="AI83" s="148"/>
      <c r="AJ83" s="148"/>
      <c r="AK83" s="146"/>
      <c r="AL83" s="148"/>
      <c r="AM83" s="145"/>
      <c r="AN83" s="146">
        <v>311130</v>
      </c>
      <c r="AO83" s="146"/>
      <c r="AP83" s="147"/>
    </row>
    <row r="84" spans="1:42" x14ac:dyDescent="0.25">
      <c r="A84" s="47">
        <v>46661</v>
      </c>
      <c r="B84" s="145"/>
      <c r="C84" s="146">
        <v>4973</v>
      </c>
      <c r="D84" s="146"/>
      <c r="E84" s="148"/>
      <c r="F84" s="148"/>
      <c r="G84" s="146"/>
      <c r="H84" s="148"/>
      <c r="I84" s="145"/>
      <c r="J84" s="146"/>
      <c r="K84" s="146"/>
      <c r="L84" s="148"/>
      <c r="M84" s="148"/>
      <c r="N84" s="146"/>
      <c r="O84" s="148"/>
      <c r="P84" s="145"/>
      <c r="Q84" s="146">
        <v>41197</v>
      </c>
      <c r="R84" s="146"/>
      <c r="S84" s="148"/>
      <c r="T84" s="148"/>
      <c r="U84" s="146"/>
      <c r="V84" s="148"/>
      <c r="W84" s="145"/>
      <c r="X84" s="146">
        <v>110373</v>
      </c>
      <c r="Y84" s="146"/>
      <c r="Z84" s="148"/>
      <c r="AA84" s="145"/>
      <c r="AB84" s="146" t="s">
        <v>45</v>
      </c>
      <c r="AC84" s="148"/>
      <c r="AD84" s="146"/>
      <c r="AE84" s="148"/>
      <c r="AF84" s="145"/>
      <c r="AG84" s="146">
        <v>213</v>
      </c>
      <c r="AH84" s="146"/>
      <c r="AI84" s="148"/>
      <c r="AJ84" s="148"/>
      <c r="AK84" s="146"/>
      <c r="AL84" s="148"/>
      <c r="AM84" s="145"/>
      <c r="AN84" s="146">
        <v>307951</v>
      </c>
      <c r="AO84" s="146"/>
      <c r="AP84" s="147"/>
    </row>
    <row r="85" spans="1:42" x14ac:dyDescent="0.25">
      <c r="A85" s="47">
        <v>46692</v>
      </c>
      <c r="B85" s="145"/>
      <c r="C85" s="146">
        <v>5110</v>
      </c>
      <c r="D85" s="146"/>
      <c r="E85" s="148"/>
      <c r="F85" s="148"/>
      <c r="G85" s="146"/>
      <c r="H85" s="148"/>
      <c r="I85" s="145"/>
      <c r="J85" s="146"/>
      <c r="K85" s="146"/>
      <c r="L85" s="148"/>
      <c r="M85" s="148"/>
      <c r="N85" s="146"/>
      <c r="O85" s="148"/>
      <c r="P85" s="145"/>
      <c r="Q85" s="146">
        <v>3682</v>
      </c>
      <c r="R85" s="146"/>
      <c r="S85" s="148"/>
      <c r="T85" s="148"/>
      <c r="U85" s="146"/>
      <c r="V85" s="148"/>
      <c r="W85" s="145"/>
      <c r="X85" s="146">
        <v>110353</v>
      </c>
      <c r="Y85" s="146"/>
      <c r="Z85" s="148"/>
      <c r="AA85" s="145"/>
      <c r="AB85" s="146" t="s">
        <v>45</v>
      </c>
      <c r="AC85" s="148"/>
      <c r="AD85" s="146"/>
      <c r="AE85" s="148"/>
      <c r="AF85" s="145"/>
      <c r="AG85" s="146">
        <v>106</v>
      </c>
      <c r="AH85" s="146"/>
      <c r="AI85" s="148"/>
      <c r="AJ85" s="148"/>
      <c r="AK85" s="146"/>
      <c r="AL85" s="148"/>
      <c r="AM85" s="145"/>
      <c r="AN85" s="146">
        <v>278471</v>
      </c>
      <c r="AO85" s="146"/>
      <c r="AP85" s="147"/>
    </row>
    <row r="86" spans="1:42" x14ac:dyDescent="0.25">
      <c r="A86" s="47">
        <v>46722</v>
      </c>
      <c r="B86" s="145"/>
      <c r="C86" s="146">
        <v>4447</v>
      </c>
      <c r="D86" s="146"/>
      <c r="E86" s="148"/>
      <c r="F86" s="148"/>
      <c r="G86" s="146"/>
      <c r="H86" s="148"/>
      <c r="I86" s="145"/>
      <c r="J86" s="146"/>
      <c r="K86" s="146"/>
      <c r="L86" s="148"/>
      <c r="M86" s="148"/>
      <c r="N86" s="146"/>
      <c r="O86" s="148"/>
      <c r="P86" s="145"/>
      <c r="Q86" s="146">
        <v>3371</v>
      </c>
      <c r="R86" s="146"/>
      <c r="S86" s="148"/>
      <c r="T86" s="148"/>
      <c r="U86" s="146"/>
      <c r="V86" s="148"/>
      <c r="W86" s="145"/>
      <c r="X86" s="146">
        <v>772771</v>
      </c>
      <c r="Y86" s="146"/>
      <c r="Z86" s="148"/>
      <c r="AA86" s="145"/>
      <c r="AB86" s="146">
        <v>105</v>
      </c>
      <c r="AC86" s="148"/>
      <c r="AD86" s="146"/>
      <c r="AE86" s="148"/>
      <c r="AF86" s="145"/>
      <c r="AG86" s="146">
        <v>1364</v>
      </c>
      <c r="AH86" s="146"/>
      <c r="AI86" s="148"/>
      <c r="AJ86" s="148"/>
      <c r="AK86" s="146"/>
      <c r="AL86" s="148"/>
      <c r="AM86" s="145"/>
      <c r="AN86" s="146">
        <v>899551</v>
      </c>
      <c r="AO86" s="146"/>
      <c r="AP86" s="147"/>
    </row>
    <row r="87" spans="1:42" x14ac:dyDescent="0.25">
      <c r="A87" s="47">
        <v>46753</v>
      </c>
      <c r="B87" s="145"/>
      <c r="C87" s="146">
        <v>5287</v>
      </c>
      <c r="D87" s="146"/>
      <c r="E87" s="148"/>
      <c r="F87" s="148"/>
      <c r="G87" s="146"/>
      <c r="H87" s="148"/>
      <c r="I87" s="145"/>
      <c r="J87" s="146"/>
      <c r="K87" s="146"/>
      <c r="L87" s="148"/>
      <c r="M87" s="148"/>
      <c r="N87" s="146"/>
      <c r="O87" s="148"/>
      <c r="P87" s="145"/>
      <c r="Q87" s="146">
        <v>2590</v>
      </c>
      <c r="R87" s="146"/>
      <c r="S87" s="148"/>
      <c r="T87" s="148"/>
      <c r="U87" s="146"/>
      <c r="V87" s="148"/>
      <c r="W87" s="145"/>
      <c r="X87" s="146">
        <v>99334</v>
      </c>
      <c r="Y87" s="146"/>
      <c r="Z87" s="148"/>
      <c r="AA87" s="145"/>
      <c r="AB87" s="146"/>
      <c r="AC87" s="148"/>
      <c r="AD87" s="146"/>
      <c r="AE87" s="148"/>
      <c r="AF87" s="145"/>
      <c r="AG87" s="146">
        <v>358</v>
      </c>
      <c r="AH87" s="146"/>
      <c r="AI87" s="148"/>
      <c r="AJ87" s="148"/>
      <c r="AK87" s="146"/>
      <c r="AL87" s="148"/>
      <c r="AM87" s="145"/>
      <c r="AN87" s="146">
        <v>282765</v>
      </c>
      <c r="AO87" s="146"/>
      <c r="AP87" s="147"/>
    </row>
    <row r="88" spans="1:42" x14ac:dyDescent="0.25">
      <c r="A88" s="47">
        <v>46784</v>
      </c>
      <c r="B88" s="145"/>
      <c r="C88" s="146">
        <v>4669</v>
      </c>
      <c r="D88" s="146"/>
      <c r="E88" s="148"/>
      <c r="F88" s="148"/>
      <c r="G88" s="146"/>
      <c r="H88" s="148"/>
      <c r="I88" s="145"/>
      <c r="J88" s="146"/>
      <c r="K88" s="146"/>
      <c r="L88" s="148"/>
      <c r="M88" s="148"/>
      <c r="N88" s="146"/>
      <c r="O88" s="148"/>
      <c r="P88" s="145"/>
      <c r="Q88" s="146">
        <v>589</v>
      </c>
      <c r="R88" s="146"/>
      <c r="S88" s="148"/>
      <c r="T88" s="148"/>
      <c r="U88" s="146"/>
      <c r="V88" s="148"/>
      <c r="W88" s="145"/>
      <c r="X88" s="146">
        <v>97950</v>
      </c>
      <c r="Y88" s="146"/>
      <c r="Z88" s="148"/>
      <c r="AA88" s="145"/>
      <c r="AB88" s="146"/>
      <c r="AC88" s="148"/>
      <c r="AD88" s="146"/>
      <c r="AE88" s="148"/>
      <c r="AF88" s="145"/>
      <c r="AG88" s="146" t="s">
        <v>45</v>
      </c>
      <c r="AH88" s="146"/>
      <c r="AI88" s="148"/>
      <c r="AJ88" s="148"/>
      <c r="AK88" s="146"/>
      <c r="AL88" s="148"/>
      <c r="AM88" s="145"/>
      <c r="AN88" s="146">
        <v>278865</v>
      </c>
      <c r="AO88" s="146"/>
      <c r="AP88" s="147"/>
    </row>
    <row r="89" spans="1:42" x14ac:dyDescent="0.25">
      <c r="A89" s="47">
        <v>46813</v>
      </c>
      <c r="B89" s="145"/>
      <c r="C89" s="146">
        <v>10476</v>
      </c>
      <c r="D89" s="146"/>
      <c r="E89" s="148"/>
      <c r="F89" s="148"/>
      <c r="G89" s="146"/>
      <c r="H89" s="148"/>
      <c r="I89" s="145"/>
      <c r="J89" s="146"/>
      <c r="K89" s="146"/>
      <c r="L89" s="148"/>
      <c r="M89" s="148"/>
      <c r="N89" s="146"/>
      <c r="O89" s="148"/>
      <c r="P89" s="145"/>
      <c r="Q89" s="146">
        <v>217</v>
      </c>
      <c r="R89" s="146"/>
      <c r="S89" s="148"/>
      <c r="T89" s="148"/>
      <c r="U89" s="146"/>
      <c r="V89" s="148"/>
      <c r="W89" s="145"/>
      <c r="X89" s="146">
        <v>188615</v>
      </c>
      <c r="Y89" s="146"/>
      <c r="Z89" s="148"/>
      <c r="AA89" s="145"/>
      <c r="AB89" s="146"/>
      <c r="AC89" s="148"/>
      <c r="AD89" s="146"/>
      <c r="AE89" s="148"/>
      <c r="AF89" s="145"/>
      <c r="AG89" s="146">
        <v>713</v>
      </c>
      <c r="AH89" s="146"/>
      <c r="AI89" s="148"/>
      <c r="AJ89" s="148"/>
      <c r="AK89" s="146"/>
      <c r="AL89" s="148"/>
      <c r="AM89" s="145"/>
      <c r="AN89" s="146">
        <v>294959</v>
      </c>
      <c r="AO89" s="146"/>
      <c r="AP89" s="147"/>
    </row>
    <row r="90" spans="1:42" x14ac:dyDescent="0.25">
      <c r="A90" s="47">
        <v>46844</v>
      </c>
      <c r="B90" s="145"/>
      <c r="C90" s="146">
        <v>4243</v>
      </c>
      <c r="D90" s="146"/>
      <c r="E90" s="148"/>
      <c r="F90" s="148"/>
      <c r="G90" s="146"/>
      <c r="H90" s="148"/>
      <c r="I90" s="145"/>
      <c r="J90" s="146"/>
      <c r="K90" s="146"/>
      <c r="L90" s="148"/>
      <c r="M90" s="148"/>
      <c r="N90" s="146"/>
      <c r="O90" s="148"/>
      <c r="P90" s="145"/>
      <c r="Q90" s="146">
        <v>112</v>
      </c>
      <c r="R90" s="146"/>
      <c r="S90" s="148"/>
      <c r="T90" s="148"/>
      <c r="U90" s="146"/>
      <c r="V90" s="148"/>
      <c r="W90" s="145"/>
      <c r="X90" s="146">
        <v>70356</v>
      </c>
      <c r="Y90" s="146"/>
      <c r="Z90" s="148"/>
      <c r="AA90" s="145"/>
      <c r="AB90" s="146"/>
      <c r="AC90" s="148"/>
      <c r="AD90" s="146"/>
      <c r="AE90" s="148"/>
      <c r="AF90" s="145"/>
      <c r="AG90" s="146" t="s">
        <v>45</v>
      </c>
      <c r="AH90" s="146"/>
      <c r="AI90" s="148"/>
      <c r="AJ90" s="148"/>
      <c r="AK90" s="146"/>
      <c r="AL90" s="148"/>
      <c r="AM90" s="145"/>
      <c r="AN90" s="146">
        <v>280072</v>
      </c>
      <c r="AO90" s="146"/>
      <c r="AP90" s="147"/>
    </row>
    <row r="91" spans="1:42" x14ac:dyDescent="0.25">
      <c r="A91" s="47">
        <v>46874</v>
      </c>
      <c r="B91" s="145"/>
      <c r="C91" s="146">
        <v>4756</v>
      </c>
      <c r="D91" s="146"/>
      <c r="E91" s="148"/>
      <c r="F91" s="148"/>
      <c r="G91" s="146"/>
      <c r="H91" s="148"/>
      <c r="I91" s="145"/>
      <c r="J91" s="146"/>
      <c r="K91" s="146"/>
      <c r="L91" s="148"/>
      <c r="M91" s="148"/>
      <c r="N91" s="146"/>
      <c r="O91" s="148"/>
      <c r="P91" s="145"/>
      <c r="Q91" s="146">
        <v>112</v>
      </c>
      <c r="R91" s="146"/>
      <c r="S91" s="148"/>
      <c r="T91" s="148"/>
      <c r="U91" s="146"/>
      <c r="V91" s="148"/>
      <c r="W91" s="145"/>
      <c r="X91" s="146">
        <v>18285</v>
      </c>
      <c r="Y91" s="146"/>
      <c r="Z91" s="148"/>
      <c r="AA91" s="145"/>
      <c r="AB91" s="146"/>
      <c r="AC91" s="148"/>
      <c r="AD91" s="146"/>
      <c r="AE91" s="148"/>
      <c r="AF91" s="145"/>
      <c r="AG91" s="146">
        <v>205</v>
      </c>
      <c r="AH91" s="146"/>
      <c r="AI91" s="148"/>
      <c r="AJ91" s="148"/>
      <c r="AK91" s="146"/>
      <c r="AL91" s="148"/>
      <c r="AM91" s="145"/>
      <c r="AN91" s="146">
        <v>629366</v>
      </c>
      <c r="AO91" s="146"/>
      <c r="AP91" s="147"/>
    </row>
    <row r="92" spans="1:42" x14ac:dyDescent="0.25">
      <c r="A92" s="47">
        <v>46905</v>
      </c>
      <c r="B92" s="145"/>
      <c r="C92" s="146">
        <v>4003</v>
      </c>
      <c r="D92" s="146"/>
      <c r="E92" s="148"/>
      <c r="F92" s="148"/>
      <c r="G92" s="146"/>
      <c r="H92" s="148"/>
      <c r="I92" s="145"/>
      <c r="J92" s="146"/>
      <c r="K92" s="146"/>
      <c r="L92" s="148"/>
      <c r="M92" s="148"/>
      <c r="N92" s="146"/>
      <c r="O92" s="148"/>
      <c r="P92" s="145"/>
      <c r="Q92" s="146">
        <v>363</v>
      </c>
      <c r="R92" s="146"/>
      <c r="S92" s="148"/>
      <c r="T92" s="148"/>
      <c r="U92" s="146"/>
      <c r="V92" s="148"/>
      <c r="W92" s="145"/>
      <c r="X92" s="146">
        <v>68819</v>
      </c>
      <c r="Y92" s="146"/>
      <c r="Z92" s="148"/>
      <c r="AA92" s="145"/>
      <c r="AB92" s="146"/>
      <c r="AC92" s="148"/>
      <c r="AD92" s="146"/>
      <c r="AE92" s="148"/>
      <c r="AF92" s="145"/>
      <c r="AG92" s="146"/>
      <c r="AH92" s="146"/>
      <c r="AI92" s="148"/>
      <c r="AJ92" s="148"/>
      <c r="AK92" s="146"/>
      <c r="AL92" s="148"/>
      <c r="AM92" s="145"/>
      <c r="AN92" s="146">
        <v>390452</v>
      </c>
      <c r="AO92" s="146"/>
      <c r="AP92" s="147"/>
    </row>
    <row r="93" spans="1:42" x14ac:dyDescent="0.25">
      <c r="A93" s="47">
        <v>46935</v>
      </c>
      <c r="B93" s="145"/>
      <c r="C93" s="146">
        <v>4110</v>
      </c>
      <c r="D93" s="146"/>
      <c r="E93" s="148"/>
      <c r="F93" s="148"/>
      <c r="G93" s="146"/>
      <c r="H93" s="148"/>
      <c r="I93" s="145"/>
      <c r="J93" s="146"/>
      <c r="K93" s="146"/>
      <c r="L93" s="148"/>
      <c r="M93" s="148"/>
      <c r="N93" s="146"/>
      <c r="O93" s="148"/>
      <c r="P93" s="145"/>
      <c r="Q93" s="146">
        <v>205</v>
      </c>
      <c r="R93" s="146"/>
      <c r="S93" s="148"/>
      <c r="T93" s="148"/>
      <c r="U93" s="146"/>
      <c r="V93" s="148"/>
      <c r="W93" s="145"/>
      <c r="X93" s="146">
        <v>135574</v>
      </c>
      <c r="Y93" s="146"/>
      <c r="Z93" s="148"/>
      <c r="AA93" s="145"/>
      <c r="AB93" s="146"/>
      <c r="AC93" s="148"/>
      <c r="AD93" s="146"/>
      <c r="AE93" s="148"/>
      <c r="AF93" s="145"/>
      <c r="AG93" s="146"/>
      <c r="AH93" s="146"/>
      <c r="AI93" s="148"/>
      <c r="AJ93" s="148"/>
      <c r="AK93" s="146"/>
      <c r="AL93" s="148"/>
      <c r="AM93" s="145"/>
      <c r="AN93" s="146">
        <v>808570</v>
      </c>
      <c r="AO93" s="146"/>
      <c r="AP93" s="147"/>
    </row>
    <row r="94" spans="1:42" x14ac:dyDescent="0.25">
      <c r="A94" s="47">
        <v>46966</v>
      </c>
      <c r="B94" s="145"/>
      <c r="C94" s="146">
        <v>4003</v>
      </c>
      <c r="D94" s="146"/>
      <c r="E94" s="148"/>
      <c r="F94" s="148"/>
      <c r="G94" s="146"/>
      <c r="H94" s="148"/>
      <c r="I94" s="145"/>
      <c r="J94" s="146"/>
      <c r="K94" s="146"/>
      <c r="L94" s="148"/>
      <c r="M94" s="148"/>
      <c r="N94" s="146"/>
      <c r="O94" s="148"/>
      <c r="P94" s="145"/>
      <c r="Q94" s="146" t="s">
        <v>45</v>
      </c>
      <c r="R94" s="146"/>
      <c r="S94" s="148"/>
      <c r="T94" s="148"/>
      <c r="U94" s="146"/>
      <c r="V94" s="148"/>
      <c r="W94" s="145"/>
      <c r="X94" s="146">
        <v>12400</v>
      </c>
      <c r="Y94" s="146"/>
      <c r="Z94" s="148"/>
      <c r="AA94" s="145"/>
      <c r="AB94" s="146"/>
      <c r="AC94" s="148"/>
      <c r="AD94" s="146"/>
      <c r="AE94" s="148"/>
      <c r="AF94" s="145"/>
      <c r="AG94" s="146"/>
      <c r="AH94" s="146"/>
      <c r="AI94" s="148"/>
      <c r="AJ94" s="148"/>
      <c r="AK94" s="146"/>
      <c r="AL94" s="148"/>
      <c r="AM94" s="145"/>
      <c r="AN94" s="146">
        <v>275315</v>
      </c>
      <c r="AO94" s="146"/>
      <c r="AP94" s="147"/>
    </row>
    <row r="95" spans="1:42" x14ac:dyDescent="0.25">
      <c r="A95" s="47">
        <v>46997</v>
      </c>
      <c r="B95" s="145"/>
      <c r="C95" s="146">
        <v>4003</v>
      </c>
      <c r="D95" s="146"/>
      <c r="E95" s="148"/>
      <c r="F95" s="148"/>
      <c r="G95" s="146"/>
      <c r="H95" s="148"/>
      <c r="I95" s="145"/>
      <c r="J95" s="146"/>
      <c r="K95" s="146"/>
      <c r="L95" s="148"/>
      <c r="M95" s="148"/>
      <c r="N95" s="146"/>
      <c r="O95" s="148"/>
      <c r="P95" s="145"/>
      <c r="Q95" s="146">
        <v>679</v>
      </c>
      <c r="R95" s="146"/>
      <c r="S95" s="148"/>
      <c r="T95" s="148"/>
      <c r="U95" s="146"/>
      <c r="V95" s="148"/>
      <c r="W95" s="145"/>
      <c r="X95" s="146">
        <v>11535</v>
      </c>
      <c r="Y95" s="146"/>
      <c r="Z95" s="148"/>
      <c r="AA95" s="145"/>
      <c r="AB95" s="146"/>
      <c r="AC95" s="148"/>
      <c r="AD95" s="146"/>
      <c r="AE95" s="148"/>
      <c r="AF95" s="145"/>
      <c r="AG95" s="146"/>
      <c r="AH95" s="146"/>
      <c r="AI95" s="148"/>
      <c r="AJ95" s="148"/>
      <c r="AK95" s="146"/>
      <c r="AL95" s="148"/>
      <c r="AM95" s="145"/>
      <c r="AN95" s="146">
        <v>272519</v>
      </c>
      <c r="AO95" s="146"/>
      <c r="AP95" s="147"/>
    </row>
    <row r="96" spans="1:42" x14ac:dyDescent="0.25">
      <c r="A96" s="47">
        <v>47027</v>
      </c>
      <c r="B96" s="145"/>
      <c r="C96" s="146">
        <v>4003</v>
      </c>
      <c r="D96" s="146"/>
      <c r="E96" s="148"/>
      <c r="F96" s="148"/>
      <c r="G96" s="146"/>
      <c r="H96" s="148"/>
      <c r="I96" s="145"/>
      <c r="J96" s="146"/>
      <c r="K96" s="146"/>
      <c r="L96" s="148"/>
      <c r="M96" s="148"/>
      <c r="N96" s="146"/>
      <c r="O96" s="148"/>
      <c r="P96" s="145"/>
      <c r="Q96" s="146" t="s">
        <v>45</v>
      </c>
      <c r="R96" s="146"/>
      <c r="S96" s="148"/>
      <c r="T96" s="148"/>
      <c r="U96" s="146"/>
      <c r="V96" s="148"/>
      <c r="W96" s="145"/>
      <c r="X96" s="146">
        <v>12655</v>
      </c>
      <c r="Y96" s="146"/>
      <c r="Z96" s="148"/>
      <c r="AA96" s="145"/>
      <c r="AB96" s="146"/>
      <c r="AC96" s="148"/>
      <c r="AD96" s="146"/>
      <c r="AE96" s="148"/>
      <c r="AF96" s="145"/>
      <c r="AG96" s="146"/>
      <c r="AH96" s="146"/>
      <c r="AI96" s="148"/>
      <c r="AJ96" s="148"/>
      <c r="AK96" s="146"/>
      <c r="AL96" s="148"/>
      <c r="AM96" s="145"/>
      <c r="AN96" s="146">
        <v>292761</v>
      </c>
      <c r="AO96" s="146"/>
      <c r="AP96" s="147"/>
    </row>
    <row r="97" spans="1:42" x14ac:dyDescent="0.25">
      <c r="A97" s="47">
        <v>47058</v>
      </c>
      <c r="B97" s="145"/>
      <c r="C97" s="146">
        <v>4108</v>
      </c>
      <c r="D97" s="146"/>
      <c r="E97" s="148"/>
      <c r="F97" s="148"/>
      <c r="G97" s="146"/>
      <c r="H97" s="148"/>
      <c r="I97" s="145"/>
      <c r="J97" s="146"/>
      <c r="K97" s="146"/>
      <c r="L97" s="148"/>
      <c r="M97" s="148"/>
      <c r="N97" s="146"/>
      <c r="O97" s="148"/>
      <c r="P97" s="145"/>
      <c r="Q97" s="146">
        <v>100</v>
      </c>
      <c r="R97" s="146"/>
      <c r="S97" s="148"/>
      <c r="T97" s="148"/>
      <c r="U97" s="146"/>
      <c r="V97" s="148"/>
      <c r="W97" s="145"/>
      <c r="X97" s="146">
        <v>11741</v>
      </c>
      <c r="Y97" s="146"/>
      <c r="Z97" s="148"/>
      <c r="AA97" s="145"/>
      <c r="AB97" s="146"/>
      <c r="AC97" s="148"/>
      <c r="AD97" s="146"/>
      <c r="AE97" s="148"/>
      <c r="AF97" s="145"/>
      <c r="AG97" s="146"/>
      <c r="AH97" s="146"/>
      <c r="AI97" s="148"/>
      <c r="AJ97" s="148"/>
      <c r="AK97" s="146"/>
      <c r="AL97" s="148"/>
      <c r="AM97" s="145"/>
      <c r="AN97" s="146">
        <v>266712</v>
      </c>
      <c r="AO97" s="146"/>
      <c r="AP97" s="147"/>
    </row>
    <row r="98" spans="1:42" x14ac:dyDescent="0.25">
      <c r="A98" s="47">
        <v>47088</v>
      </c>
      <c r="B98" s="145"/>
      <c r="C98" s="146">
        <v>4003</v>
      </c>
      <c r="D98" s="146"/>
      <c r="E98" s="148"/>
      <c r="F98" s="148"/>
      <c r="G98" s="146"/>
      <c r="H98" s="148"/>
      <c r="I98" s="145"/>
      <c r="J98" s="146"/>
      <c r="K98" s="146"/>
      <c r="L98" s="148"/>
      <c r="M98" s="148"/>
      <c r="N98" s="146"/>
      <c r="O98" s="148"/>
      <c r="P98" s="145"/>
      <c r="Q98" s="146"/>
      <c r="R98" s="146"/>
      <c r="S98" s="148"/>
      <c r="T98" s="148"/>
      <c r="U98" s="146"/>
      <c r="V98" s="148"/>
      <c r="W98" s="145"/>
      <c r="X98" s="146">
        <v>64035</v>
      </c>
      <c r="Y98" s="146"/>
      <c r="Z98" s="148"/>
      <c r="AA98" s="145"/>
      <c r="AB98" s="146"/>
      <c r="AC98" s="148"/>
      <c r="AD98" s="146"/>
      <c r="AE98" s="148"/>
      <c r="AF98" s="145"/>
      <c r="AG98" s="146"/>
      <c r="AH98" s="146"/>
      <c r="AI98" s="148"/>
      <c r="AJ98" s="148"/>
      <c r="AK98" s="146"/>
      <c r="AL98" s="148"/>
      <c r="AM98" s="145"/>
      <c r="AN98" s="146">
        <v>989655</v>
      </c>
      <c r="AO98" s="146"/>
      <c r="AP98" s="147"/>
    </row>
    <row r="99" spans="1:42" x14ac:dyDescent="0.25">
      <c r="A99" s="47">
        <v>47119</v>
      </c>
      <c r="B99" s="145"/>
      <c r="C99" s="146">
        <v>4346</v>
      </c>
      <c r="D99" s="146"/>
      <c r="E99" s="148"/>
      <c r="F99" s="148"/>
      <c r="G99" s="146"/>
      <c r="H99" s="148"/>
      <c r="I99" s="145"/>
      <c r="J99" s="146"/>
      <c r="K99" s="146"/>
      <c r="L99" s="148"/>
      <c r="M99" s="148"/>
      <c r="N99" s="146"/>
      <c r="O99" s="148"/>
      <c r="P99" s="145"/>
      <c r="Q99" s="146"/>
      <c r="R99" s="146"/>
      <c r="S99" s="148"/>
      <c r="T99" s="148"/>
      <c r="U99" s="146"/>
      <c r="V99" s="148"/>
      <c r="W99" s="145"/>
      <c r="X99" s="146">
        <v>11135</v>
      </c>
      <c r="Y99" s="146"/>
      <c r="Z99" s="148"/>
      <c r="AA99" s="145"/>
      <c r="AB99" s="146"/>
      <c r="AC99" s="148"/>
      <c r="AD99" s="146"/>
      <c r="AE99" s="148"/>
      <c r="AF99" s="145"/>
      <c r="AG99" s="146"/>
      <c r="AH99" s="146"/>
      <c r="AI99" s="148"/>
      <c r="AJ99" s="148"/>
      <c r="AK99" s="146"/>
      <c r="AL99" s="148"/>
      <c r="AM99" s="145"/>
      <c r="AN99" s="146">
        <v>20170</v>
      </c>
      <c r="AO99" s="146"/>
      <c r="AP99" s="147"/>
    </row>
    <row r="100" spans="1:42" x14ac:dyDescent="0.25">
      <c r="A100" s="47">
        <v>47150</v>
      </c>
      <c r="B100" s="145"/>
      <c r="C100" s="146">
        <v>4003</v>
      </c>
      <c r="D100" s="146"/>
      <c r="E100" s="148"/>
      <c r="F100" s="148"/>
      <c r="G100" s="146"/>
      <c r="H100" s="148"/>
      <c r="I100" s="145"/>
      <c r="J100" s="146"/>
      <c r="K100" s="146"/>
      <c r="L100" s="148"/>
      <c r="M100" s="148"/>
      <c r="N100" s="146"/>
      <c r="O100" s="148"/>
      <c r="P100" s="145"/>
      <c r="Q100" s="146"/>
      <c r="R100" s="146"/>
      <c r="S100" s="148"/>
      <c r="T100" s="148"/>
      <c r="U100" s="146"/>
      <c r="V100" s="148"/>
      <c r="W100" s="145"/>
      <c r="X100" s="146">
        <v>11135</v>
      </c>
      <c r="Y100" s="146"/>
      <c r="Z100" s="148"/>
      <c r="AA100" s="145"/>
      <c r="AB100" s="146"/>
      <c r="AC100" s="148"/>
      <c r="AD100" s="146"/>
      <c r="AE100" s="148"/>
      <c r="AF100" s="145"/>
      <c r="AG100" s="146"/>
      <c r="AH100" s="146"/>
      <c r="AI100" s="148"/>
      <c r="AJ100" s="148"/>
      <c r="AK100" s="146"/>
      <c r="AL100" s="148"/>
      <c r="AM100" s="145"/>
      <c r="AN100" s="146">
        <v>7043</v>
      </c>
      <c r="AO100" s="146"/>
      <c r="AP100" s="147"/>
    </row>
    <row r="101" spans="1:42" x14ac:dyDescent="0.25">
      <c r="A101" s="47">
        <v>47178</v>
      </c>
      <c r="B101" s="145"/>
      <c r="C101" s="146">
        <v>4003</v>
      </c>
      <c r="D101" s="146"/>
      <c r="E101" s="148"/>
      <c r="F101" s="148"/>
      <c r="G101" s="146"/>
      <c r="H101" s="148"/>
      <c r="I101" s="145"/>
      <c r="J101" s="146"/>
      <c r="K101" s="146"/>
      <c r="L101" s="148"/>
      <c r="M101" s="148"/>
      <c r="N101" s="146"/>
      <c r="O101" s="148"/>
      <c r="P101" s="145"/>
      <c r="Q101" s="146"/>
      <c r="R101" s="146"/>
      <c r="S101" s="148"/>
      <c r="T101" s="148"/>
      <c r="U101" s="146"/>
      <c r="V101" s="148"/>
      <c r="W101" s="145"/>
      <c r="X101" s="146">
        <v>11135</v>
      </c>
      <c r="Y101" s="146"/>
      <c r="Z101" s="148"/>
      <c r="AA101" s="145"/>
      <c r="AB101" s="146"/>
      <c r="AC101" s="148"/>
      <c r="AD101" s="146"/>
      <c r="AE101" s="148"/>
      <c r="AF101" s="145"/>
      <c r="AG101" s="146"/>
      <c r="AH101" s="146"/>
      <c r="AI101" s="148"/>
      <c r="AJ101" s="148"/>
      <c r="AK101" s="146"/>
      <c r="AL101" s="148"/>
      <c r="AM101" s="145"/>
      <c r="AN101" s="146">
        <v>6389</v>
      </c>
      <c r="AO101" s="146"/>
      <c r="AP101" s="147"/>
    </row>
    <row r="102" spans="1:42" x14ac:dyDescent="0.25">
      <c r="A102" s="47">
        <v>47209</v>
      </c>
      <c r="B102" s="145"/>
      <c r="C102" s="146">
        <v>4003</v>
      </c>
      <c r="D102" s="146"/>
      <c r="E102" s="148"/>
      <c r="F102" s="148"/>
      <c r="G102" s="146"/>
      <c r="H102" s="148"/>
      <c r="I102" s="145"/>
      <c r="J102" s="146"/>
      <c r="K102" s="146"/>
      <c r="L102" s="148"/>
      <c r="M102" s="148"/>
      <c r="N102" s="146"/>
      <c r="O102" s="148"/>
      <c r="P102" s="145"/>
      <c r="Q102" s="146"/>
      <c r="R102" s="146"/>
      <c r="S102" s="148"/>
      <c r="T102" s="148"/>
      <c r="U102" s="146"/>
      <c r="V102" s="148"/>
      <c r="W102" s="145"/>
      <c r="X102" s="146">
        <v>11135</v>
      </c>
      <c r="Y102" s="146"/>
      <c r="Z102" s="148"/>
      <c r="AA102" s="145"/>
      <c r="AB102" s="146"/>
      <c r="AC102" s="148"/>
      <c r="AD102" s="146"/>
      <c r="AE102" s="148"/>
      <c r="AF102" s="145"/>
      <c r="AG102" s="146"/>
      <c r="AH102" s="146"/>
      <c r="AI102" s="148"/>
      <c r="AJ102" s="148"/>
      <c r="AK102" s="146"/>
      <c r="AL102" s="148"/>
      <c r="AM102" s="145"/>
      <c r="AN102" s="146">
        <v>4942</v>
      </c>
      <c r="AO102" s="146"/>
      <c r="AP102" s="147"/>
    </row>
    <row r="103" spans="1:42" x14ac:dyDescent="0.25">
      <c r="A103" s="47">
        <v>47239</v>
      </c>
      <c r="B103" s="145"/>
      <c r="C103" s="146">
        <v>4003</v>
      </c>
      <c r="D103" s="146"/>
      <c r="E103" s="148"/>
      <c r="F103" s="148"/>
      <c r="G103" s="146"/>
      <c r="H103" s="148"/>
      <c r="I103" s="145"/>
      <c r="J103" s="146"/>
      <c r="K103" s="146"/>
      <c r="L103" s="148"/>
      <c r="M103" s="148"/>
      <c r="N103" s="146"/>
      <c r="O103" s="148"/>
      <c r="P103" s="145"/>
      <c r="Q103" s="146"/>
      <c r="R103" s="146"/>
      <c r="S103" s="148"/>
      <c r="T103" s="148"/>
      <c r="U103" s="146"/>
      <c r="V103" s="148"/>
      <c r="W103" s="145"/>
      <c r="X103" s="146">
        <v>11135</v>
      </c>
      <c r="Y103" s="146"/>
      <c r="Z103" s="148"/>
      <c r="AA103" s="145"/>
      <c r="AB103" s="146"/>
      <c r="AC103" s="148"/>
      <c r="AD103" s="146"/>
      <c r="AE103" s="148"/>
      <c r="AF103" s="145"/>
      <c r="AG103" s="146"/>
      <c r="AH103" s="146"/>
      <c r="AI103" s="148"/>
      <c r="AJ103" s="148"/>
      <c r="AK103" s="146"/>
      <c r="AL103" s="148"/>
      <c r="AM103" s="145"/>
      <c r="AN103" s="146">
        <v>4942</v>
      </c>
      <c r="AO103" s="146"/>
      <c r="AP103" s="147"/>
    </row>
    <row r="104" spans="1:42" x14ac:dyDescent="0.25">
      <c r="A104" s="47">
        <v>47270</v>
      </c>
      <c r="B104" s="145"/>
      <c r="C104" s="146">
        <v>4003</v>
      </c>
      <c r="D104" s="146"/>
      <c r="E104" s="148"/>
      <c r="F104" s="148"/>
      <c r="G104" s="146"/>
      <c r="H104" s="148"/>
      <c r="I104" s="145"/>
      <c r="J104" s="146"/>
      <c r="K104" s="146"/>
      <c r="L104" s="148"/>
      <c r="M104" s="148"/>
      <c r="N104" s="146"/>
      <c r="O104" s="148"/>
      <c r="P104" s="145"/>
      <c r="Q104" s="146"/>
      <c r="R104" s="146"/>
      <c r="S104" s="148"/>
      <c r="T104" s="148"/>
      <c r="U104" s="146"/>
      <c r="V104" s="148"/>
      <c r="W104" s="145"/>
      <c r="X104" s="146">
        <v>11353</v>
      </c>
      <c r="Y104" s="146"/>
      <c r="Z104" s="148"/>
      <c r="AA104" s="145"/>
      <c r="AB104" s="146"/>
      <c r="AC104" s="148"/>
      <c r="AD104" s="146"/>
      <c r="AE104" s="148"/>
      <c r="AF104" s="145"/>
      <c r="AG104" s="146"/>
      <c r="AH104" s="146"/>
      <c r="AI104" s="148"/>
      <c r="AJ104" s="148"/>
      <c r="AK104" s="146"/>
      <c r="AL104" s="148"/>
      <c r="AM104" s="145"/>
      <c r="AN104" s="146">
        <v>4942</v>
      </c>
      <c r="AO104" s="146"/>
      <c r="AP104" s="147"/>
    </row>
    <row r="105" spans="1:42" x14ac:dyDescent="0.25">
      <c r="A105" s="47">
        <v>47300</v>
      </c>
      <c r="B105" s="145"/>
      <c r="C105" s="146">
        <v>3861</v>
      </c>
      <c r="D105" s="146"/>
      <c r="E105" s="148"/>
      <c r="F105" s="148"/>
      <c r="G105" s="146"/>
      <c r="H105" s="148"/>
      <c r="I105" s="145"/>
      <c r="J105" s="146"/>
      <c r="K105" s="146"/>
      <c r="L105" s="148"/>
      <c r="M105" s="148"/>
      <c r="N105" s="146"/>
      <c r="O105" s="148"/>
      <c r="P105" s="145"/>
      <c r="Q105" s="146"/>
      <c r="R105" s="146"/>
      <c r="S105" s="148"/>
      <c r="T105" s="148"/>
      <c r="U105" s="146"/>
      <c r="V105" s="148"/>
      <c r="W105" s="145"/>
      <c r="X105" s="146">
        <v>11502</v>
      </c>
      <c r="Y105" s="146"/>
      <c r="Z105" s="148"/>
      <c r="AA105" s="145"/>
      <c r="AB105" s="146"/>
      <c r="AC105" s="148"/>
      <c r="AD105" s="146"/>
      <c r="AE105" s="148"/>
      <c r="AF105" s="145"/>
      <c r="AG105" s="146"/>
      <c r="AH105" s="146"/>
      <c r="AI105" s="148"/>
      <c r="AJ105" s="148"/>
      <c r="AK105" s="146"/>
      <c r="AL105" s="148"/>
      <c r="AM105" s="145"/>
      <c r="AN105" s="146">
        <v>4942</v>
      </c>
      <c r="AO105" s="146"/>
      <c r="AP105" s="147"/>
    </row>
    <row r="106" spans="1:42" x14ac:dyDescent="0.25">
      <c r="A106" s="47">
        <v>47331</v>
      </c>
      <c r="B106" s="145"/>
      <c r="C106" s="146">
        <v>4003</v>
      </c>
      <c r="D106" s="146"/>
      <c r="E106" s="148"/>
      <c r="F106" s="148"/>
      <c r="G106" s="146"/>
      <c r="H106" s="148"/>
      <c r="I106" s="145"/>
      <c r="J106" s="146"/>
      <c r="K106" s="146"/>
      <c r="L106" s="148"/>
      <c r="M106" s="148"/>
      <c r="N106" s="146"/>
      <c r="O106" s="148"/>
      <c r="P106" s="145"/>
      <c r="Q106" s="146"/>
      <c r="R106" s="146"/>
      <c r="S106" s="148"/>
      <c r="T106" s="148"/>
      <c r="U106" s="146"/>
      <c r="V106" s="148"/>
      <c r="W106" s="145"/>
      <c r="X106" s="146">
        <v>11702</v>
      </c>
      <c r="Y106" s="146"/>
      <c r="Z106" s="148"/>
      <c r="AA106" s="145"/>
      <c r="AB106" s="146"/>
      <c r="AC106" s="148"/>
      <c r="AD106" s="146"/>
      <c r="AE106" s="148"/>
      <c r="AF106" s="145"/>
      <c r="AG106" s="146"/>
      <c r="AH106" s="146"/>
      <c r="AI106" s="148"/>
      <c r="AJ106" s="148"/>
      <c r="AK106" s="146"/>
      <c r="AL106" s="148"/>
      <c r="AM106" s="145"/>
      <c r="AN106" s="146">
        <v>4942</v>
      </c>
      <c r="AO106" s="146"/>
      <c r="AP106" s="147"/>
    </row>
    <row r="107" spans="1:42" x14ac:dyDescent="0.25">
      <c r="A107" s="47">
        <v>47362</v>
      </c>
      <c r="B107" s="145"/>
      <c r="C107" s="146">
        <v>4003</v>
      </c>
      <c r="D107" s="146"/>
      <c r="E107" s="148"/>
      <c r="F107" s="148"/>
      <c r="G107" s="146"/>
      <c r="H107" s="148"/>
      <c r="I107" s="145"/>
      <c r="J107" s="146"/>
      <c r="K107" s="146"/>
      <c r="L107" s="148"/>
      <c r="M107" s="148"/>
      <c r="N107" s="146"/>
      <c r="O107" s="148"/>
      <c r="P107" s="145"/>
      <c r="Q107" s="146"/>
      <c r="R107" s="146"/>
      <c r="S107" s="148"/>
      <c r="T107" s="148"/>
      <c r="U107" s="146"/>
      <c r="V107" s="148"/>
      <c r="W107" s="145"/>
      <c r="X107" s="146">
        <v>11702</v>
      </c>
      <c r="Y107" s="146"/>
      <c r="Z107" s="148"/>
      <c r="AA107" s="145"/>
      <c r="AB107" s="146"/>
      <c r="AC107" s="148"/>
      <c r="AD107" s="146"/>
      <c r="AE107" s="148"/>
      <c r="AF107" s="145"/>
      <c r="AG107" s="146"/>
      <c r="AH107" s="146"/>
      <c r="AI107" s="148"/>
      <c r="AJ107" s="148"/>
      <c r="AK107" s="146"/>
      <c r="AL107" s="148"/>
      <c r="AM107" s="145"/>
      <c r="AN107" s="146">
        <v>4942</v>
      </c>
      <c r="AO107" s="146"/>
      <c r="AP107" s="147"/>
    </row>
    <row r="108" spans="1:42" x14ac:dyDescent="0.25">
      <c r="A108" s="47">
        <v>47392</v>
      </c>
      <c r="B108" s="145"/>
      <c r="C108" s="146">
        <v>991</v>
      </c>
      <c r="D108" s="146"/>
      <c r="E108" s="148"/>
      <c r="F108" s="148"/>
      <c r="G108" s="146"/>
      <c r="H108" s="148"/>
      <c r="I108" s="145"/>
      <c r="J108" s="146"/>
      <c r="K108" s="146"/>
      <c r="L108" s="148"/>
      <c r="M108" s="148"/>
      <c r="N108" s="146"/>
      <c r="O108" s="148"/>
      <c r="P108" s="145"/>
      <c r="Q108" s="146"/>
      <c r="R108" s="146"/>
      <c r="S108" s="148"/>
      <c r="T108" s="148"/>
      <c r="U108" s="146"/>
      <c r="V108" s="148"/>
      <c r="W108" s="145"/>
      <c r="X108" s="146">
        <v>11702</v>
      </c>
      <c r="Y108" s="146"/>
      <c r="Z108" s="148"/>
      <c r="AA108" s="145"/>
      <c r="AB108" s="146"/>
      <c r="AC108" s="148"/>
      <c r="AD108" s="146"/>
      <c r="AE108" s="148"/>
      <c r="AF108" s="145"/>
      <c r="AG108" s="146"/>
      <c r="AH108" s="146"/>
      <c r="AI108" s="148"/>
      <c r="AJ108" s="148"/>
      <c r="AK108" s="146"/>
      <c r="AL108" s="148"/>
      <c r="AM108" s="145"/>
      <c r="AN108" s="146">
        <v>4942</v>
      </c>
      <c r="AO108" s="146"/>
      <c r="AP108" s="147"/>
    </row>
    <row r="109" spans="1:42" x14ac:dyDescent="0.25">
      <c r="A109" s="47">
        <v>47423</v>
      </c>
      <c r="B109" s="145"/>
      <c r="C109" s="146">
        <v>991</v>
      </c>
      <c r="D109" s="146"/>
      <c r="E109" s="148"/>
      <c r="F109" s="148"/>
      <c r="G109" s="146"/>
      <c r="H109" s="148"/>
      <c r="I109" s="145"/>
      <c r="J109" s="146"/>
      <c r="K109" s="146"/>
      <c r="L109" s="148"/>
      <c r="M109" s="148"/>
      <c r="N109" s="146"/>
      <c r="O109" s="148"/>
      <c r="P109" s="145"/>
      <c r="Q109" s="146"/>
      <c r="R109" s="146"/>
      <c r="S109" s="148"/>
      <c r="T109" s="148"/>
      <c r="U109" s="146"/>
      <c r="V109" s="148"/>
      <c r="W109" s="145"/>
      <c r="X109" s="146">
        <v>11702</v>
      </c>
      <c r="Y109" s="146"/>
      <c r="Z109" s="148"/>
      <c r="AA109" s="145"/>
      <c r="AB109" s="146"/>
      <c r="AC109" s="148"/>
      <c r="AD109" s="146"/>
      <c r="AE109" s="148"/>
      <c r="AF109" s="145"/>
      <c r="AG109" s="146"/>
      <c r="AH109" s="146"/>
      <c r="AI109" s="148"/>
      <c r="AJ109" s="148"/>
      <c r="AK109" s="146"/>
      <c r="AL109" s="148"/>
      <c r="AM109" s="145"/>
      <c r="AN109" s="146">
        <v>4942</v>
      </c>
      <c r="AO109" s="146"/>
      <c r="AP109" s="147"/>
    </row>
    <row r="110" spans="1:42" x14ac:dyDescent="0.25">
      <c r="A110" s="47">
        <v>47453</v>
      </c>
      <c r="B110" s="145"/>
      <c r="C110" s="146">
        <v>565</v>
      </c>
      <c r="D110" s="146"/>
      <c r="E110" s="148"/>
      <c r="F110" s="148"/>
      <c r="G110" s="146"/>
      <c r="H110" s="148"/>
      <c r="I110" s="145"/>
      <c r="J110" s="146"/>
      <c r="K110" s="146"/>
      <c r="L110" s="148"/>
      <c r="M110" s="148"/>
      <c r="N110" s="146"/>
      <c r="O110" s="148"/>
      <c r="P110" s="145"/>
      <c r="Q110" s="146"/>
      <c r="R110" s="146"/>
      <c r="S110" s="148"/>
      <c r="T110" s="148"/>
      <c r="U110" s="146"/>
      <c r="V110" s="148"/>
      <c r="W110" s="145"/>
      <c r="X110" s="146">
        <v>11702</v>
      </c>
      <c r="Y110" s="146"/>
      <c r="Z110" s="148"/>
      <c r="AA110" s="145"/>
      <c r="AB110" s="146"/>
      <c r="AC110" s="148"/>
      <c r="AD110" s="146"/>
      <c r="AE110" s="148"/>
      <c r="AF110" s="145"/>
      <c r="AG110" s="146"/>
      <c r="AH110" s="146"/>
      <c r="AI110" s="148"/>
      <c r="AJ110" s="148"/>
      <c r="AK110" s="146"/>
      <c r="AL110" s="148"/>
      <c r="AM110" s="145"/>
      <c r="AN110" s="146">
        <v>4942</v>
      </c>
      <c r="AO110" s="146"/>
      <c r="AP110" s="147"/>
    </row>
    <row r="111" spans="1:42" x14ac:dyDescent="0.25">
      <c r="A111" s="47">
        <v>47484</v>
      </c>
      <c r="B111" s="145"/>
      <c r="C111" s="146">
        <v>565</v>
      </c>
      <c r="D111" s="146"/>
      <c r="E111" s="148"/>
      <c r="F111" s="148"/>
      <c r="G111" s="146"/>
      <c r="H111" s="148"/>
      <c r="I111" s="145"/>
      <c r="J111" s="146"/>
      <c r="K111" s="146"/>
      <c r="L111" s="148"/>
      <c r="M111" s="148"/>
      <c r="N111" s="146"/>
      <c r="O111" s="148"/>
      <c r="P111" s="145"/>
      <c r="Q111" s="146"/>
      <c r="R111" s="146"/>
      <c r="S111" s="148"/>
      <c r="T111" s="148"/>
      <c r="U111" s="146"/>
      <c r="V111" s="148"/>
      <c r="W111" s="145"/>
      <c r="X111" s="146">
        <v>11702</v>
      </c>
      <c r="Y111" s="146"/>
      <c r="Z111" s="148"/>
      <c r="AA111" s="145"/>
      <c r="AB111" s="146"/>
      <c r="AC111" s="148"/>
      <c r="AD111" s="146"/>
      <c r="AE111" s="148"/>
      <c r="AF111" s="145"/>
      <c r="AG111" s="146"/>
      <c r="AH111" s="146"/>
      <c r="AI111" s="148"/>
      <c r="AJ111" s="148"/>
      <c r="AK111" s="146"/>
      <c r="AL111" s="148"/>
      <c r="AM111" s="145"/>
      <c r="AN111" s="146">
        <v>4942</v>
      </c>
      <c r="AO111" s="146"/>
      <c r="AP111" s="147"/>
    </row>
    <row r="112" spans="1:42" x14ac:dyDescent="0.25">
      <c r="A112" s="47">
        <v>47515</v>
      </c>
      <c r="B112" s="145"/>
      <c r="C112" s="146" t="s">
        <v>45</v>
      </c>
      <c r="D112" s="146"/>
      <c r="E112" s="148"/>
      <c r="F112" s="148"/>
      <c r="G112" s="146"/>
      <c r="H112" s="148"/>
      <c r="I112" s="145"/>
      <c r="J112" s="146"/>
      <c r="K112" s="146"/>
      <c r="L112" s="148"/>
      <c r="M112" s="148"/>
      <c r="N112" s="146"/>
      <c r="O112" s="148"/>
      <c r="P112" s="145"/>
      <c r="Q112" s="146"/>
      <c r="R112" s="146"/>
      <c r="S112" s="148"/>
      <c r="T112" s="148"/>
      <c r="U112" s="146"/>
      <c r="V112" s="148"/>
      <c r="W112" s="145"/>
      <c r="X112" s="146">
        <v>11702</v>
      </c>
      <c r="Y112" s="146"/>
      <c r="Z112" s="148"/>
      <c r="AA112" s="145"/>
      <c r="AB112" s="146"/>
      <c r="AC112" s="148"/>
      <c r="AD112" s="146"/>
      <c r="AE112" s="148"/>
      <c r="AF112" s="145"/>
      <c r="AG112" s="146"/>
      <c r="AH112" s="146"/>
      <c r="AI112" s="148"/>
      <c r="AJ112" s="148"/>
      <c r="AK112" s="146"/>
      <c r="AL112" s="148"/>
      <c r="AM112" s="145"/>
      <c r="AN112" s="146">
        <v>4942</v>
      </c>
      <c r="AO112" s="146"/>
      <c r="AP112" s="147"/>
    </row>
    <row r="113" spans="1:42" x14ac:dyDescent="0.25">
      <c r="A113" s="47">
        <v>47543</v>
      </c>
      <c r="B113" s="145"/>
      <c r="C113" s="146" t="s">
        <v>45</v>
      </c>
      <c r="D113" s="146"/>
      <c r="E113" s="148"/>
      <c r="F113" s="148"/>
      <c r="G113" s="146"/>
      <c r="H113" s="148"/>
      <c r="I113" s="145"/>
      <c r="J113" s="146"/>
      <c r="K113" s="146"/>
      <c r="L113" s="148"/>
      <c r="M113" s="148"/>
      <c r="N113" s="146"/>
      <c r="O113" s="148"/>
      <c r="P113" s="145"/>
      <c r="Q113" s="146"/>
      <c r="R113" s="146"/>
      <c r="S113" s="148"/>
      <c r="T113" s="148"/>
      <c r="U113" s="146"/>
      <c r="V113" s="148"/>
      <c r="W113" s="145"/>
      <c r="X113" s="146">
        <v>11702</v>
      </c>
      <c r="Y113" s="146"/>
      <c r="Z113" s="148"/>
      <c r="AA113" s="145"/>
      <c r="AB113" s="146"/>
      <c r="AC113" s="148"/>
      <c r="AD113" s="146"/>
      <c r="AE113" s="148"/>
      <c r="AF113" s="145"/>
      <c r="AG113" s="146"/>
      <c r="AH113" s="146"/>
      <c r="AI113" s="148"/>
      <c r="AJ113" s="148"/>
      <c r="AK113" s="146"/>
      <c r="AL113" s="148"/>
      <c r="AM113" s="145"/>
      <c r="AN113" s="146">
        <v>4942</v>
      </c>
      <c r="AO113" s="146"/>
      <c r="AP113" s="147"/>
    </row>
    <row r="114" spans="1:42" x14ac:dyDescent="0.25">
      <c r="A114" s="47">
        <v>47574</v>
      </c>
      <c r="B114" s="145"/>
      <c r="C114" s="146" t="s">
        <v>45</v>
      </c>
      <c r="D114" s="146"/>
      <c r="E114" s="148"/>
      <c r="F114" s="148"/>
      <c r="G114" s="146"/>
      <c r="H114" s="148"/>
      <c r="I114" s="145"/>
      <c r="J114" s="146"/>
      <c r="K114" s="146"/>
      <c r="L114" s="148"/>
      <c r="M114" s="148"/>
      <c r="N114" s="146"/>
      <c r="O114" s="148"/>
      <c r="P114" s="145"/>
      <c r="Q114" s="146"/>
      <c r="R114" s="146"/>
      <c r="S114" s="148"/>
      <c r="T114" s="148"/>
      <c r="U114" s="146"/>
      <c r="V114" s="148"/>
      <c r="W114" s="145"/>
      <c r="X114" s="146">
        <v>11702</v>
      </c>
      <c r="Y114" s="146"/>
      <c r="Z114" s="148"/>
      <c r="AA114" s="145"/>
      <c r="AB114" s="146"/>
      <c r="AC114" s="148"/>
      <c r="AD114" s="146"/>
      <c r="AE114" s="148"/>
      <c r="AF114" s="145"/>
      <c r="AG114" s="146"/>
      <c r="AH114" s="146"/>
      <c r="AI114" s="148"/>
      <c r="AJ114" s="148"/>
      <c r="AK114" s="146"/>
      <c r="AL114" s="148"/>
      <c r="AM114" s="145"/>
      <c r="AN114" s="146">
        <v>4942</v>
      </c>
      <c r="AO114" s="146"/>
      <c r="AP114" s="147"/>
    </row>
    <row r="115" spans="1:42" x14ac:dyDescent="0.25">
      <c r="A115" s="47">
        <v>47604</v>
      </c>
      <c r="B115" s="145"/>
      <c r="C115" s="146" t="s">
        <v>45</v>
      </c>
      <c r="D115" s="146"/>
      <c r="E115" s="148"/>
      <c r="F115" s="148"/>
      <c r="G115" s="146"/>
      <c r="H115" s="148"/>
      <c r="I115" s="145"/>
      <c r="J115" s="146"/>
      <c r="K115" s="146"/>
      <c r="L115" s="148"/>
      <c r="M115" s="148"/>
      <c r="N115" s="146"/>
      <c r="O115" s="148"/>
      <c r="P115" s="145"/>
      <c r="Q115" s="146"/>
      <c r="R115" s="146"/>
      <c r="S115" s="148"/>
      <c r="T115" s="148"/>
      <c r="U115" s="146"/>
      <c r="V115" s="148"/>
      <c r="W115" s="145"/>
      <c r="X115" s="146">
        <v>11702</v>
      </c>
      <c r="Y115" s="146"/>
      <c r="Z115" s="148"/>
      <c r="AA115" s="145"/>
      <c r="AB115" s="146"/>
      <c r="AC115" s="148"/>
      <c r="AD115" s="146"/>
      <c r="AE115" s="148"/>
      <c r="AF115" s="145"/>
      <c r="AG115" s="146"/>
      <c r="AH115" s="146"/>
      <c r="AI115" s="148"/>
      <c r="AJ115" s="148"/>
      <c r="AK115" s="146"/>
      <c r="AL115" s="148"/>
      <c r="AM115" s="145"/>
      <c r="AN115" s="146">
        <v>4942</v>
      </c>
      <c r="AO115" s="146"/>
      <c r="AP115" s="147"/>
    </row>
    <row r="116" spans="1:42" x14ac:dyDescent="0.25">
      <c r="A116" s="47">
        <v>47635</v>
      </c>
      <c r="B116" s="145"/>
      <c r="C116" s="146" t="s">
        <v>45</v>
      </c>
      <c r="D116" s="146"/>
      <c r="E116" s="148"/>
      <c r="F116" s="148"/>
      <c r="G116" s="146"/>
      <c r="H116" s="148"/>
      <c r="I116" s="145"/>
      <c r="J116" s="146"/>
      <c r="K116" s="146"/>
      <c r="L116" s="148"/>
      <c r="M116" s="148"/>
      <c r="N116" s="146"/>
      <c r="O116" s="148"/>
      <c r="P116" s="145"/>
      <c r="Q116" s="146"/>
      <c r="R116" s="146"/>
      <c r="S116" s="148"/>
      <c r="T116" s="148"/>
      <c r="U116" s="146"/>
      <c r="V116" s="148"/>
      <c r="W116" s="145"/>
      <c r="X116" s="146">
        <v>11702</v>
      </c>
      <c r="Y116" s="146"/>
      <c r="Z116" s="148"/>
      <c r="AA116" s="145"/>
      <c r="AB116" s="146"/>
      <c r="AC116" s="148"/>
      <c r="AD116" s="146"/>
      <c r="AE116" s="148"/>
      <c r="AF116" s="145"/>
      <c r="AG116" s="146"/>
      <c r="AH116" s="146"/>
      <c r="AI116" s="148"/>
      <c r="AJ116" s="148"/>
      <c r="AK116" s="146"/>
      <c r="AL116" s="148"/>
      <c r="AM116" s="145"/>
      <c r="AN116" s="146">
        <v>4942</v>
      </c>
      <c r="AO116" s="146"/>
      <c r="AP116" s="147"/>
    </row>
    <row r="117" spans="1:42" x14ac:dyDescent="0.25">
      <c r="A117" s="47">
        <v>47665</v>
      </c>
      <c r="B117" s="145"/>
      <c r="C117" s="146" t="s">
        <v>45</v>
      </c>
      <c r="D117" s="146"/>
      <c r="E117" s="148"/>
      <c r="F117" s="148"/>
      <c r="G117" s="146"/>
      <c r="H117" s="148"/>
      <c r="I117" s="145"/>
      <c r="J117" s="146"/>
      <c r="K117" s="146"/>
      <c r="L117" s="148"/>
      <c r="M117" s="148"/>
      <c r="N117" s="146"/>
      <c r="O117" s="148"/>
      <c r="P117" s="145"/>
      <c r="Q117" s="146"/>
      <c r="R117" s="146"/>
      <c r="S117" s="148"/>
      <c r="T117" s="148"/>
      <c r="U117" s="146"/>
      <c r="V117" s="148"/>
      <c r="W117" s="145"/>
      <c r="X117" s="146">
        <v>11302</v>
      </c>
      <c r="Y117" s="146"/>
      <c r="Z117" s="148"/>
      <c r="AA117" s="145"/>
      <c r="AB117" s="146"/>
      <c r="AC117" s="148"/>
      <c r="AD117" s="146"/>
      <c r="AE117" s="148"/>
      <c r="AF117" s="145"/>
      <c r="AG117" s="146"/>
      <c r="AH117" s="146"/>
      <c r="AI117" s="148"/>
      <c r="AJ117" s="148"/>
      <c r="AK117" s="146"/>
      <c r="AL117" s="148"/>
      <c r="AM117" s="145"/>
      <c r="AN117" s="146">
        <v>4942</v>
      </c>
      <c r="AO117" s="146"/>
      <c r="AP117" s="147"/>
    </row>
    <row r="118" spans="1:42" x14ac:dyDescent="0.25">
      <c r="A118" s="47">
        <v>47696</v>
      </c>
      <c r="B118" s="145"/>
      <c r="C118" s="146" t="s">
        <v>45</v>
      </c>
      <c r="D118" s="146"/>
      <c r="E118" s="148"/>
      <c r="F118" s="148"/>
      <c r="G118" s="146"/>
      <c r="H118" s="148"/>
      <c r="I118" s="145"/>
      <c r="J118" s="146"/>
      <c r="K118" s="146"/>
      <c r="L118" s="148"/>
      <c r="M118" s="148"/>
      <c r="N118" s="146"/>
      <c r="O118" s="148"/>
      <c r="P118" s="145"/>
      <c r="Q118" s="146"/>
      <c r="R118" s="146"/>
      <c r="S118" s="148"/>
      <c r="T118" s="148"/>
      <c r="U118" s="146"/>
      <c r="V118" s="148"/>
      <c r="W118" s="145"/>
      <c r="X118" s="146">
        <v>8899</v>
      </c>
      <c r="Y118" s="146"/>
      <c r="Z118" s="148"/>
      <c r="AA118" s="145"/>
      <c r="AB118" s="146"/>
      <c r="AC118" s="148"/>
      <c r="AD118" s="146"/>
      <c r="AE118" s="148"/>
      <c r="AF118" s="145"/>
      <c r="AG118" s="146"/>
      <c r="AH118" s="146"/>
      <c r="AI118" s="148"/>
      <c r="AJ118" s="148"/>
      <c r="AK118" s="146"/>
      <c r="AL118" s="148"/>
      <c r="AM118" s="145"/>
      <c r="AN118" s="146">
        <v>4942</v>
      </c>
      <c r="AO118" s="146"/>
      <c r="AP118" s="147"/>
    </row>
    <row r="119" spans="1:42" x14ac:dyDescent="0.25">
      <c r="A119" s="47">
        <v>47727</v>
      </c>
      <c r="B119" s="145"/>
      <c r="C119" s="146" t="s">
        <v>45</v>
      </c>
      <c r="D119" s="146"/>
      <c r="E119" s="148"/>
      <c r="F119" s="148"/>
      <c r="G119" s="146"/>
      <c r="H119" s="148"/>
      <c r="I119" s="145"/>
      <c r="J119" s="146"/>
      <c r="K119" s="146"/>
      <c r="L119" s="148"/>
      <c r="M119" s="148"/>
      <c r="N119" s="146"/>
      <c r="O119" s="148"/>
      <c r="P119" s="145"/>
      <c r="Q119" s="146"/>
      <c r="R119" s="146"/>
      <c r="S119" s="148"/>
      <c r="T119" s="148"/>
      <c r="U119" s="146"/>
      <c r="V119" s="148"/>
      <c r="W119" s="145"/>
      <c r="X119" s="146">
        <v>5351</v>
      </c>
      <c r="Y119" s="146"/>
      <c r="Z119" s="148"/>
      <c r="AA119" s="145"/>
      <c r="AB119" s="146"/>
      <c r="AC119" s="148"/>
      <c r="AD119" s="146"/>
      <c r="AE119" s="148"/>
      <c r="AF119" s="145"/>
      <c r="AG119" s="146"/>
      <c r="AH119" s="146"/>
      <c r="AI119" s="148"/>
      <c r="AJ119" s="148"/>
      <c r="AK119" s="146"/>
      <c r="AL119" s="148"/>
      <c r="AM119" s="145"/>
      <c r="AN119" s="146">
        <v>4942</v>
      </c>
      <c r="AO119" s="146"/>
      <c r="AP119" s="147"/>
    </row>
    <row r="120" spans="1:42" x14ac:dyDescent="0.25">
      <c r="A120" s="47">
        <v>47757</v>
      </c>
      <c r="B120" s="145"/>
      <c r="C120" s="146" t="s">
        <v>45</v>
      </c>
      <c r="D120" s="146"/>
      <c r="E120" s="148"/>
      <c r="F120" s="148"/>
      <c r="G120" s="146"/>
      <c r="H120" s="148"/>
      <c r="I120" s="145"/>
      <c r="J120" s="146"/>
      <c r="K120" s="146"/>
      <c r="L120" s="148"/>
      <c r="M120" s="148"/>
      <c r="N120" s="146"/>
      <c r="O120" s="148"/>
      <c r="P120" s="145"/>
      <c r="Q120" s="146"/>
      <c r="R120" s="146"/>
      <c r="S120" s="148"/>
      <c r="T120" s="148"/>
      <c r="U120" s="146"/>
      <c r="V120" s="148"/>
      <c r="W120" s="145"/>
      <c r="X120" s="146">
        <v>760</v>
      </c>
      <c r="Y120" s="146"/>
      <c r="Z120" s="148"/>
      <c r="AA120" s="145"/>
      <c r="AB120" s="146"/>
      <c r="AC120" s="148"/>
      <c r="AD120" s="146"/>
      <c r="AE120" s="148"/>
      <c r="AF120" s="145"/>
      <c r="AG120" s="146"/>
      <c r="AH120" s="146"/>
      <c r="AI120" s="148"/>
      <c r="AJ120" s="148"/>
      <c r="AK120" s="146"/>
      <c r="AL120" s="148"/>
      <c r="AM120" s="145"/>
      <c r="AN120" s="146">
        <v>2522</v>
      </c>
      <c r="AO120" s="146"/>
      <c r="AP120" s="147"/>
    </row>
    <row r="121" spans="1:42" x14ac:dyDescent="0.25">
      <c r="A121" s="47">
        <v>47788</v>
      </c>
      <c r="B121" s="145"/>
      <c r="C121" s="146" t="s">
        <v>45</v>
      </c>
      <c r="D121" s="146"/>
      <c r="E121" s="148"/>
      <c r="F121" s="148"/>
      <c r="G121" s="146"/>
      <c r="H121" s="148"/>
      <c r="I121" s="145"/>
      <c r="J121" s="146"/>
      <c r="K121" s="146"/>
      <c r="L121" s="148"/>
      <c r="M121" s="148"/>
      <c r="N121" s="146"/>
      <c r="O121" s="148"/>
      <c r="P121" s="145"/>
      <c r="Q121" s="146"/>
      <c r="R121" s="146"/>
      <c r="S121" s="148"/>
      <c r="T121" s="148"/>
      <c r="U121" s="146"/>
      <c r="V121" s="148"/>
      <c r="W121" s="145"/>
      <c r="X121" s="146">
        <v>350</v>
      </c>
      <c r="Y121" s="146"/>
      <c r="Z121" s="148"/>
      <c r="AA121" s="145"/>
      <c r="AB121" s="146"/>
      <c r="AC121" s="148"/>
      <c r="AD121" s="146"/>
      <c r="AE121" s="148"/>
      <c r="AF121" s="145"/>
      <c r="AG121" s="146"/>
      <c r="AH121" s="146"/>
      <c r="AI121" s="148"/>
      <c r="AJ121" s="148"/>
      <c r="AK121" s="146"/>
      <c r="AL121" s="148"/>
      <c r="AM121" s="145"/>
      <c r="AN121" s="146">
        <v>637</v>
      </c>
      <c r="AO121" s="146"/>
      <c r="AP121" s="147"/>
    </row>
    <row r="122" spans="1:42" x14ac:dyDescent="0.25">
      <c r="A122" s="47">
        <v>47818</v>
      </c>
      <c r="B122" s="149"/>
      <c r="C122" s="150" t="s">
        <v>45</v>
      </c>
      <c r="D122" s="150"/>
      <c r="E122" s="151"/>
      <c r="F122" s="151"/>
      <c r="G122" s="150"/>
      <c r="H122" s="151"/>
      <c r="I122" s="149"/>
      <c r="J122" s="150"/>
      <c r="K122" s="150"/>
      <c r="L122" s="151"/>
      <c r="M122" s="151"/>
      <c r="N122" s="150"/>
      <c r="O122" s="151"/>
      <c r="P122" s="149"/>
      <c r="Q122" s="150"/>
      <c r="R122" s="150"/>
      <c r="S122" s="151"/>
      <c r="T122" s="151"/>
      <c r="U122" s="150"/>
      <c r="V122" s="151"/>
      <c r="W122" s="149"/>
      <c r="X122" s="150">
        <v>350</v>
      </c>
      <c r="Y122" s="150"/>
      <c r="Z122" s="151"/>
      <c r="AA122" s="149"/>
      <c r="AB122" s="150"/>
      <c r="AC122" s="151"/>
      <c r="AD122" s="150"/>
      <c r="AE122" s="151"/>
      <c r="AF122" s="149"/>
      <c r="AG122" s="150"/>
      <c r="AH122" s="150"/>
      <c r="AI122" s="151"/>
      <c r="AJ122" s="151"/>
      <c r="AK122" s="150"/>
      <c r="AL122" s="151"/>
      <c r="AM122" s="149"/>
      <c r="AN122" s="150">
        <v>637</v>
      </c>
      <c r="AO122" s="150"/>
      <c r="AP122" s="152"/>
    </row>
  </sheetData>
  <conditionalFormatting sqref="A11:AP122">
    <cfRule type="expression" dxfId="0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0 W9:W10 AA9:AA10 AF9:AF10 AM9:AM1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0.39997558519241921"/>
  </sheetPr>
  <dimension ref="A1:M17"/>
  <sheetViews>
    <sheetView workbookViewId="0"/>
  </sheetViews>
  <sheetFormatPr defaultRowHeight="15" x14ac:dyDescent="0.25"/>
  <cols>
    <col min="1" max="1" width="19" style="6" bestFit="1" customWidth="1"/>
    <col min="2" max="2" width="12.85546875" style="6" bestFit="1" customWidth="1"/>
    <col min="3" max="13" width="14.7109375" style="6" customWidth="1"/>
    <col min="14" max="16384" width="9.140625" style="6"/>
  </cols>
  <sheetData>
    <row r="1" spans="1:13" ht="31.5" x14ac:dyDescent="0.5">
      <c r="A1" s="87" t="str">
        <f>_xlfn.CONCAT("Resumo dos empreendimentos ativos em ", TEXT(inputs!A1, "dd/mmm/aaaa"))</f>
        <v>Resumo dos empreendimentos ativos em 30/nov/2025</v>
      </c>
      <c r="B1" s="57"/>
    </row>
    <row r="2" spans="1:13" ht="34.5" x14ac:dyDescent="0.25">
      <c r="A2" s="58"/>
      <c r="B2" s="58"/>
      <c r="C2" s="59" t="s">
        <v>31</v>
      </c>
      <c r="D2" s="59" t="s">
        <v>32</v>
      </c>
      <c r="E2" s="59" t="s">
        <v>31</v>
      </c>
      <c r="F2" s="59" t="s">
        <v>33</v>
      </c>
      <c r="G2" s="59" t="s">
        <v>34</v>
      </c>
      <c r="H2" s="59" t="s">
        <v>34</v>
      </c>
      <c r="I2" s="59" t="s">
        <v>34</v>
      </c>
      <c r="J2" s="59" t="s">
        <v>35</v>
      </c>
      <c r="K2" s="59" t="s">
        <v>35</v>
      </c>
      <c r="L2" s="60" t="s">
        <v>36</v>
      </c>
      <c r="M2" s="59" t="s">
        <v>37</v>
      </c>
    </row>
    <row r="3" spans="1:13" ht="45" x14ac:dyDescent="0.25">
      <c r="A3" s="61" t="s">
        <v>38</v>
      </c>
      <c r="B3" s="61" t="s">
        <v>39</v>
      </c>
      <c r="C3" s="62" t="s">
        <v>67</v>
      </c>
      <c r="D3" s="63" t="s">
        <v>68</v>
      </c>
      <c r="E3" s="62" t="s">
        <v>69</v>
      </c>
      <c r="F3" s="63" t="s">
        <v>70</v>
      </c>
      <c r="G3" s="63" t="s">
        <v>66</v>
      </c>
      <c r="H3" s="62" t="s">
        <v>40</v>
      </c>
      <c r="I3" s="63" t="s">
        <v>41</v>
      </c>
      <c r="J3" s="63" t="s">
        <v>71</v>
      </c>
      <c r="K3" s="64" t="s">
        <v>72</v>
      </c>
      <c r="L3" s="65" t="s">
        <v>73</v>
      </c>
      <c r="M3" s="65" t="s">
        <v>42</v>
      </c>
    </row>
    <row r="4" spans="1:13" x14ac:dyDescent="0.25">
      <c r="A4" s="66" t="s">
        <v>12</v>
      </c>
      <c r="B4" s="67" t="s">
        <v>43</v>
      </c>
      <c r="C4" s="82">
        <f ca="1">inputs!D8</f>
        <v>0</v>
      </c>
      <c r="D4" s="82">
        <f ca="1">inputs!D9</f>
        <v>0</v>
      </c>
      <c r="E4" s="82">
        <f ca="1">inputs!E8</f>
        <v>0</v>
      </c>
      <c r="F4" s="82">
        <f>inputs!E9</f>
        <v>0</v>
      </c>
      <c r="G4" s="82">
        <f ca="1">inputs!D4</f>
        <v>0</v>
      </c>
      <c r="H4" s="82">
        <f ca="1">inputs!C8</f>
        <v>0</v>
      </c>
      <c r="I4" s="82">
        <f ca="1">inputs!C9</f>
        <v>0</v>
      </c>
      <c r="J4" s="83">
        <f>inputs!D3</f>
        <v>0</v>
      </c>
      <c r="K4" s="82">
        <f>inputs!D2</f>
        <v>0</v>
      </c>
      <c r="L4" s="68">
        <f ca="1">SUM(C4:I4,K4)</f>
        <v>0</v>
      </c>
      <c r="M4" s="84">
        <v>25897161</v>
      </c>
    </row>
    <row r="5" spans="1:13" collapsed="1" x14ac:dyDescent="0.25">
      <c r="A5" s="69" t="s">
        <v>12</v>
      </c>
      <c r="B5" s="70" t="s">
        <v>37</v>
      </c>
      <c r="C5" s="90">
        <f>viabs!D8</f>
        <v>10969791</v>
      </c>
      <c r="D5" s="90">
        <f>viabs!D9</f>
        <v>2411486</v>
      </c>
      <c r="E5" s="90">
        <f>viabs!E8</f>
        <v>2076560</v>
      </c>
      <c r="F5" s="90">
        <f>viabs!E9</f>
        <v>163842</v>
      </c>
      <c r="G5" s="90">
        <f>viabs!D4</f>
        <v>0</v>
      </c>
      <c r="H5" s="90">
        <f>viabs!C8</f>
        <v>5441368</v>
      </c>
      <c r="I5" s="90">
        <f>viabs!C9</f>
        <v>2532963</v>
      </c>
      <c r="J5" s="91">
        <f>viabs!D3</f>
        <v>12</v>
      </c>
      <c r="K5" s="90">
        <f>viabs!D2</f>
        <v>2301149</v>
      </c>
      <c r="L5" s="161">
        <f t="shared" ref="L5:L17" si="0">SUM(C5:I5,K5)</f>
        <v>25897159</v>
      </c>
      <c r="M5" s="162">
        <f>M4</f>
        <v>25897161</v>
      </c>
    </row>
    <row r="6" spans="1:13" x14ac:dyDescent="0.25">
      <c r="A6" s="71" t="s">
        <v>13</v>
      </c>
      <c r="B6" s="72" t="s">
        <v>43</v>
      </c>
      <c r="C6" s="81">
        <f ca="1">inputs!K8</f>
        <v>0</v>
      </c>
      <c r="D6" s="81">
        <f>inputs!K9</f>
        <v>0</v>
      </c>
      <c r="E6" s="81">
        <f ca="1">inputs!L8</f>
        <v>0</v>
      </c>
      <c r="F6" s="81">
        <f>inputs!L9</f>
        <v>0</v>
      </c>
      <c r="G6" s="81">
        <f ca="1">inputs!K4</f>
        <v>0</v>
      </c>
      <c r="H6" s="81">
        <f ca="1">inputs!J8</f>
        <v>0</v>
      </c>
      <c r="I6" s="81">
        <f ca="1">inputs!J9</f>
        <v>0</v>
      </c>
      <c r="J6" s="83">
        <f>inputs!K3</f>
        <v>0</v>
      </c>
      <c r="K6" s="82">
        <f>inputs!K2</f>
        <v>0</v>
      </c>
      <c r="L6" s="73">
        <f t="shared" ca="1" si="0"/>
        <v>0</v>
      </c>
      <c r="M6" s="85">
        <v>41582807</v>
      </c>
    </row>
    <row r="7" spans="1:13" collapsed="1" x14ac:dyDescent="0.25">
      <c r="A7" s="69" t="s">
        <v>13</v>
      </c>
      <c r="B7" s="70" t="s">
        <v>37</v>
      </c>
      <c r="C7" s="90">
        <f>viabs!K8</f>
        <v>18611890</v>
      </c>
      <c r="D7" s="90">
        <f>viabs!K9</f>
        <v>0</v>
      </c>
      <c r="E7" s="90">
        <f>viabs!L8</f>
        <v>3812440</v>
      </c>
      <c r="F7" s="90">
        <f>viabs!L9</f>
        <v>0</v>
      </c>
      <c r="G7" s="90">
        <f>viabs!K4</f>
        <v>0</v>
      </c>
      <c r="H7" s="90">
        <f>viabs!J8</f>
        <v>17547728</v>
      </c>
      <c r="I7" s="90">
        <f>viabs!J9</f>
        <v>42900</v>
      </c>
      <c r="J7" s="91">
        <f>viabs!K3</f>
        <v>6</v>
      </c>
      <c r="K7" s="90">
        <f>viabs!K2</f>
        <v>1567849</v>
      </c>
      <c r="L7" s="161">
        <f t="shared" si="0"/>
        <v>41582807</v>
      </c>
      <c r="M7" s="162">
        <f>M6</f>
        <v>41582807</v>
      </c>
    </row>
    <row r="8" spans="1:13" x14ac:dyDescent="0.25">
      <c r="A8" s="71" t="s">
        <v>14</v>
      </c>
      <c r="B8" s="72" t="s">
        <v>43</v>
      </c>
      <c r="C8" s="81">
        <f ca="1">inputs!R8</f>
        <v>0</v>
      </c>
      <c r="D8" s="81">
        <f ca="1">inputs!R9</f>
        <v>0</v>
      </c>
      <c r="E8" s="81">
        <f ca="1">inputs!S8</f>
        <v>0</v>
      </c>
      <c r="F8" s="81">
        <f>inputs!S9</f>
        <v>0</v>
      </c>
      <c r="G8" s="81">
        <f ca="1">inputs!R4</f>
        <v>0</v>
      </c>
      <c r="H8" s="81">
        <f ca="1">inputs!Q8</f>
        <v>0</v>
      </c>
      <c r="I8" s="81">
        <f ca="1">inputs!Q9</f>
        <v>0</v>
      </c>
      <c r="J8" s="83">
        <f>inputs!R3</f>
        <v>0</v>
      </c>
      <c r="K8" s="82">
        <f>inputs!R2</f>
        <v>0</v>
      </c>
      <c r="L8" s="73">
        <f t="shared" ca="1" si="0"/>
        <v>0</v>
      </c>
      <c r="M8" s="85">
        <v>47237835</v>
      </c>
    </row>
    <row r="9" spans="1:13" collapsed="1" x14ac:dyDescent="0.25">
      <c r="A9" s="69" t="s">
        <v>14</v>
      </c>
      <c r="B9" s="70" t="s">
        <v>37</v>
      </c>
      <c r="C9" s="90">
        <f>viabs!R8</f>
        <v>4747377</v>
      </c>
      <c r="D9" s="90">
        <f>viabs!R9</f>
        <v>17101428</v>
      </c>
      <c r="E9" s="90">
        <f>viabs!S8</f>
        <v>4683225</v>
      </c>
      <c r="F9" s="90">
        <f>viabs!S9</f>
        <v>148936</v>
      </c>
      <c r="G9" s="90">
        <f>viabs!R4</f>
        <v>0</v>
      </c>
      <c r="H9" s="90">
        <f>viabs!Q8</f>
        <v>8224551</v>
      </c>
      <c r="I9" s="90">
        <f>viabs!Q9</f>
        <v>6883519</v>
      </c>
      <c r="J9" s="91">
        <f>viabs!R3</f>
        <v>13</v>
      </c>
      <c r="K9" s="90">
        <f>viabs!R2</f>
        <v>5448793</v>
      </c>
      <c r="L9" s="161">
        <f t="shared" si="0"/>
        <v>47237829</v>
      </c>
      <c r="M9" s="162">
        <f>M8</f>
        <v>47237835</v>
      </c>
    </row>
    <row r="10" spans="1:13" x14ac:dyDescent="0.25">
      <c r="A10" s="71" t="s">
        <v>15</v>
      </c>
      <c r="B10" s="72" t="s">
        <v>43</v>
      </c>
      <c r="C10" s="74">
        <v>0</v>
      </c>
      <c r="D10" s="74" t="s">
        <v>44</v>
      </c>
      <c r="E10" s="74">
        <v>0</v>
      </c>
      <c r="F10" s="74" t="s">
        <v>44</v>
      </c>
      <c r="G10" s="81">
        <f ca="1">inputs!Y4</f>
        <v>0</v>
      </c>
      <c r="H10" s="81">
        <f ca="1">inputs!X8</f>
        <v>0</v>
      </c>
      <c r="I10" s="81">
        <f ca="1">inputs!X9</f>
        <v>0</v>
      </c>
      <c r="J10" s="83">
        <f>inputs!Y3</f>
        <v>0</v>
      </c>
      <c r="K10" s="82">
        <f>inputs!Y2</f>
        <v>0</v>
      </c>
      <c r="L10" s="73">
        <f t="shared" ca="1" si="0"/>
        <v>0</v>
      </c>
      <c r="M10" s="85">
        <v>64482292</v>
      </c>
    </row>
    <row r="11" spans="1:13" collapsed="1" x14ac:dyDescent="0.25">
      <c r="A11" s="69" t="s">
        <v>15</v>
      </c>
      <c r="B11" s="70" t="s">
        <v>37</v>
      </c>
      <c r="C11" s="160"/>
      <c r="D11" s="160"/>
      <c r="E11" s="160"/>
      <c r="F11" s="160"/>
      <c r="G11" s="160">
        <f>viabs!Y4</f>
        <v>0</v>
      </c>
      <c r="H11" s="90">
        <f>viabs!X8</f>
        <v>1155519</v>
      </c>
      <c r="I11" s="90">
        <f>viabs!X9</f>
        <v>5494622</v>
      </c>
      <c r="J11" s="91">
        <f>viabs!Y3</f>
        <v>93</v>
      </c>
      <c r="K11" s="90">
        <f>viabs!Y2</f>
        <v>30073218</v>
      </c>
      <c r="L11" s="161">
        <f t="shared" si="0"/>
        <v>36723359</v>
      </c>
      <c r="M11" s="162">
        <f>M10</f>
        <v>64482292</v>
      </c>
    </row>
    <row r="12" spans="1:13" x14ac:dyDescent="0.25">
      <c r="A12" s="71" t="s">
        <v>16</v>
      </c>
      <c r="B12" s="72" t="s">
        <v>43</v>
      </c>
      <c r="C12" s="74" t="s">
        <v>44</v>
      </c>
      <c r="D12" s="74" t="s">
        <v>44</v>
      </c>
      <c r="E12" s="74" t="s">
        <v>44</v>
      </c>
      <c r="F12" s="74" t="s">
        <v>44</v>
      </c>
      <c r="G12" s="74">
        <f ca="1">inputs!AC10</f>
        <v>0</v>
      </c>
      <c r="H12" s="81">
        <f ca="1">inputs!AB8</f>
        <v>0</v>
      </c>
      <c r="I12" s="81">
        <f ca="1">inputs!AB9</f>
        <v>0</v>
      </c>
      <c r="J12" s="83">
        <f>inputs!AC3</f>
        <v>0</v>
      </c>
      <c r="K12" s="82">
        <f>inputs!AC2</f>
        <v>0</v>
      </c>
      <c r="L12" s="73">
        <f t="shared" ca="1" si="0"/>
        <v>0</v>
      </c>
      <c r="M12" s="85">
        <v>25916905</v>
      </c>
    </row>
    <row r="13" spans="1:13" collapsed="1" x14ac:dyDescent="0.25">
      <c r="A13" s="69" t="s">
        <v>16</v>
      </c>
      <c r="B13" s="70" t="s">
        <v>37</v>
      </c>
      <c r="C13" s="160"/>
      <c r="D13" s="160"/>
      <c r="E13" s="160"/>
      <c r="F13" s="160"/>
      <c r="G13" s="160">
        <f>viabs!AC10</f>
        <v>13476430</v>
      </c>
      <c r="H13" s="90">
        <f>viabs!AB8</f>
        <v>8478046</v>
      </c>
      <c r="I13" s="90">
        <f>viabs!AB9</f>
        <v>3542427</v>
      </c>
      <c r="J13" s="91">
        <f>viabs!AC3</f>
        <v>1</v>
      </c>
      <c r="K13" s="90">
        <f>viabs!AC2</f>
        <v>420000</v>
      </c>
      <c r="L13" s="161">
        <f t="shared" si="0"/>
        <v>25916903</v>
      </c>
      <c r="M13" s="162">
        <f>M12</f>
        <v>25916905</v>
      </c>
    </row>
    <row r="14" spans="1:13" x14ac:dyDescent="0.25">
      <c r="A14" s="71" t="s">
        <v>17</v>
      </c>
      <c r="B14" s="72" t="s">
        <v>43</v>
      </c>
      <c r="C14" s="81">
        <f ca="1">inputs!AH8</f>
        <v>0</v>
      </c>
      <c r="D14" s="81">
        <f ca="1">inputs!AH9</f>
        <v>0</v>
      </c>
      <c r="E14" s="81">
        <f ca="1">inputs!AI8</f>
        <v>0</v>
      </c>
      <c r="F14" s="81">
        <f>inputs!AI9</f>
        <v>0</v>
      </c>
      <c r="G14" s="81">
        <f ca="1">inputs!AH4</f>
        <v>0</v>
      </c>
      <c r="H14" s="81">
        <f ca="1">inputs!AG8</f>
        <v>0</v>
      </c>
      <c r="I14" s="81">
        <f ca="1">inputs!AG9</f>
        <v>0</v>
      </c>
      <c r="J14" s="83">
        <f>inputs!AH3</f>
        <v>0</v>
      </c>
      <c r="K14" s="82">
        <f>inputs!AH2</f>
        <v>0</v>
      </c>
      <c r="L14" s="73">
        <f t="shared" ca="1" si="0"/>
        <v>0</v>
      </c>
      <c r="M14" s="85">
        <v>60385343</v>
      </c>
    </row>
    <row r="15" spans="1:13" collapsed="1" x14ac:dyDescent="0.25">
      <c r="A15" s="69" t="s">
        <v>17</v>
      </c>
      <c r="B15" s="70" t="s">
        <v>37</v>
      </c>
      <c r="C15" s="90">
        <f>viabs!AH8</f>
        <v>6607255</v>
      </c>
      <c r="D15" s="90">
        <f>viabs!AH9</f>
        <v>25947554</v>
      </c>
      <c r="E15" s="90">
        <f>viabs!AI8</f>
        <v>6328879</v>
      </c>
      <c r="F15" s="90">
        <f>viabs!AI9</f>
        <v>369231</v>
      </c>
      <c r="G15" s="90">
        <f>viabs!AH4</f>
        <v>0</v>
      </c>
      <c r="H15" s="90">
        <f>viabs!AG8</f>
        <v>11982013.73</v>
      </c>
      <c r="I15" s="90">
        <f>viabs!AG9</f>
        <v>6927535</v>
      </c>
      <c r="J15" s="91">
        <f>viabs!AH3</f>
        <v>7</v>
      </c>
      <c r="K15" s="90">
        <f>viabs!AH2</f>
        <v>2222876</v>
      </c>
      <c r="L15" s="161">
        <f t="shared" si="0"/>
        <v>60385343.730000004</v>
      </c>
      <c r="M15" s="162">
        <f>M14</f>
        <v>60385343</v>
      </c>
    </row>
    <row r="16" spans="1:13" x14ac:dyDescent="0.25">
      <c r="A16" s="71" t="s">
        <v>18</v>
      </c>
      <c r="B16" s="72" t="s">
        <v>43</v>
      </c>
      <c r="C16" s="74">
        <v>0</v>
      </c>
      <c r="D16" s="74" t="s">
        <v>44</v>
      </c>
      <c r="E16" s="74">
        <v>0</v>
      </c>
      <c r="F16" s="74" t="s">
        <v>44</v>
      </c>
      <c r="G16" s="81">
        <f ca="1">inputs!AO4</f>
        <v>0</v>
      </c>
      <c r="H16" s="81">
        <f ca="1">inputs!AN8</f>
        <v>0</v>
      </c>
      <c r="I16" s="81">
        <f ca="1">inputs!AN9</f>
        <v>0</v>
      </c>
      <c r="J16" s="83">
        <f>inputs!AO3</f>
        <v>0</v>
      </c>
      <c r="K16" s="82">
        <f>inputs!AO2</f>
        <v>0</v>
      </c>
      <c r="L16" s="73">
        <f t="shared" ca="1" si="0"/>
        <v>0</v>
      </c>
      <c r="M16" s="85">
        <v>106533245</v>
      </c>
    </row>
    <row r="17" spans="1:13" x14ac:dyDescent="0.25">
      <c r="A17" s="69" t="s">
        <v>18</v>
      </c>
      <c r="B17" s="70" t="s">
        <v>37</v>
      </c>
      <c r="C17" s="160"/>
      <c r="D17" s="160"/>
      <c r="E17" s="160"/>
      <c r="F17" s="160"/>
      <c r="G17" s="160">
        <f>viabs!AO4</f>
        <v>0</v>
      </c>
      <c r="H17" s="90">
        <f>viabs!AN8</f>
        <v>4070583</v>
      </c>
      <c r="I17" s="90">
        <f>viabs!AN9</f>
        <v>14956888</v>
      </c>
      <c r="J17" s="91">
        <f>viabs!AO3</f>
        <v>107</v>
      </c>
      <c r="K17" s="90">
        <f>viabs!AO2</f>
        <v>35524021</v>
      </c>
      <c r="L17" s="161">
        <f t="shared" si="0"/>
        <v>54551492</v>
      </c>
      <c r="M17" s="162">
        <f>M16</f>
        <v>106533245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0.39997558519241921"/>
  </sheetPr>
  <dimension ref="A1:Y32"/>
  <sheetViews>
    <sheetView workbookViewId="0"/>
  </sheetViews>
  <sheetFormatPr defaultRowHeight="15" x14ac:dyDescent="0.25"/>
  <cols>
    <col min="1" max="1" width="8.7109375" style="6" customWidth="1"/>
    <col min="2" max="11" width="12.7109375" style="6" customWidth="1"/>
    <col min="12" max="15" width="15.7109375" style="6" customWidth="1"/>
    <col min="16" max="16" width="5.7109375" style="6" customWidth="1"/>
    <col min="17" max="17" width="9.140625" style="6"/>
    <col min="18" max="24" width="12.7109375" style="6" customWidth="1"/>
    <col min="25" max="16384" width="9.140625" style="6"/>
  </cols>
  <sheetData>
    <row r="1" spans="1:25" ht="26.25" x14ac:dyDescent="0.4">
      <c r="A1" s="87" t="s">
        <v>192</v>
      </c>
      <c r="Q1" s="87" t="s">
        <v>35</v>
      </c>
    </row>
    <row r="2" spans="1:25" s="129" customFormat="1" ht="15" customHeight="1" thickBot="1" x14ac:dyDescent="0.3">
      <c r="A2" s="128"/>
      <c r="C2" s="130" t="s">
        <v>53</v>
      </c>
      <c r="D2" s="131"/>
      <c r="E2" s="131"/>
      <c r="F2" s="131"/>
      <c r="I2" s="132" t="s">
        <v>54</v>
      </c>
      <c r="J2" s="133"/>
      <c r="K2" s="133"/>
      <c r="L2" s="133"/>
      <c r="M2" s="134"/>
      <c r="N2" s="134"/>
      <c r="O2" s="134"/>
    </row>
    <row r="3" spans="1:25" ht="30.75" thickTop="1" x14ac:dyDescent="0.25">
      <c r="A3" s="107" t="s">
        <v>38</v>
      </c>
      <c r="B3" s="108" t="s">
        <v>39</v>
      </c>
      <c r="C3" s="124" t="s">
        <v>296</v>
      </c>
      <c r="D3" s="125" t="s">
        <v>297</v>
      </c>
      <c r="E3" s="126" t="s">
        <v>50</v>
      </c>
      <c r="F3" s="127" t="s">
        <v>55</v>
      </c>
      <c r="G3" s="110" t="s">
        <v>56</v>
      </c>
      <c r="H3" s="111" t="s">
        <v>57</v>
      </c>
      <c r="I3" s="112" t="s">
        <v>58</v>
      </c>
      <c r="J3" s="109" t="s">
        <v>59</v>
      </c>
      <c r="K3" s="109" t="s">
        <v>60</v>
      </c>
      <c r="L3" s="113" t="s">
        <v>61</v>
      </c>
      <c r="M3" s="113" t="s">
        <v>62</v>
      </c>
      <c r="N3" s="113" t="s">
        <v>63</v>
      </c>
      <c r="O3" s="114" t="s">
        <v>64</v>
      </c>
      <c r="Q3" s="76" t="s">
        <v>38</v>
      </c>
      <c r="R3" s="139" t="s">
        <v>46</v>
      </c>
      <c r="S3" s="79" t="s">
        <v>47</v>
      </c>
      <c r="T3" s="79" t="s">
        <v>49</v>
      </c>
      <c r="U3" s="140" t="s">
        <v>48</v>
      </c>
      <c r="V3" s="140" t="s">
        <v>51</v>
      </c>
      <c r="W3" s="140" t="s">
        <v>50</v>
      </c>
      <c r="X3" s="80" t="s">
        <v>52</v>
      </c>
      <c r="Y3" s="78" t="s">
        <v>30</v>
      </c>
    </row>
    <row r="4" spans="1:25" x14ac:dyDescent="0.25">
      <c r="A4" s="95" t="s">
        <v>12</v>
      </c>
      <c r="B4" s="96" t="s">
        <v>35</v>
      </c>
      <c r="C4" s="96">
        <f>R4</f>
        <v>0</v>
      </c>
      <c r="D4" s="96">
        <f>S4+T4</f>
        <v>0</v>
      </c>
      <c r="E4" s="96">
        <f>U4+W4+V4</f>
        <v>0</v>
      </c>
      <c r="F4" s="93">
        <f>X4</f>
        <v>0</v>
      </c>
      <c r="G4" s="116">
        <f>SUM(C4:F4)</f>
        <v>0</v>
      </c>
      <c r="H4" s="117">
        <f>G4-C4</f>
        <v>0</v>
      </c>
      <c r="I4" s="115">
        <f>COUNTIFS(
    in.unis[empresa], $A4,
    in.unis[especie],I$3
)</f>
        <v>0</v>
      </c>
      <c r="J4" s="96">
        <f>COUNTIFS(
    in.unis[empresa], $A4,
    in.unis[especie],J$3
)</f>
        <v>0</v>
      </c>
      <c r="K4" s="96">
        <f>COUNTIFS(
    in.unis[empresa], $A4,
    in.unis[especie],K$3
)</f>
        <v>0</v>
      </c>
      <c r="L4" s="75">
        <f>COUNTIFS(
    in.r9[empresa], $A4,
    in.r9[especie], "Garagem",
    in.r9[Planta], "Vagas Autônomas"
)</f>
        <v>0</v>
      </c>
      <c r="M4" s="96"/>
      <c r="N4" s="96"/>
      <c r="O4" s="97"/>
      <c r="Q4" s="76" t="s">
        <v>12</v>
      </c>
      <c r="R4" s="61">
        <f>COUNTIFS(
    in.r9[empresa], $Q4,
    in.r9[Status],R$3)</f>
        <v>0</v>
      </c>
      <c r="S4" s="61">
        <f>COUNTIFS(
    in.r9[empresa], $Q4,
    in.r9[Status],S$3)</f>
        <v>0</v>
      </c>
      <c r="T4" s="61">
        <f>COUNTIFS(
    in.r9[empresa], $Q4,
    in.r9[Status],T$3)</f>
        <v>0</v>
      </c>
      <c r="U4" s="61">
        <f>COUNTIFS(
    in.r9[empresa], $Q4,
    in.r9[Status],U$3)</f>
        <v>0</v>
      </c>
      <c r="V4" s="61">
        <f>COUNTIFS(
    in.r9[empresa], $Q4,
    in.r9[Status],V$3)</f>
        <v>0</v>
      </c>
      <c r="W4" s="61">
        <f>COUNTIFS(
    in.r9[empresa], $Q4,
    in.r9[Status],W$3)</f>
        <v>0</v>
      </c>
      <c r="X4" s="61">
        <f>COUNTIFS(
    in.r9[empresa], $Q4,
    in.r9[Status],X$3)</f>
        <v>0</v>
      </c>
      <c r="Y4" s="77">
        <f>SUM(R4:X4)</f>
        <v>0</v>
      </c>
    </row>
    <row r="5" spans="1:25" x14ac:dyDescent="0.25">
      <c r="A5" s="98" t="s">
        <v>12</v>
      </c>
      <c r="B5" s="99" t="s">
        <v>34</v>
      </c>
      <c r="C5" s="99">
        <f>COUNTIFS(
    in.unis[empresa], $A7,
    in.unis[situacao], C$3
)</f>
        <v>0</v>
      </c>
      <c r="D5" s="99">
        <f>COUNTIFS(
    in.unis[empresa], $A7,
    in.unis[situacao], D$3
)</f>
        <v>0</v>
      </c>
      <c r="E5" s="99">
        <f>COUNTIFS(
    in.unis[empresa], $A5,
    in.unis[situacao], E$3
)
+COUNTIFS(
    in.unis[empresa], $A5,
    in.unis[situacao], F$3,
    in.unis[data], "&gt;" &amp; inputs!$A$1
)</f>
        <v>0</v>
      </c>
      <c r="F5" s="94">
        <f>COUNTIFS(
    in.unis[empresa], $A5,
    in.unis[situacao], F$3,
    in.unis[data], "&lt;=" &amp; inputs!$A$1
)</f>
        <v>0</v>
      </c>
      <c r="G5" s="118">
        <f t="shared" ref="G5:G31" si="0">SUM(C5:F5)</f>
        <v>0</v>
      </c>
      <c r="H5" s="119">
        <f t="shared" ref="H5:H31" si="1">G5-C5</f>
        <v>0</v>
      </c>
      <c r="I5" s="105">
        <f>COUNTIFS(
    in.unis[empresa], $A5,
    in.unis[especie],I$3
)</f>
        <v>0</v>
      </c>
      <c r="J5" s="99">
        <f>COUNTIFS(
    in.r9[empresa], $A5,
    in.r9[especie],J$3
)</f>
        <v>0</v>
      </c>
      <c r="K5" s="99">
        <f>COUNTIFS(
    in.r9[empresa], $A5,
    in.r9[especie],K$3
)
+COUNTIFS(
    in.unis[empresa], $A5,
    in.unis[especie],"Moto"
)</f>
        <v>0</v>
      </c>
      <c r="L5" s="141">
        <f>COUNTIFS(
    in.unis[empresa], $A4,
    in.unis[especie], "Garagem",
    in.unis[obs.situacao], "*venda*"
)</f>
        <v>0</v>
      </c>
      <c r="M5" s="99"/>
      <c r="N5" s="141">
        <f>COUNTIFS(
    in.unis[empresa], $A5,
    in.unis[especie], "Moto",
    in.unis[obs.situacao], "*venda*"
)</f>
        <v>0</v>
      </c>
      <c r="O5" s="142">
        <f>COUNTIFS(
    in.unis[empresa], $A5,
    in.unis[especie], "Moto"
)-N$5</f>
        <v>0</v>
      </c>
      <c r="Q5" s="76" t="s">
        <v>13</v>
      </c>
      <c r="R5" s="61">
        <f>COUNTIFS(
    in.r9[empresa], $Q5,
    in.r9[Status],R$3)</f>
        <v>0</v>
      </c>
      <c r="S5" s="61">
        <f>COUNTIFS(
    in.r9[empresa], $Q5,
    in.r9[Status],S$3)</f>
        <v>0</v>
      </c>
      <c r="T5" s="61">
        <f>COUNTIFS(
    in.r9[empresa], $Q5,
    in.r9[Status],T$3)</f>
        <v>0</v>
      </c>
      <c r="U5" s="61">
        <f>COUNTIFS(
    in.r9[empresa], $Q5,
    in.r9[Status],U$3)</f>
        <v>0</v>
      </c>
      <c r="V5" s="61">
        <f>COUNTIFS(
    in.r9[empresa], $Q5,
    in.r9[Status],V$3)</f>
        <v>0</v>
      </c>
      <c r="W5" s="61">
        <f>COUNTIFS(
    in.r9[empresa], $Q5,
    in.r9[Status],W$3)</f>
        <v>0</v>
      </c>
      <c r="X5" s="61">
        <f>COUNTIFS(
    in.r9[empresa], $Q5,
    in.r9[Status],X$3)</f>
        <v>0</v>
      </c>
      <c r="Y5" s="77">
        <f>SUM(R5:X5)</f>
        <v>0</v>
      </c>
    </row>
    <row r="6" spans="1:25" x14ac:dyDescent="0.25">
      <c r="A6" s="98" t="s">
        <v>12</v>
      </c>
      <c r="B6" s="99" t="s">
        <v>37</v>
      </c>
      <c r="C6" s="135">
        <v>10</v>
      </c>
      <c r="D6" s="135">
        <v>6</v>
      </c>
      <c r="E6" s="135">
        <v>6</v>
      </c>
      <c r="F6" s="136">
        <v>84</v>
      </c>
      <c r="G6" s="118">
        <f t="shared" si="0"/>
        <v>106</v>
      </c>
      <c r="H6" s="119">
        <f t="shared" si="1"/>
        <v>96</v>
      </c>
      <c r="I6" s="137"/>
      <c r="J6" s="135"/>
      <c r="K6" s="135"/>
      <c r="L6" s="135"/>
      <c r="M6" s="135"/>
      <c r="N6" s="135"/>
      <c r="O6" s="138"/>
      <c r="Q6" s="76" t="s">
        <v>14</v>
      </c>
      <c r="R6" s="61">
        <f>COUNTIFS(
    in.r9[empresa], $Q6,
    in.r9[Status],R$3)</f>
        <v>0</v>
      </c>
      <c r="S6" s="61">
        <f>COUNTIFS(
    in.r9[empresa], $Q6,
    in.r9[Status],S$3)</f>
        <v>0</v>
      </c>
      <c r="T6" s="61">
        <f>COUNTIFS(
    in.r9[empresa], $Q6,
    in.r9[Status],T$3)</f>
        <v>0</v>
      </c>
      <c r="U6" s="61">
        <f>COUNTIFS(
    in.r9[empresa], $Q6,
    in.r9[Status],U$3)</f>
        <v>0</v>
      </c>
      <c r="V6" s="61">
        <f>COUNTIFS(
    in.r9[empresa], $Q6,
    in.r9[Status],V$3)</f>
        <v>0</v>
      </c>
      <c r="W6" s="61">
        <f>COUNTIFS(
    in.r9[empresa], $Q6,
    in.r9[Status],W$3)</f>
        <v>0</v>
      </c>
      <c r="X6" s="61">
        <f>COUNTIFS(
    in.r9[empresa], $Q6,
    in.r9[Status],X$3)</f>
        <v>0</v>
      </c>
      <c r="Y6" s="77">
        <f>SUM(R6:X6)</f>
        <v>0</v>
      </c>
    </row>
    <row r="7" spans="1:25" x14ac:dyDescent="0.25">
      <c r="A7" s="100" t="s">
        <v>12</v>
      </c>
      <c r="B7" s="101" t="s">
        <v>65</v>
      </c>
      <c r="C7" s="102"/>
      <c r="D7" s="102"/>
      <c r="E7" s="102"/>
      <c r="F7" s="104"/>
      <c r="G7" s="120">
        <f t="shared" si="0"/>
        <v>0</v>
      </c>
      <c r="H7" s="121">
        <f t="shared" si="1"/>
        <v>0</v>
      </c>
      <c r="I7" s="106"/>
      <c r="J7" s="102"/>
      <c r="K7" s="102"/>
      <c r="L7" s="102"/>
      <c r="M7" s="102"/>
      <c r="N7" s="102"/>
      <c r="O7" s="103"/>
      <c r="Q7" s="76" t="s">
        <v>15</v>
      </c>
      <c r="R7" s="61">
        <f>COUNTIFS(
    in.r9[empresa], $Q7,
    in.r9[Status],R$3)</f>
        <v>0</v>
      </c>
      <c r="S7" s="61">
        <f>COUNTIFS(
    in.r9[empresa], $Q7,
    in.r9[Status],S$3)</f>
        <v>0</v>
      </c>
      <c r="T7" s="61">
        <f>COUNTIFS(
    in.r9[empresa], $Q7,
    in.r9[Status],T$3)</f>
        <v>0</v>
      </c>
      <c r="U7" s="61">
        <f>COUNTIFS(
    in.r9[empresa], $Q7,
    in.r9[Status],U$3)</f>
        <v>0</v>
      </c>
      <c r="V7" s="61">
        <f>COUNTIFS(
    in.r9[empresa], $Q7,
    in.r9[Status],V$3)</f>
        <v>0</v>
      </c>
      <c r="W7" s="61">
        <f>COUNTIFS(
    in.r9[empresa], $Q7,
    in.r9[Status],W$3)</f>
        <v>0</v>
      </c>
      <c r="X7" s="61">
        <f>COUNTIFS(
    in.r9[empresa], $Q7,
    in.r9[Status],X$3)</f>
        <v>0</v>
      </c>
      <c r="Y7" s="77">
        <f>SUM(R7:X7)</f>
        <v>0</v>
      </c>
    </row>
    <row r="8" spans="1:25" x14ac:dyDescent="0.25">
      <c r="A8" s="95" t="s">
        <v>13</v>
      </c>
      <c r="B8" s="96" t="s">
        <v>35</v>
      </c>
      <c r="C8" s="96">
        <f>R5</f>
        <v>0</v>
      </c>
      <c r="D8" s="96">
        <f>S5+T5</f>
        <v>0</v>
      </c>
      <c r="E8" s="96">
        <f>U5+W5+V5</f>
        <v>0</v>
      </c>
      <c r="F8" s="93">
        <f>X5</f>
        <v>0</v>
      </c>
      <c r="G8" s="116">
        <f t="shared" si="0"/>
        <v>0</v>
      </c>
      <c r="H8" s="117">
        <f t="shared" si="1"/>
        <v>0</v>
      </c>
      <c r="I8" s="115">
        <f>COUNTIFS(
    in.unis[empresa], $A8,
    in.unis[especie],I$3
)</f>
        <v>0</v>
      </c>
      <c r="J8" s="96">
        <f>COUNTIFS(
    in.unis[empresa], $A8,
    in.unis[especie],J$3
)</f>
        <v>0</v>
      </c>
      <c r="K8" s="96">
        <f>COUNTIFS(
    in.unis[empresa], $A8,
    in.unis[especie],K$3
)</f>
        <v>0</v>
      </c>
      <c r="L8" s="96"/>
      <c r="M8" s="96"/>
      <c r="N8" s="96"/>
      <c r="O8" s="97"/>
      <c r="Q8" s="76" t="s">
        <v>16</v>
      </c>
      <c r="R8" s="61">
        <f>COUNTIFS(
    in.r9[empresa], $Q8,
    in.r9[Status],R$3)</f>
        <v>0</v>
      </c>
      <c r="S8" s="61">
        <f>COUNTIFS(
    in.r9[empresa], $Q8,
    in.r9[Status],S$3)</f>
        <v>0</v>
      </c>
      <c r="T8" s="61">
        <f>COUNTIFS(
    in.r9[empresa], $Q8,
    in.r9[Status],T$3)</f>
        <v>0</v>
      </c>
      <c r="U8" s="61">
        <f>COUNTIFS(
    in.r9[empresa], $Q8,
    in.r9[Status],U$3)</f>
        <v>0</v>
      </c>
      <c r="V8" s="61">
        <f>COUNTIFS(
    in.r9[empresa], $Q8,
    in.r9[Status],V$3)</f>
        <v>0</v>
      </c>
      <c r="W8" s="61">
        <f>COUNTIFS(
    in.r9[empresa], $Q8,
    in.r9[Status],W$3)</f>
        <v>0</v>
      </c>
      <c r="X8" s="61">
        <f>COUNTIFS(
    in.r9[empresa], $Q8,
    in.r9[Status],X$3)</f>
        <v>0</v>
      </c>
      <c r="Y8" s="77">
        <f>SUM(R8:X8)</f>
        <v>0</v>
      </c>
    </row>
    <row r="9" spans="1:25" x14ac:dyDescent="0.25">
      <c r="A9" s="98" t="s">
        <v>13</v>
      </c>
      <c r="B9" s="99" t="s">
        <v>34</v>
      </c>
      <c r="C9" s="99">
        <f>COUNTIFS(
    in.unis[empresa], $A11,
    in.unis[situacao], C$3
)</f>
        <v>0</v>
      </c>
      <c r="D9" s="99">
        <f>COUNTIFS(
    in.unis[empresa], $A11,
    in.unis[situacao], D$3
)</f>
        <v>0</v>
      </c>
      <c r="E9" s="99">
        <f>COUNTIFS(
    in.unis[empresa], $A9,
    in.unis[situacao], E$3
)
+COUNTIFS(
    in.unis[empresa], $A9,
    in.unis[situacao], F$3,
    in.unis[data], "&gt;" &amp; inputs!$A$1
)</f>
        <v>0</v>
      </c>
      <c r="F9" s="94">
        <f>COUNTIFS(
    in.unis[empresa], $A9,
    in.unis[situacao], F$3,
    in.unis[data], "&lt;=" &amp; inputs!$A$1
)</f>
        <v>0</v>
      </c>
      <c r="G9" s="118">
        <f t="shared" si="0"/>
        <v>0</v>
      </c>
      <c r="H9" s="119">
        <f t="shared" si="1"/>
        <v>0</v>
      </c>
      <c r="I9" s="105">
        <f>COUNTIFS(
    in.unis[empresa], $A9,
    in.unis[especie],I$3
)</f>
        <v>0</v>
      </c>
      <c r="J9" s="99">
        <f>COUNTIFS(
    in.r9[empresa], $A9,
    in.r9[especie],J$3
)</f>
        <v>0</v>
      </c>
      <c r="K9" s="99">
        <f>COUNTIFS(
    in.r9[empresa], $A9,
    in.r9[especie],K$3
)
+COUNTIFS(
    in.unis[empresa], $A9,
    in.unis[especie],"Moto"
)</f>
        <v>0</v>
      </c>
      <c r="L9" s="99"/>
      <c r="M9" s="99"/>
      <c r="N9" s="99"/>
      <c r="O9" s="92"/>
      <c r="Q9" s="76" t="s">
        <v>17</v>
      </c>
      <c r="R9" s="61">
        <f>COUNTIFS(
    in.r9[empresa], $Q9,
    in.r9[Status],R$3)</f>
        <v>0</v>
      </c>
      <c r="S9" s="61">
        <f>COUNTIFS(
    in.r9[empresa], $Q9,
    in.r9[Status],S$3)</f>
        <v>0</v>
      </c>
      <c r="T9" s="61">
        <f>COUNTIFS(
    in.r9[empresa], $Q9,
    in.r9[Status],T$3)</f>
        <v>0</v>
      </c>
      <c r="U9" s="61">
        <f>COUNTIFS(
    in.r9[empresa], $Q9,
    in.r9[Status],U$3)</f>
        <v>0</v>
      </c>
      <c r="V9" s="61">
        <f>COUNTIFS(
    in.r9[empresa], $Q9,
    in.r9[Status],V$3)</f>
        <v>0</v>
      </c>
      <c r="W9" s="61">
        <f>COUNTIFS(
    in.r9[empresa], $Q9,
    in.r9[Status],W$3)</f>
        <v>0</v>
      </c>
      <c r="X9" s="61">
        <f>COUNTIFS(
    in.r9[empresa], $Q9,
    in.r9[Status],X$3)</f>
        <v>0</v>
      </c>
      <c r="Y9" s="77">
        <f>SUM(R9:X9)</f>
        <v>0</v>
      </c>
    </row>
    <row r="10" spans="1:25" x14ac:dyDescent="0.25">
      <c r="A10" s="98" t="s">
        <v>13</v>
      </c>
      <c r="B10" s="99" t="s">
        <v>37</v>
      </c>
      <c r="C10" s="135">
        <v>23</v>
      </c>
      <c r="D10" s="135">
        <v>5</v>
      </c>
      <c r="E10" s="135">
        <v>1</v>
      </c>
      <c r="F10" s="136">
        <v>151</v>
      </c>
      <c r="G10" s="118">
        <f t="shared" si="0"/>
        <v>180</v>
      </c>
      <c r="H10" s="119">
        <f t="shared" si="1"/>
        <v>157</v>
      </c>
      <c r="I10" s="137"/>
      <c r="J10" s="135"/>
      <c r="K10" s="135"/>
      <c r="L10" s="135"/>
      <c r="M10" s="135"/>
      <c r="N10" s="135"/>
      <c r="O10" s="138"/>
      <c r="Q10" s="76" t="s">
        <v>18</v>
      </c>
      <c r="R10" s="61">
        <f>COUNTIFS(
    in.r9[empresa], $Q10,
    in.r9[Status],R$3)</f>
        <v>0</v>
      </c>
      <c r="S10" s="61">
        <f>COUNTIFS(
    in.r9[empresa], $Q10,
    in.r9[Status],S$3)</f>
        <v>0</v>
      </c>
      <c r="T10" s="61">
        <f>COUNTIFS(
    in.r9[empresa], $Q10,
    in.r9[Status],T$3)</f>
        <v>0</v>
      </c>
      <c r="U10" s="61">
        <f>COUNTIFS(
    in.r9[empresa], $Q10,
    in.r9[Status],U$3)</f>
        <v>0</v>
      </c>
      <c r="V10" s="61">
        <f>COUNTIFS(
    in.r9[empresa], $Q10,
    in.r9[Status],V$3)</f>
        <v>0</v>
      </c>
      <c r="W10" s="61">
        <f>COUNTIFS(
    in.r9[empresa], $Q10,
    in.r9[Status],W$3)</f>
        <v>0</v>
      </c>
      <c r="X10" s="61">
        <f>COUNTIFS(
    in.r9[empresa], $Q10,
    in.r9[Status],X$3)</f>
        <v>0</v>
      </c>
      <c r="Y10" s="77">
        <f>SUM(R10:X10)</f>
        <v>0</v>
      </c>
    </row>
    <row r="11" spans="1:25" x14ac:dyDescent="0.25">
      <c r="A11" s="100" t="s">
        <v>13</v>
      </c>
      <c r="B11" s="101" t="s">
        <v>65</v>
      </c>
      <c r="C11" s="102"/>
      <c r="D11" s="102"/>
      <c r="E11" s="102"/>
      <c r="F11" s="104"/>
      <c r="G11" s="120">
        <f t="shared" si="0"/>
        <v>0</v>
      </c>
      <c r="H11" s="121">
        <f t="shared" si="1"/>
        <v>0</v>
      </c>
      <c r="I11" s="106"/>
      <c r="J11" s="102"/>
      <c r="K11" s="102"/>
      <c r="L11" s="102"/>
      <c r="M11" s="102"/>
      <c r="N11" s="102"/>
      <c r="O11" s="103"/>
      <c r="Q11" s="78" t="s">
        <v>30</v>
      </c>
      <c r="R11" s="77">
        <f t="shared" ref="R11:X11" si="2">SUM(R4:R10)</f>
        <v>0</v>
      </c>
      <c r="S11" s="77">
        <f t="shared" si="2"/>
        <v>0</v>
      </c>
      <c r="T11" s="77">
        <f>SUM(T4:T10)</f>
        <v>0</v>
      </c>
      <c r="U11" s="77">
        <f>SUM(U4:U10)</f>
        <v>0</v>
      </c>
      <c r="V11" s="77">
        <f>SUM(V4:V10)</f>
        <v>0</v>
      </c>
      <c r="W11" s="77">
        <f>SUM(W4:W10)</f>
        <v>0</v>
      </c>
      <c r="X11" s="77">
        <f>SUM(X4:X10)</f>
        <v>0</v>
      </c>
      <c r="Y11" s="77">
        <f>SUM(R11:X11)</f>
        <v>0</v>
      </c>
    </row>
    <row r="12" spans="1:25" x14ac:dyDescent="0.25">
      <c r="A12" s="95" t="s">
        <v>14</v>
      </c>
      <c r="B12" s="96" t="s">
        <v>35</v>
      </c>
      <c r="C12" s="96">
        <f>R6</f>
        <v>0</v>
      </c>
      <c r="D12" s="96">
        <f>S6+T6</f>
        <v>0</v>
      </c>
      <c r="E12" s="96">
        <f>U6+W6+V6</f>
        <v>0</v>
      </c>
      <c r="F12" s="93">
        <f>X6</f>
        <v>0</v>
      </c>
      <c r="G12" s="116">
        <f t="shared" si="0"/>
        <v>0</v>
      </c>
      <c r="H12" s="117">
        <f t="shared" si="1"/>
        <v>0</v>
      </c>
      <c r="I12" s="115">
        <f>COUNTIFS(
    in.unis[empresa], $A12,
    in.unis[especie],I$3
)</f>
        <v>0</v>
      </c>
      <c r="J12" s="96">
        <f>COUNTIFS(
    in.unis[empresa], $A12,
    in.unis[especie],J$3
)</f>
        <v>0</v>
      </c>
      <c r="K12" s="96">
        <f>COUNTIFS(
    in.unis[empresa], $A12,
    in.unis[especie],K$3
)</f>
        <v>0</v>
      </c>
      <c r="L12" s="96"/>
      <c r="M12" s="96"/>
      <c r="N12" s="96"/>
      <c r="O12" s="97"/>
    </row>
    <row r="13" spans="1:25" x14ac:dyDescent="0.25">
      <c r="A13" s="98" t="s">
        <v>14</v>
      </c>
      <c r="B13" s="99" t="s">
        <v>34</v>
      </c>
      <c r="C13" s="99">
        <f>COUNTIFS(
    in.unis[empresa], $A15,
    in.unis[situacao], C$3
)</f>
        <v>0</v>
      </c>
      <c r="D13" s="99">
        <f>COUNTIFS(
    in.unis[empresa], $A15,
    in.unis[situacao], D$3
)</f>
        <v>0</v>
      </c>
      <c r="E13" s="99">
        <f>COUNTIFS(
    in.unis[empresa], $A13,
    in.unis[situacao], E$3
)
+COUNTIFS(
    in.unis[empresa], $A13,
    in.unis[situacao], F$3,
    in.unis[data], "&gt;" &amp; inputs!$A$1
)</f>
        <v>0</v>
      </c>
      <c r="F13" s="94">
        <f>COUNTIFS(
    in.unis[empresa], $A13,
    in.unis[situacao], F$3,
    in.unis[data], "&lt;=" &amp; inputs!$A$1
)</f>
        <v>0</v>
      </c>
      <c r="G13" s="118">
        <f t="shared" si="0"/>
        <v>0</v>
      </c>
      <c r="H13" s="119">
        <f t="shared" si="1"/>
        <v>0</v>
      </c>
      <c r="I13" s="105">
        <f>COUNTIFS(
    in.unis[empresa], $A13,
    in.unis[especie],I$3
)</f>
        <v>0</v>
      </c>
      <c r="J13" s="99">
        <f>COUNTIFS(
    in.r9[empresa], $A13,
    in.r9[especie],J$3
)</f>
        <v>0</v>
      </c>
      <c r="K13" s="99">
        <f>COUNTIFS(
    in.r9[empresa], $A13,
    in.r9[especie],K$3
)
+COUNTIFS(
    in.unis[empresa], $A13,
    in.unis[especie],"Moto"
)</f>
        <v>0</v>
      </c>
      <c r="L13" s="99"/>
      <c r="M13" s="99"/>
      <c r="N13" s="99"/>
      <c r="O13" s="92"/>
    </row>
    <row r="14" spans="1:25" x14ac:dyDescent="0.25">
      <c r="A14" s="98" t="s">
        <v>14</v>
      </c>
      <c r="B14" s="99" t="s">
        <v>37</v>
      </c>
      <c r="C14" s="135">
        <v>0</v>
      </c>
      <c r="D14" s="135">
        <v>2</v>
      </c>
      <c r="E14" s="135">
        <v>11</v>
      </c>
      <c r="F14" s="136">
        <v>128</v>
      </c>
      <c r="G14" s="118">
        <f t="shared" si="0"/>
        <v>141</v>
      </c>
      <c r="H14" s="119">
        <f t="shared" si="1"/>
        <v>141</v>
      </c>
      <c r="I14" s="137"/>
      <c r="J14" s="135"/>
      <c r="K14" s="135"/>
      <c r="L14" s="135"/>
      <c r="M14" s="135"/>
      <c r="N14" s="135"/>
      <c r="O14" s="138"/>
    </row>
    <row r="15" spans="1:25" x14ac:dyDescent="0.25">
      <c r="A15" s="100" t="s">
        <v>14</v>
      </c>
      <c r="B15" s="101" t="s">
        <v>65</v>
      </c>
      <c r="C15" s="102"/>
      <c r="D15" s="102"/>
      <c r="E15" s="102"/>
      <c r="F15" s="104"/>
      <c r="G15" s="120">
        <f t="shared" si="0"/>
        <v>0</v>
      </c>
      <c r="H15" s="121">
        <f t="shared" si="1"/>
        <v>0</v>
      </c>
      <c r="I15" s="106"/>
      <c r="J15" s="102"/>
      <c r="K15" s="102"/>
      <c r="L15" s="102"/>
      <c r="M15" s="102"/>
      <c r="N15" s="102"/>
      <c r="O15" s="103"/>
    </row>
    <row r="16" spans="1:25" x14ac:dyDescent="0.25">
      <c r="A16" s="95" t="s">
        <v>15</v>
      </c>
      <c r="B16" s="96" t="s">
        <v>35</v>
      </c>
      <c r="C16" s="96">
        <f>R7</f>
        <v>0</v>
      </c>
      <c r="D16" s="96">
        <f>S7+T7</f>
        <v>0</v>
      </c>
      <c r="E16" s="96">
        <f>U7+W7+V7</f>
        <v>0</v>
      </c>
      <c r="F16" s="93">
        <f>X7</f>
        <v>0</v>
      </c>
      <c r="G16" s="116">
        <f t="shared" si="0"/>
        <v>0</v>
      </c>
      <c r="H16" s="117">
        <f t="shared" si="1"/>
        <v>0</v>
      </c>
      <c r="I16" s="115">
        <f>COUNTIFS(
    in.unis[empresa], $A16,
    in.unis[especie],I$3
)</f>
        <v>0</v>
      </c>
      <c r="J16" s="96">
        <f>COUNTIFS(
    in.unis[empresa], $A16,
    in.unis[especie],J$3
)</f>
        <v>0</v>
      </c>
      <c r="K16" s="96">
        <f>COUNTIFS(
    in.unis[empresa], $A16,
    in.unis[especie],K$3
)</f>
        <v>0</v>
      </c>
      <c r="L16" s="96"/>
      <c r="M16" s="96"/>
      <c r="N16" s="96"/>
      <c r="O16" s="97"/>
    </row>
    <row r="17" spans="1:15" x14ac:dyDescent="0.25">
      <c r="A17" s="98" t="s">
        <v>15</v>
      </c>
      <c r="B17" s="99" t="s">
        <v>34</v>
      </c>
      <c r="C17" s="99">
        <f>COUNTIFS(
    in.unis[empresa], $A19,
    in.unis[situacao], C$3
)</f>
        <v>0</v>
      </c>
      <c r="D17" s="99">
        <f>COUNTIFS(
    in.unis[empresa], $A19,
    in.unis[situacao], D$3
)</f>
        <v>0</v>
      </c>
      <c r="E17" s="99">
        <f>COUNTIFS(
    in.unis[empresa], $A17,
    in.unis[situacao], E$3
)
+COUNTIFS(
    in.unis[empresa], $A17,
    in.unis[situacao], F$3,
    in.unis[data], "&gt;" &amp; inputs!$A$1
)</f>
        <v>0</v>
      </c>
      <c r="F17" s="94">
        <f>COUNTIFS(
    in.unis[empresa], $A17,
    in.unis[situacao], F$3,
    in.unis[data], "&lt;=" &amp; inputs!$A$1
)</f>
        <v>0</v>
      </c>
      <c r="G17" s="118">
        <f t="shared" si="0"/>
        <v>0</v>
      </c>
      <c r="H17" s="119">
        <f t="shared" si="1"/>
        <v>0</v>
      </c>
      <c r="I17" s="105">
        <f>COUNTIFS(
    in.unis[empresa], $A17,
    in.unis[especie],I$3
)</f>
        <v>0</v>
      </c>
      <c r="J17" s="99">
        <f>COUNTIFS(
    in.r9[empresa], $A17,
    in.r9[especie],J$3
)</f>
        <v>0</v>
      </c>
      <c r="K17" s="99">
        <f>COUNTIFS(
    in.r9[empresa], $A17,
    in.r9[especie],K$3
)
+COUNTIFS(
    in.unis[empresa], $A17,
    in.unis[especie],"Moto"
)</f>
        <v>0</v>
      </c>
      <c r="L17" s="99"/>
      <c r="M17" s="99"/>
      <c r="N17" s="99"/>
      <c r="O17" s="92"/>
    </row>
    <row r="18" spans="1:15" x14ac:dyDescent="0.25">
      <c r="A18" s="98" t="s">
        <v>15</v>
      </c>
      <c r="B18" s="99" t="s">
        <v>37</v>
      </c>
      <c r="C18" s="135">
        <v>12</v>
      </c>
      <c r="D18" s="135">
        <v>0</v>
      </c>
      <c r="E18" s="135">
        <v>93</v>
      </c>
      <c r="F18" s="136">
        <v>121</v>
      </c>
      <c r="G18" s="118">
        <f t="shared" si="0"/>
        <v>226</v>
      </c>
      <c r="H18" s="119">
        <f t="shared" si="1"/>
        <v>214</v>
      </c>
      <c r="I18" s="137"/>
      <c r="J18" s="135"/>
      <c r="K18" s="135"/>
      <c r="L18" s="135"/>
      <c r="M18" s="135"/>
      <c r="N18" s="135"/>
      <c r="O18" s="138"/>
    </row>
    <row r="19" spans="1:15" x14ac:dyDescent="0.25">
      <c r="A19" s="100" t="s">
        <v>15</v>
      </c>
      <c r="B19" s="101" t="s">
        <v>65</v>
      </c>
      <c r="C19" s="102"/>
      <c r="D19" s="102"/>
      <c r="E19" s="102"/>
      <c r="F19" s="104"/>
      <c r="G19" s="120">
        <f t="shared" si="0"/>
        <v>0</v>
      </c>
      <c r="H19" s="121">
        <f t="shared" si="1"/>
        <v>0</v>
      </c>
      <c r="I19" s="106"/>
      <c r="J19" s="102"/>
      <c r="K19" s="102"/>
      <c r="L19" s="102"/>
      <c r="M19" s="102"/>
      <c r="N19" s="102"/>
      <c r="O19" s="103"/>
    </row>
    <row r="20" spans="1:15" x14ac:dyDescent="0.25">
      <c r="A20" s="95" t="s">
        <v>16</v>
      </c>
      <c r="B20" s="96" t="s">
        <v>35</v>
      </c>
      <c r="C20" s="96">
        <f>R8</f>
        <v>0</v>
      </c>
      <c r="D20" s="96">
        <f>S8+T8</f>
        <v>0</v>
      </c>
      <c r="E20" s="96">
        <f>U8+W8+V8</f>
        <v>0</v>
      </c>
      <c r="F20" s="93">
        <f>X8</f>
        <v>0</v>
      </c>
      <c r="G20" s="116">
        <f t="shared" si="0"/>
        <v>0</v>
      </c>
      <c r="H20" s="117">
        <f t="shared" si="1"/>
        <v>0</v>
      </c>
      <c r="I20" s="115">
        <f>COUNTIFS(
    in.unis[empresa], $A20,
    in.unis[especie],I$3
)</f>
        <v>0</v>
      </c>
      <c r="J20" s="96">
        <f>COUNTIFS(
    in.unis[empresa], $A20,
    in.unis[especie],J$3
)</f>
        <v>0</v>
      </c>
      <c r="K20" s="96">
        <f>COUNTIFS(
    in.unis[empresa], $A20,
    in.unis[especie],K$3
)</f>
        <v>0</v>
      </c>
      <c r="L20" s="96"/>
      <c r="M20" s="96"/>
      <c r="N20" s="96"/>
      <c r="O20" s="97"/>
    </row>
    <row r="21" spans="1:15" x14ac:dyDescent="0.25">
      <c r="A21" s="98" t="s">
        <v>16</v>
      </c>
      <c r="B21" s="99" t="s">
        <v>34</v>
      </c>
      <c r="C21" s="99">
        <f>COUNTIFS(
    in.unis[empresa], $A23,
    in.unis[situacao], C$3
)</f>
        <v>0</v>
      </c>
      <c r="D21" s="99">
        <f>COUNTIFS(
    in.unis[empresa], $A23,
    in.unis[situacao], D$3
)</f>
        <v>0</v>
      </c>
      <c r="E21" s="99">
        <f>COUNTIFS(
    in.unis[empresa], $A21,
    in.unis[situacao], E$3
)
+COUNTIFS(
    in.unis[empresa], $A21,
    in.unis[situacao], F$3,
    in.unis[data], "&gt;" &amp; inputs!$A$1
)</f>
        <v>0</v>
      </c>
      <c r="F21" s="94">
        <f>COUNTIFS(
    in.unis[empresa], $A21,
    in.unis[situacao], F$3,
    in.unis[data], "&lt;=" &amp; inputs!$A$1
)</f>
        <v>0</v>
      </c>
      <c r="G21" s="118">
        <f t="shared" si="0"/>
        <v>0</v>
      </c>
      <c r="H21" s="119">
        <f t="shared" si="1"/>
        <v>0</v>
      </c>
      <c r="I21" s="105">
        <f>COUNTIFS(
    in.unis[empresa], $A21,
    in.unis[especie],I$3
)</f>
        <v>0</v>
      </c>
      <c r="J21" s="99">
        <f>COUNTIFS(
    in.r9[empresa], $A21,
    in.r9[especie],J$3
)</f>
        <v>0</v>
      </c>
      <c r="K21" s="99">
        <f>COUNTIFS(
    in.r9[empresa], $A21,
    in.r9[especie],K$3
)
+COUNTIFS(
    in.unis[empresa], $A21,
    in.unis[especie],"Moto"
)</f>
        <v>0</v>
      </c>
      <c r="L21" s="99"/>
      <c r="M21" s="99"/>
      <c r="N21" s="99"/>
      <c r="O21" s="92"/>
    </row>
    <row r="22" spans="1:15" x14ac:dyDescent="0.25">
      <c r="A22" s="98" t="s">
        <v>16</v>
      </c>
      <c r="B22" s="99" t="s">
        <v>37</v>
      </c>
      <c r="C22" s="135">
        <v>16</v>
      </c>
      <c r="D22" s="135">
        <v>1</v>
      </c>
      <c r="E22" s="135">
        <v>0</v>
      </c>
      <c r="F22" s="136">
        <v>55</v>
      </c>
      <c r="G22" s="118">
        <f t="shared" si="0"/>
        <v>72</v>
      </c>
      <c r="H22" s="119">
        <f t="shared" si="1"/>
        <v>56</v>
      </c>
      <c r="I22" s="137"/>
      <c r="J22" s="135"/>
      <c r="K22" s="135"/>
      <c r="L22" s="135"/>
      <c r="M22" s="135"/>
      <c r="N22" s="135"/>
      <c r="O22" s="138"/>
    </row>
    <row r="23" spans="1:15" x14ac:dyDescent="0.25">
      <c r="A23" s="100" t="s">
        <v>16</v>
      </c>
      <c r="B23" s="101" t="s">
        <v>65</v>
      </c>
      <c r="C23" s="102"/>
      <c r="D23" s="102"/>
      <c r="E23" s="102"/>
      <c r="F23" s="104"/>
      <c r="G23" s="120">
        <f t="shared" si="0"/>
        <v>0</v>
      </c>
      <c r="H23" s="121">
        <f t="shared" si="1"/>
        <v>0</v>
      </c>
      <c r="I23" s="106"/>
      <c r="J23" s="102"/>
      <c r="K23" s="102"/>
      <c r="L23" s="102"/>
      <c r="M23" s="102"/>
      <c r="N23" s="102"/>
      <c r="O23" s="103"/>
    </row>
    <row r="24" spans="1:15" x14ac:dyDescent="0.25">
      <c r="A24" s="95" t="s">
        <v>17</v>
      </c>
      <c r="B24" s="96" t="s">
        <v>35</v>
      </c>
      <c r="C24" s="96">
        <f>R9</f>
        <v>0</v>
      </c>
      <c r="D24" s="96">
        <f>S9+T9</f>
        <v>0</v>
      </c>
      <c r="E24" s="96">
        <f>U9+W9+V9</f>
        <v>0</v>
      </c>
      <c r="F24" s="93">
        <f>X9</f>
        <v>0</v>
      </c>
      <c r="G24" s="116">
        <f t="shared" si="0"/>
        <v>0</v>
      </c>
      <c r="H24" s="117">
        <f t="shared" si="1"/>
        <v>0</v>
      </c>
      <c r="I24" s="115">
        <f>COUNTIFS(
    in.unis[empresa], $A24,
    in.unis[especie],I$3
)</f>
        <v>0</v>
      </c>
      <c r="J24" s="96">
        <f>COUNTIFS(
    in.unis[empresa], $A24,
    in.unis[especie],J$3
)</f>
        <v>0</v>
      </c>
      <c r="K24" s="96">
        <f>COUNTIFS(
    in.unis[empresa], $A24,
    in.unis[especie],K$3
)</f>
        <v>0</v>
      </c>
      <c r="L24" s="96"/>
      <c r="M24" s="96"/>
      <c r="N24" s="96"/>
      <c r="O24" s="97"/>
    </row>
    <row r="25" spans="1:15" x14ac:dyDescent="0.25">
      <c r="A25" s="98" t="s">
        <v>17</v>
      </c>
      <c r="B25" s="99" t="s">
        <v>34</v>
      </c>
      <c r="C25" s="99">
        <f>COUNTIFS(
    in.unis[empresa], $A27,
    in.unis[situacao], C$3
)</f>
        <v>0</v>
      </c>
      <c r="D25" s="99">
        <f>COUNTIFS(
    in.unis[empresa], $A27,
    in.unis[situacao], D$3
)</f>
        <v>0</v>
      </c>
      <c r="E25" s="99">
        <f>COUNTIFS(
    in.unis[empresa], $A25,
    in.unis[situacao], E$3
)
+COUNTIFS(
    in.unis[empresa], $A25,
    in.unis[situacao], F$3,
    in.unis[data], "&gt;" &amp; inputs!$A$1
)</f>
        <v>0</v>
      </c>
      <c r="F25" s="94">
        <f>COUNTIFS(
    in.unis[empresa], $A25,
    in.unis[situacao], F$3,
    in.unis[data], "&lt;=" &amp; inputs!$A$1
)</f>
        <v>0</v>
      </c>
      <c r="G25" s="118">
        <f t="shared" si="0"/>
        <v>0</v>
      </c>
      <c r="H25" s="119">
        <f t="shared" si="1"/>
        <v>0</v>
      </c>
      <c r="I25" s="105">
        <f>COUNTIFS(
    in.unis[empresa], $A25,
    in.unis[especie],I$3
)</f>
        <v>0</v>
      </c>
      <c r="J25" s="99">
        <f>COUNTIFS(
    in.r9[empresa], $A25,
    in.r9[especie],J$3
)</f>
        <v>0</v>
      </c>
      <c r="K25" s="99">
        <f>COUNTIFS(
    in.r9[empresa], $A25,
    in.r9[especie],K$3
)
+COUNTIFS(
    in.unis[empresa], $A25,
    in.unis[especie],"Moto"
)</f>
        <v>0</v>
      </c>
      <c r="L25" s="99"/>
      <c r="M25" s="99"/>
      <c r="N25" s="99"/>
      <c r="O25" s="92"/>
    </row>
    <row r="26" spans="1:15" x14ac:dyDescent="0.25">
      <c r="A26" s="98" t="s">
        <v>17</v>
      </c>
      <c r="B26" s="99" t="s">
        <v>37</v>
      </c>
      <c r="C26" s="135">
        <v>37</v>
      </c>
      <c r="D26" s="135">
        <v>2</v>
      </c>
      <c r="E26" s="135">
        <v>5</v>
      </c>
      <c r="F26" s="136">
        <v>190</v>
      </c>
      <c r="G26" s="118">
        <f t="shared" si="0"/>
        <v>234</v>
      </c>
      <c r="H26" s="119">
        <f t="shared" si="1"/>
        <v>197</v>
      </c>
      <c r="I26" s="137"/>
      <c r="J26" s="135"/>
      <c r="K26" s="135"/>
      <c r="L26" s="135"/>
      <c r="M26" s="135"/>
      <c r="N26" s="135"/>
      <c r="O26" s="138"/>
    </row>
    <row r="27" spans="1:15" x14ac:dyDescent="0.25">
      <c r="A27" s="100" t="s">
        <v>17</v>
      </c>
      <c r="B27" s="101" t="s">
        <v>65</v>
      </c>
      <c r="C27" s="102"/>
      <c r="D27" s="102"/>
      <c r="E27" s="102"/>
      <c r="F27" s="104"/>
      <c r="G27" s="120">
        <f t="shared" si="0"/>
        <v>0</v>
      </c>
      <c r="H27" s="121">
        <f t="shared" si="1"/>
        <v>0</v>
      </c>
      <c r="I27" s="106"/>
      <c r="J27" s="102"/>
      <c r="K27" s="102"/>
      <c r="L27" s="102"/>
      <c r="M27" s="102"/>
      <c r="N27" s="102"/>
      <c r="O27" s="103"/>
    </row>
    <row r="28" spans="1:15" x14ac:dyDescent="0.25">
      <c r="A28" s="95" t="s">
        <v>18</v>
      </c>
      <c r="B28" s="96" t="s">
        <v>35</v>
      </c>
      <c r="C28" s="96">
        <f>R10</f>
        <v>0</v>
      </c>
      <c r="D28" s="96">
        <f>S10+T10</f>
        <v>0</v>
      </c>
      <c r="E28" s="96">
        <f>U10+W10+V10</f>
        <v>0</v>
      </c>
      <c r="F28" s="93">
        <f>X10</f>
        <v>0</v>
      </c>
      <c r="G28" s="116">
        <f t="shared" si="0"/>
        <v>0</v>
      </c>
      <c r="H28" s="117">
        <f t="shared" si="1"/>
        <v>0</v>
      </c>
      <c r="I28" s="115">
        <f>COUNTIFS(
    in.unis[empresa], $A28,
    in.unis[especie],I$3
)</f>
        <v>0</v>
      </c>
      <c r="J28" s="96">
        <f>COUNTIFS(
    in.unis[empresa], $A28,
    in.unis[especie],J$3
)</f>
        <v>0</v>
      </c>
      <c r="K28" s="96">
        <f>COUNTIFS(
    in.unis[empresa], $A28,
    in.unis[especie],K$3
)</f>
        <v>0</v>
      </c>
      <c r="L28" s="96"/>
      <c r="M28" s="96"/>
      <c r="N28" s="96"/>
      <c r="O28" s="97"/>
    </row>
    <row r="29" spans="1:15" x14ac:dyDescent="0.25">
      <c r="A29" s="98" t="s">
        <v>18</v>
      </c>
      <c r="B29" s="99" t="s">
        <v>34</v>
      </c>
      <c r="C29" s="99">
        <f>COUNTIFS(
    in.unis[empresa], $A31,
    in.unis[situacao], C$3
)</f>
        <v>0</v>
      </c>
      <c r="D29" s="99">
        <f>COUNTIFS(
    in.unis[empresa], $A31,
    in.unis[situacao], D$3
)</f>
        <v>0</v>
      </c>
      <c r="E29" s="99">
        <f>COUNTIFS(
    in.unis[empresa], $A29,
    in.unis[situacao], E$3
)
+COUNTIFS(
    in.unis[empresa], $A29,
    in.unis[situacao], F$3,
    in.unis[data], "&gt;" &amp; inputs!$A$1
)</f>
        <v>0</v>
      </c>
      <c r="F29" s="94">
        <f>COUNTIFS(
    in.unis[empresa], $A29,
    in.unis[situacao], F$3,
    in.unis[data], "&lt;=" &amp; inputs!$A$1
)</f>
        <v>0</v>
      </c>
      <c r="G29" s="118">
        <f t="shared" si="0"/>
        <v>0</v>
      </c>
      <c r="H29" s="119">
        <f t="shared" si="1"/>
        <v>0</v>
      </c>
      <c r="I29" s="105">
        <f>COUNTIFS(
    in.unis[empresa], $A29,
    in.unis[especie],I$3
)</f>
        <v>0</v>
      </c>
      <c r="J29" s="99">
        <f>COUNTIFS(
    in.r9[empresa], $A29,
    in.r9[especie],J$3
)</f>
        <v>0</v>
      </c>
      <c r="K29" s="99">
        <f>COUNTIFS(
    in.r9[empresa], $A29,
    in.r9[especie],K$3
)
+COUNTIFS(
    in.unis[empresa], $A29,
    in.unis[especie],"Moto"
)</f>
        <v>0</v>
      </c>
      <c r="L29" s="99"/>
      <c r="M29" s="99"/>
      <c r="N29" s="99"/>
      <c r="O29" s="92"/>
    </row>
    <row r="30" spans="1:15" x14ac:dyDescent="0.25">
      <c r="A30" s="98" t="s">
        <v>18</v>
      </c>
      <c r="B30" s="99" t="s">
        <v>37</v>
      </c>
      <c r="C30" s="135"/>
      <c r="D30" s="135"/>
      <c r="E30" s="135"/>
      <c r="F30" s="136"/>
      <c r="G30" s="118">
        <f t="shared" si="0"/>
        <v>0</v>
      </c>
      <c r="H30" s="119">
        <f t="shared" si="1"/>
        <v>0</v>
      </c>
      <c r="I30" s="137"/>
      <c r="J30" s="135"/>
      <c r="K30" s="135"/>
      <c r="L30" s="135"/>
      <c r="M30" s="135"/>
      <c r="N30" s="135"/>
      <c r="O30" s="138"/>
    </row>
    <row r="31" spans="1:15" ht="15.75" thickBot="1" x14ac:dyDescent="0.3">
      <c r="A31" s="100" t="s">
        <v>18</v>
      </c>
      <c r="B31" s="101" t="s">
        <v>65</v>
      </c>
      <c r="C31" s="102"/>
      <c r="D31" s="102"/>
      <c r="E31" s="102"/>
      <c r="F31" s="104"/>
      <c r="G31" s="122">
        <f t="shared" si="0"/>
        <v>0</v>
      </c>
      <c r="H31" s="123">
        <f t="shared" si="1"/>
        <v>0</v>
      </c>
      <c r="I31" s="106"/>
      <c r="J31" s="102"/>
      <c r="K31" s="102"/>
      <c r="L31" s="102"/>
      <c r="M31" s="102"/>
      <c r="N31" s="102"/>
      <c r="O31" s="103"/>
    </row>
    <row r="32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dimension ref="A1:DV1"/>
  <sheetViews>
    <sheetView workbookViewId="0"/>
  </sheetViews>
  <sheetFormatPr defaultRowHeight="15" x14ac:dyDescent="0.25"/>
  <sheetData>
    <row r="1" spans="1:126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s="88" t="s">
        <v>188</v>
      </c>
      <c r="P1" s="89" t="s">
        <v>206</v>
      </c>
      <c r="Q1" t="s">
        <v>76</v>
      </c>
      <c r="R1" t="s">
        <v>78</v>
      </c>
      <c r="S1" t="s">
        <v>79</v>
      </c>
      <c r="T1" t="s">
        <v>80</v>
      </c>
      <c r="U1" t="s">
        <v>81</v>
      </c>
      <c r="V1" t="s">
        <v>82</v>
      </c>
      <c r="W1" t="s">
        <v>83</v>
      </c>
      <c r="X1" t="s">
        <v>84</v>
      </c>
      <c r="Y1" t="s">
        <v>85</v>
      </c>
      <c r="Z1" t="s">
        <v>86</v>
      </c>
      <c r="AA1" t="s">
        <v>87</v>
      </c>
      <c r="AB1" t="s">
        <v>88</v>
      </c>
      <c r="AC1" t="s">
        <v>89</v>
      </c>
      <c r="AD1" t="s">
        <v>90</v>
      </c>
      <c r="AE1" t="s">
        <v>91</v>
      </c>
      <c r="AF1" t="s">
        <v>92</v>
      </c>
      <c r="AG1" t="s">
        <v>93</v>
      </c>
      <c r="AH1" t="s">
        <v>94</v>
      </c>
      <c r="AI1" t="s">
        <v>95</v>
      </c>
      <c r="AJ1" t="s">
        <v>96</v>
      </c>
      <c r="AK1" t="s">
        <v>97</v>
      </c>
      <c r="AL1" t="s">
        <v>98</v>
      </c>
      <c r="AM1" t="s">
        <v>99</v>
      </c>
      <c r="AN1" t="s">
        <v>100</v>
      </c>
      <c r="AO1" t="s">
        <v>101</v>
      </c>
      <c r="AP1" t="s">
        <v>102</v>
      </c>
      <c r="AQ1" t="s">
        <v>103</v>
      </c>
      <c r="AR1" t="s">
        <v>104</v>
      </c>
      <c r="AS1" t="s">
        <v>105</v>
      </c>
      <c r="AT1" t="s">
        <v>106</v>
      </c>
      <c r="AU1" t="s">
        <v>107</v>
      </c>
      <c r="AV1" t="s">
        <v>108</v>
      </c>
      <c r="AW1" t="s">
        <v>109</v>
      </c>
      <c r="AX1" t="s">
        <v>110</v>
      </c>
      <c r="AY1" t="s">
        <v>111</v>
      </c>
      <c r="AZ1" t="s">
        <v>112</v>
      </c>
      <c r="BA1" t="s">
        <v>113</v>
      </c>
      <c r="BB1" t="s">
        <v>114</v>
      </c>
      <c r="BC1" t="s">
        <v>115</v>
      </c>
      <c r="BD1" t="s">
        <v>116</v>
      </c>
      <c r="BE1" t="s">
        <v>117</v>
      </c>
      <c r="BF1" t="s">
        <v>118</v>
      </c>
      <c r="BG1" t="s">
        <v>119</v>
      </c>
      <c r="BH1" t="s">
        <v>120</v>
      </c>
      <c r="BI1" t="s">
        <v>121</v>
      </c>
      <c r="BJ1" t="s">
        <v>122</v>
      </c>
      <c r="BK1" t="s">
        <v>123</v>
      </c>
      <c r="BL1" t="s">
        <v>124</v>
      </c>
      <c r="BM1" t="s">
        <v>125</v>
      </c>
      <c r="BN1" t="s">
        <v>126</v>
      </c>
      <c r="BO1" t="s">
        <v>127</v>
      </c>
      <c r="BP1" t="s">
        <v>128</v>
      </c>
      <c r="BQ1" t="s">
        <v>129</v>
      </c>
      <c r="BR1" t="s">
        <v>130</v>
      </c>
      <c r="BS1" t="s">
        <v>131</v>
      </c>
      <c r="BT1" t="s">
        <v>132</v>
      </c>
      <c r="BU1" t="s">
        <v>133</v>
      </c>
      <c r="BV1" t="s">
        <v>134</v>
      </c>
      <c r="BW1" t="s">
        <v>135</v>
      </c>
      <c r="BX1" t="s">
        <v>136</v>
      </c>
      <c r="BY1" t="s">
        <v>137</v>
      </c>
      <c r="BZ1" t="s">
        <v>138</v>
      </c>
      <c r="CA1" t="s">
        <v>139</v>
      </c>
      <c r="CB1" t="s">
        <v>140</v>
      </c>
      <c r="CC1" t="s">
        <v>141</v>
      </c>
      <c r="CD1" t="s">
        <v>142</v>
      </c>
      <c r="CE1" t="s">
        <v>143</v>
      </c>
      <c r="CF1" t="s">
        <v>144</v>
      </c>
      <c r="CG1" t="s">
        <v>145</v>
      </c>
      <c r="CH1" t="s">
        <v>146</v>
      </c>
      <c r="CI1" t="s">
        <v>147</v>
      </c>
      <c r="CJ1" t="s">
        <v>148</v>
      </c>
      <c r="CK1" t="s">
        <v>149</v>
      </c>
      <c r="CL1" t="s">
        <v>150</v>
      </c>
      <c r="CM1" t="s">
        <v>151</v>
      </c>
      <c r="CN1" t="s">
        <v>152</v>
      </c>
      <c r="CO1" t="s">
        <v>153</v>
      </c>
      <c r="CP1" t="s">
        <v>154</v>
      </c>
      <c r="CQ1" t="s">
        <v>155</v>
      </c>
      <c r="CR1" t="s">
        <v>156</v>
      </c>
      <c r="CS1" t="s">
        <v>157</v>
      </c>
      <c r="CT1" t="s">
        <v>158</v>
      </c>
      <c r="CU1" t="s">
        <v>159</v>
      </c>
      <c r="CV1" t="s">
        <v>160</v>
      </c>
      <c r="CW1" t="s">
        <v>161</v>
      </c>
      <c r="CX1" t="s">
        <v>162</v>
      </c>
      <c r="CY1" t="s">
        <v>163</v>
      </c>
      <c r="CZ1" t="s">
        <v>164</v>
      </c>
      <c r="DA1" t="s">
        <v>165</v>
      </c>
      <c r="DB1" t="s">
        <v>166</v>
      </c>
      <c r="DC1" t="s">
        <v>167</v>
      </c>
      <c r="DD1" t="s">
        <v>168</v>
      </c>
      <c r="DE1" t="s">
        <v>169</v>
      </c>
      <c r="DF1" t="s">
        <v>170</v>
      </c>
      <c r="DG1" t="s">
        <v>171</v>
      </c>
      <c r="DH1" t="s">
        <v>172</v>
      </c>
      <c r="DI1" t="s">
        <v>173</v>
      </c>
      <c r="DJ1" t="s">
        <v>174</v>
      </c>
      <c r="DK1" t="s">
        <v>175</v>
      </c>
      <c r="DL1" t="s">
        <v>176</v>
      </c>
      <c r="DM1" t="s">
        <v>177</v>
      </c>
      <c r="DN1" t="s">
        <v>178</v>
      </c>
      <c r="DO1" t="s">
        <v>179</v>
      </c>
      <c r="DP1" t="s">
        <v>180</v>
      </c>
      <c r="DQ1" t="s">
        <v>181</v>
      </c>
      <c r="DR1" t="s">
        <v>182</v>
      </c>
      <c r="DS1" t="s">
        <v>183</v>
      </c>
      <c r="DT1" t="s">
        <v>184</v>
      </c>
      <c r="DU1" t="s">
        <v>185</v>
      </c>
      <c r="DV1" t="s">
        <v>186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workbookViewId="0"/>
  </sheetViews>
  <sheetFormatPr defaultRowHeight="15" x14ac:dyDescent="0.25"/>
  <sheetData>
    <row r="1" spans="1:12" x14ac:dyDescent="0.25">
      <c r="A1" s="86" t="s">
        <v>74</v>
      </c>
      <c r="B1" s="86" t="s">
        <v>233</v>
      </c>
      <c r="C1" s="86" t="s">
        <v>188</v>
      </c>
      <c r="D1" s="86" t="s">
        <v>234</v>
      </c>
      <c r="E1" s="86" t="s">
        <v>235</v>
      </c>
      <c r="F1" s="86" t="s">
        <v>236</v>
      </c>
      <c r="G1" s="86" t="s">
        <v>237</v>
      </c>
      <c r="H1" s="86" t="s">
        <v>238</v>
      </c>
      <c r="I1" s="86" t="s">
        <v>239</v>
      </c>
      <c r="J1" s="86" t="s">
        <v>240</v>
      </c>
      <c r="K1" s="86" t="s">
        <v>241</v>
      </c>
      <c r="L1" s="86" t="s">
        <v>227</v>
      </c>
    </row>
    <row r="2" spans="1:12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workbookViewId="0"/>
  </sheetViews>
  <sheetFormatPr defaultRowHeight="15" x14ac:dyDescent="0.25"/>
  <sheetData>
    <row r="1" spans="1:38" x14ac:dyDescent="0.25">
      <c r="A1" t="s">
        <v>193</v>
      </c>
      <c r="B1" t="s">
        <v>74</v>
      </c>
      <c r="C1" t="s">
        <v>194</v>
      </c>
      <c r="D1" t="s">
        <v>195</v>
      </c>
      <c r="E1" t="s">
        <v>11</v>
      </c>
      <c r="F1" t="s">
        <v>242</v>
      </c>
      <c r="G1" t="s">
        <v>243</v>
      </c>
      <c r="H1" t="s">
        <v>244</v>
      </c>
      <c r="I1" t="s">
        <v>53</v>
      </c>
      <c r="J1" t="s">
        <v>245</v>
      </c>
      <c r="K1" t="s">
        <v>246</v>
      </c>
      <c r="L1" t="s">
        <v>247</v>
      </c>
      <c r="M1" t="s">
        <v>248</v>
      </c>
      <c r="N1" t="s">
        <v>249</v>
      </c>
      <c r="O1" t="s">
        <v>250</v>
      </c>
      <c r="P1" t="s">
        <v>251</v>
      </c>
      <c r="Q1" t="s">
        <v>252</v>
      </c>
      <c r="R1" t="s">
        <v>253</v>
      </c>
      <c r="S1" t="s">
        <v>254</v>
      </c>
      <c r="T1" t="s">
        <v>255</v>
      </c>
      <c r="U1" t="s">
        <v>256</v>
      </c>
      <c r="V1" t="s">
        <v>75</v>
      </c>
      <c r="W1" t="s">
        <v>257</v>
      </c>
      <c r="X1" t="s">
        <v>258</v>
      </c>
      <c r="Y1" t="s">
        <v>259</v>
      </c>
      <c r="Z1" t="s">
        <v>260</v>
      </c>
      <c r="AA1" t="s">
        <v>187</v>
      </c>
      <c r="AB1" t="s">
        <v>261</v>
      </c>
      <c r="AC1" t="s">
        <v>262</v>
      </c>
      <c r="AD1" t="s">
        <v>263</v>
      </c>
      <c r="AE1" t="s">
        <v>264</v>
      </c>
      <c r="AF1" t="s">
        <v>265</v>
      </c>
      <c r="AG1" t="s">
        <v>266</v>
      </c>
      <c r="AH1" t="s">
        <v>267</v>
      </c>
      <c r="AI1" t="s">
        <v>268</v>
      </c>
      <c r="AJ1" t="s">
        <v>227</v>
      </c>
      <c r="AK1" t="s">
        <v>228</v>
      </c>
      <c r="AL1" t="s">
        <v>230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dimension ref="A1:AM1"/>
  <sheetViews>
    <sheetView workbookViewId="0"/>
  </sheetViews>
  <sheetFormatPr defaultRowHeight="15" x14ac:dyDescent="0.25"/>
  <sheetData>
    <row r="1" spans="1:39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t="s">
        <v>196</v>
      </c>
      <c r="G1" t="s">
        <v>197</v>
      </c>
      <c r="H1" t="s">
        <v>198</v>
      </c>
      <c r="I1" t="s">
        <v>208</v>
      </c>
      <c r="J1" t="s">
        <v>191</v>
      </c>
      <c r="K1" t="s">
        <v>209</v>
      </c>
      <c r="L1" t="s">
        <v>210</v>
      </c>
      <c r="M1" t="s">
        <v>211</v>
      </c>
      <c r="N1" t="s">
        <v>212</v>
      </c>
      <c r="O1" t="s">
        <v>213</v>
      </c>
      <c r="P1" t="s">
        <v>214</v>
      </c>
      <c r="Q1" t="s">
        <v>215</v>
      </c>
      <c r="R1" t="s">
        <v>216</v>
      </c>
      <c r="S1" t="s">
        <v>217</v>
      </c>
      <c r="T1" t="s">
        <v>218</v>
      </c>
      <c r="U1" t="s">
        <v>219</v>
      </c>
      <c r="V1" t="s">
        <v>220</v>
      </c>
      <c r="W1" t="s">
        <v>221</v>
      </c>
      <c r="X1" t="s">
        <v>222</v>
      </c>
      <c r="Y1" t="s">
        <v>223</v>
      </c>
      <c r="Z1" t="s">
        <v>224</v>
      </c>
      <c r="AA1" t="s">
        <v>194</v>
      </c>
      <c r="AB1" t="s">
        <v>195</v>
      </c>
      <c r="AC1" t="s">
        <v>225</v>
      </c>
      <c r="AD1" t="s">
        <v>226</v>
      </c>
      <c r="AE1" t="s">
        <v>199</v>
      </c>
      <c r="AF1" t="s">
        <v>227</v>
      </c>
      <c r="AG1" t="s">
        <v>228</v>
      </c>
      <c r="AH1" t="s">
        <v>229</v>
      </c>
      <c r="AI1" t="s">
        <v>230</v>
      </c>
      <c r="AJ1" t="s">
        <v>231</v>
      </c>
      <c r="AK1" t="s">
        <v>232</v>
      </c>
      <c r="AL1" t="s">
        <v>193</v>
      </c>
      <c r="AM1" t="s">
        <v>76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workbookViewId="0"/>
  </sheetViews>
  <sheetFormatPr defaultRowHeight="15" x14ac:dyDescent="0.25"/>
  <cols>
    <col min="1" max="1" width="10.42578125" customWidth="1"/>
  </cols>
  <sheetData>
    <row r="1" spans="1:41" x14ac:dyDescent="0.25">
      <c r="A1" t="s">
        <v>207</v>
      </c>
      <c r="B1" t="s">
        <v>269</v>
      </c>
      <c r="C1" t="s">
        <v>224</v>
      </c>
      <c r="D1" t="s">
        <v>195</v>
      </c>
      <c r="E1" t="s">
        <v>270</v>
      </c>
      <c r="F1" t="s">
        <v>194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258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227</v>
      </c>
      <c r="AK1" t="s">
        <v>228</v>
      </c>
      <c r="AL1" t="s">
        <v>229</v>
      </c>
      <c r="AM1" t="s">
        <v>230</v>
      </c>
      <c r="AN1" t="s">
        <v>74</v>
      </c>
      <c r="AO1" t="s">
        <v>193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716d902fbf996f37ba3a641cf96573da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89c6024831a252706c7c482af6114049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2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9D408E9-843B-4B4D-ABCA-8AC42B79683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inputs</vt:lpstr>
      <vt:lpstr>viabs</vt:lpstr>
      <vt:lpstr>resumo</vt:lpstr>
      <vt:lpstr>unis</vt:lpstr>
      <vt:lpstr>rec.uni</vt:lpstr>
      <vt:lpstr>in.ecns</vt:lpstr>
      <vt:lpstr>in.r9</vt:lpstr>
      <vt:lpstr>in.rec</vt:lpstr>
      <vt:lpstr>in.unis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2025-12-18T20:22:19Z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