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211" documentId="11_8BDB85793461764BD106A2AB1F101464FD041DB6" xr6:coauthVersionLast="47" xr6:coauthVersionMax="47" xr10:uidLastSave="{8E1B558C-7DB6-4C72-878C-BA66BE5A1C3F}"/>
  <bookViews>
    <workbookView xWindow="-28920" yWindow="-7905" windowWidth="29040" windowHeight="15840" xr2:uid="{00000000-000D-0000-FFFF-FFFF00000000}"/>
  </bookViews>
  <sheets>
    <sheet name="Nomeador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<sst xmlns="http://schemas.openxmlformats.org/spreadsheetml/2006/main" count="35" uniqueCount="33">
  <si>
    <t>Basta preencher as 4 células com bordas vermelhas e copiar o nome do arquivo!</t>
  </si>
  <si>
    <t>1. Qual é o tipo do arquivo a ser nomeado?</t>
  </si>
  <si>
    <t>Contratos (contr)</t>
  </si>
  <si>
    <t>2. Qual é o ano e o mês de referência do arquivo?</t>
  </si>
  <si>
    <t>Julho</t>
  </si>
  <si>
    <t>O nome do arquivo deve ser:</t>
  </si>
  <si>
    <t>3. O arquivo se refere a qual empreendimento?</t>
  </si>
  <si>
    <t>BUT</t>
  </si>
  <si>
    <t>Tipos de arquivo</t>
  </si>
  <si>
    <t>Empreendimentos</t>
  </si>
  <si>
    <t>AVR</t>
  </si>
  <si>
    <t>Inadimplencia (inad)</t>
  </si>
  <si>
    <t>AVS</t>
  </si>
  <si>
    <t>CBL</t>
  </si>
  <si>
    <t>CHR</t>
  </si>
  <si>
    <t>CPE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</si>
  <si>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</si>
  <si>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</si>
  <si>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</si>
  <si>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</si>
  <si>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</si>
  <si>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</si>
  <si>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</si>
  <si>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</si>
  <si>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</si>
  <si>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PDI</t>
  </si>
  <si>
    <t>POM</t>
  </si>
  <si>
    <t>SAU</t>
  </si>
  <si>
    <t>SBB</t>
  </si>
  <si>
    <t>SN2</t>
  </si>
  <si>
    <t>SN4</t>
  </si>
  <si>
    <t>SOC</t>
  </si>
  <si>
    <t>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</si>
</sst>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 style="thin">
        <color rgb="FFEE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0" borderId="4" xfId="0" applyBorder="1"/>
    <xf numFmtId="0" fontId="2" fillId="0" borderId="2" xfId="0" applyFont="1" applyBorder="1"/>
    <xf numFmtId="0" fontId="2" fillId="0" borderId="1" xfId="0" applyFont="1" applyBorder="1"/>
    <xf numFmtId="0" fontId="0" fillId="0" borderId="5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</xdr:colOff>
      <xdr:row>2</xdr:row>
      <xdr:rowOff>0</xdr:rowOff>
    </xdr:from>
    <xdr:to>
      <xdr:col>5</xdr:col>
      <xdr:colOff>9524</xdr:colOff>
      <xdr:row>6</xdr:row>
      <xdr:rowOff>228600</xdr:rowOff>
    </xdr:to>
    <xdr:pic>
      <xdr:nvPicPr>
        <xdr:cNvPr id="4" name="Gráfico 3" descr="Seta para Direita com preenchimento sólido">
          <a:extLst>
            <a:ext uri="{FF2B5EF4-FFF2-40B4-BE49-F238E27FC236}">
              <a16:creationId xmlns:a16="http://schemas.microsoft.com/office/drawing/2014/main" id="{FE3FD731-7F54-4786-8F5E-77598C3E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10174" y="190500"/>
          <a:ext cx="1381125" cy="1143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46E98-24B9-47C6-A13E-E352DB365C8F}" name="tipos" displayName="tipos" ref="B11:B13" totalsRowShown="0">
  <tableColumns count="1">
    <tableColumn id="1" xr3:uid="{8FCC4225-70B3-41BF-B019-1011C956F566}" name="Tipos de arquiv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4EABC4-6A33-4718-9BCE-E1A3BA547DAE}" name="empreendimentos" displayName="empreendimentos" ref="E11:E34" totalsRowShown="0" dataDxfId="2">
  <tableColumns count="1">
    <tableColumn id="1" xr3:uid="{9FD3D6E2-4108-48F3-8813-131FF4BB2FC6}" name="Empreendimento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activeCell="C19" sqref="C19"/>
    </sheetView>
  </sheetViews>
  <sheetFormatPr defaultColWidth="0" defaultRowHeight="15" zeroHeight="1" x14ac:dyDescent="0.25"/>
  <cols>
    <col min="1" max="1" width="3.7109375" customWidth="1"/>
    <col min="2" max="2" width="64.85546875" bestFit="1" customWidth="1"/>
    <col min="3" max="3" width="10.7109375" customWidth="1"/>
    <col min="4" max="4" width="19.5703125" bestFit="1" customWidth="1"/>
    <col min="5" max="5" width="20.7109375" customWidth="1"/>
    <col min="6" max="6" width="38" bestFit="1" customWidth="1"/>
    <col min="7" max="7" width="3.7109375" customWidth="1"/>
    <col min="8" max="8" width="33.7109375" hidden="1" customWidth="1"/>
    <col min="9" max="9" width="9.140625" hidden="1" customWidth="1"/>
    <col min="10" max="10" width="20.7109375" hidden="1" customWidth="1"/>
    <col min="11" max="16384" width="9.140625" hidden="1"/>
  </cols>
  <sheetData>
    <row r="1" spans="2:6" x14ac:dyDescent="0.25">
      <c r="B1" s="7" t="s">
        <v>0</v>
      </c>
    </row>
    <row r="2" spans="2:6" x14ac:dyDescent="0.25"/>
    <row r="3" spans="2:6" ht="21" x14ac:dyDescent="0.35">
      <c r="B3" s="5" t="s">
        <v>1</v>
      </c>
      <c r="C3" s="3"/>
      <c r="D3" s="6" t="s">
        <v>2</v>
      </c>
    </row>
    <row r="4" spans="2:6" x14ac:dyDescent="0.25"/>
    <row r="5" spans="2:6" ht="21" x14ac:dyDescent="0.35">
      <c r="B5" s="5" t="s">
        <v>3</v>
      </c>
      <c r="C5" s="6">
        <v>2025</v>
      </c>
      <c r="D5" s="6" t="s">
        <v>4</v>
      </c>
      <c r="F5" s="4" t="s">
        <v>5</v>
      </c>
    </row>
    <row r="6" spans="2:6" x14ac:dyDescent="0.25">
      <c r="F6" s="2" t="str">
        <f>_xlfn.CONCAT(IF(D3="Contratos (contr)","Contratos",IF(D3="Inadimplencia (inad)","Inadimplencia","")),"-",D7,"-",C5,"_",_xlfn.IFS(D5="Janeiro","01",D5="Fevereiro","02",D5="Março","03",D5="Abril","04",D5="Maio","05",D5="Junho","06",D5="Julho","07",D5="Agosto","08",D5="Setembro","09",D5="Outubro",10,D5="Novembro","11",D5="Dezembro","12"))</f>
        <v>Contratos-BUT-2025_07</v>
      </c>
    </row>
    <row r="7" spans="2:6" ht="21" x14ac:dyDescent="0.35">
      <c r="B7" s="5" t="s">
        <v>6</v>
      </c>
      <c r="C7" s="3"/>
      <c r="D7" s="6" t="s">
        <v>7</v>
      </c>
    </row>
    <row r="8" spans="2:6" x14ac:dyDescent="0.25"/>
    <row r="9" spans="2:6" x14ac:dyDescent="0.25"/>
    <row r="10" spans="2:6" x14ac:dyDescent="0.25"/>
    <row r="11" spans="2:6" x14ac:dyDescent="0.25">
      <c r="B11" t="s">
        <v>8</v>
      </c>
      <c r="E11" t="s">
        <v>9</v>
      </c>
    </row>
    <row r="12" spans="2:6" x14ac:dyDescent="0.25">
      <c r="B12" t="s">
        <v>2</v>
      </c>
      <c r="E12" s="1" t="s">
        <v>10</v>
      </c>
    </row>
    <row r="13" spans="2:6" x14ac:dyDescent="0.25">
      <c r="B13" t="s">
        <v>11</v>
      </c>
      <c r="E13" s="1" t="s">
        <v>12</v>
      </c>
    </row>
    <row r="14" spans="2:6" x14ac:dyDescent="0.25">
      <c r="E14" s="1" t="s">
        <v>7</v>
      </c>
    </row>
    <row r="15" spans="2:6" x14ac:dyDescent="0.25">
      <c r="E15" s="1" t="s">
        <v>13</v>
      </c>
    </row>
    <row r="16" spans="2:6" x14ac:dyDescent="0.25">
      <c r="E16" s="1" t="s">
        <v>14</v>
      </c>
    </row>
    <row r="17" spans="5:5" x14ac:dyDescent="0.25">
      <c r="E17" s="1" t="s">
        <v>15</v>
      </c>
    </row>
    <row r="18" spans="5:5" x14ac:dyDescent="0.25">
      <c r="E18" s="1" t="s">
        <v>16</v>
      </c>
    </row>
    <row r="19" spans="5:5" x14ac:dyDescent="0.25">
      <c r="E19" s="1" t="s">
        <v>17</v>
      </c>
    </row>
    <row r="20" spans="5:5" x14ac:dyDescent="0.25">
      <c r="E20" s="1" t="s">
        <v>18</v>
      </c>
    </row>
    <row r="21" spans="5:5" x14ac:dyDescent="0.25">
      <c r="E21" s="1" t="s">
        <v>19</v>
      </c>
    </row>
    <row r="22" spans="5:5" x14ac:dyDescent="0.25">
      <c r="E22" s="1" t="s">
        <v>20</v>
      </c>
    </row>
    <row r="23" spans="5:5" x14ac:dyDescent="0.25">
      <c r="E23" s="1" t="s">
        <v>21</v>
      </c>
    </row>
    <row r="24" spans="5:5" x14ac:dyDescent="0.25">
      <c r="E24" s="1" t="s">
        <v>22</v>
      </c>
    </row>
    <row r="25" spans="5:5" x14ac:dyDescent="0.25">
      <c r="E25" s="1" t="s">
        <v>23</v>
      </c>
    </row>
    <row r="26" spans="5:5" x14ac:dyDescent="0.25">
      <c r="E26" s="1" t="s">
        <v>24</v>
      </c>
    </row>
    <row r="27" spans="5:5" x14ac:dyDescent="0.25">
      <c r="E27" s="1" t="s">
        <v>25</v>
      </c>
    </row>
    <row r="28" spans="5:5" x14ac:dyDescent="0.25">
      <c r="E28" s="1" t="s">
        <v>26</v>
      </c>
    </row>
    <row r="29" spans="5:5" x14ac:dyDescent="0.25">
      <c r="E29" s="1" t="s">
        <v>27</v>
      </c>
    </row>
    <row r="30" spans="5:5" x14ac:dyDescent="0.25">
      <c r="E30" s="1" t="s">
        <v>28</v>
      </c>
    </row>
    <row r="31" spans="5:5" x14ac:dyDescent="0.25">
      <c r="E31" s="1" t="s">
        <v>29</v>
      </c>
    </row>
    <row r="32" spans="5:5" x14ac:dyDescent="0.25">
      <c r="E32" s="1" t="s">
        <v>30</v>
      </c>
    </row>
    <row r="33" spans="5:5" x14ac:dyDescent="0.25">
      <c r="E33" s="1" t="s">
        <v>31</v>
      </c>
    </row>
    <row r="34" spans="5:5" x14ac:dyDescent="0.25">
      <c r="E34" s="1" t="s">
        <v>32</v>
      </c>
    </row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x14ac:dyDescent="0.25"/>
    <row r="50" x14ac:dyDescent="0.25"/>
  </sheetData>
  <sheetProtection algorithmName="SHA-512" hashValue="1TE4otWnNaA/ODa3mDXOsTxBzUa7TNT/AWUKvPa+zIWelklZrAVOaRF2F/NV51e8NeLMZn5P9FQiQvWlZwWxMg==" saltValue="9pqYckD2lbbTQB2kN1v57A==" spinCount="100000" sheet="1" objects="1" scenarios="1"/>
  <protectedRanges>
    <protectedRange sqref="D3 C5 D5 D7 B12:B28 E12:E48" name="usar"/>
  </protectedRanges>
  <dataConsolidate/>
  <conditionalFormatting sqref="D3 C5:D5 D7">
    <cfRule type="containsBlanks" dxfId="0" priority="1">
      <formula>LEN(TRIM(C3))=0</formula>
    </cfRule>
  </conditionalFormatting>
  <dataValidations disablePrompts="1" count="4">
    <dataValidation type="list" allowBlank="1" showInputMessage="1" showErrorMessage="1" sqref="D3" xr:uid="{6DF6D08E-F022-470A-82EF-7926C5CC47C9}">
      <formula1>INDIRECT("tipos[Tipos de arquivo]")</formula1>
    </dataValidation>
    <dataValidation type="list" allowBlank="1" showInputMessage="1" showErrorMessage="1" sqref="D7" xr:uid="{979F4CFC-E8EA-4591-9A54-7B4BB7E5B8B6}">
      <formula1>INDIRECT("empreendimentos[Empreendimentos]")</formula1>
    </dataValidation>
    <dataValidation type="list" allowBlank="1" showInputMessage="1" showErrorMessage="1" sqref="C5" xr:uid="{E7E11770-E4AE-457D-85EF-9487304025CF}">
      <formula1>"2011, 2012, 2013, 2014, 2015, 2016, 2017, 2018, 2019, 2020, 2021, 2022, 2023, 2024, 2025, 2026, 2027, 2028, 2029, 2030, 2031, 2032, 2033, 2034, 2035, 2037, 2038, 2039, 2040, 2041, 2042, 2043, 2044, 2045, 2046, 2047, 2048, 2049, 2050"</formula1>
    </dataValidation>
    <dataValidation type="list" allowBlank="1" showInputMessage="1" showErrorMessage="1" sqref="D5" xr:uid="{2E9C9A58-FAD8-4F27-B8AE-9AFB033EC13E}">
      <formula1>"Janeiro, Fevereiro, Março, Abril, Maio, Junho, Julho, Agosto, Setembro, Outubro, Novembro, Dezembro"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D4FB3-33A8-4BDC-8357-D4F39476A5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7A4E3A-2793-49F4-B2B5-E8D79756ECAC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380F78C4-C2DB-4920-B426-6983220553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Ampla</dc:creator>
  <cp:keywords/>
  <dc:description/>
  <cp:lastModifiedBy>Vitor Taira - Ampla Incorporadora</cp:lastModifiedBy>
  <cp:revision/>
  <dcterms:created xsi:type="dcterms:W3CDTF">2015-06-05T18:19:34Z</dcterms:created>
  <dcterms:modified xsi:type="dcterms:W3CDTF">2025-07-28T13:05:05Z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