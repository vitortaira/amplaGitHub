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755" documentId="8_{D1F4C7B1-7EFC-4EDD-A5C5-E3559E65706A}" xr6:coauthVersionLast="47" xr6:coauthVersionMax="47" xr10:uidLastSave="{073E02B8-B737-4905-893E-635A8D3F1B57}"/>
  <bookViews>
    <workbookView xWindow="-120" yWindow="-120" windowWidth="20730" windowHeight="11160" tabRatio="702" activeTab="3" xr2:uid="{D7345102-A081-438D-B0F0-F07847EFEEE5}"/>
  </bookViews>
  <sheets>
    <sheet name="Clientes" sheetId="9" r:id="rId1"/>
    <sheet name="Parcelas" sheetId="8" r:id="rId2"/>
    <sheet name="Tabelas dinâmicas" sheetId="6" r:id="rId3"/>
    <sheet name="Gráficos" sheetId="7" r:id="rId4"/>
    <sheet name="Tabelas dos gráficos" sheetId="13" state="hidden" r:id="rId5"/>
  </sheets>
  <definedNames>
    <definedName name="_xlnm._FilterDatabase" localSheetId="0" hidden="1">Clientes!$A$1:$I$1</definedName>
    <definedName name="_xlnm._FilterDatabase" localSheetId="1" hidden="1">Parcelas!$A$1:$BA$1</definedName>
    <definedName name="clientes">Clientes!$A$1:$I$2</definedName>
    <definedName name="parcelas">Parcelas!$A$1:$T$2</definedName>
  </definedNames>
  <calcPr calcId="191029"/>
  <pivotCaches>
    <pivotCache cacheId="6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7" l="1"/>
</calcChain>
</file>

<file path=xl/sharedStrings.xml><?xml version="1.0" encoding="utf-8"?>
<sst xmlns="http://schemas.openxmlformats.org/spreadsheetml/2006/main" count="101" uniqueCount="78">
  <si>
    <t>Rótulos de Linha</t>
  </si>
  <si>
    <t>Total Geral</t>
  </si>
  <si>
    <t>(vazio)</t>
  </si>
  <si>
    <t>Rótulos de Coluna</t>
  </si>
  <si>
    <t>empreendimento</t>
  </si>
  <si>
    <t>cliente</t>
  </si>
  <si>
    <t>total</t>
  </si>
  <si>
    <t>repassado</t>
  </si>
  <si>
    <t>contrato.ampla</t>
  </si>
  <si>
    <t>contrato.cef</t>
  </si>
  <si>
    <t>unidade</t>
  </si>
  <si>
    <t>quantidade.parcelas</t>
  </si>
  <si>
    <t>parcela</t>
  </si>
  <si>
    <t>atraso</t>
  </si>
  <si>
    <t>vencimento</t>
  </si>
  <si>
    <t>ele</t>
  </si>
  <si>
    <t>principal</t>
  </si>
  <si>
    <t>juros</t>
  </si>
  <si>
    <t>encargos</t>
  </si>
  <si>
    <t>juros.mora</t>
  </si>
  <si>
    <t>multa</t>
  </si>
  <si>
    <t>seguro</t>
  </si>
  <si>
    <t>telefone</t>
  </si>
  <si>
    <t>esp.inad</t>
  </si>
  <si>
    <t>r/f</t>
  </si>
  <si>
    <t>data.consulta</t>
  </si>
  <si>
    <t>tipo.contrato</t>
  </si>
  <si>
    <t>contrato.alternativo</t>
  </si>
  <si>
    <t>sit</t>
  </si>
  <si>
    <t>cotista</t>
  </si>
  <si>
    <t>autorizado</t>
  </si>
  <si>
    <t>data.contrato</t>
  </si>
  <si>
    <t>cpf/cnpj</t>
  </si>
  <si>
    <t>identificacao.imovel</t>
  </si>
  <si>
    <t>id.cartao</t>
  </si>
  <si>
    <t>moeda</t>
  </si>
  <si>
    <t>esp.contr</t>
  </si>
  <si>
    <t>data.rescisao</t>
  </si>
  <si>
    <t>notificacao</t>
  </si>
  <si>
    <t>data.notificacao</t>
  </si>
  <si>
    <t>criado.por</t>
  </si>
  <si>
    <t>criado.em</t>
  </si>
  <si>
    <t>alterado.por</t>
  </si>
  <si>
    <t>alterado.em</t>
  </si>
  <si>
    <t>notificado.por</t>
  </si>
  <si>
    <t>notificado.em</t>
  </si>
  <si>
    <t>observacao</t>
  </si>
  <si>
    <t>data.autorizacao</t>
  </si>
  <si>
    <t>usuario.autorizacao</t>
  </si>
  <si>
    <t>arquivo.inad</t>
  </si>
  <si>
    <t>arquivo.tabela.tipo.inad</t>
  </si>
  <si>
    <t>arquivo.tipo.inad</t>
  </si>
  <si>
    <t>arquivo.fonte.inad</t>
  </si>
  <si>
    <t>arquivo.contr</t>
  </si>
  <si>
    <t>arquivo.tabela.tipo.contr</t>
  </si>
  <si>
    <t>arquivo.tipo.contr</t>
  </si>
  <si>
    <t>arquivo.fonte.contr</t>
  </si>
  <si>
    <t>atraso.meses</t>
  </si>
  <si>
    <t>status</t>
  </si>
  <si>
    <t>anotacoes</t>
  </si>
  <si>
    <t>Contagem de cliente</t>
  </si>
  <si>
    <t>Por status</t>
  </si>
  <si>
    <t xml:space="preserve">Em atendimento </t>
  </si>
  <si>
    <t xml:space="preserve">Cobrança feita, e em negociação para regularização </t>
  </si>
  <si>
    <t xml:space="preserve">Notificado </t>
  </si>
  <si>
    <t xml:space="preserve">Extra Judicial enviada - aguardando prazo </t>
  </si>
  <si>
    <t>Processo com juridico</t>
  </si>
  <si>
    <t>Temos um caso de obito</t>
  </si>
  <si>
    <t>Serasa</t>
  </si>
  <si>
    <t>Clientes que já foram incluidos no serasa</t>
  </si>
  <si>
    <t>Notif. Distrato</t>
  </si>
  <si>
    <t>Clientes sem Repasse - indicação de distrato</t>
  </si>
  <si>
    <t>Definição dos status</t>
  </si>
  <si>
    <t>Por meses de atraso</t>
  </si>
  <si>
    <t>atraso.medio.ponderado</t>
  </si>
  <si>
    <t>atraso.maximo</t>
  </si>
  <si>
    <t>total.cliente</t>
  </si>
  <si>
    <t>Soma de total.cliente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</si>
</sst>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9A9A9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/>
    <xf numFmtId="44" fontId="0" fillId="0" borderId="0" xfId="0" applyNumberFormat="1"/>
    <xf numFmtId="0" fontId="2" fillId="0" borderId="2" xfId="0" applyFont="1" applyBorder="1" applyAlignment="1">
      <alignment horizontal="left"/>
    </xf>
    <xf numFmtId="1" fontId="0" fillId="0" borderId="0" xfId="0" applyNumberFormat="1"/>
    <xf numFmtId="0" fontId="4" fillId="0" borderId="3" xfId="0" applyFont="1" applyBorder="1" applyAlignment="1">
      <alignment horizontal="left"/>
    </xf>
    <xf numFmtId="0" fontId="4" fillId="0" borderId="3" xfId="0" applyFont="1" applyBorder="1"/>
  </cellXfs>
  <cellStyles count="1">
    <cellStyle name="Normal" xfId="0" builtinId="0"/>
  </cellStyles>
  <dxfs count="12">
    <dxf>
      <numFmt numFmtId="1" formatCode="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" formatCode="0"/>
    </dxf>
    <dxf>
      <numFmt numFmtId="34" formatCode="_-&quot;R$&quot;\ * #,##0.00_-;\-&quot;R$&quot;\ * #,##0.00_-;_-&quot;R$&quot;\ * &quot;-&quot;??_-;_-@_-"/>
    </dxf>
    <dxf>
      <numFmt numFmtId="1" formatCode="0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atraso x Empreendimento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'Tabelas dos gráficos'!$B$1:$B$2</c:f>
              <c:strCache>
                <c:ptCount val="1"/>
                <c:pt idx="0">
                  <c:v>(vazio)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gráficos'!$A$3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gráficos'!$B$3</c:f>
              <c:numCache>
                <c:formatCode>_("R$"* #,##0.00_);_("R$"* \(#,##0.00\);_("R$"* "-"??_);_(@_)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69EE-463B-A761-3B9A983EB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dinâmica2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em atraso x Meses em atraso x Empreendimento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'Tabelas dos gráficos'!$B$51:$B$52</c:f>
              <c:strCache>
                <c:ptCount val="1"/>
                <c:pt idx="0">
                  <c:v>(vazio)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gráficos'!$A$53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gráficos'!$B$53</c:f>
              <c:numCache>
                <c:formatCode>_("R$"* #,##0.00_);_("R$"* \(#,##0.00\);_("R$"* "-"??_);_(@_)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CF6A-48FA-92DB-A12BF9700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[Template-Inadimplencia.xlsx]Tabelas dos gráficos!Tabela dinâmica3</c:name>
    <c:fmtId val="3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aseline="0"/>
              <a:t>Clientes em inadimplência x Empreendimento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 dos gráficos'!$B$101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'Tabelas dos gráficos'!$A$102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'Tabelas dos gráficos'!$B$102</c:f>
              <c:numCache>
                <c:formatCode>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763C-4D24-9347-3805A1033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1424976"/>
        <c:axId val="1256278992"/>
      </c:barChart>
      <c:catAx>
        <c:axId val="7914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6278992"/>
        <c:crosses val="autoZero"/>
        <c:auto val="1"/>
        <c:lblAlgn val="ctr"/>
        <c:lblOffset val="100"/>
        <c:noMultiLvlLbl val="0"/>
      </c:catAx>
      <c:valAx>
        <c:axId val="12562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1424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6</xdr:col>
      <xdr:colOff>0</xdr:colOff>
      <xdr:row>17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CF6DB33-2D6E-4630-871D-2BD77835E3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</xdr:row>
      <xdr:rowOff>0</xdr:rowOff>
    </xdr:from>
    <xdr:to>
      <xdr:col>13</xdr:col>
      <xdr:colOff>0</xdr:colOff>
      <xdr:row>17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36EC06F-0C0D-4B73-80FC-58BCD69F12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</xdr:row>
      <xdr:rowOff>0</xdr:rowOff>
    </xdr:from>
    <xdr:to>
      <xdr:col>20</xdr:col>
      <xdr:colOff>0</xdr:colOff>
      <xdr:row>16</xdr:row>
      <xdr:rowOff>178594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6336507F-93FA-43AD-9A9F-6CD541980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5838.676246875002" createdVersion="8" refreshedVersion="8" minRefreshableVersion="3" recordCount="1" xr:uid="{3D107641-2F2B-44F5-A42C-5A8A2B15DF83}">
  <cacheSource type="worksheet">
    <worksheetSource name="clientes"/>
  </cacheSource>
  <cacheFields count="9">
    <cacheField name="empreendimento" numFmtId="0">
      <sharedItems containsNonDate="0" containsString="0" containsBlank="1" count="1">
        <m/>
      </sharedItems>
    </cacheField>
    <cacheField name="cliente" numFmtId="0">
      <sharedItems containsNonDate="0" containsString="0" containsBlank="1" count="1">
        <m/>
      </sharedItems>
    </cacheField>
    <cacheField name="total.cliente" numFmtId="0">
      <sharedItems containsNonDate="0" containsString="0" containsBlank="1" count="1">
        <m/>
      </sharedItems>
    </cacheField>
    <cacheField name="atraso.medio.ponderado" numFmtId="0">
      <sharedItems containsNonDate="0" containsString="0" containsBlank="1" count="1">
        <m/>
      </sharedItems>
    </cacheField>
    <cacheField name="atraso.maximo" numFmtId="0">
      <sharedItems containsNonDate="0" containsString="0" containsBlank="1"/>
    </cacheField>
    <cacheField name="repassado" numFmtId="0">
      <sharedItems containsNonDate="0" containsString="0" containsBlank="1"/>
    </cacheField>
    <cacheField name="atraso.meses" numFmtId="0">
      <sharedItems containsNonDate="0" containsString="0" containsBlank="1" count="1">
        <m/>
      </sharedItems>
    </cacheField>
    <cacheField name="status" numFmtId="0">
      <sharedItems containsNonDate="0" containsString="0" containsBlank="1" count="1">
        <m/>
      </sharedItems>
    </cacheField>
    <cacheField name="anotaco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x v="0"/>
    <m/>
    <m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24695-8EBB-425A-8041-93FA3ACD0FF5}" name="Tabela dinâmica" cacheId="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9:C11" firstHeaderRow="0" firstDataRow="1" firstDataCol="1"/>
  <pivotFields count="9">
    <pivotField showAll="0"/>
    <pivotField dataField="1" showAll="0"/>
    <pivotField dataField="1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 sortType="ascending">
      <items count="2">
        <item x="0"/>
        <item t="default"/>
      </items>
    </pivotField>
    <pivotField showAll="0"/>
  </pivotFields>
  <rowFields count="1">
    <field x="7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.cliente" fld="2" baseField="7" baseItem="0"/>
    <dataField name="Contagem de cliente" fld="1" subtotal="count" baseField="0" baseItem="0"/>
  </dataFields>
  <formats count="3">
    <format dxfId="8">
      <pivotArea grandRow="1" outline="0" collapsedLevelsAreSubtotals="1" fieldPosition="0"/>
    </format>
    <format dxfId="7">
      <pivotArea collapsedLevelsAreSubtotals="1" fieldPosition="0">
        <references count="2">
          <reference field="4294967294" count="1" selected="0">
            <x v="0"/>
          </reference>
          <reference field="7" count="0"/>
        </references>
      </pivotArea>
    </format>
    <format dxfId="6">
      <pivotArea field="7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EDDF09-2530-4E39-9569-9C55776A602B}" name="Tabela dinâmica1" cacheId="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2:C26" firstHeaderRow="1" firstDataRow="2" firstDataCol="1"/>
  <pivotFields count="9">
    <pivotField axis="axisRow" showAll="0" sortType="ascending">
      <items count="2">
        <item x="0"/>
        <item t="default"/>
      </items>
    </pivotField>
    <pivotField axis="axisRow" showAll="0">
      <items count="2">
        <item x="0"/>
        <item t="default"/>
      </items>
    </pivotField>
    <pivotField dataField="1" showAll="0">
      <items count="2">
        <item x="0"/>
        <item t="default"/>
      </items>
    </pivotField>
    <pivotField axis="axisCol" showAll="0" sortType="ascending">
      <items count="2"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1"/>
  </rowFields>
  <rowItems count="3">
    <i>
      <x/>
    </i>
    <i r="1">
      <x/>
    </i>
    <i t="grand">
      <x/>
    </i>
  </rowItems>
  <colFields count="1">
    <field x="3"/>
  </colFields>
  <colItems count="2">
    <i>
      <x/>
    </i>
    <i t="grand">
      <x/>
    </i>
  </colItems>
  <dataFields count="1">
    <dataField name="Soma de total.cliente" fld="2" baseField="0" baseItem="0"/>
  </dataFields>
  <formats count="3">
    <format dxfId="11">
      <pivotArea collapsedLevelsAreSubtotals="1" fieldPosition="0">
        <references count="1">
          <reference field="0" count="0"/>
        </references>
      </pivotArea>
    </format>
    <format dxfId="10">
      <pivotArea collapsedLevelsAreSubtotals="1" fieldPosition="0">
        <references count="2">
          <reference field="0" count="0" selected="0"/>
          <reference field="1" count="0"/>
        </references>
      </pivotArea>
    </format>
    <format dxfId="9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8D4CBA-4079-46AF-9D10-AEE87E4B6887}" name="Tabela dinâmica" cacheId="6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25">
  <location ref="A1:B3" firstHeaderRow="1" firstDataRow="2" firstDataCol="1"/>
  <pivotFields count="9">
    <pivotField axis="axisRow" compact="0" outline="0" showAll="0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">
    <i>
      <x/>
    </i>
  </rowItems>
  <colFields count="1">
    <field x="3"/>
  </colFields>
  <colItems count="1">
    <i>
      <x/>
    </i>
  </colItems>
  <dataFields count="1">
    <dataField name="Soma de total.cliente" fld="2" baseField="0" baseItem="0" numFmtId="44"/>
  </dataFields>
  <formats count="1">
    <format dxfId="2">
      <pivotArea outline="0" collapsedLevelsAreSubtotals="1" fieldPosition="0"/>
    </format>
  </formats>
  <chartFormats count="1">
    <chartFormat chart="2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1C666-A796-4DE7-91FB-475A6E3505F1}" name="Tabela dinâmica3" cacheId="6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32">
  <location ref="A101:B102" firstHeaderRow="1" firstDataRow="1" firstDataCol="1"/>
  <pivotFields count="9">
    <pivotField axis="axisRow" compact="0" outline="0" showAll="0" sortType="a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countASubtotal="1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">
    <i>
      <x/>
    </i>
  </rowItems>
  <colItems count="1">
    <i/>
  </colItems>
  <dataFields count="1">
    <dataField name="Contagem de cliente" fld="1" subtotal="count" baseField="0" baseItem="0" numFmtId="1"/>
  </dataFields>
  <formats count="1">
    <format dxfId="3">
      <pivotArea outline="0" collapsedLevelsAreSubtotals="1" fieldPosition="0"/>
    </format>
  </formats>
  <chartFormats count="13">
    <chartFormat chart="11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DCBFA3-C96C-4818-990D-41D807154123}" name="Tabela dinâmica2" cacheId="6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31">
  <location ref="A51:B53" firstHeaderRow="1" firstDataRow="2" firstDataCol="1"/>
  <pivotFields count="9">
    <pivotField axis="axisCol" compact="0" outline="0" showAll="0" sortType="descending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sortType="ascending">
      <items count="2"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">
    <i>
      <x/>
    </i>
  </rowItems>
  <colFields count="1">
    <field x="0"/>
  </colFields>
  <colItems count="1">
    <i>
      <x/>
    </i>
  </colItems>
  <dataFields count="1">
    <dataField name="Soma de total.cliente" fld="2" baseField="6" baseItem="0" numFmtId="44"/>
  </dataFields>
  <formats count="2">
    <format dxfId="5">
      <pivotArea dataOnly="0" labelOnly="1" outline="0" fieldPosition="0">
        <references count="1">
          <reference field="3" count="0"/>
        </references>
      </pivotArea>
    </format>
    <format dxfId="4">
      <pivotArea outline="0" collapsedLevelsAreSubtotals="1" fieldPosition="0"/>
    </format>
  </formats>
  <chartFormats count="2">
    <chartFormat chart="30" format="20" series="1">
      <pivotArea type="data" outline="0" fieldPosition="0"/>
    </chartFormat>
    <chartFormat chart="30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F56FC-F1C9-4B71-AEFA-BDEBB0DE1211}">
  <dimension ref="A1:I1"/>
  <sheetViews>
    <sheetView showGridLines="0" zoomScale="80" zoomScaleNormal="80" workbookViewId="0">
      <selection activeCell="C2" sqref="C2"/>
    </sheetView>
  </sheetViews>
  <sheetFormatPr defaultRowHeight="15" x14ac:dyDescent="0.25"/>
  <cols>
    <col min="1" max="9" width="9.140625" customWidth="1"/>
  </cols>
  <sheetData>
    <row r="1" spans="1:9" ht="32.1" customHeight="1" x14ac:dyDescent="0.25">
      <c r="A1" s="4" t="s">
        <v>4</v>
      </c>
      <c r="B1" s="4" t="s">
        <v>5</v>
      </c>
      <c r="C1" s="4" t="s">
        <v>76</v>
      </c>
      <c r="D1" s="4" t="s">
        <v>74</v>
      </c>
      <c r="E1" s="4" t="s">
        <v>75</v>
      </c>
      <c r="F1" s="4" t="s">
        <v>7</v>
      </c>
      <c r="G1" s="4" t="s">
        <v>57</v>
      </c>
      <c r="H1" s="4" t="s">
        <v>58</v>
      </c>
      <c r="I1" s="4" t="s">
        <v>59</v>
      </c>
    </row>
  </sheetData>
  <autoFilter ref="A1:I1" xr:uid="{132C8895-04D7-4463-8129-4455867CF04E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8895-04D7-4463-8129-4455867CF04E}">
  <dimension ref="A1:BA1"/>
  <sheetViews>
    <sheetView showGridLines="0" zoomScale="80" zoomScaleNormal="80" workbookViewId="0"/>
  </sheetViews>
  <sheetFormatPr defaultRowHeight="15" x14ac:dyDescent="0.25"/>
  <cols>
    <col min="1" max="20" width="18.7109375" customWidth="1"/>
  </cols>
  <sheetData>
    <row r="1" spans="1:53" ht="32.1" customHeigh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22</v>
      </c>
      <c r="T1" s="4" t="s">
        <v>23</v>
      </c>
      <c r="U1" s="4" t="s">
        <v>24</v>
      </c>
      <c r="V1" s="4" t="s">
        <v>25</v>
      </c>
      <c r="W1" s="4" t="s">
        <v>26</v>
      </c>
      <c r="X1" s="4" t="s">
        <v>27</v>
      </c>
      <c r="Y1" s="4" t="s">
        <v>28</v>
      </c>
      <c r="Z1" s="4" t="s">
        <v>29</v>
      </c>
      <c r="AA1" s="4" t="s">
        <v>30</v>
      </c>
      <c r="AB1" s="4" t="s">
        <v>31</v>
      </c>
      <c r="AC1" s="4" t="s">
        <v>32</v>
      </c>
      <c r="AD1" s="4" t="s">
        <v>33</v>
      </c>
      <c r="AE1" s="4" t="s">
        <v>34</v>
      </c>
      <c r="AF1" s="4" t="s">
        <v>35</v>
      </c>
      <c r="AG1" s="4" t="s">
        <v>36</v>
      </c>
      <c r="AH1" s="4" t="s">
        <v>37</v>
      </c>
      <c r="AI1" s="4" t="s">
        <v>38</v>
      </c>
      <c r="AJ1" s="4" t="s">
        <v>39</v>
      </c>
      <c r="AK1" s="4" t="s">
        <v>40</v>
      </c>
      <c r="AL1" s="4" t="s">
        <v>41</v>
      </c>
      <c r="AM1" s="4" t="s">
        <v>42</v>
      </c>
      <c r="AN1" s="4" t="s">
        <v>43</v>
      </c>
      <c r="AO1" s="4" t="s">
        <v>44</v>
      </c>
      <c r="AP1" s="4" t="s">
        <v>45</v>
      </c>
      <c r="AQ1" s="4" t="s">
        <v>46</v>
      </c>
      <c r="AR1" s="4" t="s">
        <v>47</v>
      </c>
      <c r="AS1" s="4" t="s">
        <v>48</v>
      </c>
      <c r="AT1" s="4" t="s">
        <v>49</v>
      </c>
      <c r="AU1" s="4" t="s">
        <v>50</v>
      </c>
      <c r="AV1" s="4" t="s">
        <v>51</v>
      </c>
      <c r="AW1" s="4" t="s">
        <v>52</v>
      </c>
      <c r="AX1" s="4" t="s">
        <v>53</v>
      </c>
      <c r="AY1" s="4" t="s">
        <v>54</v>
      </c>
      <c r="AZ1" s="4" t="s">
        <v>55</v>
      </c>
      <c r="BA1" s="4" t="s">
        <v>56</v>
      </c>
    </row>
  </sheetData>
  <autoFilter ref="A1:BA1" xr:uid="{132C8895-04D7-4463-8129-4455867CF04E}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82E6-EF46-4FEB-ABEE-AEFBDF8AD961}">
  <dimension ref="A1:C26"/>
  <sheetViews>
    <sheetView showGridLines="0" zoomScale="80" zoomScaleNormal="80" workbookViewId="0"/>
  </sheetViews>
  <sheetFormatPr defaultRowHeight="15" x14ac:dyDescent="0.25"/>
  <cols>
    <col min="1" max="1" width="20.42578125" bestFit="1" customWidth="1"/>
    <col min="2" max="2" width="20.140625" bestFit="1" customWidth="1"/>
    <col min="3" max="4" width="10.7109375" bestFit="1" customWidth="1"/>
    <col min="5" max="5" width="20.7109375" customWidth="1"/>
    <col min="6" max="6" width="28.7109375" bestFit="1" customWidth="1"/>
    <col min="7" max="7" width="33" bestFit="1" customWidth="1"/>
    <col min="8" max="8" width="22.5703125" bestFit="1" customWidth="1"/>
    <col min="9" max="9" width="26.85546875" bestFit="1" customWidth="1"/>
    <col min="10" max="10" width="33" bestFit="1" customWidth="1"/>
    <col min="11" max="11" width="19" bestFit="1" customWidth="1"/>
    <col min="12" max="12" width="22.5703125" bestFit="1" customWidth="1"/>
    <col min="13" max="13" width="26.85546875" bestFit="1" customWidth="1"/>
    <col min="14" max="14" width="22.28515625" bestFit="1" customWidth="1"/>
    <col min="15" max="15" width="19" bestFit="1" customWidth="1"/>
    <col min="16" max="16" width="22.5703125" bestFit="1" customWidth="1"/>
    <col min="17" max="17" width="26.85546875" bestFit="1" customWidth="1"/>
    <col min="18" max="18" width="25.140625" bestFit="1" customWidth="1"/>
    <col min="19" max="19" width="28.7109375" bestFit="1" customWidth="1"/>
    <col min="20" max="20" width="33" bestFit="1" customWidth="1"/>
    <col min="21" max="21" width="25.5703125" bestFit="1" customWidth="1"/>
    <col min="22" max="22" width="26.85546875" bestFit="1" customWidth="1"/>
    <col min="23" max="23" width="18.7109375" bestFit="1" customWidth="1"/>
    <col min="24" max="24" width="22.28515625" bestFit="1" customWidth="1"/>
    <col min="25" max="25" width="19" bestFit="1" customWidth="1"/>
    <col min="26" max="26" width="22.5703125" bestFit="1" customWidth="1"/>
    <col min="27" max="27" width="26.85546875" bestFit="1" customWidth="1"/>
    <col min="28" max="28" width="19.28515625" bestFit="1" customWidth="1"/>
    <col min="29" max="29" width="20.5703125" bestFit="1" customWidth="1"/>
    <col min="30" max="30" width="18.7109375" bestFit="1" customWidth="1"/>
    <col min="31" max="31" width="22.28515625" bestFit="1" customWidth="1"/>
    <col min="32" max="32" width="19" bestFit="1" customWidth="1"/>
    <col min="33" max="33" width="22.5703125" bestFit="1" customWidth="1"/>
    <col min="34" max="34" width="26.85546875" bestFit="1" customWidth="1"/>
    <col min="35" max="35" width="19.28515625" bestFit="1" customWidth="1"/>
    <col min="36" max="36" width="20.5703125" bestFit="1" customWidth="1"/>
    <col min="37" max="37" width="13.7109375" bestFit="1" customWidth="1"/>
    <col min="38" max="38" width="17.28515625" bestFit="1" customWidth="1"/>
    <col min="39" max="39" width="14" bestFit="1" customWidth="1"/>
    <col min="40" max="40" width="17.5703125" bestFit="1" customWidth="1"/>
    <col min="41" max="41" width="21.85546875" bestFit="1" customWidth="1"/>
    <col min="42" max="42" width="14.28515625" bestFit="1" customWidth="1"/>
    <col min="43" max="43" width="15.5703125" bestFit="1" customWidth="1"/>
    <col min="44" max="44" width="18.7109375" bestFit="1" customWidth="1"/>
    <col min="45" max="45" width="22.28515625" bestFit="1" customWidth="1"/>
    <col min="46" max="46" width="19" bestFit="1" customWidth="1"/>
    <col min="47" max="47" width="22.5703125" bestFit="1" customWidth="1"/>
    <col min="48" max="48" width="26.85546875" bestFit="1" customWidth="1"/>
    <col min="49" max="49" width="19.28515625" bestFit="1" customWidth="1"/>
    <col min="50" max="50" width="20.5703125" bestFit="1" customWidth="1"/>
  </cols>
  <sheetData>
    <row r="1" spans="1:3" ht="26.25" x14ac:dyDescent="0.4">
      <c r="A1" s="5" t="s">
        <v>72</v>
      </c>
    </row>
    <row r="2" spans="1:3" x14ac:dyDescent="0.25">
      <c r="A2" s="7" t="s">
        <v>62</v>
      </c>
      <c r="B2" s="9" t="s">
        <v>63</v>
      </c>
    </row>
    <row r="3" spans="1:3" x14ac:dyDescent="0.25">
      <c r="A3" s="7" t="s">
        <v>64</v>
      </c>
      <c r="B3" s="9" t="s">
        <v>65</v>
      </c>
    </row>
    <row r="4" spans="1:3" x14ac:dyDescent="0.25">
      <c r="A4" s="7" t="s">
        <v>66</v>
      </c>
      <c r="B4" s="9" t="s">
        <v>67</v>
      </c>
    </row>
    <row r="5" spans="1:3" x14ac:dyDescent="0.25">
      <c r="A5" s="7" t="s">
        <v>68</v>
      </c>
      <c r="B5" s="9" t="s">
        <v>69</v>
      </c>
    </row>
    <row r="6" spans="1:3" x14ac:dyDescent="0.25">
      <c r="A6" s="7" t="s">
        <v>70</v>
      </c>
      <c r="B6" s="10" t="s">
        <v>71</v>
      </c>
    </row>
    <row r="8" spans="1:3" ht="26.25" x14ac:dyDescent="0.4">
      <c r="A8" s="5" t="s">
        <v>61</v>
      </c>
    </row>
    <row r="9" spans="1:3" x14ac:dyDescent="0.25">
      <c r="A9" s="1" t="s">
        <v>0</v>
      </c>
      <c r="B9" t="s">
        <v>77</v>
      </c>
      <c r="C9" t="s">
        <v>60</v>
      </c>
    </row>
    <row r="10" spans="1:3" x14ac:dyDescent="0.25">
      <c r="A10" s="2" t="s">
        <v>2</v>
      </c>
      <c r="B10" s="6"/>
    </row>
    <row r="11" spans="1:3" x14ac:dyDescent="0.25">
      <c r="A11" s="2" t="s">
        <v>1</v>
      </c>
      <c r="B11" s="6"/>
    </row>
    <row r="21" spans="1:3" ht="26.25" x14ac:dyDescent="0.4">
      <c r="A21" s="5" t="s">
        <v>73</v>
      </c>
    </row>
    <row r="22" spans="1:3" x14ac:dyDescent="0.25">
      <c r="A22" s="1" t="s">
        <v>77</v>
      </c>
      <c r="B22" s="1" t="s">
        <v>3</v>
      </c>
    </row>
    <row r="23" spans="1:3" x14ac:dyDescent="0.25">
      <c r="A23" s="1" t="s">
        <v>0</v>
      </c>
      <c r="B23" t="s">
        <v>2</v>
      </c>
      <c r="C23" t="s">
        <v>1</v>
      </c>
    </row>
    <row r="24" spans="1:3" x14ac:dyDescent="0.25">
      <c r="A24" s="2" t="s">
        <v>2</v>
      </c>
      <c r="B24" s="6"/>
      <c r="C24" s="6"/>
    </row>
    <row r="25" spans="1:3" x14ac:dyDescent="0.25">
      <c r="A25" s="3" t="s">
        <v>2</v>
      </c>
      <c r="B25" s="6"/>
      <c r="C25" s="6"/>
    </row>
    <row r="26" spans="1:3" x14ac:dyDescent="0.25">
      <c r="A26" s="2" t="s">
        <v>1</v>
      </c>
      <c r="B26" s="6"/>
      <c r="C26" s="6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9E552-8652-4CDE-90EA-1CB277B80FB1}">
  <dimension ref="A1"/>
  <sheetViews>
    <sheetView showGridLines="0" tabSelected="1" zoomScale="80" zoomScaleNormal="80" workbookViewId="0"/>
  </sheetViews>
  <sheetFormatPr defaultRowHeight="15" x14ac:dyDescent="0.25"/>
  <cols>
    <col min="1" max="6" width="9.140625" customWidth="1"/>
    <col min="7" max="7" width="2.7109375" customWidth="1"/>
    <col min="8" max="9" width="9.140625" customWidth="1"/>
    <col min="11" max="12" width="9.140625" customWidth="1"/>
    <col min="14" max="14" width="2.7109375" customWidth="1"/>
  </cols>
  <sheetData>
    <row r="1" spans="1:1" x14ac:dyDescent="0.25">
      <c r="A1" t="str">
        <f ca="1">_xlfn.CONCAT("Mês corrente (", TEXT(TODAY(),"mmmm"),")")</f>
        <v>Mês corrente (junho)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E23-7F3D-4669-8C7D-A2A0594F6EFF}">
  <dimension ref="A1:B102"/>
  <sheetViews>
    <sheetView showGridLines="0" workbookViewId="0"/>
  </sheetViews>
  <sheetFormatPr defaultRowHeight="15" x14ac:dyDescent="0.25"/>
  <cols>
    <col min="1" max="1" width="25.85546875" bestFit="1" customWidth="1"/>
    <col min="2" max="2" width="19.140625" bestFit="1" customWidth="1"/>
    <col min="3" max="3" width="20.42578125" bestFit="1" customWidth="1"/>
  </cols>
  <sheetData>
    <row r="1" spans="1:2" x14ac:dyDescent="0.25">
      <c r="A1" s="1" t="s">
        <v>77</v>
      </c>
      <c r="B1" s="1" t="s">
        <v>74</v>
      </c>
    </row>
    <row r="2" spans="1:2" x14ac:dyDescent="0.25">
      <c r="A2" s="1" t="s">
        <v>4</v>
      </c>
      <c r="B2" t="s">
        <v>2</v>
      </c>
    </row>
    <row r="3" spans="1:2" x14ac:dyDescent="0.25">
      <c r="A3" t="s">
        <v>2</v>
      </c>
      <c r="B3" s="6"/>
    </row>
    <row r="26" hidden="1" x14ac:dyDescent="0.25"/>
    <row r="27" hidden="1" x14ac:dyDescent="0.25"/>
    <row r="28" hidden="1" x14ac:dyDescent="0.25"/>
    <row r="29" hidden="1" x14ac:dyDescent="0.25"/>
    <row r="30" hidden="1" x14ac:dyDescent="0.25"/>
    <row r="31" hidden="1" x14ac:dyDescent="0.25"/>
    <row r="32" hidden="1" x14ac:dyDescent="0.25"/>
    <row r="33" hidden="1" x14ac:dyDescent="0.25"/>
    <row r="34" hidden="1" x14ac:dyDescent="0.25"/>
    <row r="35" hidden="1" x14ac:dyDescent="0.25"/>
    <row r="36" hidden="1" x14ac:dyDescent="0.25"/>
    <row r="37" hidden="1" x14ac:dyDescent="0.25"/>
    <row r="38" hidden="1" x14ac:dyDescent="0.25"/>
    <row r="39" hidden="1" x14ac:dyDescent="0.25"/>
    <row r="40" hidden="1" x14ac:dyDescent="0.25"/>
    <row r="41" hidden="1" x14ac:dyDescent="0.25"/>
    <row r="42" hidden="1" x14ac:dyDescent="0.25"/>
    <row r="43" hidden="1" x14ac:dyDescent="0.25"/>
    <row r="44" hidden="1" x14ac:dyDescent="0.25"/>
    <row r="45" hidden="1" x14ac:dyDescent="0.25"/>
    <row r="46" hidden="1" x14ac:dyDescent="0.25"/>
    <row r="47" hidden="1" x14ac:dyDescent="0.25"/>
    <row r="48" hidden="1" x14ac:dyDescent="0.25"/>
    <row r="49" spans="1:2" hidden="1" x14ac:dyDescent="0.25"/>
    <row r="50" spans="1:2" hidden="1" x14ac:dyDescent="0.25"/>
    <row r="51" spans="1:2" x14ac:dyDescent="0.25">
      <c r="A51" s="1" t="s">
        <v>77</v>
      </c>
      <c r="B51" s="1" t="s">
        <v>4</v>
      </c>
    </row>
    <row r="52" spans="1:2" x14ac:dyDescent="0.25">
      <c r="A52" s="1" t="s">
        <v>74</v>
      </c>
      <c r="B52" t="s">
        <v>2</v>
      </c>
    </row>
    <row r="53" spans="1:2" x14ac:dyDescent="0.25">
      <c r="A53" s="8" t="s">
        <v>2</v>
      </c>
      <c r="B53" s="6"/>
    </row>
    <row r="76" hidden="1" x14ac:dyDescent="0.25"/>
    <row r="77" hidden="1" x14ac:dyDescent="0.25"/>
    <row r="78" hidden="1" x14ac:dyDescent="0.25"/>
    <row r="79" hidden="1" x14ac:dyDescent="0.25"/>
    <row r="80" hidden="1" x14ac:dyDescent="0.25"/>
    <row r="81" hidden="1" x14ac:dyDescent="0.25"/>
    <row r="82" hidden="1" x14ac:dyDescent="0.25"/>
    <row r="83" hidden="1" x14ac:dyDescent="0.25"/>
    <row r="84" hidden="1" x14ac:dyDescent="0.25"/>
    <row r="85" hidden="1" x14ac:dyDescent="0.25"/>
    <row r="86" hidden="1" x14ac:dyDescent="0.25"/>
    <row r="87" hidden="1" x14ac:dyDescent="0.25"/>
    <row r="88" hidden="1" x14ac:dyDescent="0.25"/>
    <row r="89" hidden="1" x14ac:dyDescent="0.25"/>
    <row r="90" hidden="1" x14ac:dyDescent="0.25"/>
    <row r="91" hidden="1" x14ac:dyDescent="0.25"/>
    <row r="92" hidden="1" x14ac:dyDescent="0.25"/>
    <row r="93" hidden="1" x14ac:dyDescent="0.25"/>
    <row r="94" hidden="1" x14ac:dyDescent="0.25"/>
    <row r="95" hidden="1" x14ac:dyDescent="0.25"/>
    <row r="96" hidden="1" x14ac:dyDescent="0.25"/>
    <row r="97" spans="1:2" hidden="1" x14ac:dyDescent="0.25"/>
    <row r="98" spans="1:2" hidden="1" x14ac:dyDescent="0.25"/>
    <row r="99" spans="1:2" hidden="1" x14ac:dyDescent="0.25"/>
    <row r="100" spans="1:2" hidden="1" x14ac:dyDescent="0.25"/>
    <row r="101" spans="1:2" x14ac:dyDescent="0.25">
      <c r="A101" s="1" t="s">
        <v>4</v>
      </c>
      <c r="B101" t="s">
        <v>60</v>
      </c>
    </row>
    <row r="102" spans="1:2" x14ac:dyDescent="0.25">
      <c r="A102" t="s">
        <v>2</v>
      </c>
      <c r="B102" s="8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36569ac63cfce8ff0f8884bc80e67f1c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2040da04b75a9ea4fe796fa8180f8ca6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C6CB26CD-78F9-4511-B274-A702CD5C925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B1CC0F0-30AF-4FC1-BEAF-71755F23B3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7302592-FF67-42C5-80BE-E607AABB4A29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4.xml><?xml version="1.0" encoding="utf-8"?>
<ds:datastoreItem xmlns:ds="http://schemas.openxmlformats.org/officeDocument/2006/customXml" ds:itemID="{340264F6-8312-4942-93CD-2A7631F00B4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Clientes</vt:lpstr>
      <vt:lpstr>Parcelas</vt:lpstr>
      <vt:lpstr>Tabelas dinâmicas</vt:lpstr>
      <vt:lpstr>Gráficos</vt:lpstr>
      <vt:lpstr>Tabelas dos gráficos</vt:lpstr>
      <vt:lpstr>clientes</vt:lpstr>
      <vt:lpstr>parcelas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2025-02-28T18:57:45Z</dcterms:created>
  <dcterms:modified xsi:type="dcterms:W3CDTF">2025-06-30T20:17:40Z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