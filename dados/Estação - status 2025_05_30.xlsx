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-my.sharepoint.com/personal/vitor_amplaincorporadora_com_br/Documents/"/>
    </mc:Choice>
  </mc:AlternateContent>
  <xr:revisionPtr revIDLastSave="255" documentId="8_{C0F877D4-A7C2-4284-928E-04C8FFFB6007}" xr6:coauthVersionLast="47" xr6:coauthVersionMax="47" xr10:uidLastSave="{8E581BFD-7B85-43A0-A6D4-40094D200B3C}"/>
  <bookViews>
    <workbookView xWindow="-120" yWindow="-120" windowWidth="20730" windowHeight="11160" activeTab="1" xr2:uid="{240890F9-D451-4B7D-B96D-9A56BDF9E0C9}"/>
  </bookViews>
  <sheets>
    <sheet name="Estação" sheetId="1" r:id="rId1"/>
    <sheet name="Planilha4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2" i="4"/>
  <c r="B17" i="1" l="1"/>
  <c r="B23" i="1"/>
</calcChain>
</file>

<file path=xl/sharedStrings.xml><?xml version="1.0" encoding="utf-8"?>
<sst xmlns="http://schemas.openxmlformats.org/spreadsheetml/2006/main" count="93" uniqueCount="44">
  <si>
    <t>% Obra a executar</t>
  </si>
  <si>
    <t>FGTS</t>
  </si>
  <si>
    <t>Subsídio</t>
  </si>
  <si>
    <t>= Financiamento das UH agregadas na contratação + FGTS das UH agregadas na contratação + Subsídios das UH agregadas na contratação + FIT + Aporte de recusos próprios</t>
  </si>
  <si>
    <t>Financiamento das UH agregadas na contratação</t>
  </si>
  <si>
    <t>FIT</t>
  </si>
  <si>
    <t>Aporte de recursos próprios</t>
  </si>
  <si>
    <t>Unidades vendidas mas não repassadas</t>
  </si>
  <si>
    <t>A receber</t>
  </si>
  <si>
    <t>Recebido</t>
  </si>
  <si>
    <t>Valor utilizado PJ</t>
  </si>
  <si>
    <t>Fonte</t>
  </si>
  <si>
    <t>Variável</t>
  </si>
  <si>
    <t>Valor</t>
  </si>
  <si>
    <t>DCD</t>
  </si>
  <si>
    <t>ECN</t>
  </si>
  <si>
    <t>Valor liberado terreno</t>
  </si>
  <si>
    <t>Valor liberado obra</t>
  </si>
  <si>
    <t>Informakon</t>
  </si>
  <si>
    <t>Receitas de pró soluto</t>
  </si>
  <si>
    <t>Saldo mutuário (PJ)</t>
  </si>
  <si>
    <t>Saldo mutuário (PF)</t>
  </si>
  <si>
    <t>Custo total da obra</t>
  </si>
  <si>
    <t>Custo total da obra * %Obra a executar</t>
  </si>
  <si>
    <t>Valor sobre gestão caixa</t>
  </si>
  <si>
    <t>VGV</t>
  </si>
  <si>
    <t>Viabilidade</t>
  </si>
  <si>
    <t>Natureza</t>
  </si>
  <si>
    <t>Estimativa</t>
  </si>
  <si>
    <t>Status</t>
  </si>
  <si>
    <t>A realizar</t>
  </si>
  <si>
    <t>CEF (ECN)</t>
  </si>
  <si>
    <t>Receitas de repasse (PF)</t>
  </si>
  <si>
    <t>Empréstimo (PJ)</t>
  </si>
  <si>
    <t>Entrada</t>
  </si>
  <si>
    <t>Realizado</t>
  </si>
  <si>
    <t>CEF (DCD)</t>
  </si>
  <si>
    <t>Despesas relacionadas ao custo obra</t>
  </si>
  <si>
    <t>Saída</t>
  </si>
  <si>
    <t>Demais despesas</t>
  </si>
  <si>
    <t>Lucro estimado</t>
  </si>
  <si>
    <t>Essa tabela</t>
  </si>
  <si>
    <t>Planilha do Renato</t>
  </si>
  <si>
    <t>Viabilidade + Planilha do Renato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</si>
</sst>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quotePrefix="1" applyFill="1"/>
    <xf numFmtId="44" fontId="0" fillId="0" borderId="0" xfId="1" applyFont="1"/>
    <xf numFmtId="0" fontId="0" fillId="3" borderId="0" xfId="0" applyFill="1"/>
    <xf numFmtId="0" fontId="0" fillId="0" borderId="0" xfId="0" applyFill="1"/>
    <xf numFmtId="164" fontId="0" fillId="2" borderId="0" xfId="0" applyNumberFormat="1" applyFill="1"/>
    <xf numFmtId="0" fontId="0" fillId="4" borderId="0" xfId="0" applyFill="1"/>
    <xf numFmtId="164" fontId="0" fillId="4" borderId="0" xfId="0" applyNumberFormat="1" applyFill="1"/>
    <xf numFmtId="9" fontId="0" fillId="2" borderId="0" xfId="0" applyNumberFormat="1" applyFill="1"/>
    <xf numFmtId="42" fontId="0" fillId="0" borderId="0" xfId="0" applyNumberFormat="1"/>
    <xf numFmtId="0" fontId="0" fillId="3" borderId="0" xfId="0" applyFill="1" applyAlignment="1">
      <alignment horizontal="center" vertical="center"/>
    </xf>
  </cellXfs>
  <cellStyles count="2">
    <cellStyle name="Moeda" xfId="1" builtinId="4"/>
    <cellStyle name="Normal" xfId="0" builtinId="0"/>
  </cellStyles>
  <dxfs count="2">
    <dxf>
      <numFmt numFmtId="32" formatCode="_-&quot;R$&quot;\ * #,##0_-;\-&quot;R$&quot;\ * #,##0_-;_-&quot;R$&quot;\ * &quot;-&quot;_-;_-@_-"/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corporadoraampla.sharepoint.com/sites/Controladoria/Documentos%20Compartilhados/Financeiro%20&amp;%20Controladoria/Empreendimentos/4%5d%20%20UP%20Esta&#231;&#227;o%20Vila%20Sonia/Viabilidade%20UP%20Esta&#231;&#227;o%20Vila%20Sonia.xlsx" TargetMode="External"/><Relationship Id="rId1" Type="http://schemas.openxmlformats.org/officeDocument/2006/relationships/externalLinkPath" Target="https://incorporadoraampla.sharepoint.com/sites/Controladoria/Documentos%20Compartilhados/Financeiro%20&amp;%20Controladoria/Empreendimentos/4%5d%20%20UP%20Esta&#231;&#227;o%20Vila%20Sonia/Viabilidade%20UP%20Esta&#231;&#227;o%20Vila%20Son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E Finc"/>
      <sheetName val="Demonstrativo Eco-Finc"/>
      <sheetName val="Fluxo"/>
      <sheetName val="Matriz MCMV"/>
      <sheetName val="Matriz"/>
      <sheetName val="CurvaObra"/>
      <sheetName val="CurvaVenda"/>
    </sheetNames>
    <sheetDataSet>
      <sheetData sheetId="0"/>
      <sheetData sheetId="1">
        <row r="34">
          <cell r="E34">
            <v>58847199.720000006</v>
          </cell>
        </row>
        <row r="76">
          <cell r="E76">
            <v>56633497.8864685</v>
          </cell>
        </row>
        <row r="79">
          <cell r="E79">
            <v>34309815.140000001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349DC-E756-4DF7-B9FC-B9380BCF9FFD}" name="Tabela1" displayName="Tabela1" ref="A1:E12" totalsRowShown="0" headerRowDxfId="1">
  <autoFilter ref="A1:E12" xr:uid="{F2A349DC-E756-4DF7-B9FC-B9380BCF9FFD}"/>
  <tableColumns count="5">
    <tableColumn id="1" xr3:uid="{F45AFD39-9BD8-4DBE-8C33-CEC4A94BA852}" name="Variável"/>
    <tableColumn id="2" xr3:uid="{0E743F29-CE0F-479A-8A74-06568B1A78E2}" name="Valor" dataDxfId="0"/>
    <tableColumn id="3" xr3:uid="{63CA617D-416F-4841-BFF8-13E67BA82AA1}" name="Natureza"/>
    <tableColumn id="4" xr3:uid="{97EC728A-08AA-48B4-BCA6-70ABDDE9B795}" name="Status"/>
    <tableColumn id="5" xr3:uid="{21AF76FD-5DE1-490B-A0B0-67EAFBF8A356}" name="Fon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21AB-3D55-4EC7-97EA-6560C36FE8E7}">
  <dimension ref="A1:N28"/>
  <sheetViews>
    <sheetView showGridLines="0" topLeftCell="A12" workbookViewId="0">
      <selection activeCell="B30" sqref="B30"/>
    </sheetView>
  </sheetViews>
  <sheetFormatPr defaultRowHeight="15" x14ac:dyDescent="0.25"/>
  <cols>
    <col min="1" max="1" width="11.28515625" bestFit="1" customWidth="1"/>
    <col min="2" max="2" width="45.7109375" bestFit="1" customWidth="1"/>
    <col min="3" max="5" width="16.85546875" bestFit="1" customWidth="1"/>
    <col min="6" max="6" width="18.5703125" bestFit="1" customWidth="1"/>
    <col min="7" max="7" width="16.85546875" bestFit="1" customWidth="1"/>
  </cols>
  <sheetData>
    <row r="1" spans="1:14" x14ac:dyDescent="0.25">
      <c r="A1" s="2" t="s">
        <v>23</v>
      </c>
      <c r="B1" s="2"/>
      <c r="C1" s="2"/>
      <c r="D1" s="2"/>
      <c r="E1" s="2"/>
      <c r="F1" s="2"/>
      <c r="G1" s="2"/>
      <c r="H1" s="2"/>
      <c r="I1" s="6"/>
      <c r="J1" s="6"/>
      <c r="K1" s="6"/>
      <c r="L1" s="6"/>
      <c r="M1" s="6"/>
      <c r="N1" s="6"/>
    </row>
    <row r="2" spans="1:14" x14ac:dyDescent="0.25">
      <c r="A2" s="3" t="s">
        <v>3</v>
      </c>
      <c r="B2" s="2"/>
      <c r="C2" s="2"/>
      <c r="D2" s="2"/>
      <c r="E2" s="2"/>
      <c r="F2" s="2"/>
      <c r="G2" s="2"/>
      <c r="H2" s="2"/>
      <c r="I2" s="6"/>
      <c r="J2" s="6"/>
      <c r="K2" s="6"/>
      <c r="L2" s="6"/>
      <c r="M2" s="6"/>
      <c r="N2" s="6"/>
    </row>
    <row r="3" spans="1:14" x14ac:dyDescent="0.25">
      <c r="A3" s="5" t="s">
        <v>11</v>
      </c>
      <c r="B3" s="5" t="s">
        <v>12</v>
      </c>
      <c r="C3" s="5"/>
      <c r="D3" s="5"/>
      <c r="E3" s="5" t="s">
        <v>13</v>
      </c>
    </row>
    <row r="4" spans="1:14" x14ac:dyDescent="0.25">
      <c r="A4" t="s">
        <v>14</v>
      </c>
      <c r="B4" t="s">
        <v>22</v>
      </c>
      <c r="E4" s="7">
        <v>40458120</v>
      </c>
      <c r="G4" s="1"/>
    </row>
    <row r="5" spans="1:14" x14ac:dyDescent="0.25">
      <c r="A5" t="s">
        <v>14</v>
      </c>
      <c r="B5" t="s">
        <v>24</v>
      </c>
      <c r="E5" s="7">
        <v>37884983.57</v>
      </c>
    </row>
    <row r="6" spans="1:14" x14ac:dyDescent="0.25">
      <c r="A6" t="s">
        <v>14</v>
      </c>
      <c r="B6" t="s">
        <v>0</v>
      </c>
      <c r="E6" s="10">
        <v>1</v>
      </c>
    </row>
    <row r="7" spans="1:14" x14ac:dyDescent="0.25">
      <c r="A7" t="s">
        <v>14</v>
      </c>
      <c r="B7" t="s">
        <v>4</v>
      </c>
      <c r="E7" s="1">
        <v>29209178.98</v>
      </c>
    </row>
    <row r="8" spans="1:14" x14ac:dyDescent="0.25">
      <c r="A8" t="s">
        <v>14</v>
      </c>
      <c r="B8" t="s">
        <v>1</v>
      </c>
      <c r="E8" s="4">
        <v>2045373.9</v>
      </c>
    </row>
    <row r="9" spans="1:14" x14ac:dyDescent="0.25">
      <c r="A9" t="s">
        <v>14</v>
      </c>
      <c r="B9" t="s">
        <v>2</v>
      </c>
      <c r="E9" s="1">
        <v>15862</v>
      </c>
    </row>
    <row r="10" spans="1:14" x14ac:dyDescent="0.25">
      <c r="A10" t="s">
        <v>14</v>
      </c>
      <c r="B10" t="s">
        <v>5</v>
      </c>
      <c r="E10" s="1">
        <v>5388898.2599999998</v>
      </c>
    </row>
    <row r="11" spans="1:14" x14ac:dyDescent="0.25">
      <c r="A11" t="s">
        <v>14</v>
      </c>
      <c r="B11" t="s">
        <v>6</v>
      </c>
      <c r="E11" s="1">
        <v>0</v>
      </c>
    </row>
    <row r="13" spans="1:14" x14ac:dyDescent="0.25">
      <c r="A13" s="2" t="s">
        <v>7</v>
      </c>
      <c r="B13" s="2"/>
    </row>
    <row r="17" spans="1:7" x14ac:dyDescent="0.25">
      <c r="A17" s="8" t="s">
        <v>8</v>
      </c>
      <c r="B17" s="9">
        <f>SUM(C19:C20)</f>
        <v>71596281.780000001</v>
      </c>
    </row>
    <row r="18" spans="1:7" x14ac:dyDescent="0.25">
      <c r="A18" s="5" t="s">
        <v>11</v>
      </c>
      <c r="B18" s="5" t="s">
        <v>12</v>
      </c>
      <c r="C18" s="5" t="s">
        <v>13</v>
      </c>
      <c r="E18" s="2" t="s">
        <v>14</v>
      </c>
      <c r="F18" s="2" t="s">
        <v>20</v>
      </c>
      <c r="G18" s="7">
        <v>13649530.609999999</v>
      </c>
    </row>
    <row r="19" spans="1:7" x14ac:dyDescent="0.25">
      <c r="A19" t="s">
        <v>14</v>
      </c>
      <c r="B19" t="s">
        <v>21</v>
      </c>
      <c r="C19" s="1">
        <v>24235452.960000001</v>
      </c>
    </row>
    <row r="20" spans="1:7" x14ac:dyDescent="0.25">
      <c r="A20" t="s">
        <v>18</v>
      </c>
      <c r="B20" s="2" t="s">
        <v>19</v>
      </c>
      <c r="C20" s="1">
        <v>47360828.82</v>
      </c>
    </row>
    <row r="23" spans="1:7" x14ac:dyDescent="0.25">
      <c r="A23" s="8" t="s">
        <v>9</v>
      </c>
      <c r="B23" s="9">
        <f>SUM(C25:C28)</f>
        <v>18489153.759999998</v>
      </c>
    </row>
    <row r="24" spans="1:7" x14ac:dyDescent="0.25">
      <c r="A24" s="5" t="s">
        <v>11</v>
      </c>
      <c r="B24" s="5" t="s">
        <v>12</v>
      </c>
      <c r="C24" s="5" t="s">
        <v>13</v>
      </c>
      <c r="D24" s="6"/>
    </row>
    <row r="25" spans="1:7" x14ac:dyDescent="0.25">
      <c r="A25" s="6" t="s">
        <v>15</v>
      </c>
      <c r="B25" t="s">
        <v>16</v>
      </c>
      <c r="C25" s="1">
        <v>5388898.2599999998</v>
      </c>
      <c r="D25" s="6"/>
      <c r="E25" s="6"/>
    </row>
    <row r="26" spans="1:7" x14ac:dyDescent="0.25">
      <c r="A26" t="s">
        <v>15</v>
      </c>
      <c r="B26" t="s">
        <v>17</v>
      </c>
      <c r="C26" s="1">
        <v>1646063.66</v>
      </c>
    </row>
    <row r="27" spans="1:7" x14ac:dyDescent="0.25">
      <c r="A27" t="s">
        <v>15</v>
      </c>
      <c r="B27" t="s">
        <v>10</v>
      </c>
      <c r="C27" s="1">
        <v>1438405.41</v>
      </c>
    </row>
    <row r="28" spans="1:7" x14ac:dyDescent="0.25">
      <c r="A28" t="s">
        <v>18</v>
      </c>
      <c r="B28" s="2" t="s">
        <v>19</v>
      </c>
      <c r="C28" s="1">
        <v>10015786.43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54D7-A6B7-4428-971C-74D00997435D}">
  <dimension ref="A1:E12"/>
  <sheetViews>
    <sheetView showGridLines="0" tabSelected="1" workbookViewId="0">
      <selection activeCell="A10" sqref="A10"/>
    </sheetView>
  </sheetViews>
  <sheetFormatPr defaultRowHeight="15" x14ac:dyDescent="0.25"/>
  <cols>
    <col min="1" max="1" width="35.140625" bestFit="1" customWidth="1"/>
    <col min="2" max="2" width="16.85546875" bestFit="1" customWidth="1"/>
    <col min="3" max="3" width="11.140625" customWidth="1"/>
    <col min="4" max="4" width="10.7109375" customWidth="1"/>
    <col min="5" max="5" width="30.42578125" bestFit="1" customWidth="1"/>
  </cols>
  <sheetData>
    <row r="1" spans="1:5" x14ac:dyDescent="0.25">
      <c r="A1" s="12" t="s">
        <v>12</v>
      </c>
      <c r="B1" s="12" t="s">
        <v>13</v>
      </c>
      <c r="C1" s="12" t="s">
        <v>27</v>
      </c>
      <c r="D1" s="12" t="s">
        <v>29</v>
      </c>
      <c r="E1" s="12" t="s">
        <v>11</v>
      </c>
    </row>
    <row r="2" spans="1:5" x14ac:dyDescent="0.25">
      <c r="A2" t="s">
        <v>25</v>
      </c>
      <c r="B2" s="11">
        <f>'[1]Demonstrativo Eco-Finc'!$E$34</f>
        <v>58847199.720000006</v>
      </c>
      <c r="C2" t="s">
        <v>28</v>
      </c>
      <c r="D2" t="s">
        <v>28</v>
      </c>
      <c r="E2" t="s">
        <v>26</v>
      </c>
    </row>
    <row r="3" spans="1:5" x14ac:dyDescent="0.25">
      <c r="A3" s="2" t="s">
        <v>19</v>
      </c>
      <c r="B3" s="1">
        <v>10015786.43</v>
      </c>
      <c r="C3" t="s">
        <v>34</v>
      </c>
      <c r="D3" t="s">
        <v>35</v>
      </c>
      <c r="E3" t="s">
        <v>18</v>
      </c>
    </row>
    <row r="4" spans="1:5" x14ac:dyDescent="0.25">
      <c r="A4" t="s">
        <v>32</v>
      </c>
      <c r="B4" s="11">
        <v>7034961.9199999999</v>
      </c>
      <c r="C4" t="s">
        <v>34</v>
      </c>
      <c r="D4" t="s">
        <v>35</v>
      </c>
      <c r="E4" t="s">
        <v>31</v>
      </c>
    </row>
    <row r="5" spans="1:5" x14ac:dyDescent="0.25">
      <c r="A5" t="s">
        <v>33</v>
      </c>
      <c r="B5" s="1">
        <v>1438405.41</v>
      </c>
      <c r="C5" t="s">
        <v>34</v>
      </c>
      <c r="D5" t="s">
        <v>35</v>
      </c>
      <c r="E5" t="s">
        <v>31</v>
      </c>
    </row>
    <row r="6" spans="1:5" x14ac:dyDescent="0.25">
      <c r="A6" t="s">
        <v>19</v>
      </c>
      <c r="B6" s="1">
        <v>47360828.82</v>
      </c>
      <c r="C6" t="s">
        <v>34</v>
      </c>
      <c r="D6" t="s">
        <v>30</v>
      </c>
      <c r="E6" t="s">
        <v>18</v>
      </c>
    </row>
    <row r="7" spans="1:5" x14ac:dyDescent="0.25">
      <c r="A7" t="s">
        <v>32</v>
      </c>
      <c r="B7" s="11">
        <v>24235452.960000001</v>
      </c>
      <c r="C7" t="s">
        <v>34</v>
      </c>
      <c r="D7" t="s">
        <v>30</v>
      </c>
      <c r="E7" t="s">
        <v>36</v>
      </c>
    </row>
    <row r="8" spans="1:5" x14ac:dyDescent="0.25">
      <c r="A8" s="2" t="s">
        <v>37</v>
      </c>
      <c r="B8" s="11">
        <v>3834818</v>
      </c>
      <c r="C8" t="s">
        <v>38</v>
      </c>
      <c r="D8" t="s">
        <v>35</v>
      </c>
      <c r="E8" t="s">
        <v>42</v>
      </c>
    </row>
    <row r="9" spans="1:5" x14ac:dyDescent="0.25">
      <c r="A9" s="2" t="s">
        <v>39</v>
      </c>
      <c r="B9" s="11">
        <f>13794448.52-B8</f>
        <v>9959630.5199999996</v>
      </c>
      <c r="C9" t="s">
        <v>38</v>
      </c>
      <c r="D9" t="s">
        <v>35</v>
      </c>
      <c r="E9" t="s">
        <v>42</v>
      </c>
    </row>
    <row r="10" spans="1:5" x14ac:dyDescent="0.25">
      <c r="A10" s="2" t="s">
        <v>37</v>
      </c>
      <c r="B10" s="11">
        <f>'[1]Demonstrativo Eco-Finc'!$E$79-B8</f>
        <v>30474997.140000001</v>
      </c>
      <c r="C10" t="s">
        <v>38</v>
      </c>
      <c r="D10" t="s">
        <v>30</v>
      </c>
      <c r="E10" t="s">
        <v>43</v>
      </c>
    </row>
    <row r="11" spans="1:5" x14ac:dyDescent="0.25">
      <c r="A11" s="2" t="s">
        <v>39</v>
      </c>
      <c r="B11" s="11">
        <f>'[1]Demonstrativo Eco-Finc'!$E$76-'[1]Demonstrativo Eco-Finc'!$E$79-B9</f>
        <v>12364052.2264685</v>
      </c>
      <c r="C11" t="s">
        <v>38</v>
      </c>
      <c r="D11" t="s">
        <v>30</v>
      </c>
      <c r="E11" t="s">
        <v>43</v>
      </c>
    </row>
    <row r="12" spans="1:5" x14ac:dyDescent="0.25">
      <c r="A12" s="2" t="s">
        <v>40</v>
      </c>
      <c r="B12" s="11">
        <f>SUM(B3:B7)-SUM(B8:B11)</f>
        <v>33451937.653531492</v>
      </c>
      <c r="C12" t="s">
        <v>38</v>
      </c>
      <c r="D12" t="s">
        <v>30</v>
      </c>
      <c r="E12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Estação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2025-05-30T13:35:45Z</dcterms:created>
  <dcterms:modified xsi:type="dcterms:W3CDTF">2025-05-30T18:15:37Z</dcterms:modified>
</cp:coreProperties>
</file>