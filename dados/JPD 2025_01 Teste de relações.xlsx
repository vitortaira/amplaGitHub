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ncorporadoraampla-my.sharepoint.com/personal/vitor_amplaincorporadora_com_br/Documents/"/>
    </mc:Choice>
  </mc:AlternateContent>
  <xr:revisionPtr revIDLastSave="113" documentId="8_{40B5F1C4-B10E-41E4-8996-2A0F3709324F}" xr6:coauthVersionLast="47" xr6:coauthVersionMax="47" xr10:uidLastSave="{1AD2294E-40BD-4447-94A0-84A5B4B3A543}"/>
  <bookViews>
    <workbookView minimized="1" xWindow="9555" yWindow="5295" windowWidth="10935" windowHeight="5625" activeTab="4" xr2:uid="{00000000-000D-0000-FFFF-FFFF00000000}"/>
    <workbookView xWindow="-120" yWindow="-120" windowWidth="20730" windowHeight="11160" activeTab="3" xr2:uid="{80597273-7239-4BE4-A3EA-4A6C1E8F1F16}"/>
  </bookViews>
  <sheets>
    <sheet name="Empreendimento" sheetId="1" r:id="rId1"/>
    <sheet name="Emprestimo PJ" sheetId="2" r:id="rId2"/>
    <sheet name="Consolidado" sheetId="3" r:id="rId3"/>
    <sheet name="Unidades" sheetId="4" r:id="rId4"/>
    <sheet name="Planilha1" sheetId="5" r:id="rId5"/>
  </sheets>
  <externalReferences>
    <externalReference r:id="rId6"/>
  </externalReferenc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G18" i="5"/>
  <c r="H7" i="5"/>
  <c r="G7" i="5"/>
  <c r="G6" i="5"/>
  <c r="G17" i="5"/>
  <c r="D20" i="5"/>
  <c r="D9" i="5"/>
  <c r="Q18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G4" i="5"/>
  <c r="H4" i="5"/>
  <c r="I4" i="5"/>
  <c r="J4" i="5"/>
  <c r="K4" i="5"/>
  <c r="L4" i="5"/>
  <c r="M4" i="5"/>
  <c r="N4" i="5"/>
  <c r="F4" i="5"/>
  <c r="O4" i="5"/>
  <c r="P4" i="5"/>
  <c r="Q4" i="5"/>
  <c r="R4" i="5"/>
  <c r="Q7" i="5" l="1"/>
</calcChain>
</file>

<file path=xl/sharedStrings.xml><?xml version="1.0" encoding="utf-8"?>
<sst xmlns="http://schemas.openxmlformats.org/spreadsheetml/2006/main" count="526" uniqueCount="178">
  <si>
    <t>Empreendimento</t>
  </si>
  <si>
    <t>Contrato</t>
  </si>
  <si>
    <t>APF</t>
  </si>
  <si>
    <t>Valor Aporte</t>
  </si>
  <si>
    <t>Total de Unidade</t>
  </si>
  <si>
    <t>Unidades Comercializadas</t>
  </si>
  <si>
    <t>Unidades Financiadas Construção</t>
  </si>
  <si>
    <t>Unidades Complementares</t>
  </si>
  <si>
    <t>Data Término de Obra</t>
  </si>
  <si>
    <t>Data Ini - Enc Fiador</t>
  </si>
  <si>
    <t>CONDOMINIO UP JARDIM PRUDENCIA</t>
  </si>
  <si>
    <t>177770016646-5</t>
  </si>
  <si>
    <t>054555008</t>
  </si>
  <si>
    <t>106</t>
  </si>
  <si>
    <t>0</t>
  </si>
  <si>
    <t>62</t>
  </si>
  <si>
    <t>04/09/2026</t>
  </si>
  <si>
    <t>04/03/2027</t>
  </si>
  <si>
    <t>Número</t>
  </si>
  <si>
    <t>Data da Assinatura</t>
  </si>
  <si>
    <t>Valor Empréstimo</t>
  </si>
  <si>
    <t>Valor Reduzido</t>
  </si>
  <si>
    <t>Valor Utilizado</t>
  </si>
  <si>
    <t>Saldo Devedor</t>
  </si>
  <si>
    <t>Linha de financiamento</t>
  </si>
  <si>
    <t>Tipo de financiamento</t>
  </si>
  <si>
    <t>878771764647</t>
  </si>
  <si>
    <t>07/08/2023</t>
  </si>
  <si>
    <t>869</t>
  </si>
  <si>
    <t>38</t>
  </si>
  <si>
    <t>Período</t>
  </si>
  <si>
    <t>Unidade</t>
  </si>
  <si>
    <t>Valor Creditado</t>
  </si>
  <si>
    <t>Valor Desbloqueado</t>
  </si>
  <si>
    <t>Valor Amortizado</t>
  </si>
  <si>
    <t>Encargo Quitado do PJ</t>
  </si>
  <si>
    <t>14/09/2023</t>
  </si>
  <si>
    <t>Construção</t>
  </si>
  <si>
    <t>09/10/2023</t>
  </si>
  <si>
    <t>10/10/2023</t>
  </si>
  <si>
    <t>13/10/2023</t>
  </si>
  <si>
    <t>23/10/2023</t>
  </si>
  <si>
    <t>25/10/2023</t>
  </si>
  <si>
    <t>22/11/2023</t>
  </si>
  <si>
    <t>18/01/2024</t>
  </si>
  <si>
    <t>24/01/2024</t>
  </si>
  <si>
    <t>31/01/2024</t>
  </si>
  <si>
    <t>05/02/2024</t>
  </si>
  <si>
    <t>15/02/2024</t>
  </si>
  <si>
    <t>08/03/2024</t>
  </si>
  <si>
    <t>11/03/2024</t>
  </si>
  <si>
    <t>26/03/2024</t>
  </si>
  <si>
    <t>02/04/2024</t>
  </si>
  <si>
    <t>09/04/2024</t>
  </si>
  <si>
    <t>30/04/2024</t>
  </si>
  <si>
    <t>10/05/2024</t>
  </si>
  <si>
    <t>13/05/2024</t>
  </si>
  <si>
    <t>24/05/2024</t>
  </si>
  <si>
    <t>31/05/2024</t>
  </si>
  <si>
    <t>03/07/2024</t>
  </si>
  <si>
    <t>15/07/2024</t>
  </si>
  <si>
    <t>18/07/2024</t>
  </si>
  <si>
    <t>31/07/2024</t>
  </si>
  <si>
    <t>07/08/2024</t>
  </si>
  <si>
    <t>09/08/2024</t>
  </si>
  <si>
    <t>16/08/2024</t>
  </si>
  <si>
    <t>22/08/2024</t>
  </si>
  <si>
    <t>23/08/2024</t>
  </si>
  <si>
    <t>05/09/2024</t>
  </si>
  <si>
    <t>11/09/2024</t>
  </si>
  <si>
    <t>12/09/2024</t>
  </si>
  <si>
    <t>17/09/2024</t>
  </si>
  <si>
    <t>01/10/2024</t>
  </si>
  <si>
    <t>22/10/2024</t>
  </si>
  <si>
    <t>28/10/2024</t>
  </si>
  <si>
    <t>30/10/2024</t>
  </si>
  <si>
    <t>07/11/2024</t>
  </si>
  <si>
    <t>05/12/2024</t>
  </si>
  <si>
    <t>30/12/2024</t>
  </si>
  <si>
    <t>TP</t>
  </si>
  <si>
    <t>Data de Assinatura</t>
  </si>
  <si>
    <t>Data de Inclusão</t>
  </si>
  <si>
    <t>Data de Registro</t>
  </si>
  <si>
    <t>Financiamento</t>
  </si>
  <si>
    <t>Desconto Subsídio</t>
  </si>
  <si>
    <t>FGTS</t>
  </si>
  <si>
    <t>Recursos Próprios</t>
  </si>
  <si>
    <t>Compra / Venda</t>
  </si>
  <si>
    <t>Valor de Avaliação</t>
  </si>
  <si>
    <t>Valor Liberado Terreno</t>
  </si>
  <si>
    <t>Valor Liberado Obra</t>
  </si>
  <si>
    <t>Amortização</t>
  </si>
  <si>
    <t>178770249744-0</t>
  </si>
  <si>
    <t>009</t>
  </si>
  <si>
    <t>04/09/2023</t>
  </si>
  <si>
    <t>178770249792-0</t>
  </si>
  <si>
    <t>178770249973-6</t>
  </si>
  <si>
    <t>178770250115-3</t>
  </si>
  <si>
    <t>178770250140-4</t>
  </si>
  <si>
    <t>178770250188-9</t>
  </si>
  <si>
    <t>178770250440-3</t>
  </si>
  <si>
    <t>178770251132-9</t>
  </si>
  <si>
    <t>178770251134-5</t>
  </si>
  <si>
    <t>178770251247-3</t>
  </si>
  <si>
    <t>21/12/2023</t>
  </si>
  <si>
    <t>178770254390-5</t>
  </si>
  <si>
    <t>178770262040-3</t>
  </si>
  <si>
    <t>25/03/2024</t>
  </si>
  <si>
    <t>178770279836-9</t>
  </si>
  <si>
    <t>178770287582-7</t>
  </si>
  <si>
    <t>178770292437-2</t>
  </si>
  <si>
    <t>178770296895-7</t>
  </si>
  <si>
    <t>178770299493-1</t>
  </si>
  <si>
    <t>878771783642-1</t>
  </si>
  <si>
    <t>878771783838-6</t>
  </si>
  <si>
    <t>878771784415-7</t>
  </si>
  <si>
    <t>878771784545-5</t>
  </si>
  <si>
    <t>878771784787-3</t>
  </si>
  <si>
    <t>878771785462-4</t>
  </si>
  <si>
    <t>878771785483-7</t>
  </si>
  <si>
    <t>878771785568-0</t>
  </si>
  <si>
    <t>878771785787-9</t>
  </si>
  <si>
    <t>878771785933-2</t>
  </si>
  <si>
    <t>31/10/2023</t>
  </si>
  <si>
    <t>878771786173-6</t>
  </si>
  <si>
    <t>878771786220-1</t>
  </si>
  <si>
    <t>878771786283-0</t>
  </si>
  <si>
    <t>878771786796-3</t>
  </si>
  <si>
    <t>878771786845-5</t>
  </si>
  <si>
    <t>878771787101-4</t>
  </si>
  <si>
    <t>878771787456-0</t>
  </si>
  <si>
    <t>878771787935-0</t>
  </si>
  <si>
    <t>878771787939-2</t>
  </si>
  <si>
    <t>878771787944-9</t>
  </si>
  <si>
    <t>878771788456-6</t>
  </si>
  <si>
    <t>878771788598-8</t>
  </si>
  <si>
    <t>08/07/2024</t>
  </si>
  <si>
    <t>878771788905-3</t>
  </si>
  <si>
    <t>878771789503-7</t>
  </si>
  <si>
    <t>878771789974-1</t>
  </si>
  <si>
    <t>878771790243-2</t>
  </si>
  <si>
    <t>878771791838-0</t>
  </si>
  <si>
    <t>878771806686-7</t>
  </si>
  <si>
    <t>878771807797-4</t>
  </si>
  <si>
    <t>01/11/2023</t>
  </si>
  <si>
    <t>878771810180-8</t>
  </si>
  <si>
    <t>878771824340-8</t>
  </si>
  <si>
    <t>878771849859-7</t>
  </si>
  <si>
    <t>26/12/2023</t>
  </si>
  <si>
    <t>878771855622-8</t>
  </si>
  <si>
    <t>878771856248-1</t>
  </si>
  <si>
    <t>878771861808-8</t>
  </si>
  <si>
    <t>878771869261-0</t>
  </si>
  <si>
    <t>878771872731-6</t>
  </si>
  <si>
    <t>878771874469-5</t>
  </si>
  <si>
    <t>878771885931-0</t>
  </si>
  <si>
    <t>878771895753-2</t>
  </si>
  <si>
    <t>878771951769-2</t>
  </si>
  <si>
    <t>08/04/2024</t>
  </si>
  <si>
    <t>878772012311-2</t>
  </si>
  <si>
    <t>878772012512-3</t>
  </si>
  <si>
    <t>878772065937-3</t>
  </si>
  <si>
    <t>878772102175-5</t>
  </si>
  <si>
    <t>30/09/2024</t>
  </si>
  <si>
    <t>Valor creditado</t>
  </si>
  <si>
    <t>Valor desbloqueado</t>
  </si>
  <si>
    <t>Valor amortizado</t>
  </si>
  <si>
    <t>C</t>
  </si>
  <si>
    <t>Encargo quitado do PJ</t>
  </si>
  <si>
    <t>U</t>
  </si>
  <si>
    <t>PJ</t>
  </si>
  <si>
    <t>E</t>
  </si>
  <si>
    <t>JPD 2025.01</t>
  </si>
  <si>
    <t>EVS 2025.01</t>
  </si>
  <si>
    <t>creditado = l.terreno + l.obra</t>
  </si>
  <si>
    <t>emprestimo - reduzido</t>
  </si>
  <si>
    <t>s.devedor = utilizado + encargos - amortização</t>
  </si>
  <si>
    <t>diferença entre s.devedor e fórmula acima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</si>
</sst>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9A9A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44" fontId="0" fillId="0" borderId="0" xfId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0" xfId="0" applyNumberFormat="1"/>
    <xf numFmtId="0" fontId="0" fillId="6" borderId="0" xfId="0" applyFill="1"/>
    <xf numFmtId="44" fontId="0" fillId="6" borderId="0" xfId="0" applyNumberFormat="1" applyFill="1"/>
    <xf numFmtId="0" fontId="0" fillId="7" borderId="0" xfId="0" applyFill="1"/>
    <xf numFmtId="0" fontId="5" fillId="7" borderId="0" xfId="0" applyFont="1" applyFill="1"/>
    <xf numFmtId="10" fontId="0" fillId="0" borderId="0" xfId="2" applyNumberFormat="1" applyFont="1"/>
    <xf numFmtId="0" fontId="6" fillId="0" borderId="1" xfId="0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corporadoraampla.sharepoint.com/sites/Relatorios/Documentos%20Compartilhados/Relatorios%20-%20CIWEB/UP%20ESTACAO%20VILA%20SONIA%20ECN%202025_01_02%2013_18_22.xlsx" TargetMode="External"/><Relationship Id="rId1" Type="http://schemas.openxmlformats.org/officeDocument/2006/relationships/externalLinkPath" Target="https://incorporadoraampla.sharepoint.com/sites/Relatorios/Documentos%20Compartilhados/Relatorios%20-%20CIWEB/UP%20ESTACAO%20VILA%20SONIA%20ECN%202025_01_02%2013_18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reendimento"/>
      <sheetName val="Emprestimo PJ"/>
      <sheetName val="Consolidado"/>
      <sheetName val="Unidades"/>
    </sheetNames>
    <sheetDataSet>
      <sheetData sheetId="0" refreshError="1"/>
      <sheetData sheetId="1" refreshError="1"/>
      <sheetData sheetId="2">
        <row r="2">
          <cell r="C2">
            <v>2993484.6</v>
          </cell>
          <cell r="D2">
            <v>0</v>
          </cell>
          <cell r="E2">
            <v>0</v>
          </cell>
          <cell r="F2">
            <v>0</v>
          </cell>
        </row>
        <row r="3">
          <cell r="C3">
            <v>0</v>
          </cell>
          <cell r="D3">
            <v>2253344.71</v>
          </cell>
          <cell r="E3">
            <v>0</v>
          </cell>
          <cell r="F3">
            <v>0</v>
          </cell>
        </row>
        <row r="4">
          <cell r="C4">
            <v>0</v>
          </cell>
          <cell r="D4">
            <v>575544.07999999996</v>
          </cell>
          <cell r="E4">
            <v>0</v>
          </cell>
          <cell r="F4">
            <v>0</v>
          </cell>
        </row>
        <row r="5">
          <cell r="C5">
            <v>0</v>
          </cell>
          <cell r="D5">
            <v>103298.6</v>
          </cell>
          <cell r="E5">
            <v>0</v>
          </cell>
          <cell r="F5">
            <v>0</v>
          </cell>
        </row>
        <row r="6">
          <cell r="C6">
            <v>504607.52</v>
          </cell>
          <cell r="D6">
            <v>495939.11</v>
          </cell>
          <cell r="E6">
            <v>0</v>
          </cell>
          <cell r="F6">
            <v>0</v>
          </cell>
        </row>
        <row r="7">
          <cell r="C7">
            <v>240154.57</v>
          </cell>
          <cell r="D7">
            <v>0</v>
          </cell>
          <cell r="E7">
            <v>0</v>
          </cell>
          <cell r="F7">
            <v>0</v>
          </cell>
        </row>
        <row r="8">
          <cell r="C8">
            <v>49860.14</v>
          </cell>
          <cell r="D8">
            <v>0</v>
          </cell>
          <cell r="E8">
            <v>0</v>
          </cell>
          <cell r="F8">
            <v>0</v>
          </cell>
        </row>
      </sheetData>
      <sheetData sheetId="3">
        <row r="2">
          <cell r="F2">
            <v>206400</v>
          </cell>
          <cell r="G2">
            <v>0</v>
          </cell>
          <cell r="H2">
            <v>0</v>
          </cell>
          <cell r="I2">
            <v>0</v>
          </cell>
          <cell r="J2">
            <v>258000</v>
          </cell>
          <cell r="K2">
            <v>258000</v>
          </cell>
          <cell r="L2">
            <v>29173.56</v>
          </cell>
          <cell r="M2">
            <v>6273.81</v>
          </cell>
          <cell r="N2">
            <v>0</v>
          </cell>
        </row>
        <row r="3">
          <cell r="F3">
            <v>264000</v>
          </cell>
          <cell r="G3">
            <v>0</v>
          </cell>
          <cell r="H3">
            <v>0</v>
          </cell>
          <cell r="I3">
            <v>0</v>
          </cell>
          <cell r="J3">
            <v>330000</v>
          </cell>
          <cell r="K3">
            <v>330000</v>
          </cell>
          <cell r="L3">
            <v>42001.39</v>
          </cell>
          <cell r="M3">
            <v>7858.75</v>
          </cell>
          <cell r="N3">
            <v>0</v>
          </cell>
        </row>
        <row r="4">
          <cell r="F4">
            <v>232899.08</v>
          </cell>
          <cell r="G4">
            <v>0</v>
          </cell>
          <cell r="H4">
            <v>0</v>
          </cell>
          <cell r="I4">
            <v>0</v>
          </cell>
          <cell r="J4">
            <v>330000</v>
          </cell>
          <cell r="K4">
            <v>330000</v>
          </cell>
          <cell r="L4">
            <v>41421.03</v>
          </cell>
          <cell r="M4">
            <v>6778.32</v>
          </cell>
          <cell r="N4">
            <v>0</v>
          </cell>
        </row>
        <row r="5">
          <cell r="F5">
            <v>209169.15</v>
          </cell>
          <cell r="G5">
            <v>0</v>
          </cell>
          <cell r="H5">
            <v>0</v>
          </cell>
          <cell r="I5">
            <v>0</v>
          </cell>
          <cell r="J5">
            <v>330000</v>
          </cell>
          <cell r="K5">
            <v>330000</v>
          </cell>
          <cell r="L5">
            <v>42001.39</v>
          </cell>
          <cell r="M5">
            <v>5917.74</v>
          </cell>
          <cell r="N5">
            <v>0</v>
          </cell>
        </row>
        <row r="6">
          <cell r="F6">
            <v>200733.77</v>
          </cell>
          <cell r="G6">
            <v>0</v>
          </cell>
          <cell r="H6">
            <v>0</v>
          </cell>
          <cell r="I6">
            <v>0</v>
          </cell>
          <cell r="J6">
            <v>330000</v>
          </cell>
          <cell r="K6">
            <v>330000</v>
          </cell>
          <cell r="L6">
            <v>41421.03</v>
          </cell>
          <cell r="M6">
            <v>5639.67</v>
          </cell>
          <cell r="N6">
            <v>0</v>
          </cell>
        </row>
        <row r="7">
          <cell r="F7">
            <v>280000</v>
          </cell>
          <cell r="G7">
            <v>0</v>
          </cell>
          <cell r="H7">
            <v>0</v>
          </cell>
          <cell r="I7">
            <v>0</v>
          </cell>
          <cell r="J7">
            <v>350000</v>
          </cell>
          <cell r="K7">
            <v>350000</v>
          </cell>
          <cell r="L7">
            <v>61297.21</v>
          </cell>
          <cell r="M7">
            <v>7742.07</v>
          </cell>
          <cell r="N7">
            <v>0</v>
          </cell>
        </row>
        <row r="8">
          <cell r="F8">
            <v>280000</v>
          </cell>
          <cell r="G8">
            <v>0</v>
          </cell>
          <cell r="H8">
            <v>0</v>
          </cell>
          <cell r="I8">
            <v>0</v>
          </cell>
          <cell r="J8">
            <v>350000</v>
          </cell>
          <cell r="K8">
            <v>350000</v>
          </cell>
          <cell r="L8">
            <v>61297.21</v>
          </cell>
          <cell r="M8">
            <v>7742.07</v>
          </cell>
          <cell r="N8">
            <v>0</v>
          </cell>
        </row>
        <row r="9">
          <cell r="F9">
            <v>257741.33</v>
          </cell>
          <cell r="G9">
            <v>0</v>
          </cell>
          <cell r="H9">
            <v>0</v>
          </cell>
          <cell r="I9">
            <v>0</v>
          </cell>
          <cell r="J9">
            <v>330000</v>
          </cell>
          <cell r="K9">
            <v>330000</v>
          </cell>
          <cell r="L9">
            <v>42438.83</v>
          </cell>
          <cell r="M9">
            <v>7621.71</v>
          </cell>
          <cell r="N9">
            <v>0</v>
          </cell>
        </row>
        <row r="10">
          <cell r="F10">
            <v>280000</v>
          </cell>
          <cell r="G10">
            <v>0</v>
          </cell>
          <cell r="H10">
            <v>0</v>
          </cell>
          <cell r="I10">
            <v>0</v>
          </cell>
          <cell r="J10">
            <v>350000</v>
          </cell>
          <cell r="K10">
            <v>350000</v>
          </cell>
          <cell r="L10">
            <v>61297.21</v>
          </cell>
          <cell r="M10">
            <v>7742.07</v>
          </cell>
          <cell r="N10">
            <v>0</v>
          </cell>
        </row>
        <row r="11">
          <cell r="F11">
            <v>264000</v>
          </cell>
          <cell r="G11">
            <v>0</v>
          </cell>
          <cell r="H11">
            <v>0</v>
          </cell>
          <cell r="I11">
            <v>0</v>
          </cell>
          <cell r="J11">
            <v>330000</v>
          </cell>
          <cell r="K11">
            <v>330000</v>
          </cell>
          <cell r="L11">
            <v>41278.11</v>
          </cell>
          <cell r="M11">
            <v>7884.35</v>
          </cell>
          <cell r="N11">
            <v>0</v>
          </cell>
        </row>
        <row r="12">
          <cell r="F12">
            <v>297000</v>
          </cell>
          <cell r="G12">
            <v>0</v>
          </cell>
          <cell r="H12">
            <v>0</v>
          </cell>
          <cell r="I12">
            <v>0</v>
          </cell>
          <cell r="J12">
            <v>330000</v>
          </cell>
          <cell r="K12">
            <v>330000</v>
          </cell>
          <cell r="L12">
            <v>41299.35</v>
          </cell>
          <cell r="M12">
            <v>9051.7999999999993</v>
          </cell>
          <cell r="N12">
            <v>0</v>
          </cell>
        </row>
        <row r="13">
          <cell r="F13">
            <v>260652.3</v>
          </cell>
          <cell r="G13">
            <v>0</v>
          </cell>
          <cell r="H13">
            <v>0</v>
          </cell>
          <cell r="I13">
            <v>0</v>
          </cell>
          <cell r="J13">
            <v>330000</v>
          </cell>
          <cell r="K13">
            <v>330000</v>
          </cell>
          <cell r="L13">
            <v>42438.83</v>
          </cell>
          <cell r="M13">
            <v>7724.76</v>
          </cell>
          <cell r="N13">
            <v>0</v>
          </cell>
        </row>
        <row r="14">
          <cell r="F14">
            <v>306000</v>
          </cell>
          <cell r="G14">
            <v>0</v>
          </cell>
          <cell r="H14">
            <v>0</v>
          </cell>
          <cell r="I14">
            <v>0</v>
          </cell>
          <cell r="J14">
            <v>340000</v>
          </cell>
          <cell r="K14">
            <v>340000</v>
          </cell>
          <cell r="L14">
            <v>53495.64</v>
          </cell>
          <cell r="M14">
            <v>8938.65</v>
          </cell>
          <cell r="N14">
            <v>0</v>
          </cell>
        </row>
        <row r="15">
          <cell r="F15">
            <v>228127.1</v>
          </cell>
          <cell r="G15">
            <v>0</v>
          </cell>
          <cell r="H15">
            <v>55066.75</v>
          </cell>
          <cell r="I15">
            <v>0</v>
          </cell>
          <cell r="J15">
            <v>350000</v>
          </cell>
          <cell r="K15">
            <v>350000</v>
          </cell>
          <cell r="L15">
            <v>61297.21</v>
          </cell>
          <cell r="M15">
            <v>7855.14</v>
          </cell>
          <cell r="N15">
            <v>0</v>
          </cell>
        </row>
        <row r="16">
          <cell r="F16">
            <v>236919.13</v>
          </cell>
          <cell r="G16">
            <v>0</v>
          </cell>
          <cell r="H16">
            <v>66649.61</v>
          </cell>
          <cell r="I16">
            <v>0</v>
          </cell>
          <cell r="J16">
            <v>340000</v>
          </cell>
          <cell r="K16">
            <v>340000</v>
          </cell>
          <cell r="L16">
            <v>54268.17</v>
          </cell>
          <cell r="M16">
            <v>8825.24</v>
          </cell>
          <cell r="N16">
            <v>0</v>
          </cell>
        </row>
        <row r="17">
          <cell r="F17">
            <v>253588.58</v>
          </cell>
          <cell r="G17">
            <v>0</v>
          </cell>
          <cell r="H17">
            <v>50977.88</v>
          </cell>
          <cell r="I17">
            <v>0</v>
          </cell>
          <cell r="J17">
            <v>350000</v>
          </cell>
          <cell r="K17">
            <v>350000</v>
          </cell>
          <cell r="L17">
            <v>61297.21</v>
          </cell>
          <cell r="M17">
            <v>8611.73</v>
          </cell>
          <cell r="N17">
            <v>0</v>
          </cell>
        </row>
        <row r="18">
          <cell r="F18">
            <v>247372.93</v>
          </cell>
          <cell r="G18">
            <v>0</v>
          </cell>
          <cell r="H18">
            <v>96090.28</v>
          </cell>
          <cell r="I18">
            <v>0</v>
          </cell>
          <cell r="J18">
            <v>350000</v>
          </cell>
          <cell r="K18">
            <v>350000</v>
          </cell>
          <cell r="L18">
            <v>61297.21</v>
          </cell>
          <cell r="M18">
            <v>9988.67</v>
          </cell>
          <cell r="N18">
            <v>0</v>
          </cell>
        </row>
        <row r="19">
          <cell r="F19">
            <v>256128.61</v>
          </cell>
          <cell r="G19">
            <v>0</v>
          </cell>
          <cell r="H19">
            <v>47340.36</v>
          </cell>
          <cell r="I19">
            <v>0</v>
          </cell>
          <cell r="J19">
            <v>330000</v>
          </cell>
          <cell r="K19">
            <v>330000</v>
          </cell>
          <cell r="L19">
            <v>41278.11</v>
          </cell>
          <cell r="M19">
            <v>9281.56</v>
          </cell>
          <cell r="N19">
            <v>0</v>
          </cell>
        </row>
        <row r="20">
          <cell r="F20">
            <v>267944.73</v>
          </cell>
          <cell r="G20">
            <v>0</v>
          </cell>
          <cell r="H20">
            <v>20990.01</v>
          </cell>
          <cell r="I20">
            <v>0</v>
          </cell>
          <cell r="J20">
            <v>350000</v>
          </cell>
          <cell r="K20">
            <v>350000</v>
          </cell>
          <cell r="L20">
            <v>55036.83</v>
          </cell>
          <cell r="M20">
            <v>8279.98</v>
          </cell>
          <cell r="N20">
            <v>0</v>
          </cell>
        </row>
        <row r="21">
          <cell r="F21">
            <v>200264.71</v>
          </cell>
          <cell r="G21">
            <v>0</v>
          </cell>
          <cell r="H21">
            <v>56986.03</v>
          </cell>
          <cell r="I21">
            <v>0</v>
          </cell>
          <cell r="J21">
            <v>330000</v>
          </cell>
          <cell r="K21">
            <v>330000</v>
          </cell>
          <cell r="L21">
            <v>41421.03</v>
          </cell>
          <cell r="M21">
            <v>7640.37</v>
          </cell>
          <cell r="N21">
            <v>0</v>
          </cell>
        </row>
        <row r="22">
          <cell r="F22">
            <v>231745.16</v>
          </cell>
          <cell r="G22">
            <v>0</v>
          </cell>
          <cell r="H22">
            <v>37393.42</v>
          </cell>
          <cell r="I22">
            <v>0</v>
          </cell>
          <cell r="J22">
            <v>350000</v>
          </cell>
          <cell r="K22">
            <v>350000</v>
          </cell>
          <cell r="L22">
            <v>55036.83</v>
          </cell>
          <cell r="M22">
            <v>7579.2</v>
          </cell>
          <cell r="N22">
            <v>0</v>
          </cell>
        </row>
        <row r="23">
          <cell r="F23">
            <v>267273.14</v>
          </cell>
          <cell r="G23">
            <v>0</v>
          </cell>
          <cell r="H23">
            <v>72726.86</v>
          </cell>
          <cell r="I23">
            <v>0</v>
          </cell>
          <cell r="J23">
            <v>340000</v>
          </cell>
          <cell r="K23">
            <v>340000</v>
          </cell>
          <cell r="L23">
            <v>54597.46</v>
          </cell>
          <cell r="M23">
            <v>10103.24</v>
          </cell>
          <cell r="N23">
            <v>0</v>
          </cell>
        </row>
        <row r="24">
          <cell r="F24">
            <v>245107.12</v>
          </cell>
          <cell r="G24">
            <v>0</v>
          </cell>
          <cell r="H24">
            <v>46716.97</v>
          </cell>
          <cell r="I24">
            <v>0</v>
          </cell>
          <cell r="J24">
            <v>330000</v>
          </cell>
          <cell r="K24">
            <v>330000</v>
          </cell>
          <cell r="L24">
            <v>42001.39</v>
          </cell>
          <cell r="M24">
            <v>8843.73</v>
          </cell>
          <cell r="N24">
            <v>0</v>
          </cell>
        </row>
        <row r="25">
          <cell r="F25">
            <v>280000</v>
          </cell>
          <cell r="G25">
            <v>0</v>
          </cell>
          <cell r="H25">
            <v>27032.47</v>
          </cell>
          <cell r="I25">
            <v>0</v>
          </cell>
          <cell r="J25">
            <v>350000</v>
          </cell>
          <cell r="K25">
            <v>350000</v>
          </cell>
          <cell r="L25">
            <v>55036.83</v>
          </cell>
          <cell r="M25">
            <v>8920.64</v>
          </cell>
          <cell r="N25">
            <v>0</v>
          </cell>
        </row>
        <row r="26">
          <cell r="F26">
            <v>258557.5</v>
          </cell>
          <cell r="G26">
            <v>0</v>
          </cell>
          <cell r="H26">
            <v>71736.179999999993</v>
          </cell>
          <cell r="I26">
            <v>0</v>
          </cell>
          <cell r="J26">
            <v>350000</v>
          </cell>
          <cell r="K26">
            <v>350000</v>
          </cell>
          <cell r="L26">
            <v>55036.83</v>
          </cell>
          <cell r="M26">
            <v>9744.09</v>
          </cell>
          <cell r="N26">
            <v>0</v>
          </cell>
        </row>
        <row r="27">
          <cell r="F27">
            <v>292152.92</v>
          </cell>
          <cell r="G27">
            <v>0</v>
          </cell>
          <cell r="H27">
            <v>57847.08</v>
          </cell>
          <cell r="I27">
            <v>0</v>
          </cell>
          <cell r="J27">
            <v>350000</v>
          </cell>
          <cell r="K27">
            <v>350000</v>
          </cell>
          <cell r="L27">
            <v>61297.21</v>
          </cell>
          <cell r="M27">
            <v>10220.07</v>
          </cell>
          <cell r="N27">
            <v>0</v>
          </cell>
        </row>
        <row r="28">
          <cell r="F28">
            <v>306167.63</v>
          </cell>
          <cell r="G28">
            <v>0</v>
          </cell>
          <cell r="H28">
            <v>0</v>
          </cell>
          <cell r="I28">
            <v>0</v>
          </cell>
          <cell r="J28">
            <v>350000</v>
          </cell>
          <cell r="K28">
            <v>350000</v>
          </cell>
          <cell r="L28">
            <v>61297.21</v>
          </cell>
          <cell r="M28">
            <v>8668.41</v>
          </cell>
          <cell r="N28">
            <v>0</v>
          </cell>
        </row>
        <row r="29">
          <cell r="F29">
            <v>272000</v>
          </cell>
          <cell r="G29">
            <v>0</v>
          </cell>
          <cell r="H29">
            <v>57135.4</v>
          </cell>
          <cell r="I29">
            <v>0</v>
          </cell>
          <cell r="J29">
            <v>340000</v>
          </cell>
          <cell r="K29">
            <v>340000</v>
          </cell>
          <cell r="L29">
            <v>48620.02</v>
          </cell>
          <cell r="M29">
            <v>9930.24</v>
          </cell>
          <cell r="N29">
            <v>0</v>
          </cell>
        </row>
        <row r="30">
          <cell r="F30">
            <v>260000</v>
          </cell>
          <cell r="G30">
            <v>0</v>
          </cell>
          <cell r="H30">
            <v>0</v>
          </cell>
          <cell r="I30">
            <v>0</v>
          </cell>
          <cell r="J30">
            <v>340000</v>
          </cell>
          <cell r="K30">
            <v>340000</v>
          </cell>
          <cell r="L30">
            <v>53874.18</v>
          </cell>
          <cell r="M30">
            <v>7296.85</v>
          </cell>
          <cell r="N30">
            <v>0</v>
          </cell>
        </row>
        <row r="31">
          <cell r="F31">
            <v>274912.55</v>
          </cell>
          <cell r="G31">
            <v>0</v>
          </cell>
          <cell r="H31">
            <v>47358.97</v>
          </cell>
          <cell r="I31">
            <v>0</v>
          </cell>
          <cell r="J31">
            <v>350000</v>
          </cell>
          <cell r="K31">
            <v>350000</v>
          </cell>
          <cell r="L31">
            <v>61297.21</v>
          </cell>
          <cell r="M31">
            <v>9238.49</v>
          </cell>
          <cell r="N31">
            <v>0</v>
          </cell>
        </row>
        <row r="32">
          <cell r="F32">
            <v>253753.95</v>
          </cell>
          <cell r="G32">
            <v>0</v>
          </cell>
          <cell r="H32">
            <v>16695.91</v>
          </cell>
          <cell r="I32">
            <v>0</v>
          </cell>
          <cell r="J32">
            <v>350000</v>
          </cell>
          <cell r="K32">
            <v>350000</v>
          </cell>
          <cell r="L32">
            <v>55036.83</v>
          </cell>
          <cell r="M32">
            <v>7625.62</v>
          </cell>
          <cell r="N32">
            <v>0</v>
          </cell>
        </row>
        <row r="33">
          <cell r="F33">
            <v>264000</v>
          </cell>
          <cell r="G33">
            <v>0</v>
          </cell>
          <cell r="H33">
            <v>0</v>
          </cell>
          <cell r="I33">
            <v>0</v>
          </cell>
          <cell r="J33">
            <v>330000</v>
          </cell>
          <cell r="K33">
            <v>330000</v>
          </cell>
          <cell r="L33">
            <v>41278.11</v>
          </cell>
          <cell r="M33">
            <v>7884.35</v>
          </cell>
          <cell r="N33">
            <v>0</v>
          </cell>
        </row>
        <row r="34">
          <cell r="F34">
            <v>239200</v>
          </cell>
          <cell r="G34">
            <v>0</v>
          </cell>
          <cell r="H34">
            <v>0</v>
          </cell>
          <cell r="I34">
            <v>0</v>
          </cell>
          <cell r="J34">
            <v>299000</v>
          </cell>
          <cell r="K34">
            <v>299000</v>
          </cell>
          <cell r="L34">
            <v>41770.6</v>
          </cell>
          <cell r="M34">
            <v>6989</v>
          </cell>
          <cell r="N34">
            <v>0</v>
          </cell>
        </row>
        <row r="35">
          <cell r="F35">
            <v>264000</v>
          </cell>
          <cell r="G35">
            <v>0</v>
          </cell>
          <cell r="H35">
            <v>0</v>
          </cell>
          <cell r="I35">
            <v>0</v>
          </cell>
          <cell r="J35">
            <v>330000</v>
          </cell>
          <cell r="K35">
            <v>330000</v>
          </cell>
          <cell r="L35">
            <v>42001.39</v>
          </cell>
          <cell r="M35">
            <v>7858.75</v>
          </cell>
          <cell r="N35">
            <v>0</v>
          </cell>
        </row>
        <row r="36">
          <cell r="F36">
            <v>255219.02</v>
          </cell>
          <cell r="G36">
            <v>0</v>
          </cell>
          <cell r="H36">
            <v>0</v>
          </cell>
          <cell r="I36">
            <v>0</v>
          </cell>
          <cell r="J36">
            <v>330000</v>
          </cell>
          <cell r="K36">
            <v>330000</v>
          </cell>
          <cell r="L36">
            <v>41421.03</v>
          </cell>
          <cell r="M36">
            <v>7568.45</v>
          </cell>
          <cell r="N36">
            <v>0</v>
          </cell>
        </row>
        <row r="37">
          <cell r="F37">
            <v>197217.98</v>
          </cell>
          <cell r="G37">
            <v>0</v>
          </cell>
          <cell r="H37">
            <v>0</v>
          </cell>
          <cell r="I37">
            <v>0</v>
          </cell>
          <cell r="J37">
            <v>340000</v>
          </cell>
          <cell r="K37">
            <v>340000</v>
          </cell>
          <cell r="L37">
            <v>54597.46</v>
          </cell>
          <cell r="M37">
            <v>5048.76</v>
          </cell>
          <cell r="N37">
            <v>0</v>
          </cell>
        </row>
        <row r="38">
          <cell r="F38">
            <v>264000</v>
          </cell>
          <cell r="G38">
            <v>0</v>
          </cell>
          <cell r="H38">
            <v>0</v>
          </cell>
          <cell r="I38">
            <v>0</v>
          </cell>
          <cell r="J38">
            <v>330000</v>
          </cell>
          <cell r="K38">
            <v>330000</v>
          </cell>
          <cell r="L38">
            <v>41421.03</v>
          </cell>
          <cell r="M38">
            <v>7879.29</v>
          </cell>
          <cell r="N38">
            <v>0</v>
          </cell>
        </row>
        <row r="39">
          <cell r="F39">
            <v>258826.99</v>
          </cell>
          <cell r="G39">
            <v>0</v>
          </cell>
          <cell r="H39">
            <v>0</v>
          </cell>
          <cell r="I39">
            <v>0</v>
          </cell>
          <cell r="J39">
            <v>330000</v>
          </cell>
          <cell r="K39">
            <v>330000</v>
          </cell>
          <cell r="L39">
            <v>42001.39</v>
          </cell>
          <cell r="M39">
            <v>7675.63</v>
          </cell>
          <cell r="N39">
            <v>0</v>
          </cell>
        </row>
        <row r="40">
          <cell r="F40">
            <v>201600</v>
          </cell>
          <cell r="G40">
            <v>0</v>
          </cell>
          <cell r="H40">
            <v>0</v>
          </cell>
          <cell r="I40">
            <v>0</v>
          </cell>
          <cell r="J40">
            <v>252000</v>
          </cell>
          <cell r="K40">
            <v>252000</v>
          </cell>
          <cell r="L40">
            <v>29173.56</v>
          </cell>
          <cell r="M40">
            <v>6103.89</v>
          </cell>
          <cell r="N40">
            <v>0</v>
          </cell>
        </row>
        <row r="41">
          <cell r="F41">
            <v>239717.57</v>
          </cell>
          <cell r="G41">
            <v>0</v>
          </cell>
          <cell r="H41">
            <v>0</v>
          </cell>
          <cell r="I41">
            <v>0</v>
          </cell>
          <cell r="J41">
            <v>330000</v>
          </cell>
          <cell r="K41">
            <v>330000</v>
          </cell>
          <cell r="L41">
            <v>41421.03</v>
          </cell>
          <cell r="M41">
            <v>7019.7</v>
          </cell>
          <cell r="N41">
            <v>0</v>
          </cell>
        </row>
        <row r="42">
          <cell r="F42">
            <v>280000</v>
          </cell>
          <cell r="G42">
            <v>0</v>
          </cell>
          <cell r="H42">
            <v>0</v>
          </cell>
          <cell r="I42">
            <v>0</v>
          </cell>
          <cell r="J42">
            <v>350000</v>
          </cell>
          <cell r="K42">
            <v>350000</v>
          </cell>
          <cell r="L42">
            <v>55036.83</v>
          </cell>
          <cell r="M42">
            <v>7963.69</v>
          </cell>
          <cell r="N42">
            <v>0</v>
          </cell>
        </row>
        <row r="43">
          <cell r="F43">
            <v>218787.26</v>
          </cell>
          <cell r="G43">
            <v>0</v>
          </cell>
          <cell r="H43">
            <v>0</v>
          </cell>
          <cell r="I43">
            <v>0</v>
          </cell>
          <cell r="J43">
            <v>330000</v>
          </cell>
          <cell r="K43">
            <v>330000</v>
          </cell>
          <cell r="L43">
            <v>41278.11</v>
          </cell>
          <cell r="M43">
            <v>6283.82</v>
          </cell>
          <cell r="N43">
            <v>0</v>
          </cell>
        </row>
        <row r="44">
          <cell r="F44">
            <v>253138.07</v>
          </cell>
          <cell r="G44">
            <v>0</v>
          </cell>
          <cell r="H44">
            <v>0</v>
          </cell>
          <cell r="I44">
            <v>0</v>
          </cell>
          <cell r="J44">
            <v>330000</v>
          </cell>
          <cell r="K44">
            <v>330000</v>
          </cell>
          <cell r="L44">
            <v>42438.83</v>
          </cell>
          <cell r="M44">
            <v>7458.75</v>
          </cell>
          <cell r="N44">
            <v>0</v>
          </cell>
        </row>
        <row r="45">
          <cell r="F45">
            <v>264000</v>
          </cell>
          <cell r="G45">
            <v>0</v>
          </cell>
          <cell r="H45">
            <v>0</v>
          </cell>
          <cell r="I45">
            <v>0</v>
          </cell>
          <cell r="J45">
            <v>330000</v>
          </cell>
          <cell r="K45">
            <v>330000</v>
          </cell>
          <cell r="L45">
            <v>41421.03</v>
          </cell>
          <cell r="M45">
            <v>7879.29</v>
          </cell>
          <cell r="N45">
            <v>0</v>
          </cell>
        </row>
        <row r="46">
          <cell r="F46">
            <v>180962.03</v>
          </cell>
          <cell r="G46">
            <v>670</v>
          </cell>
          <cell r="H46">
            <v>0</v>
          </cell>
          <cell r="I46">
            <v>0</v>
          </cell>
          <cell r="J46">
            <v>258000</v>
          </cell>
          <cell r="K46">
            <v>258000</v>
          </cell>
          <cell r="L46">
            <v>29173.56</v>
          </cell>
          <cell r="M46">
            <v>5397.03</v>
          </cell>
          <cell r="N46">
            <v>0</v>
          </cell>
        </row>
        <row r="47">
          <cell r="F47">
            <v>202015.27</v>
          </cell>
          <cell r="G47">
            <v>0</v>
          </cell>
          <cell r="H47">
            <v>0</v>
          </cell>
          <cell r="I47">
            <v>0</v>
          </cell>
          <cell r="J47">
            <v>350000</v>
          </cell>
          <cell r="K47">
            <v>350000</v>
          </cell>
          <cell r="L47">
            <v>61297.21</v>
          </cell>
          <cell r="M47">
            <v>4981.42</v>
          </cell>
          <cell r="N47">
            <v>0</v>
          </cell>
        </row>
        <row r="48">
          <cell r="F48">
            <v>200000</v>
          </cell>
          <cell r="G48">
            <v>0</v>
          </cell>
          <cell r="H48">
            <v>0</v>
          </cell>
          <cell r="I48">
            <v>0</v>
          </cell>
          <cell r="J48">
            <v>252000</v>
          </cell>
          <cell r="K48">
            <v>252000</v>
          </cell>
          <cell r="L48">
            <v>29173.56</v>
          </cell>
          <cell r="M48">
            <v>6047.25</v>
          </cell>
          <cell r="N48">
            <v>0</v>
          </cell>
        </row>
        <row r="49">
          <cell r="F49">
            <v>194385.95</v>
          </cell>
          <cell r="G49">
            <v>645</v>
          </cell>
          <cell r="H49">
            <v>0</v>
          </cell>
          <cell r="I49">
            <v>0</v>
          </cell>
          <cell r="J49">
            <v>258000</v>
          </cell>
          <cell r="K49">
            <v>258000</v>
          </cell>
          <cell r="L49">
            <v>29173.56</v>
          </cell>
          <cell r="M49">
            <v>5871.35</v>
          </cell>
          <cell r="N49">
            <v>0</v>
          </cell>
        </row>
        <row r="50">
          <cell r="F50">
            <v>188032.5</v>
          </cell>
          <cell r="G50">
            <v>2204</v>
          </cell>
          <cell r="H50">
            <v>0</v>
          </cell>
          <cell r="I50">
            <v>0</v>
          </cell>
          <cell r="J50">
            <v>258000</v>
          </cell>
          <cell r="K50">
            <v>258000</v>
          </cell>
          <cell r="L50">
            <v>29173.56</v>
          </cell>
          <cell r="M50">
            <v>5701.63</v>
          </cell>
          <cell r="N50">
            <v>0</v>
          </cell>
        </row>
        <row r="51">
          <cell r="F51">
            <v>264000</v>
          </cell>
          <cell r="G51">
            <v>0</v>
          </cell>
          <cell r="H51">
            <v>0</v>
          </cell>
          <cell r="I51">
            <v>0</v>
          </cell>
          <cell r="J51">
            <v>330000</v>
          </cell>
          <cell r="K51">
            <v>330000</v>
          </cell>
          <cell r="L51">
            <v>41299.35</v>
          </cell>
          <cell r="M51">
            <v>7883.6</v>
          </cell>
          <cell r="N51">
            <v>0</v>
          </cell>
        </row>
        <row r="52">
          <cell r="F52">
            <v>263861.15000000002</v>
          </cell>
          <cell r="G52">
            <v>0</v>
          </cell>
          <cell r="H52">
            <v>42074.3</v>
          </cell>
          <cell r="I52">
            <v>0</v>
          </cell>
          <cell r="J52">
            <v>330000</v>
          </cell>
          <cell r="K52">
            <v>330000</v>
          </cell>
          <cell r="L52">
            <v>41278.11</v>
          </cell>
          <cell r="M52">
            <v>9368.8700000000008</v>
          </cell>
          <cell r="N52">
            <v>0</v>
          </cell>
        </row>
        <row r="53">
          <cell r="F53">
            <v>264000</v>
          </cell>
          <cell r="G53">
            <v>0</v>
          </cell>
          <cell r="H53">
            <v>0</v>
          </cell>
          <cell r="I53">
            <v>0</v>
          </cell>
          <cell r="J53">
            <v>330000</v>
          </cell>
          <cell r="K53">
            <v>330000</v>
          </cell>
          <cell r="L53">
            <v>41421.03</v>
          </cell>
          <cell r="M53">
            <v>7879.29</v>
          </cell>
          <cell r="N53">
            <v>0</v>
          </cell>
        </row>
        <row r="54">
          <cell r="F54">
            <v>213433.28</v>
          </cell>
          <cell r="G54">
            <v>0</v>
          </cell>
          <cell r="H54">
            <v>17260.23</v>
          </cell>
          <cell r="I54">
            <v>0</v>
          </cell>
          <cell r="J54">
            <v>340000</v>
          </cell>
          <cell r="K54">
            <v>340000</v>
          </cell>
          <cell r="L54">
            <v>45141.61</v>
          </cell>
          <cell r="M54">
            <v>6568.54</v>
          </cell>
          <cell r="N54">
            <v>0</v>
          </cell>
        </row>
        <row r="55">
          <cell r="F55">
            <v>208026.48</v>
          </cell>
          <cell r="G55">
            <v>0</v>
          </cell>
          <cell r="H55">
            <v>28610.04</v>
          </cell>
          <cell r="I55">
            <v>0</v>
          </cell>
          <cell r="J55">
            <v>330000</v>
          </cell>
          <cell r="K55">
            <v>330000</v>
          </cell>
          <cell r="L55">
            <v>41421.03</v>
          </cell>
          <cell r="M55">
            <v>6910.63</v>
          </cell>
          <cell r="N55">
            <v>0</v>
          </cell>
        </row>
        <row r="56">
          <cell r="F56">
            <v>244060.74</v>
          </cell>
          <cell r="G56">
            <v>0</v>
          </cell>
          <cell r="H56">
            <v>29637.17</v>
          </cell>
          <cell r="I56">
            <v>0</v>
          </cell>
          <cell r="J56">
            <v>330000</v>
          </cell>
          <cell r="K56">
            <v>330000</v>
          </cell>
          <cell r="L56">
            <v>42001.39</v>
          </cell>
          <cell r="M56">
            <v>8202.06</v>
          </cell>
          <cell r="N56">
            <v>0</v>
          </cell>
        </row>
        <row r="57">
          <cell r="F57">
            <v>200469.15</v>
          </cell>
          <cell r="G57">
            <v>0</v>
          </cell>
          <cell r="H57">
            <v>14017.94</v>
          </cell>
          <cell r="I57">
            <v>0</v>
          </cell>
          <cell r="J57">
            <v>330000</v>
          </cell>
          <cell r="K57">
            <v>330000</v>
          </cell>
          <cell r="L57">
            <v>41421.03</v>
          </cell>
          <cell r="M57">
            <v>6126.54</v>
          </cell>
          <cell r="N57">
            <v>0</v>
          </cell>
        </row>
        <row r="58">
          <cell r="F58">
            <v>256225.22</v>
          </cell>
          <cell r="G58">
            <v>0</v>
          </cell>
          <cell r="H58">
            <v>56209.31</v>
          </cell>
          <cell r="I58">
            <v>0</v>
          </cell>
          <cell r="J58">
            <v>330000</v>
          </cell>
          <cell r="K58">
            <v>330000</v>
          </cell>
          <cell r="L58">
            <v>41278.11</v>
          </cell>
          <cell r="M58">
            <v>9598.94</v>
          </cell>
          <cell r="N58">
            <v>0</v>
          </cell>
        </row>
        <row r="59">
          <cell r="F59">
            <v>194483.9</v>
          </cell>
          <cell r="G59">
            <v>655</v>
          </cell>
          <cell r="H59">
            <v>6499.53</v>
          </cell>
          <cell r="I59">
            <v>0</v>
          </cell>
          <cell r="J59">
            <v>258000</v>
          </cell>
          <cell r="K59">
            <v>258000</v>
          </cell>
          <cell r="L59">
            <v>29173.56</v>
          </cell>
          <cell r="M59">
            <v>6105.26</v>
          </cell>
          <cell r="N59">
            <v>0</v>
          </cell>
        </row>
        <row r="60">
          <cell r="F60">
            <v>189340</v>
          </cell>
          <cell r="G60">
            <v>660</v>
          </cell>
          <cell r="H60">
            <v>0</v>
          </cell>
          <cell r="I60">
            <v>0</v>
          </cell>
          <cell r="J60">
            <v>252000</v>
          </cell>
          <cell r="K60">
            <v>252000</v>
          </cell>
          <cell r="L60">
            <v>29173.56</v>
          </cell>
          <cell r="M60">
            <v>5693.25</v>
          </cell>
          <cell r="N60">
            <v>0</v>
          </cell>
        </row>
        <row r="61">
          <cell r="F61">
            <v>174365.05</v>
          </cell>
          <cell r="G61">
            <v>706</v>
          </cell>
          <cell r="H61">
            <v>15387.41</v>
          </cell>
          <cell r="I61">
            <v>0</v>
          </cell>
          <cell r="J61">
            <v>252000</v>
          </cell>
          <cell r="K61">
            <v>252000</v>
          </cell>
          <cell r="L61">
            <v>29173.56</v>
          </cell>
          <cell r="M61">
            <v>5709.48</v>
          </cell>
          <cell r="N61">
            <v>0</v>
          </cell>
        </row>
        <row r="62">
          <cell r="F62">
            <v>232334.77</v>
          </cell>
          <cell r="G62">
            <v>0</v>
          </cell>
          <cell r="H62">
            <v>18159.759999999998</v>
          </cell>
          <cell r="I62">
            <v>0</v>
          </cell>
          <cell r="J62">
            <v>330000</v>
          </cell>
          <cell r="K62">
            <v>330000</v>
          </cell>
          <cell r="L62">
            <v>41278.11</v>
          </cell>
          <cell r="M62">
            <v>7406.26</v>
          </cell>
          <cell r="N62">
            <v>0</v>
          </cell>
        </row>
        <row r="63">
          <cell r="F63">
            <v>247725.93</v>
          </cell>
          <cell r="G63">
            <v>0</v>
          </cell>
          <cell r="H63">
            <v>56377.88</v>
          </cell>
          <cell r="I63">
            <v>0</v>
          </cell>
          <cell r="J63">
            <v>330000</v>
          </cell>
          <cell r="K63">
            <v>330000</v>
          </cell>
          <cell r="L63">
            <v>41421.03</v>
          </cell>
          <cell r="M63">
            <v>9298.9699999999993</v>
          </cell>
          <cell r="N63">
            <v>0</v>
          </cell>
        </row>
        <row r="64">
          <cell r="F64">
            <v>220622.89</v>
          </cell>
          <cell r="G64">
            <v>0</v>
          </cell>
          <cell r="H64">
            <v>15748.68</v>
          </cell>
          <cell r="I64">
            <v>0</v>
          </cell>
          <cell r="J64">
            <v>330000</v>
          </cell>
          <cell r="K64">
            <v>330000</v>
          </cell>
          <cell r="L64">
            <v>41278.11</v>
          </cell>
          <cell r="M64">
            <v>6906.31</v>
          </cell>
          <cell r="N64">
            <v>0</v>
          </cell>
        </row>
        <row r="65">
          <cell r="F65">
            <v>212741.74</v>
          </cell>
          <cell r="G65">
            <v>0</v>
          </cell>
          <cell r="H65">
            <v>21597.23</v>
          </cell>
          <cell r="I65">
            <v>0</v>
          </cell>
          <cell r="J65">
            <v>330000</v>
          </cell>
          <cell r="K65">
            <v>330000</v>
          </cell>
          <cell r="L65">
            <v>41278.11</v>
          </cell>
          <cell r="M65">
            <v>6834.35</v>
          </cell>
          <cell r="N65">
            <v>0</v>
          </cell>
        </row>
        <row r="66">
          <cell r="F66">
            <v>264000</v>
          </cell>
          <cell r="G66">
            <v>0</v>
          </cell>
          <cell r="H66">
            <v>14621.4</v>
          </cell>
          <cell r="I66">
            <v>0</v>
          </cell>
          <cell r="J66">
            <v>330000</v>
          </cell>
          <cell r="K66">
            <v>330000</v>
          </cell>
          <cell r="L66">
            <v>41278.11</v>
          </cell>
          <cell r="M66">
            <v>8401.9500000000007</v>
          </cell>
          <cell r="N66">
            <v>0</v>
          </cell>
        </row>
        <row r="67">
          <cell r="F67">
            <v>164287.79</v>
          </cell>
          <cell r="G67">
            <v>2719</v>
          </cell>
          <cell r="H67">
            <v>6807.77</v>
          </cell>
          <cell r="I67">
            <v>0</v>
          </cell>
          <cell r="J67">
            <v>252000</v>
          </cell>
          <cell r="K67">
            <v>252000</v>
          </cell>
          <cell r="L67">
            <v>29173.56</v>
          </cell>
          <cell r="M67">
            <v>5120.29</v>
          </cell>
          <cell r="N67">
            <v>0</v>
          </cell>
        </row>
        <row r="68">
          <cell r="F68">
            <v>162856.38</v>
          </cell>
          <cell r="G68">
            <v>1092</v>
          </cell>
          <cell r="H68">
            <v>24438.1</v>
          </cell>
          <cell r="I68">
            <v>0</v>
          </cell>
          <cell r="J68">
            <v>252000</v>
          </cell>
          <cell r="K68">
            <v>252000</v>
          </cell>
          <cell r="L68">
            <v>29173.56</v>
          </cell>
          <cell r="M68">
            <v>5636.14</v>
          </cell>
          <cell r="N68">
            <v>0</v>
          </cell>
        </row>
        <row r="69">
          <cell r="F69">
            <v>272527.65999999997</v>
          </cell>
          <cell r="G69">
            <v>0</v>
          </cell>
          <cell r="H69">
            <v>36900.68</v>
          </cell>
          <cell r="I69">
            <v>0</v>
          </cell>
          <cell r="J69">
            <v>350000</v>
          </cell>
          <cell r="K69">
            <v>350000</v>
          </cell>
          <cell r="L69">
            <v>55036.83</v>
          </cell>
          <cell r="M69">
            <v>9005.4599999999991</v>
          </cell>
          <cell r="N69">
            <v>0</v>
          </cell>
        </row>
        <row r="70">
          <cell r="F70">
            <v>189546.93</v>
          </cell>
          <cell r="G70">
            <v>0</v>
          </cell>
          <cell r="H70">
            <v>4294.32</v>
          </cell>
          <cell r="I70">
            <v>0</v>
          </cell>
          <cell r="J70">
            <v>330000</v>
          </cell>
          <cell r="K70">
            <v>330000</v>
          </cell>
          <cell r="L70">
            <v>41299.35</v>
          </cell>
          <cell r="M70">
            <v>5399.99</v>
          </cell>
          <cell r="N70">
            <v>0</v>
          </cell>
        </row>
        <row r="71">
          <cell r="F71">
            <v>278696.96999999997</v>
          </cell>
          <cell r="G71">
            <v>0</v>
          </cell>
          <cell r="H71">
            <v>10035.66</v>
          </cell>
          <cell r="I71">
            <v>0</v>
          </cell>
          <cell r="J71">
            <v>350000</v>
          </cell>
          <cell r="K71">
            <v>350000</v>
          </cell>
          <cell r="L71">
            <v>61297.21</v>
          </cell>
          <cell r="M71">
            <v>8051.21</v>
          </cell>
          <cell r="N71">
            <v>0</v>
          </cell>
        </row>
        <row r="72">
          <cell r="F72">
            <v>242145.71</v>
          </cell>
          <cell r="G72">
            <v>0</v>
          </cell>
          <cell r="H72">
            <v>35619.019999999997</v>
          </cell>
          <cell r="I72">
            <v>0</v>
          </cell>
          <cell r="J72">
            <v>330000</v>
          </cell>
          <cell r="K72">
            <v>330000</v>
          </cell>
          <cell r="L72">
            <v>41278.11</v>
          </cell>
          <cell r="M72">
            <v>8371.6299999999992</v>
          </cell>
          <cell r="N72">
            <v>0</v>
          </cell>
        </row>
        <row r="73">
          <cell r="F73">
            <v>259058.52</v>
          </cell>
          <cell r="G73">
            <v>0</v>
          </cell>
          <cell r="H73">
            <v>29566.65</v>
          </cell>
          <cell r="I73">
            <v>0</v>
          </cell>
          <cell r="J73">
            <v>330000</v>
          </cell>
          <cell r="K73">
            <v>330000</v>
          </cell>
          <cell r="L73">
            <v>42001.39</v>
          </cell>
          <cell r="M73">
            <v>8730.49</v>
          </cell>
          <cell r="N7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showGridLines="0" topLeftCell="C1" workbookViewId="0">
      <selection activeCell="E1" sqref="E1:H2"/>
    </sheetView>
    <sheetView workbookViewId="1"/>
  </sheetViews>
  <sheetFormatPr defaultColWidth="11.42578125" defaultRowHeight="15" x14ac:dyDescent="0.25"/>
  <cols>
    <col min="1" max="10" width="18.7109375" customWidth="1"/>
  </cols>
  <sheetData>
    <row r="1" spans="1:10" ht="47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>
        <v>0</v>
      </c>
      <c r="E2" s="1" t="s">
        <v>13</v>
      </c>
      <c r="F2" s="1" t="s">
        <v>14</v>
      </c>
      <c r="G2" s="1" t="s">
        <v>15</v>
      </c>
      <c r="H2" s="1" t="s">
        <v>14</v>
      </c>
      <c r="I2" s="1" t="s">
        <v>16</v>
      </c>
      <c r="J2" s="1" t="s">
        <v>17</v>
      </c>
    </row>
  </sheetData>
  <autoFilter ref="A1:J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workbookViewId="0">
      <selection activeCell="C1" sqref="C1:F2"/>
    </sheetView>
    <sheetView workbookViewId="1"/>
  </sheetViews>
  <sheetFormatPr defaultColWidth="11.42578125" defaultRowHeight="15" x14ac:dyDescent="0.25"/>
  <cols>
    <col min="1" max="8" width="18.7109375" customWidth="1"/>
  </cols>
  <sheetData>
    <row r="1" spans="1:8" ht="31.5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x14ac:dyDescent="0.25">
      <c r="A2" s="1" t="s">
        <v>26</v>
      </c>
      <c r="B2" s="1" t="s">
        <v>27</v>
      </c>
      <c r="C2" s="1">
        <v>9712092</v>
      </c>
      <c r="D2" s="1">
        <v>3777094.24</v>
      </c>
      <c r="E2" s="1">
        <v>1885216.68</v>
      </c>
      <c r="F2" s="1">
        <v>1265556.1000000001</v>
      </c>
      <c r="G2" s="1" t="s">
        <v>28</v>
      </c>
      <c r="H2" s="1" t="s">
        <v>29</v>
      </c>
    </row>
  </sheetData>
  <autoFilter ref="A1:H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workbookViewId="0">
      <selection activeCell="J8" sqref="J8"/>
    </sheetView>
    <sheetView workbookViewId="1"/>
  </sheetViews>
  <sheetFormatPr defaultColWidth="11.42578125" defaultRowHeight="15" x14ac:dyDescent="0.25"/>
  <cols>
    <col min="1" max="6" width="18.7109375" customWidth="1"/>
  </cols>
  <sheetData>
    <row r="1" spans="1:6" ht="31.5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 x14ac:dyDescent="0.25">
      <c r="A2" s="1" t="s">
        <v>36</v>
      </c>
      <c r="B2" s="1" t="s">
        <v>37</v>
      </c>
      <c r="C2" s="1">
        <v>967837.57</v>
      </c>
      <c r="D2" s="1">
        <v>0</v>
      </c>
      <c r="E2" s="1">
        <v>0</v>
      </c>
      <c r="F2" s="1">
        <v>0</v>
      </c>
    </row>
    <row r="3" spans="1:6" x14ac:dyDescent="0.25">
      <c r="A3" s="1" t="s">
        <v>38</v>
      </c>
      <c r="B3" s="1" t="s">
        <v>37</v>
      </c>
      <c r="C3" s="1">
        <v>0</v>
      </c>
      <c r="D3" s="1">
        <v>662424.54</v>
      </c>
      <c r="E3" s="1">
        <v>0</v>
      </c>
      <c r="F3" s="1">
        <v>0</v>
      </c>
    </row>
    <row r="4" spans="1:6" x14ac:dyDescent="0.25">
      <c r="A4" s="1" t="s">
        <v>39</v>
      </c>
      <c r="B4" s="1" t="s">
        <v>37</v>
      </c>
      <c r="C4" s="1">
        <v>0</v>
      </c>
      <c r="D4" s="1">
        <v>58145.58</v>
      </c>
      <c r="E4" s="1">
        <v>0</v>
      </c>
      <c r="F4" s="1">
        <v>0</v>
      </c>
    </row>
    <row r="5" spans="1:6" x14ac:dyDescent="0.25">
      <c r="A5" s="1" t="s">
        <v>40</v>
      </c>
      <c r="B5" s="1" t="s">
        <v>37</v>
      </c>
      <c r="C5" s="1">
        <v>0</v>
      </c>
      <c r="D5" s="1">
        <v>125972.98</v>
      </c>
      <c r="E5" s="1">
        <v>0</v>
      </c>
      <c r="F5" s="1">
        <v>0</v>
      </c>
    </row>
    <row r="6" spans="1:6" x14ac:dyDescent="0.25">
      <c r="A6" s="1" t="s">
        <v>41</v>
      </c>
      <c r="B6" s="1" t="s">
        <v>37</v>
      </c>
      <c r="C6" s="1">
        <v>0</v>
      </c>
      <c r="D6" s="1">
        <v>34076.1</v>
      </c>
      <c r="E6" s="1">
        <v>0</v>
      </c>
      <c r="F6" s="1">
        <v>0</v>
      </c>
    </row>
    <row r="7" spans="1:6" x14ac:dyDescent="0.25">
      <c r="A7" s="1" t="s">
        <v>42</v>
      </c>
      <c r="B7" s="1" t="s">
        <v>37</v>
      </c>
      <c r="C7" s="1">
        <v>0</v>
      </c>
      <c r="D7" s="1">
        <v>87218.37</v>
      </c>
      <c r="E7" s="1">
        <v>0</v>
      </c>
      <c r="F7" s="1">
        <v>0</v>
      </c>
    </row>
    <row r="8" spans="1:6" x14ac:dyDescent="0.25">
      <c r="A8" s="1" t="s">
        <v>43</v>
      </c>
      <c r="B8" s="1" t="s">
        <v>37</v>
      </c>
      <c r="C8" s="1">
        <v>209068.89</v>
      </c>
      <c r="D8" s="1">
        <v>0</v>
      </c>
      <c r="E8" s="1">
        <v>0</v>
      </c>
      <c r="F8" s="1">
        <v>0</v>
      </c>
    </row>
    <row r="9" spans="1:6" x14ac:dyDescent="0.25">
      <c r="A9" s="1" t="s">
        <v>44</v>
      </c>
      <c r="B9" s="1" t="s">
        <v>37</v>
      </c>
      <c r="C9" s="1">
        <v>145966.23000000001</v>
      </c>
      <c r="D9" s="1">
        <v>0</v>
      </c>
      <c r="E9" s="1">
        <v>0</v>
      </c>
      <c r="F9" s="1">
        <v>0</v>
      </c>
    </row>
    <row r="10" spans="1:6" x14ac:dyDescent="0.25">
      <c r="A10" s="1" t="s">
        <v>45</v>
      </c>
      <c r="B10" s="1" t="s">
        <v>37</v>
      </c>
      <c r="C10" s="1">
        <v>59174.33</v>
      </c>
      <c r="D10" s="1">
        <v>0</v>
      </c>
      <c r="E10" s="1">
        <v>0</v>
      </c>
      <c r="F10" s="1">
        <v>0</v>
      </c>
    </row>
    <row r="11" spans="1:6" x14ac:dyDescent="0.25">
      <c r="A11" s="1" t="s">
        <v>46</v>
      </c>
      <c r="B11" s="1" t="s">
        <v>37</v>
      </c>
      <c r="C11" s="1">
        <v>0</v>
      </c>
      <c r="D11" s="1">
        <v>209068.89</v>
      </c>
      <c r="E11" s="1">
        <v>0</v>
      </c>
      <c r="F11" s="1">
        <v>0</v>
      </c>
    </row>
    <row r="12" spans="1:6" x14ac:dyDescent="0.25">
      <c r="A12" s="1" t="s">
        <v>47</v>
      </c>
      <c r="B12" s="1" t="s">
        <v>37</v>
      </c>
      <c r="C12" s="1">
        <v>58489.25</v>
      </c>
      <c r="D12" s="1">
        <v>0</v>
      </c>
      <c r="E12" s="1">
        <v>0</v>
      </c>
      <c r="F12" s="1">
        <v>0</v>
      </c>
    </row>
    <row r="13" spans="1:6" x14ac:dyDescent="0.25">
      <c r="A13" s="1" t="s">
        <v>48</v>
      </c>
      <c r="B13" s="1" t="s">
        <v>37</v>
      </c>
      <c r="C13" s="1">
        <v>29569.47</v>
      </c>
      <c r="D13" s="1">
        <v>0</v>
      </c>
      <c r="E13" s="1">
        <v>0</v>
      </c>
      <c r="F13" s="1">
        <v>0</v>
      </c>
    </row>
    <row r="14" spans="1:6" x14ac:dyDescent="0.25">
      <c r="A14" s="1" t="s">
        <v>49</v>
      </c>
      <c r="B14" s="1" t="s">
        <v>37</v>
      </c>
      <c r="C14" s="1">
        <v>33876.86</v>
      </c>
      <c r="D14" s="1">
        <v>0</v>
      </c>
      <c r="E14" s="1">
        <v>0</v>
      </c>
      <c r="F14" s="1">
        <v>0</v>
      </c>
    </row>
    <row r="15" spans="1:6" x14ac:dyDescent="0.25">
      <c r="A15" s="1" t="s">
        <v>50</v>
      </c>
      <c r="B15" s="1" t="s">
        <v>37</v>
      </c>
      <c r="C15" s="1">
        <v>370291.3</v>
      </c>
      <c r="D15" s="1">
        <v>292376.46999999997</v>
      </c>
      <c r="E15" s="1">
        <v>0</v>
      </c>
      <c r="F15" s="1">
        <v>0</v>
      </c>
    </row>
    <row r="16" spans="1:6" x14ac:dyDescent="0.25">
      <c r="A16" s="1" t="s">
        <v>51</v>
      </c>
      <c r="B16" s="1" t="s">
        <v>37</v>
      </c>
      <c r="C16" s="1">
        <v>45415.44</v>
      </c>
      <c r="D16" s="1">
        <v>0</v>
      </c>
      <c r="E16" s="1">
        <v>0</v>
      </c>
      <c r="F16" s="1">
        <v>0</v>
      </c>
    </row>
    <row r="17" spans="1:6" x14ac:dyDescent="0.25">
      <c r="A17" s="1" t="s">
        <v>52</v>
      </c>
      <c r="B17" s="1" t="s">
        <v>37</v>
      </c>
      <c r="C17" s="1">
        <v>489223.02</v>
      </c>
      <c r="D17" s="1">
        <v>374805.62</v>
      </c>
      <c r="E17" s="1">
        <v>0</v>
      </c>
      <c r="F17" s="1">
        <v>0</v>
      </c>
    </row>
    <row r="18" spans="1:6" x14ac:dyDescent="0.25">
      <c r="A18" s="1" t="s">
        <v>53</v>
      </c>
      <c r="B18" s="1" t="s">
        <v>37</v>
      </c>
      <c r="C18" s="1">
        <v>54369.61</v>
      </c>
      <c r="D18" s="1">
        <v>0</v>
      </c>
      <c r="E18" s="1">
        <v>0</v>
      </c>
      <c r="F18" s="1">
        <v>0</v>
      </c>
    </row>
    <row r="19" spans="1:6" x14ac:dyDescent="0.25">
      <c r="A19" s="1" t="s">
        <v>54</v>
      </c>
      <c r="B19" s="1" t="s">
        <v>37</v>
      </c>
      <c r="C19" s="1">
        <v>0</v>
      </c>
      <c r="D19" s="1">
        <v>289778.86</v>
      </c>
      <c r="E19" s="1">
        <v>103924.25</v>
      </c>
      <c r="F19" s="1">
        <v>0</v>
      </c>
    </row>
    <row r="20" spans="1:6" x14ac:dyDescent="0.25">
      <c r="A20" s="1" t="s">
        <v>55</v>
      </c>
      <c r="B20" s="1" t="s">
        <v>37</v>
      </c>
      <c r="C20" s="1">
        <v>0</v>
      </c>
      <c r="D20" s="1">
        <v>47013.03</v>
      </c>
      <c r="E20" s="1">
        <v>17681.63</v>
      </c>
      <c r="F20" s="1">
        <v>0</v>
      </c>
    </row>
    <row r="21" spans="1:6" x14ac:dyDescent="0.25">
      <c r="A21" s="1" t="s">
        <v>56</v>
      </c>
      <c r="B21" s="1" t="s">
        <v>37</v>
      </c>
      <c r="C21" s="1">
        <v>223963.05</v>
      </c>
      <c r="D21" s="1">
        <v>198238.13</v>
      </c>
      <c r="E21" s="1">
        <v>0</v>
      </c>
      <c r="F21" s="1">
        <v>0</v>
      </c>
    </row>
    <row r="22" spans="1:6" x14ac:dyDescent="0.25">
      <c r="A22" s="1" t="s">
        <v>57</v>
      </c>
      <c r="B22" s="1" t="s">
        <v>37</v>
      </c>
      <c r="C22" s="1">
        <v>0</v>
      </c>
      <c r="D22" s="1">
        <v>197773.87</v>
      </c>
      <c r="E22" s="1">
        <v>31668.09</v>
      </c>
      <c r="F22" s="1">
        <v>0</v>
      </c>
    </row>
    <row r="23" spans="1:6" x14ac:dyDescent="0.25">
      <c r="A23" s="1" t="s">
        <v>58</v>
      </c>
      <c r="B23" s="1" t="s">
        <v>37</v>
      </c>
      <c r="C23" s="1">
        <v>149622.47</v>
      </c>
      <c r="D23" s="1">
        <v>143323.5</v>
      </c>
      <c r="E23" s="1">
        <v>0</v>
      </c>
      <c r="F23" s="1">
        <v>0</v>
      </c>
    </row>
    <row r="24" spans="1:6" x14ac:dyDescent="0.25">
      <c r="A24" s="1" t="s">
        <v>59</v>
      </c>
      <c r="B24" s="1" t="s">
        <v>37</v>
      </c>
      <c r="C24" s="1">
        <v>69635.570000000007</v>
      </c>
      <c r="D24" s="1">
        <v>66703.990000000005</v>
      </c>
      <c r="E24" s="1">
        <v>0</v>
      </c>
      <c r="F24" s="1">
        <v>0</v>
      </c>
    </row>
    <row r="25" spans="1:6" x14ac:dyDescent="0.25">
      <c r="A25" s="1" t="s">
        <v>60</v>
      </c>
      <c r="B25" s="1" t="s">
        <v>37</v>
      </c>
      <c r="C25" s="1">
        <v>185234.46</v>
      </c>
      <c r="D25" s="1">
        <v>0</v>
      </c>
      <c r="E25" s="1">
        <v>0</v>
      </c>
      <c r="F25" s="1">
        <v>0</v>
      </c>
    </row>
    <row r="26" spans="1:6" x14ac:dyDescent="0.25">
      <c r="A26" s="1" t="s">
        <v>61</v>
      </c>
      <c r="B26" s="1" t="s">
        <v>37</v>
      </c>
      <c r="C26" s="1">
        <v>0</v>
      </c>
      <c r="D26" s="1">
        <v>64462.79</v>
      </c>
      <c r="E26" s="1">
        <v>20655.189999999999</v>
      </c>
      <c r="F26" s="1">
        <v>0</v>
      </c>
    </row>
    <row r="27" spans="1:6" x14ac:dyDescent="0.25">
      <c r="A27" s="1" t="s">
        <v>62</v>
      </c>
      <c r="B27" s="1" t="s">
        <v>37</v>
      </c>
      <c r="C27" s="1">
        <v>282725.55</v>
      </c>
      <c r="D27" s="1">
        <v>258393.72</v>
      </c>
      <c r="E27" s="1">
        <v>0</v>
      </c>
      <c r="F27" s="1">
        <v>0</v>
      </c>
    </row>
    <row r="28" spans="1:6" x14ac:dyDescent="0.25">
      <c r="A28" s="1" t="s">
        <v>63</v>
      </c>
      <c r="B28" s="1" t="s">
        <v>37</v>
      </c>
      <c r="C28" s="1">
        <v>82039.42</v>
      </c>
      <c r="D28" s="1">
        <v>0</v>
      </c>
      <c r="E28" s="1">
        <v>0</v>
      </c>
      <c r="F28" s="1">
        <v>0</v>
      </c>
    </row>
    <row r="29" spans="1:6" x14ac:dyDescent="0.25">
      <c r="A29" s="1" t="s">
        <v>64</v>
      </c>
      <c r="B29" s="1" t="s">
        <v>37</v>
      </c>
      <c r="C29" s="1">
        <v>153306</v>
      </c>
      <c r="D29" s="1">
        <v>0</v>
      </c>
      <c r="E29" s="1">
        <v>0</v>
      </c>
      <c r="F29" s="1">
        <v>0</v>
      </c>
    </row>
    <row r="30" spans="1:6" x14ac:dyDescent="0.25">
      <c r="A30" s="1" t="s">
        <v>65</v>
      </c>
      <c r="B30" s="1" t="s">
        <v>37</v>
      </c>
      <c r="C30" s="1">
        <v>131805.9</v>
      </c>
      <c r="D30" s="1">
        <v>0</v>
      </c>
      <c r="E30" s="1">
        <v>0</v>
      </c>
      <c r="F30" s="1">
        <v>0</v>
      </c>
    </row>
    <row r="31" spans="1:6" x14ac:dyDescent="0.25">
      <c r="A31" s="1" t="s">
        <v>66</v>
      </c>
      <c r="B31" s="1" t="s">
        <v>37</v>
      </c>
      <c r="C31" s="1">
        <v>0</v>
      </c>
      <c r="D31" s="1">
        <v>135551.5</v>
      </c>
      <c r="E31" s="1">
        <v>64155.88</v>
      </c>
      <c r="F31" s="1">
        <v>0</v>
      </c>
    </row>
    <row r="32" spans="1:6" x14ac:dyDescent="0.25">
      <c r="A32" s="1" t="s">
        <v>67</v>
      </c>
      <c r="B32" s="1" t="s">
        <v>37</v>
      </c>
      <c r="C32" s="1">
        <v>0</v>
      </c>
      <c r="D32" s="1">
        <v>68922.47</v>
      </c>
      <c r="E32" s="1">
        <v>33278.47</v>
      </c>
      <c r="F32" s="1">
        <v>0</v>
      </c>
    </row>
    <row r="33" spans="1:6" x14ac:dyDescent="0.25">
      <c r="A33" s="1" t="s">
        <v>68</v>
      </c>
      <c r="B33" s="1" t="s">
        <v>37</v>
      </c>
      <c r="C33" s="1">
        <v>319251.46000000002</v>
      </c>
      <c r="D33" s="1">
        <v>364965.83</v>
      </c>
      <c r="E33" s="1">
        <v>42843.76</v>
      </c>
      <c r="F33" s="1">
        <v>0</v>
      </c>
    </row>
    <row r="34" spans="1:6" x14ac:dyDescent="0.25">
      <c r="A34" s="1" t="s">
        <v>69</v>
      </c>
      <c r="B34" s="1" t="s">
        <v>37</v>
      </c>
      <c r="C34" s="1">
        <v>0</v>
      </c>
      <c r="D34" s="1">
        <v>226256.76</v>
      </c>
      <c r="E34" s="1">
        <v>128535.09</v>
      </c>
      <c r="F34" s="1">
        <v>0</v>
      </c>
    </row>
    <row r="35" spans="1:6" x14ac:dyDescent="0.25">
      <c r="A35" s="1" t="s">
        <v>70</v>
      </c>
      <c r="B35" s="1" t="s">
        <v>37</v>
      </c>
      <c r="C35" s="1">
        <v>0</v>
      </c>
      <c r="D35" s="1">
        <v>90033.31</v>
      </c>
      <c r="E35" s="1">
        <v>55957.21</v>
      </c>
      <c r="F35" s="1">
        <v>0</v>
      </c>
    </row>
    <row r="36" spans="1:6" x14ac:dyDescent="0.25">
      <c r="A36" s="1" t="s">
        <v>71</v>
      </c>
      <c r="B36" s="1" t="s">
        <v>37</v>
      </c>
      <c r="C36" s="1">
        <v>96899.14</v>
      </c>
      <c r="D36" s="1">
        <v>0</v>
      </c>
      <c r="E36" s="1">
        <v>0</v>
      </c>
      <c r="F36" s="1">
        <v>0</v>
      </c>
    </row>
    <row r="37" spans="1:6" x14ac:dyDescent="0.25">
      <c r="A37" s="1" t="s">
        <v>72</v>
      </c>
      <c r="B37" s="1" t="s">
        <v>37</v>
      </c>
      <c r="C37" s="1">
        <v>300351.82</v>
      </c>
      <c r="D37" s="1">
        <v>287466.71000000002</v>
      </c>
      <c r="E37" s="1">
        <v>0</v>
      </c>
      <c r="F37" s="1">
        <v>0</v>
      </c>
    </row>
    <row r="38" spans="1:6" x14ac:dyDescent="0.25">
      <c r="A38" s="1" t="s">
        <v>73</v>
      </c>
      <c r="B38" s="1" t="s">
        <v>37</v>
      </c>
      <c r="C38" s="1">
        <v>0</v>
      </c>
      <c r="D38" s="1">
        <v>105073.86</v>
      </c>
      <c r="E38" s="1">
        <v>70700.320000000007</v>
      </c>
      <c r="F38" s="1">
        <v>0</v>
      </c>
    </row>
    <row r="39" spans="1:6" x14ac:dyDescent="0.25">
      <c r="A39" s="1" t="s">
        <v>74</v>
      </c>
      <c r="B39" s="1" t="s">
        <v>37</v>
      </c>
      <c r="C39" s="1">
        <v>71663.990000000005</v>
      </c>
      <c r="D39" s="1">
        <v>0</v>
      </c>
      <c r="E39" s="1">
        <v>0</v>
      </c>
      <c r="F39" s="1">
        <v>0</v>
      </c>
    </row>
    <row r="40" spans="1:6" x14ac:dyDescent="0.25">
      <c r="A40" s="1" t="s">
        <v>75</v>
      </c>
      <c r="B40" s="1" t="s">
        <v>37</v>
      </c>
      <c r="C40" s="1">
        <v>647028.28</v>
      </c>
      <c r="D40" s="1">
        <v>626668.43000000005</v>
      </c>
      <c r="E40" s="1">
        <v>0</v>
      </c>
      <c r="F40" s="1">
        <v>0</v>
      </c>
    </row>
    <row r="41" spans="1:6" x14ac:dyDescent="0.25">
      <c r="A41" s="1" t="s">
        <v>76</v>
      </c>
      <c r="B41" s="1" t="s">
        <v>37</v>
      </c>
      <c r="C41" s="1">
        <v>0</v>
      </c>
      <c r="D41" s="1">
        <v>82039.259999999995</v>
      </c>
      <c r="E41" s="1">
        <v>52707.86</v>
      </c>
      <c r="F41" s="1">
        <v>0</v>
      </c>
    </row>
    <row r="42" spans="1:6" x14ac:dyDescent="0.25">
      <c r="A42" s="1" t="s">
        <v>77</v>
      </c>
      <c r="B42" s="1" t="s">
        <v>37</v>
      </c>
      <c r="C42" s="1">
        <v>621100.1</v>
      </c>
      <c r="D42" s="1">
        <v>611515.63</v>
      </c>
      <c r="E42" s="1">
        <v>0</v>
      </c>
      <c r="F42" s="1">
        <v>0</v>
      </c>
    </row>
    <row r="43" spans="1:6" x14ac:dyDescent="0.25">
      <c r="A43" s="1" t="s">
        <v>78</v>
      </c>
      <c r="B43" s="1" t="s">
        <v>37</v>
      </c>
      <c r="C43" s="1">
        <v>474958.81</v>
      </c>
      <c r="D43" s="1">
        <v>467629.51</v>
      </c>
      <c r="E43" s="1">
        <v>0</v>
      </c>
      <c r="F43" s="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showGridLines="0" topLeftCell="E1" workbookViewId="0">
      <pane ySplit="1" topLeftCell="A38" activePane="bottomLeft" state="frozen"/>
      <selection pane="bottomLeft" activeCell="F1" sqref="F1:N1"/>
    </sheetView>
    <sheetView tabSelected="1" workbookViewId="1">
      <selection activeCell="C8" sqref="C8"/>
    </sheetView>
  </sheetViews>
  <sheetFormatPr defaultColWidth="11.42578125" defaultRowHeight="15" x14ac:dyDescent="0.25"/>
  <cols>
    <col min="1" max="14" width="18.7109375" customWidth="1"/>
  </cols>
  <sheetData>
    <row r="1" spans="1:14" ht="31.5" x14ac:dyDescent="0.25">
      <c r="A1" s="2" t="s">
        <v>1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</row>
    <row r="2" spans="1:14" x14ac:dyDescent="0.25">
      <c r="A2" s="1" t="s">
        <v>92</v>
      </c>
      <c r="B2" s="1" t="s">
        <v>93</v>
      </c>
      <c r="C2" s="1" t="s">
        <v>94</v>
      </c>
      <c r="D2" s="1" t="s">
        <v>36</v>
      </c>
      <c r="E2" s="1" t="s">
        <v>38</v>
      </c>
      <c r="F2" s="1">
        <v>233550</v>
      </c>
      <c r="G2" s="1">
        <v>0</v>
      </c>
      <c r="H2" s="1">
        <v>0</v>
      </c>
      <c r="I2" s="1">
        <v>0</v>
      </c>
      <c r="J2" s="1">
        <v>400000</v>
      </c>
      <c r="K2" s="1">
        <v>259500</v>
      </c>
      <c r="L2" s="1">
        <v>33961.93</v>
      </c>
      <c r="M2" s="1">
        <v>74226.78</v>
      </c>
      <c r="N2" s="1">
        <v>0</v>
      </c>
    </row>
    <row r="3" spans="1:14" x14ac:dyDescent="0.25">
      <c r="A3" s="1" t="s">
        <v>95</v>
      </c>
      <c r="B3" s="1" t="s">
        <v>93</v>
      </c>
      <c r="C3" s="1" t="s">
        <v>94</v>
      </c>
      <c r="D3" s="1" t="s">
        <v>36</v>
      </c>
      <c r="E3" s="1" t="s">
        <v>38</v>
      </c>
      <c r="F3" s="1">
        <v>234900</v>
      </c>
      <c r="G3" s="1">
        <v>0</v>
      </c>
      <c r="H3" s="1">
        <v>0</v>
      </c>
      <c r="I3" s="1">
        <v>0</v>
      </c>
      <c r="J3" s="1">
        <v>263500</v>
      </c>
      <c r="K3" s="1">
        <v>263500</v>
      </c>
      <c r="L3" s="1">
        <v>29569.47</v>
      </c>
      <c r="M3" s="1">
        <v>76362.38</v>
      </c>
      <c r="N3" s="1">
        <v>0</v>
      </c>
    </row>
    <row r="4" spans="1:14" x14ac:dyDescent="0.25">
      <c r="A4" s="1" t="s">
        <v>96</v>
      </c>
      <c r="B4" s="1" t="s">
        <v>93</v>
      </c>
      <c r="C4" s="1" t="s">
        <v>94</v>
      </c>
      <c r="D4" s="1" t="s">
        <v>36</v>
      </c>
      <c r="E4" s="1" t="s">
        <v>38</v>
      </c>
      <c r="F4" s="1">
        <v>203607.39</v>
      </c>
      <c r="G4" s="1">
        <v>0</v>
      </c>
      <c r="H4" s="1">
        <v>54892.61</v>
      </c>
      <c r="I4" s="1">
        <v>0</v>
      </c>
      <c r="J4" s="1">
        <v>258500</v>
      </c>
      <c r="K4" s="1">
        <v>258500</v>
      </c>
      <c r="L4" s="1">
        <v>33876.86</v>
      </c>
      <c r="M4" s="1">
        <v>83537.320000000007</v>
      </c>
      <c r="N4" s="1">
        <v>0</v>
      </c>
    </row>
    <row r="5" spans="1:14" x14ac:dyDescent="0.25">
      <c r="A5" s="1" t="s">
        <v>97</v>
      </c>
      <c r="B5" s="1" t="s">
        <v>93</v>
      </c>
      <c r="C5" s="1" t="s">
        <v>94</v>
      </c>
      <c r="D5" s="1" t="s">
        <v>36</v>
      </c>
      <c r="E5" s="1" t="s">
        <v>39</v>
      </c>
      <c r="F5" s="1">
        <v>204974.21</v>
      </c>
      <c r="G5" s="1">
        <v>0</v>
      </c>
      <c r="H5" s="1">
        <v>12006.99</v>
      </c>
      <c r="I5" s="1">
        <v>0</v>
      </c>
      <c r="J5" s="1">
        <v>258500</v>
      </c>
      <c r="K5" s="1">
        <v>258500</v>
      </c>
      <c r="L5" s="1">
        <v>29072.79</v>
      </c>
      <c r="M5" s="1">
        <v>69883.13</v>
      </c>
      <c r="N5" s="1">
        <v>0</v>
      </c>
    </row>
    <row r="6" spans="1:14" x14ac:dyDescent="0.25">
      <c r="A6" s="1" t="s">
        <v>98</v>
      </c>
      <c r="B6" s="1" t="s">
        <v>93</v>
      </c>
      <c r="C6" s="1" t="s">
        <v>94</v>
      </c>
      <c r="D6" s="1" t="s">
        <v>36</v>
      </c>
      <c r="E6" s="1" t="s">
        <v>38</v>
      </c>
      <c r="F6" s="1">
        <v>234900</v>
      </c>
      <c r="G6" s="1">
        <v>0</v>
      </c>
      <c r="H6" s="1">
        <v>0</v>
      </c>
      <c r="I6" s="1">
        <v>0</v>
      </c>
      <c r="J6" s="1">
        <v>264000</v>
      </c>
      <c r="K6" s="1">
        <v>261000</v>
      </c>
      <c r="L6" s="1">
        <v>34076.1</v>
      </c>
      <c r="M6" s="1">
        <v>74686.37</v>
      </c>
      <c r="N6" s="1">
        <v>0</v>
      </c>
    </row>
    <row r="7" spans="1:14" x14ac:dyDescent="0.25">
      <c r="A7" s="1" t="s">
        <v>99</v>
      </c>
      <c r="B7" s="1" t="s">
        <v>93</v>
      </c>
      <c r="C7" s="1" t="s">
        <v>94</v>
      </c>
      <c r="D7" s="1" t="s">
        <v>36</v>
      </c>
      <c r="E7" s="1" t="s">
        <v>38</v>
      </c>
      <c r="F7" s="1">
        <v>214897.45</v>
      </c>
      <c r="G7" s="1">
        <v>0</v>
      </c>
      <c r="H7" s="1">
        <v>0</v>
      </c>
      <c r="I7" s="1">
        <v>0</v>
      </c>
      <c r="J7" s="1">
        <v>264000</v>
      </c>
      <c r="K7" s="1">
        <v>258500</v>
      </c>
      <c r="L7" s="1">
        <v>29072.79</v>
      </c>
      <c r="M7" s="1">
        <v>69108.179999999993</v>
      </c>
      <c r="N7" s="1">
        <v>0</v>
      </c>
    </row>
    <row r="8" spans="1:14" x14ac:dyDescent="0.25">
      <c r="A8" s="1" t="s">
        <v>100</v>
      </c>
      <c r="B8" s="1" t="s">
        <v>93</v>
      </c>
      <c r="C8" s="20" t="s">
        <v>94</v>
      </c>
      <c r="D8" s="1" t="s">
        <v>36</v>
      </c>
      <c r="E8" s="1" t="s">
        <v>38</v>
      </c>
      <c r="F8" s="1">
        <v>210800</v>
      </c>
      <c r="G8" s="1">
        <v>0</v>
      </c>
      <c r="H8" s="1">
        <v>0</v>
      </c>
      <c r="I8" s="1">
        <v>0</v>
      </c>
      <c r="J8" s="1">
        <v>263500</v>
      </c>
      <c r="K8" s="1">
        <v>263500</v>
      </c>
      <c r="L8" s="1">
        <v>29569.47</v>
      </c>
      <c r="M8" s="1">
        <v>67399.59</v>
      </c>
      <c r="N8" s="1">
        <v>0</v>
      </c>
    </row>
    <row r="9" spans="1:14" x14ac:dyDescent="0.25">
      <c r="A9" s="1" t="s">
        <v>101</v>
      </c>
      <c r="B9" s="1" t="s">
        <v>93</v>
      </c>
      <c r="C9" s="1" t="s">
        <v>94</v>
      </c>
      <c r="D9" s="1" t="s">
        <v>36</v>
      </c>
      <c r="E9" s="1" t="s">
        <v>38</v>
      </c>
      <c r="F9" s="1">
        <v>237150</v>
      </c>
      <c r="G9" s="1">
        <v>0</v>
      </c>
      <c r="H9" s="1">
        <v>0</v>
      </c>
      <c r="I9" s="1">
        <v>0</v>
      </c>
      <c r="J9" s="1">
        <v>264000</v>
      </c>
      <c r="K9" s="1">
        <v>263500</v>
      </c>
      <c r="L9" s="1">
        <v>29569.47</v>
      </c>
      <c r="M9" s="1">
        <v>77199.19</v>
      </c>
      <c r="N9" s="1">
        <v>0</v>
      </c>
    </row>
    <row r="10" spans="1:14" x14ac:dyDescent="0.25">
      <c r="A10" s="1" t="s">
        <v>102</v>
      </c>
      <c r="B10" s="1" t="s">
        <v>93</v>
      </c>
      <c r="C10" s="1" t="s">
        <v>94</v>
      </c>
      <c r="D10" s="1" t="s">
        <v>36</v>
      </c>
      <c r="E10" s="1" t="s">
        <v>38</v>
      </c>
      <c r="F10" s="1">
        <v>234900</v>
      </c>
      <c r="G10" s="1">
        <v>0</v>
      </c>
      <c r="H10" s="1">
        <v>0</v>
      </c>
      <c r="I10" s="1">
        <v>0</v>
      </c>
      <c r="J10" s="1">
        <v>264000</v>
      </c>
      <c r="K10" s="1">
        <v>261000</v>
      </c>
      <c r="L10" s="1">
        <v>34076.1</v>
      </c>
      <c r="M10" s="1">
        <v>74686.37</v>
      </c>
      <c r="N10" s="1">
        <v>0</v>
      </c>
    </row>
    <row r="11" spans="1:14" x14ac:dyDescent="0.25">
      <c r="A11" s="1" t="s">
        <v>103</v>
      </c>
      <c r="B11" s="1" t="s">
        <v>93</v>
      </c>
      <c r="C11" s="1" t="s">
        <v>104</v>
      </c>
      <c r="D11" s="1" t="s">
        <v>44</v>
      </c>
      <c r="E11" s="1" t="s">
        <v>57</v>
      </c>
      <c r="F11" s="1">
        <v>199233.04</v>
      </c>
      <c r="G11" s="1">
        <v>0</v>
      </c>
      <c r="H11" s="1">
        <v>10233.48</v>
      </c>
      <c r="I11" s="1">
        <v>0</v>
      </c>
      <c r="J11" s="1">
        <v>264000</v>
      </c>
      <c r="K11" s="1">
        <v>261000</v>
      </c>
      <c r="L11" s="1">
        <v>29331.4</v>
      </c>
      <c r="M11" s="1">
        <v>66992.25</v>
      </c>
      <c r="N11" s="1">
        <v>8331.23</v>
      </c>
    </row>
    <row r="12" spans="1:14" x14ac:dyDescent="0.25">
      <c r="A12" s="1" t="s">
        <v>105</v>
      </c>
      <c r="B12" s="1" t="s">
        <v>93</v>
      </c>
      <c r="C12" s="1" t="s">
        <v>40</v>
      </c>
      <c r="D12" s="1" t="s">
        <v>43</v>
      </c>
      <c r="E12" s="1" t="s">
        <v>46</v>
      </c>
      <c r="F12" s="1">
        <v>198926.28</v>
      </c>
      <c r="G12" s="1">
        <v>0</v>
      </c>
      <c r="H12" s="1">
        <v>42730.81</v>
      </c>
      <c r="I12" s="1">
        <v>0</v>
      </c>
      <c r="J12" s="1">
        <v>264000</v>
      </c>
      <c r="K12" s="1">
        <v>258500</v>
      </c>
      <c r="L12" s="1">
        <v>29072.79</v>
      </c>
      <c r="M12" s="1">
        <v>79060.08</v>
      </c>
      <c r="N12" s="1">
        <v>0</v>
      </c>
    </row>
    <row r="13" spans="1:14" x14ac:dyDescent="0.25">
      <c r="A13" s="1" t="s">
        <v>106</v>
      </c>
      <c r="B13" s="1" t="s">
        <v>93</v>
      </c>
      <c r="C13" s="1" t="s">
        <v>107</v>
      </c>
      <c r="D13" s="1" t="s">
        <v>51</v>
      </c>
      <c r="E13" s="1" t="s">
        <v>54</v>
      </c>
      <c r="F13" s="1">
        <v>307313.40000000002</v>
      </c>
      <c r="G13" s="1">
        <v>0</v>
      </c>
      <c r="H13" s="1">
        <v>0</v>
      </c>
      <c r="I13" s="1">
        <v>0</v>
      </c>
      <c r="J13" s="1">
        <v>346101</v>
      </c>
      <c r="K13" s="1">
        <v>346101</v>
      </c>
      <c r="L13" s="1">
        <v>34076.1</v>
      </c>
      <c r="M13" s="1">
        <v>101616.94</v>
      </c>
      <c r="N13" s="1">
        <v>25875.56</v>
      </c>
    </row>
    <row r="14" spans="1:14" x14ac:dyDescent="0.25">
      <c r="A14" s="1" t="s">
        <v>108</v>
      </c>
      <c r="B14" s="1" t="s">
        <v>93</v>
      </c>
      <c r="C14" s="1" t="s">
        <v>63</v>
      </c>
      <c r="D14" s="1" t="s">
        <v>63</v>
      </c>
      <c r="E14" s="1" t="s">
        <v>70</v>
      </c>
      <c r="F14" s="1">
        <v>244081.01</v>
      </c>
      <c r="G14" s="1">
        <v>0</v>
      </c>
      <c r="H14" s="1">
        <v>72464.62</v>
      </c>
      <c r="I14" s="1">
        <v>0</v>
      </c>
      <c r="J14" s="1">
        <v>346101</v>
      </c>
      <c r="K14" s="1">
        <v>346101</v>
      </c>
      <c r="L14" s="1">
        <v>34076.1</v>
      </c>
      <c r="M14" s="1">
        <v>105050.41</v>
      </c>
      <c r="N14" s="1">
        <v>55957.21</v>
      </c>
    </row>
    <row r="15" spans="1:14" x14ac:dyDescent="0.25">
      <c r="A15" s="1" t="s">
        <v>109</v>
      </c>
      <c r="B15" s="1" t="s">
        <v>93</v>
      </c>
      <c r="C15" s="1" t="s">
        <v>65</v>
      </c>
      <c r="D15" s="1" t="s">
        <v>65</v>
      </c>
      <c r="E15" s="1" t="s">
        <v>69</v>
      </c>
      <c r="F15" s="1">
        <v>157668.21</v>
      </c>
      <c r="G15" s="1">
        <v>0</v>
      </c>
      <c r="H15" s="1">
        <v>0</v>
      </c>
      <c r="I15" s="1">
        <v>0</v>
      </c>
      <c r="J15" s="1">
        <v>310000</v>
      </c>
      <c r="K15" s="1">
        <v>310000</v>
      </c>
      <c r="L15" s="1">
        <v>29569.47</v>
      </c>
      <c r="M15" s="1">
        <v>47639.92</v>
      </c>
      <c r="N15" s="1">
        <v>25376.36</v>
      </c>
    </row>
    <row r="16" spans="1:14" x14ac:dyDescent="0.25">
      <c r="A16" s="1" t="s">
        <v>110</v>
      </c>
      <c r="B16" s="1" t="s">
        <v>93</v>
      </c>
      <c r="C16" s="1" t="s">
        <v>71</v>
      </c>
      <c r="D16" s="1" t="s">
        <v>71</v>
      </c>
      <c r="E16" s="1" t="s">
        <v>73</v>
      </c>
      <c r="F16" s="1">
        <v>247763.33</v>
      </c>
      <c r="G16" s="1">
        <v>0</v>
      </c>
      <c r="H16" s="1">
        <v>102236.67</v>
      </c>
      <c r="I16" s="1">
        <v>0</v>
      </c>
      <c r="J16" s="1">
        <v>350000</v>
      </c>
      <c r="K16" s="1">
        <v>350000</v>
      </c>
      <c r="L16" s="1">
        <v>34373.54</v>
      </c>
      <c r="M16" s="1">
        <v>117381.46</v>
      </c>
      <c r="N16" s="1">
        <v>70700.320000000007</v>
      </c>
    </row>
    <row r="17" spans="1:14" x14ac:dyDescent="0.25">
      <c r="A17" s="1" t="s">
        <v>111</v>
      </c>
      <c r="B17" s="1" t="s">
        <v>93</v>
      </c>
      <c r="C17" s="1" t="s">
        <v>64</v>
      </c>
      <c r="D17" s="1" t="s">
        <v>64</v>
      </c>
      <c r="E17" s="1" t="s">
        <v>69</v>
      </c>
      <c r="F17" s="1">
        <v>281500.14</v>
      </c>
      <c r="G17" s="1">
        <v>0</v>
      </c>
      <c r="H17" s="1">
        <v>0</v>
      </c>
      <c r="I17" s="1">
        <v>0</v>
      </c>
      <c r="J17" s="1">
        <v>346101</v>
      </c>
      <c r="K17" s="1">
        <v>346101</v>
      </c>
      <c r="L17" s="1">
        <v>34076.1</v>
      </c>
      <c r="M17" s="1">
        <v>92017</v>
      </c>
      <c r="N17" s="1">
        <v>49014.7</v>
      </c>
    </row>
    <row r="18" spans="1:14" x14ac:dyDescent="0.25">
      <c r="A18" s="1" t="s">
        <v>112</v>
      </c>
      <c r="B18" s="1" t="s">
        <v>93</v>
      </c>
      <c r="C18" s="1" t="s">
        <v>65</v>
      </c>
      <c r="D18" s="1" t="s">
        <v>65</v>
      </c>
      <c r="E18" s="1" t="s">
        <v>69</v>
      </c>
      <c r="F18" s="1">
        <v>248972.62</v>
      </c>
      <c r="G18" s="1">
        <v>0</v>
      </c>
      <c r="H18" s="1">
        <v>58420.13</v>
      </c>
      <c r="I18" s="1">
        <v>0</v>
      </c>
      <c r="J18" s="1">
        <v>346101</v>
      </c>
      <c r="K18" s="1">
        <v>346101</v>
      </c>
      <c r="L18" s="1">
        <v>34076.1</v>
      </c>
      <c r="M18" s="1">
        <v>101646.46</v>
      </c>
      <c r="N18" s="1">
        <v>54144.03</v>
      </c>
    </row>
    <row r="19" spans="1:14" x14ac:dyDescent="0.25">
      <c r="A19" s="1" t="s">
        <v>113</v>
      </c>
      <c r="B19" s="1" t="s">
        <v>93</v>
      </c>
      <c r="C19" s="1" t="s">
        <v>94</v>
      </c>
      <c r="D19" s="1" t="s">
        <v>36</v>
      </c>
      <c r="E19" s="1" t="s">
        <v>38</v>
      </c>
      <c r="F19" s="1">
        <v>207600</v>
      </c>
      <c r="G19" s="1">
        <v>0</v>
      </c>
      <c r="H19" s="1">
        <v>4598.6899999999996</v>
      </c>
      <c r="I19" s="1">
        <v>0</v>
      </c>
      <c r="J19" s="1">
        <v>264000</v>
      </c>
      <c r="K19" s="1">
        <v>259500</v>
      </c>
      <c r="L19" s="1">
        <v>29157.85</v>
      </c>
      <c r="M19" s="1">
        <v>68072.91</v>
      </c>
      <c r="N19" s="1">
        <v>0</v>
      </c>
    </row>
    <row r="20" spans="1:14" x14ac:dyDescent="0.25">
      <c r="A20" s="1" t="s">
        <v>114</v>
      </c>
      <c r="B20" s="1" t="s">
        <v>93</v>
      </c>
      <c r="C20" s="1" t="s">
        <v>94</v>
      </c>
      <c r="D20" s="1" t="s">
        <v>36</v>
      </c>
      <c r="E20" s="1" t="s">
        <v>38</v>
      </c>
      <c r="F20" s="1">
        <v>206800</v>
      </c>
      <c r="G20" s="1">
        <v>0</v>
      </c>
      <c r="H20" s="1">
        <v>0</v>
      </c>
      <c r="I20" s="1">
        <v>0</v>
      </c>
      <c r="J20" s="1">
        <v>264000</v>
      </c>
      <c r="K20" s="1">
        <v>258500</v>
      </c>
      <c r="L20" s="1">
        <v>29072.79</v>
      </c>
      <c r="M20" s="1">
        <v>66096.7</v>
      </c>
      <c r="N20" s="1">
        <v>0</v>
      </c>
    </row>
    <row r="21" spans="1:14" x14ac:dyDescent="0.25">
      <c r="A21" s="1" t="s">
        <v>115</v>
      </c>
      <c r="B21" s="1" t="s">
        <v>93</v>
      </c>
      <c r="C21" s="1" t="s">
        <v>94</v>
      </c>
      <c r="D21" s="1" t="s">
        <v>36</v>
      </c>
      <c r="E21" s="1" t="s">
        <v>40</v>
      </c>
      <c r="F21" s="1">
        <v>206800</v>
      </c>
      <c r="G21" s="1">
        <v>0</v>
      </c>
      <c r="H21" s="1">
        <v>24522.48</v>
      </c>
      <c r="I21" s="1">
        <v>0</v>
      </c>
      <c r="J21" s="1">
        <v>264000</v>
      </c>
      <c r="K21" s="1">
        <v>258500</v>
      </c>
      <c r="L21" s="1">
        <v>29072.79</v>
      </c>
      <c r="M21" s="1">
        <v>75216.66</v>
      </c>
      <c r="N21" s="1">
        <v>0</v>
      </c>
    </row>
    <row r="22" spans="1:14" x14ac:dyDescent="0.25">
      <c r="A22" s="1" t="s">
        <v>116</v>
      </c>
      <c r="B22" s="1" t="s">
        <v>93</v>
      </c>
      <c r="C22" s="1" t="s">
        <v>94</v>
      </c>
      <c r="D22" s="1" t="s">
        <v>36</v>
      </c>
      <c r="E22" s="1" t="s">
        <v>39</v>
      </c>
      <c r="F22" s="1">
        <v>206800</v>
      </c>
      <c r="G22" s="1">
        <v>0</v>
      </c>
      <c r="H22" s="1">
        <v>0</v>
      </c>
      <c r="I22" s="1">
        <v>0</v>
      </c>
      <c r="J22" s="1">
        <v>264000</v>
      </c>
      <c r="K22" s="1">
        <v>258500</v>
      </c>
      <c r="L22" s="1">
        <v>29072.79</v>
      </c>
      <c r="M22" s="1">
        <v>66096.7</v>
      </c>
      <c r="N22" s="1">
        <v>0</v>
      </c>
    </row>
    <row r="23" spans="1:14" x14ac:dyDescent="0.25">
      <c r="A23" s="1" t="s">
        <v>117</v>
      </c>
      <c r="B23" s="1" t="s">
        <v>93</v>
      </c>
      <c r="C23" s="1" t="s">
        <v>94</v>
      </c>
      <c r="D23" s="1" t="s">
        <v>36</v>
      </c>
      <c r="E23" s="1" t="s">
        <v>38</v>
      </c>
      <c r="F23" s="1">
        <v>206800</v>
      </c>
      <c r="G23" s="1">
        <v>0</v>
      </c>
      <c r="H23" s="1">
        <v>0</v>
      </c>
      <c r="I23" s="1">
        <v>0</v>
      </c>
      <c r="J23" s="1">
        <v>264000</v>
      </c>
      <c r="K23" s="1">
        <v>258500</v>
      </c>
      <c r="L23" s="1">
        <v>29072.79</v>
      </c>
      <c r="M23" s="1">
        <v>66096.7</v>
      </c>
      <c r="N23" s="1">
        <v>0</v>
      </c>
    </row>
    <row r="24" spans="1:14" x14ac:dyDescent="0.25">
      <c r="A24" s="1" t="s">
        <v>118</v>
      </c>
      <c r="B24" s="1" t="s">
        <v>93</v>
      </c>
      <c r="C24" s="1" t="s">
        <v>94</v>
      </c>
      <c r="D24" s="1" t="s">
        <v>36</v>
      </c>
      <c r="E24" s="1" t="s">
        <v>42</v>
      </c>
      <c r="F24" s="1">
        <v>206799</v>
      </c>
      <c r="G24" s="1">
        <v>0</v>
      </c>
      <c r="H24" s="1">
        <v>3734.71</v>
      </c>
      <c r="I24" s="1">
        <v>0</v>
      </c>
      <c r="J24" s="1">
        <v>258500</v>
      </c>
      <c r="K24" s="1">
        <v>258500</v>
      </c>
      <c r="L24" s="1">
        <v>29072.79</v>
      </c>
      <c r="M24" s="1">
        <v>67485.31</v>
      </c>
      <c r="N24" s="1">
        <v>0</v>
      </c>
    </row>
    <row r="25" spans="1:14" x14ac:dyDescent="0.25">
      <c r="A25" s="1" t="s">
        <v>119</v>
      </c>
      <c r="B25" s="1" t="s">
        <v>93</v>
      </c>
      <c r="C25" s="1" t="s">
        <v>94</v>
      </c>
      <c r="D25" s="1" t="s">
        <v>36</v>
      </c>
      <c r="E25" s="1" t="s">
        <v>38</v>
      </c>
      <c r="F25" s="1">
        <v>188126.37</v>
      </c>
      <c r="G25" s="1">
        <v>0</v>
      </c>
      <c r="H25" s="1">
        <v>0</v>
      </c>
      <c r="I25" s="1">
        <v>0</v>
      </c>
      <c r="J25" s="1">
        <v>264000</v>
      </c>
      <c r="K25" s="1">
        <v>261000</v>
      </c>
      <c r="L25" s="1">
        <v>29331.4</v>
      </c>
      <c r="M25" s="1">
        <v>59055.839999999997</v>
      </c>
      <c r="N25" s="1">
        <v>0</v>
      </c>
    </row>
    <row r="26" spans="1:14" x14ac:dyDescent="0.25">
      <c r="A26" s="1" t="s">
        <v>120</v>
      </c>
      <c r="B26" s="1" t="s">
        <v>93</v>
      </c>
      <c r="C26" s="1" t="s">
        <v>94</v>
      </c>
      <c r="D26" s="1" t="s">
        <v>36</v>
      </c>
      <c r="E26" s="1" t="s">
        <v>40</v>
      </c>
      <c r="F26" s="1">
        <v>204378.84</v>
      </c>
      <c r="G26" s="1">
        <v>0</v>
      </c>
      <c r="H26" s="1">
        <v>3858.16</v>
      </c>
      <c r="I26" s="1">
        <v>0</v>
      </c>
      <c r="J26" s="1">
        <v>258500</v>
      </c>
      <c r="K26" s="1">
        <v>258500</v>
      </c>
      <c r="L26" s="1">
        <v>33876.86</v>
      </c>
      <c r="M26" s="1">
        <v>64844.54</v>
      </c>
      <c r="N26" s="1">
        <v>0</v>
      </c>
    </row>
    <row r="27" spans="1:14" x14ac:dyDescent="0.25">
      <c r="A27" s="1" t="s">
        <v>121</v>
      </c>
      <c r="B27" s="1" t="s">
        <v>93</v>
      </c>
      <c r="C27" s="1" t="s">
        <v>94</v>
      </c>
      <c r="D27" s="1" t="s">
        <v>36</v>
      </c>
      <c r="E27" s="1" t="s">
        <v>38</v>
      </c>
      <c r="F27" s="1">
        <v>206799.99</v>
      </c>
      <c r="G27" s="1">
        <v>0</v>
      </c>
      <c r="H27" s="1">
        <v>0</v>
      </c>
      <c r="I27" s="1">
        <v>0</v>
      </c>
      <c r="J27" s="1">
        <v>258500</v>
      </c>
      <c r="K27" s="1">
        <v>258500</v>
      </c>
      <c r="L27" s="1">
        <v>29072.79</v>
      </c>
      <c r="M27" s="1">
        <v>66096.7</v>
      </c>
      <c r="N27" s="1">
        <v>0</v>
      </c>
    </row>
    <row r="28" spans="1:14" x14ac:dyDescent="0.25">
      <c r="A28" s="1" t="s">
        <v>122</v>
      </c>
      <c r="B28" s="1" t="s">
        <v>93</v>
      </c>
      <c r="C28" s="1" t="s">
        <v>123</v>
      </c>
      <c r="D28" s="1" t="s">
        <v>43</v>
      </c>
      <c r="E28" s="1" t="s">
        <v>46</v>
      </c>
      <c r="F28" s="1">
        <v>189537.11</v>
      </c>
      <c r="G28" s="1">
        <v>0</v>
      </c>
      <c r="H28" s="1">
        <v>20760.12</v>
      </c>
      <c r="I28" s="1">
        <v>0</v>
      </c>
      <c r="J28" s="1">
        <v>264000</v>
      </c>
      <c r="K28" s="1">
        <v>261000</v>
      </c>
      <c r="L28" s="1">
        <v>29331.4</v>
      </c>
      <c r="M28" s="1">
        <v>67301.19</v>
      </c>
      <c r="N28" s="1">
        <v>0</v>
      </c>
    </row>
    <row r="29" spans="1:14" x14ac:dyDescent="0.25">
      <c r="A29" s="1" t="s">
        <v>124</v>
      </c>
      <c r="B29" s="1" t="s">
        <v>93</v>
      </c>
      <c r="C29" s="1" t="s">
        <v>94</v>
      </c>
      <c r="D29" s="1" t="s">
        <v>36</v>
      </c>
      <c r="E29" s="1" t="s">
        <v>38</v>
      </c>
      <c r="F29" s="1">
        <v>206799.99</v>
      </c>
      <c r="G29" s="1">
        <v>0</v>
      </c>
      <c r="H29" s="1">
        <v>0</v>
      </c>
      <c r="I29" s="1">
        <v>0</v>
      </c>
      <c r="J29" s="1">
        <v>258500</v>
      </c>
      <c r="K29" s="1">
        <v>258500</v>
      </c>
      <c r="L29" s="1">
        <v>29072.79</v>
      </c>
      <c r="M29" s="1">
        <v>66096.7</v>
      </c>
      <c r="N29" s="1">
        <v>0</v>
      </c>
    </row>
    <row r="30" spans="1:14" x14ac:dyDescent="0.25">
      <c r="A30" s="1" t="s">
        <v>125</v>
      </c>
      <c r="B30" s="1" t="s">
        <v>93</v>
      </c>
      <c r="C30" s="1" t="s">
        <v>94</v>
      </c>
      <c r="D30" s="1" t="s">
        <v>36</v>
      </c>
      <c r="E30" s="1" t="s">
        <v>38</v>
      </c>
      <c r="F30" s="1">
        <v>208799.99</v>
      </c>
      <c r="G30" s="1">
        <v>0</v>
      </c>
      <c r="H30" s="1">
        <v>0</v>
      </c>
      <c r="I30" s="1">
        <v>0</v>
      </c>
      <c r="J30" s="1">
        <v>261000</v>
      </c>
      <c r="K30" s="1">
        <v>261000</v>
      </c>
      <c r="L30" s="1">
        <v>29331.4</v>
      </c>
      <c r="M30" s="1">
        <v>66744.320000000007</v>
      </c>
      <c r="N30" s="1">
        <v>0</v>
      </c>
    </row>
    <row r="31" spans="1:14" x14ac:dyDescent="0.25">
      <c r="A31" s="1" t="s">
        <v>126</v>
      </c>
      <c r="B31" s="1" t="s">
        <v>93</v>
      </c>
      <c r="C31" s="1" t="s">
        <v>94</v>
      </c>
      <c r="D31" s="1" t="s">
        <v>36</v>
      </c>
      <c r="E31" s="1" t="s">
        <v>38</v>
      </c>
      <c r="F31" s="1">
        <v>196868.57</v>
      </c>
      <c r="G31" s="1">
        <v>0</v>
      </c>
      <c r="H31" s="1">
        <v>0</v>
      </c>
      <c r="I31" s="1">
        <v>0</v>
      </c>
      <c r="J31" s="1">
        <v>261000</v>
      </c>
      <c r="K31" s="1">
        <v>261000</v>
      </c>
      <c r="L31" s="1">
        <v>29331.4</v>
      </c>
      <c r="M31" s="1">
        <v>62307.07</v>
      </c>
      <c r="N31" s="1">
        <v>0</v>
      </c>
    </row>
    <row r="32" spans="1:14" x14ac:dyDescent="0.25">
      <c r="A32" s="1" t="s">
        <v>127</v>
      </c>
      <c r="B32" s="1" t="s">
        <v>93</v>
      </c>
      <c r="C32" s="1" t="s">
        <v>94</v>
      </c>
      <c r="D32" s="1" t="s">
        <v>36</v>
      </c>
      <c r="E32" s="1" t="s">
        <v>42</v>
      </c>
      <c r="F32" s="1">
        <v>206162.46</v>
      </c>
      <c r="G32" s="1">
        <v>0</v>
      </c>
      <c r="H32" s="1">
        <v>0</v>
      </c>
      <c r="I32" s="1">
        <v>0</v>
      </c>
      <c r="J32" s="1">
        <v>264000</v>
      </c>
      <c r="K32" s="1">
        <v>258500</v>
      </c>
      <c r="L32" s="1">
        <v>29072.79</v>
      </c>
      <c r="M32" s="1">
        <v>65859.64</v>
      </c>
      <c r="N32" s="1">
        <v>0</v>
      </c>
    </row>
    <row r="33" spans="1:14" x14ac:dyDescent="0.25">
      <c r="A33" s="1" t="s">
        <v>128</v>
      </c>
      <c r="B33" s="1" t="s">
        <v>93</v>
      </c>
      <c r="C33" s="1" t="s">
        <v>94</v>
      </c>
      <c r="D33" s="1" t="s">
        <v>36</v>
      </c>
      <c r="E33" s="1" t="s">
        <v>40</v>
      </c>
      <c r="F33" s="1">
        <v>183634.1</v>
      </c>
      <c r="G33" s="1">
        <v>0</v>
      </c>
      <c r="H33" s="1">
        <v>9235.74</v>
      </c>
      <c r="I33" s="1">
        <v>0</v>
      </c>
      <c r="J33" s="1">
        <v>264000</v>
      </c>
      <c r="K33" s="1">
        <v>259500</v>
      </c>
      <c r="L33" s="1">
        <v>33691.93</v>
      </c>
      <c r="M33" s="1">
        <v>59198.25</v>
      </c>
      <c r="N33" s="1">
        <v>0</v>
      </c>
    </row>
    <row r="34" spans="1:14" x14ac:dyDescent="0.25">
      <c r="A34" s="1" t="s">
        <v>129</v>
      </c>
      <c r="B34" s="1" t="s">
        <v>93</v>
      </c>
      <c r="C34" s="1" t="s">
        <v>123</v>
      </c>
      <c r="D34" s="1" t="s">
        <v>43</v>
      </c>
      <c r="E34" s="1" t="s">
        <v>46</v>
      </c>
      <c r="F34" s="1">
        <v>176460.27</v>
      </c>
      <c r="G34" s="1">
        <v>0</v>
      </c>
      <c r="H34" s="1">
        <v>79890.73</v>
      </c>
      <c r="I34" s="1">
        <v>0</v>
      </c>
      <c r="J34" s="1">
        <v>258500</v>
      </c>
      <c r="K34" s="1">
        <v>258500</v>
      </c>
      <c r="L34" s="1">
        <v>33876.86</v>
      </c>
      <c r="M34" s="1">
        <v>82738.149999999994</v>
      </c>
      <c r="N34" s="1">
        <v>0</v>
      </c>
    </row>
    <row r="35" spans="1:14" x14ac:dyDescent="0.25">
      <c r="A35" s="1" t="s">
        <v>130</v>
      </c>
      <c r="B35" s="1" t="s">
        <v>93</v>
      </c>
      <c r="C35" s="1" t="s">
        <v>94</v>
      </c>
      <c r="D35" s="1" t="s">
        <v>36</v>
      </c>
      <c r="E35" s="1" t="s">
        <v>38</v>
      </c>
      <c r="F35" s="1">
        <v>208800</v>
      </c>
      <c r="G35" s="1">
        <v>0</v>
      </c>
      <c r="H35" s="1">
        <v>0</v>
      </c>
      <c r="I35" s="1">
        <v>0</v>
      </c>
      <c r="J35" s="1">
        <v>264000</v>
      </c>
      <c r="K35" s="1">
        <v>261000</v>
      </c>
      <c r="L35" s="1">
        <v>29331.4</v>
      </c>
      <c r="M35" s="1">
        <v>66744.320000000007</v>
      </c>
      <c r="N35" s="1">
        <v>0</v>
      </c>
    </row>
    <row r="36" spans="1:14" x14ac:dyDescent="0.25">
      <c r="A36" s="1" t="s">
        <v>131</v>
      </c>
      <c r="B36" s="1" t="s">
        <v>93</v>
      </c>
      <c r="C36" s="1" t="s">
        <v>94</v>
      </c>
      <c r="D36" s="1" t="s">
        <v>36</v>
      </c>
      <c r="E36" s="1" t="s">
        <v>41</v>
      </c>
      <c r="F36" s="1">
        <v>182780.1</v>
      </c>
      <c r="G36" s="1">
        <v>639</v>
      </c>
      <c r="H36" s="1">
        <v>0</v>
      </c>
      <c r="I36" s="1">
        <v>0</v>
      </c>
      <c r="J36" s="1">
        <v>264000</v>
      </c>
      <c r="K36" s="1">
        <v>261000</v>
      </c>
      <c r="L36" s="1">
        <v>34076.1</v>
      </c>
      <c r="M36" s="1">
        <v>55540.67</v>
      </c>
      <c r="N36" s="1">
        <v>0</v>
      </c>
    </row>
    <row r="37" spans="1:14" x14ac:dyDescent="0.25">
      <c r="A37" s="1" t="s">
        <v>132</v>
      </c>
      <c r="B37" s="1" t="s">
        <v>93</v>
      </c>
      <c r="C37" s="1" t="s">
        <v>94</v>
      </c>
      <c r="D37" s="1" t="s">
        <v>36</v>
      </c>
      <c r="E37" s="1" t="s">
        <v>40</v>
      </c>
      <c r="F37" s="1">
        <v>128369.94</v>
      </c>
      <c r="G37" s="1">
        <v>7935</v>
      </c>
      <c r="H37" s="1">
        <v>4758.8500000000004</v>
      </c>
      <c r="I37" s="1">
        <v>0</v>
      </c>
      <c r="J37" s="1">
        <v>264000</v>
      </c>
      <c r="K37" s="1">
        <v>261000</v>
      </c>
      <c r="L37" s="1">
        <v>29331.4</v>
      </c>
      <c r="M37" s="1">
        <v>41553.26</v>
      </c>
      <c r="N37" s="1">
        <v>0</v>
      </c>
    </row>
    <row r="38" spans="1:14" x14ac:dyDescent="0.25">
      <c r="A38" s="1" t="s">
        <v>133</v>
      </c>
      <c r="B38" s="1" t="s">
        <v>93</v>
      </c>
      <c r="C38" s="1" t="s">
        <v>94</v>
      </c>
      <c r="D38" s="1" t="s">
        <v>36</v>
      </c>
      <c r="E38" s="1" t="s">
        <v>42</v>
      </c>
      <c r="F38" s="1">
        <v>206800</v>
      </c>
      <c r="G38" s="1">
        <v>0</v>
      </c>
      <c r="H38" s="1">
        <v>0</v>
      </c>
      <c r="I38" s="1">
        <v>0</v>
      </c>
      <c r="J38" s="1">
        <v>258500</v>
      </c>
      <c r="K38" s="1">
        <v>258500</v>
      </c>
      <c r="L38" s="1">
        <v>29072.79</v>
      </c>
      <c r="M38" s="1">
        <v>66096.7</v>
      </c>
      <c r="N38" s="1">
        <v>0</v>
      </c>
    </row>
    <row r="39" spans="1:14" x14ac:dyDescent="0.25">
      <c r="A39" s="1" t="s">
        <v>134</v>
      </c>
      <c r="B39" s="1" t="s">
        <v>93</v>
      </c>
      <c r="C39" s="1" t="s">
        <v>123</v>
      </c>
      <c r="D39" s="1" t="s">
        <v>43</v>
      </c>
      <c r="E39" s="1" t="s">
        <v>46</v>
      </c>
      <c r="F39" s="1">
        <v>192444.77</v>
      </c>
      <c r="G39" s="1">
        <v>2152</v>
      </c>
      <c r="H39" s="1">
        <v>7613.98</v>
      </c>
      <c r="I39" s="1">
        <v>0</v>
      </c>
      <c r="J39" s="1">
        <v>264000</v>
      </c>
      <c r="K39" s="1">
        <v>258500</v>
      </c>
      <c r="L39" s="1">
        <v>29072.79</v>
      </c>
      <c r="M39" s="1">
        <v>64390.01</v>
      </c>
      <c r="N39" s="1">
        <v>0</v>
      </c>
    </row>
    <row r="40" spans="1:14" x14ac:dyDescent="0.25">
      <c r="A40" s="1" t="s">
        <v>135</v>
      </c>
      <c r="B40" s="1" t="s">
        <v>93</v>
      </c>
      <c r="C40" s="1" t="s">
        <v>136</v>
      </c>
      <c r="D40" s="1" t="s">
        <v>60</v>
      </c>
      <c r="E40" s="1" t="s">
        <v>67</v>
      </c>
      <c r="F40" s="1">
        <v>212126.73</v>
      </c>
      <c r="G40" s="1">
        <v>0</v>
      </c>
      <c r="H40" s="1">
        <v>51632.08</v>
      </c>
      <c r="I40" s="1">
        <v>0</v>
      </c>
      <c r="J40" s="1">
        <v>303478</v>
      </c>
      <c r="K40" s="1">
        <v>303478</v>
      </c>
      <c r="L40" s="1">
        <v>29072.79</v>
      </c>
      <c r="M40" s="1">
        <v>87279.72</v>
      </c>
      <c r="N40" s="1">
        <v>33278.47</v>
      </c>
    </row>
    <row r="41" spans="1:14" x14ac:dyDescent="0.25">
      <c r="A41" s="1" t="s">
        <v>137</v>
      </c>
      <c r="B41" s="1" t="s">
        <v>93</v>
      </c>
      <c r="C41" s="1" t="s">
        <v>94</v>
      </c>
      <c r="D41" s="1" t="s">
        <v>36</v>
      </c>
      <c r="E41" s="1" t="s">
        <v>38</v>
      </c>
      <c r="F41" s="1">
        <v>207600</v>
      </c>
      <c r="G41" s="1">
        <v>0</v>
      </c>
      <c r="H41" s="1">
        <v>16633.09</v>
      </c>
      <c r="I41" s="1">
        <v>0</v>
      </c>
      <c r="J41" s="1">
        <v>264000</v>
      </c>
      <c r="K41" s="1">
        <v>259500</v>
      </c>
      <c r="L41" s="1">
        <v>29157.85</v>
      </c>
      <c r="M41" s="1">
        <v>72548.509999999995</v>
      </c>
      <c r="N41" s="1">
        <v>0</v>
      </c>
    </row>
    <row r="42" spans="1:14" x14ac:dyDescent="0.25">
      <c r="A42" s="1" t="s">
        <v>138</v>
      </c>
      <c r="B42" s="1" t="s">
        <v>93</v>
      </c>
      <c r="C42" s="1" t="s">
        <v>94</v>
      </c>
      <c r="D42" s="1" t="s">
        <v>36</v>
      </c>
      <c r="E42" s="1" t="s">
        <v>38</v>
      </c>
      <c r="F42" s="1">
        <v>131815.4</v>
      </c>
      <c r="G42" s="1">
        <v>10112</v>
      </c>
      <c r="H42" s="1">
        <v>1859.64</v>
      </c>
      <c r="I42" s="1">
        <v>0</v>
      </c>
      <c r="J42" s="1">
        <v>264000</v>
      </c>
      <c r="K42" s="1">
        <v>258500</v>
      </c>
      <c r="L42" s="1">
        <v>29072.79</v>
      </c>
      <c r="M42" s="1">
        <v>42662.239999999998</v>
      </c>
      <c r="N42" s="1">
        <v>0</v>
      </c>
    </row>
    <row r="43" spans="1:14" x14ac:dyDescent="0.25">
      <c r="A43" s="1" t="s">
        <v>139</v>
      </c>
      <c r="B43" s="1" t="s">
        <v>93</v>
      </c>
      <c r="C43" s="1" t="s">
        <v>94</v>
      </c>
      <c r="D43" s="1" t="s">
        <v>36</v>
      </c>
      <c r="E43" s="1" t="s">
        <v>38</v>
      </c>
      <c r="F43" s="1">
        <v>189825.35</v>
      </c>
      <c r="G43" s="1">
        <v>0</v>
      </c>
      <c r="H43" s="1">
        <v>24366.44</v>
      </c>
      <c r="I43" s="1">
        <v>0</v>
      </c>
      <c r="J43" s="1">
        <v>261000</v>
      </c>
      <c r="K43" s="1">
        <v>261000</v>
      </c>
      <c r="L43" s="1">
        <v>29331.4</v>
      </c>
      <c r="M43" s="1">
        <v>68749.55</v>
      </c>
      <c r="N43" s="1">
        <v>0</v>
      </c>
    </row>
    <row r="44" spans="1:14" x14ac:dyDescent="0.25">
      <c r="A44" s="1" t="s">
        <v>140</v>
      </c>
      <c r="B44" s="1" t="s">
        <v>93</v>
      </c>
      <c r="C44" s="1" t="s">
        <v>94</v>
      </c>
      <c r="D44" s="1" t="s">
        <v>36</v>
      </c>
      <c r="E44" s="1" t="s">
        <v>38</v>
      </c>
      <c r="F44" s="1">
        <v>187838</v>
      </c>
      <c r="G44" s="1">
        <v>2162</v>
      </c>
      <c r="H44" s="1">
        <v>0</v>
      </c>
      <c r="I44" s="1">
        <v>0</v>
      </c>
      <c r="J44" s="1">
        <v>259500</v>
      </c>
      <c r="K44" s="1">
        <v>259500</v>
      </c>
      <c r="L44" s="1">
        <v>29157.85</v>
      </c>
      <c r="M44" s="1">
        <v>59817.17</v>
      </c>
      <c r="N44" s="1">
        <v>0</v>
      </c>
    </row>
    <row r="45" spans="1:14" x14ac:dyDescent="0.25">
      <c r="A45" s="1" t="s">
        <v>141</v>
      </c>
      <c r="B45" s="1" t="s">
        <v>93</v>
      </c>
      <c r="C45" s="1" t="s">
        <v>94</v>
      </c>
      <c r="D45" s="1" t="s">
        <v>36</v>
      </c>
      <c r="E45" s="1" t="s">
        <v>38</v>
      </c>
      <c r="F45" s="1">
        <v>207600</v>
      </c>
      <c r="G45" s="1">
        <v>0</v>
      </c>
      <c r="H45" s="1">
        <v>0</v>
      </c>
      <c r="I45" s="1">
        <v>0</v>
      </c>
      <c r="J45" s="1">
        <v>264000</v>
      </c>
      <c r="K45" s="1">
        <v>259500</v>
      </c>
      <c r="L45" s="1">
        <v>29157.85</v>
      </c>
      <c r="M45" s="1">
        <v>66362.61</v>
      </c>
      <c r="N45" s="1">
        <v>0</v>
      </c>
    </row>
    <row r="46" spans="1:14" x14ac:dyDescent="0.25">
      <c r="A46" s="1" t="s">
        <v>142</v>
      </c>
      <c r="B46" s="1" t="s">
        <v>93</v>
      </c>
      <c r="C46" s="1" t="s">
        <v>45</v>
      </c>
      <c r="D46" s="1" t="s">
        <v>45</v>
      </c>
      <c r="E46" s="1" t="s">
        <v>54</v>
      </c>
      <c r="F46" s="1">
        <v>209000</v>
      </c>
      <c r="G46" s="1">
        <v>0</v>
      </c>
      <c r="H46" s="1">
        <v>0</v>
      </c>
      <c r="I46" s="1">
        <v>0</v>
      </c>
      <c r="J46" s="1">
        <v>264000</v>
      </c>
      <c r="K46" s="1">
        <v>270500</v>
      </c>
      <c r="L46" s="1">
        <v>30101.54</v>
      </c>
      <c r="M46" s="1">
        <v>66532.289999999994</v>
      </c>
      <c r="N46" s="1">
        <v>16941.669999999998</v>
      </c>
    </row>
    <row r="47" spans="1:14" x14ac:dyDescent="0.25">
      <c r="A47" s="1" t="s">
        <v>143</v>
      </c>
      <c r="B47" s="1" t="s">
        <v>93</v>
      </c>
      <c r="C47" s="1" t="s">
        <v>144</v>
      </c>
      <c r="D47" s="1" t="s">
        <v>43</v>
      </c>
      <c r="E47" s="1" t="s">
        <v>46</v>
      </c>
      <c r="F47" s="1">
        <v>206800</v>
      </c>
      <c r="G47" s="1">
        <v>0</v>
      </c>
      <c r="H47" s="1">
        <v>14400.79</v>
      </c>
      <c r="I47" s="1">
        <v>0</v>
      </c>
      <c r="J47" s="1">
        <v>264000</v>
      </c>
      <c r="K47" s="1">
        <v>258500</v>
      </c>
      <c r="L47" s="1">
        <v>29072.79</v>
      </c>
      <c r="M47" s="1">
        <v>71452.399999999994</v>
      </c>
      <c r="N47" s="1">
        <v>0</v>
      </c>
    </row>
    <row r="48" spans="1:14" x14ac:dyDescent="0.25">
      <c r="A48" s="1" t="s">
        <v>145</v>
      </c>
      <c r="B48" s="1" t="s">
        <v>93</v>
      </c>
      <c r="C48" s="1" t="s">
        <v>123</v>
      </c>
      <c r="D48" s="1" t="s">
        <v>43</v>
      </c>
      <c r="E48" s="1" t="s">
        <v>46</v>
      </c>
      <c r="F48" s="1">
        <v>198017.57</v>
      </c>
      <c r="G48" s="1">
        <v>0</v>
      </c>
      <c r="H48" s="1">
        <v>0</v>
      </c>
      <c r="I48" s="1">
        <v>0</v>
      </c>
      <c r="J48" s="1">
        <v>264000</v>
      </c>
      <c r="K48" s="1">
        <v>263500</v>
      </c>
      <c r="L48" s="1">
        <v>29569.47</v>
      </c>
      <c r="M48" s="1">
        <v>62645.84</v>
      </c>
      <c r="N48" s="1">
        <v>0</v>
      </c>
    </row>
    <row r="49" spans="1:14" x14ac:dyDescent="0.25">
      <c r="A49" s="1" t="s">
        <v>146</v>
      </c>
      <c r="B49" s="1" t="s">
        <v>93</v>
      </c>
      <c r="C49" s="1" t="s">
        <v>144</v>
      </c>
      <c r="D49" s="1" t="s">
        <v>43</v>
      </c>
      <c r="E49" s="1" t="s">
        <v>46</v>
      </c>
      <c r="F49" s="1">
        <v>206800</v>
      </c>
      <c r="G49" s="1">
        <v>0</v>
      </c>
      <c r="H49" s="1">
        <v>0</v>
      </c>
      <c r="I49" s="1">
        <v>0</v>
      </c>
      <c r="J49" s="1">
        <v>264000</v>
      </c>
      <c r="K49" s="1">
        <v>258500</v>
      </c>
      <c r="L49" s="1">
        <v>29072.79</v>
      </c>
      <c r="M49" s="1">
        <v>66096.7</v>
      </c>
      <c r="N49" s="1">
        <v>0</v>
      </c>
    </row>
    <row r="50" spans="1:14" x14ac:dyDescent="0.25">
      <c r="A50" s="1" t="s">
        <v>147</v>
      </c>
      <c r="B50" s="1" t="s">
        <v>93</v>
      </c>
      <c r="C50" s="1" t="s">
        <v>148</v>
      </c>
      <c r="D50" s="1" t="s">
        <v>44</v>
      </c>
      <c r="E50" s="1" t="s">
        <v>57</v>
      </c>
      <c r="F50" s="1">
        <v>171712.07</v>
      </c>
      <c r="G50" s="1">
        <v>885</v>
      </c>
      <c r="H50" s="1">
        <v>0</v>
      </c>
      <c r="I50" s="1">
        <v>0</v>
      </c>
      <c r="J50" s="1">
        <v>264000</v>
      </c>
      <c r="K50" s="1">
        <v>304629</v>
      </c>
      <c r="L50" s="1">
        <v>29157.85</v>
      </c>
      <c r="M50" s="1">
        <v>53345.06</v>
      </c>
      <c r="N50" s="1">
        <v>6634.04</v>
      </c>
    </row>
    <row r="51" spans="1:14" x14ac:dyDescent="0.25">
      <c r="A51" s="1" t="s">
        <v>149</v>
      </c>
      <c r="B51" s="1" t="s">
        <v>93</v>
      </c>
      <c r="C51" s="1" t="s">
        <v>48</v>
      </c>
      <c r="D51" s="1" t="s">
        <v>48</v>
      </c>
      <c r="E51" s="1" t="s">
        <v>54</v>
      </c>
      <c r="F51" s="1">
        <v>187642.46</v>
      </c>
      <c r="G51" s="1">
        <v>0</v>
      </c>
      <c r="H51" s="1">
        <v>0</v>
      </c>
      <c r="I51" s="1">
        <v>0</v>
      </c>
      <c r="J51" s="1">
        <v>264000</v>
      </c>
      <c r="K51" s="1">
        <v>310000</v>
      </c>
      <c r="L51" s="1">
        <v>29569.47</v>
      </c>
      <c r="M51" s="1">
        <v>58787.34</v>
      </c>
      <c r="N51" s="1">
        <v>14969.51</v>
      </c>
    </row>
    <row r="52" spans="1:14" x14ac:dyDescent="0.25">
      <c r="A52" s="1" t="s">
        <v>150</v>
      </c>
      <c r="B52" s="1" t="s">
        <v>93</v>
      </c>
      <c r="C52" s="1" t="s">
        <v>148</v>
      </c>
      <c r="D52" s="1" t="s">
        <v>44</v>
      </c>
      <c r="E52" s="1" t="s">
        <v>57</v>
      </c>
      <c r="F52" s="1">
        <v>194977.78</v>
      </c>
      <c r="G52" s="1">
        <v>648</v>
      </c>
      <c r="H52" s="1">
        <v>16055.12</v>
      </c>
      <c r="I52" s="1">
        <v>0</v>
      </c>
      <c r="J52" s="1">
        <v>264000</v>
      </c>
      <c r="K52" s="1">
        <v>303478</v>
      </c>
      <c r="L52" s="1">
        <v>29072.79</v>
      </c>
      <c r="M52" s="1">
        <v>67911.94</v>
      </c>
      <c r="N52" s="1">
        <v>8445.59</v>
      </c>
    </row>
    <row r="53" spans="1:14" x14ac:dyDescent="0.25">
      <c r="A53" s="1" t="s">
        <v>151</v>
      </c>
      <c r="B53" s="1" t="s">
        <v>93</v>
      </c>
      <c r="C53" s="1" t="s">
        <v>45</v>
      </c>
      <c r="D53" s="1" t="s">
        <v>45</v>
      </c>
      <c r="E53" s="1" t="s">
        <v>54</v>
      </c>
      <c r="F53" s="1">
        <v>192942.28</v>
      </c>
      <c r="G53" s="1">
        <v>0</v>
      </c>
      <c r="H53" s="1">
        <v>4641.7299999999996</v>
      </c>
      <c r="I53" s="1">
        <v>0</v>
      </c>
      <c r="J53" s="1">
        <v>264000</v>
      </c>
      <c r="K53" s="1">
        <v>303478</v>
      </c>
      <c r="L53" s="1">
        <v>29072.79</v>
      </c>
      <c r="M53" s="1">
        <v>62669.31</v>
      </c>
      <c r="N53" s="1">
        <v>15958</v>
      </c>
    </row>
    <row r="54" spans="1:14" x14ac:dyDescent="0.25">
      <c r="A54" s="1" t="s">
        <v>152</v>
      </c>
      <c r="B54" s="1" t="s">
        <v>93</v>
      </c>
      <c r="C54" s="1" t="s">
        <v>104</v>
      </c>
      <c r="D54" s="1" t="s">
        <v>44</v>
      </c>
      <c r="E54" s="1" t="s">
        <v>57</v>
      </c>
      <c r="F54" s="1">
        <v>207608.15</v>
      </c>
      <c r="G54" s="1">
        <v>0</v>
      </c>
      <c r="H54" s="1">
        <v>0</v>
      </c>
      <c r="I54" s="1">
        <v>0</v>
      </c>
      <c r="J54" s="1">
        <v>264000</v>
      </c>
      <c r="K54" s="1">
        <v>303478</v>
      </c>
      <c r="L54" s="1">
        <v>29072.79</v>
      </c>
      <c r="M54" s="1">
        <v>66397.289999999994</v>
      </c>
      <c r="N54" s="1">
        <v>8257.23</v>
      </c>
    </row>
    <row r="55" spans="1:14" x14ac:dyDescent="0.25">
      <c r="A55" s="1" t="s">
        <v>153</v>
      </c>
      <c r="B55" s="1" t="s">
        <v>93</v>
      </c>
      <c r="C55" s="1" t="s">
        <v>148</v>
      </c>
      <c r="D55" s="1" t="s">
        <v>44</v>
      </c>
      <c r="E55" s="1"/>
      <c r="F55" s="1">
        <v>211200</v>
      </c>
      <c r="G55" s="1">
        <v>0</v>
      </c>
      <c r="H55" s="1">
        <v>0</v>
      </c>
      <c r="I55" s="1">
        <v>0</v>
      </c>
      <c r="J55" s="1">
        <v>264000</v>
      </c>
      <c r="K55" s="1">
        <v>306240</v>
      </c>
      <c r="L55" s="1">
        <v>29331.4</v>
      </c>
      <c r="M55" s="1">
        <v>67636.88</v>
      </c>
      <c r="N55" s="1">
        <v>0</v>
      </c>
    </row>
    <row r="56" spans="1:14" x14ac:dyDescent="0.25">
      <c r="A56" s="1" t="s">
        <v>154</v>
      </c>
      <c r="B56" s="1" t="s">
        <v>93</v>
      </c>
      <c r="C56" s="1" t="s">
        <v>49</v>
      </c>
      <c r="D56" s="1" t="s">
        <v>49</v>
      </c>
      <c r="E56" s="1" t="s">
        <v>54</v>
      </c>
      <c r="F56" s="1">
        <v>183440.97</v>
      </c>
      <c r="G56" s="1">
        <v>0</v>
      </c>
      <c r="H56" s="1">
        <v>0</v>
      </c>
      <c r="I56" s="1">
        <v>0</v>
      </c>
      <c r="J56" s="1">
        <v>264000</v>
      </c>
      <c r="K56" s="1">
        <v>303478</v>
      </c>
      <c r="L56" s="1">
        <v>33876.86</v>
      </c>
      <c r="M56" s="1">
        <v>55622.91</v>
      </c>
      <c r="N56" s="1">
        <v>14163.73</v>
      </c>
    </row>
    <row r="57" spans="1:14" x14ac:dyDescent="0.25">
      <c r="A57" s="1" t="s">
        <v>155</v>
      </c>
      <c r="B57" s="1" t="s">
        <v>93</v>
      </c>
      <c r="C57" s="1" t="s">
        <v>47</v>
      </c>
      <c r="D57" s="1" t="s">
        <v>47</v>
      </c>
      <c r="E57" s="1" t="s">
        <v>54</v>
      </c>
      <c r="F57" s="1">
        <v>197630.14</v>
      </c>
      <c r="G57" s="1">
        <v>649</v>
      </c>
      <c r="H57" s="1">
        <v>0</v>
      </c>
      <c r="I57" s="1">
        <v>0</v>
      </c>
      <c r="J57" s="1">
        <v>264000</v>
      </c>
      <c r="K57" s="1">
        <v>304629</v>
      </c>
      <c r="L57" s="1">
        <v>29157.85</v>
      </c>
      <c r="M57" s="1">
        <v>62896.21</v>
      </c>
      <c r="N57" s="1">
        <v>16015.78</v>
      </c>
    </row>
    <row r="58" spans="1:14" x14ac:dyDescent="0.25">
      <c r="A58" s="1" t="s">
        <v>156</v>
      </c>
      <c r="B58" s="1" t="s">
        <v>93</v>
      </c>
      <c r="C58" s="1" t="s">
        <v>47</v>
      </c>
      <c r="D58" s="1" t="s">
        <v>47</v>
      </c>
      <c r="E58" s="1" t="s">
        <v>55</v>
      </c>
      <c r="F58" s="1">
        <v>216043.5</v>
      </c>
      <c r="G58" s="1">
        <v>0</v>
      </c>
      <c r="H58" s="1">
        <v>0</v>
      </c>
      <c r="I58" s="1">
        <v>0</v>
      </c>
      <c r="J58" s="1">
        <v>350000</v>
      </c>
      <c r="K58" s="1">
        <v>306240</v>
      </c>
      <c r="L58" s="1">
        <v>29331.4</v>
      </c>
      <c r="M58" s="1">
        <v>69438.22</v>
      </c>
      <c r="N58" s="1">
        <v>17681.63</v>
      </c>
    </row>
    <row r="59" spans="1:14" x14ac:dyDescent="0.25">
      <c r="A59" s="1" t="s">
        <v>157</v>
      </c>
      <c r="B59" s="1" t="s">
        <v>93</v>
      </c>
      <c r="C59" s="1" t="s">
        <v>158</v>
      </c>
      <c r="D59" s="1" t="s">
        <v>53</v>
      </c>
      <c r="E59" s="1" t="s">
        <v>61</v>
      </c>
      <c r="F59" s="1">
        <v>248368.79</v>
      </c>
      <c r="G59" s="1">
        <v>0</v>
      </c>
      <c r="H59" s="1">
        <v>0</v>
      </c>
      <c r="I59" s="1">
        <v>0</v>
      </c>
      <c r="J59" s="1">
        <v>350000</v>
      </c>
      <c r="K59" s="1">
        <v>346101</v>
      </c>
      <c r="L59" s="1">
        <v>34076.1</v>
      </c>
      <c r="M59" s="1">
        <v>79695.44</v>
      </c>
      <c r="N59" s="1">
        <v>20655.189999999999</v>
      </c>
    </row>
    <row r="60" spans="1:14" x14ac:dyDescent="0.25">
      <c r="A60" s="1" t="s">
        <v>159</v>
      </c>
      <c r="B60" s="1" t="s">
        <v>93</v>
      </c>
      <c r="C60" s="1" t="s">
        <v>136</v>
      </c>
      <c r="D60" s="1" t="s">
        <v>60</v>
      </c>
      <c r="E60" s="1" t="s">
        <v>66</v>
      </c>
      <c r="F60" s="1">
        <v>182015.77</v>
      </c>
      <c r="G60" s="1">
        <v>0</v>
      </c>
      <c r="H60" s="1">
        <v>52750.97</v>
      </c>
      <c r="I60" s="1">
        <v>0</v>
      </c>
      <c r="J60" s="1">
        <v>304629</v>
      </c>
      <c r="K60" s="1">
        <v>304629</v>
      </c>
      <c r="L60" s="1">
        <v>29157.85</v>
      </c>
      <c r="M60" s="1">
        <v>76465.929999999993</v>
      </c>
      <c r="N60" s="1">
        <v>29155.34</v>
      </c>
    </row>
    <row r="61" spans="1:14" x14ac:dyDescent="0.25">
      <c r="A61" s="1" t="s">
        <v>160</v>
      </c>
      <c r="B61" s="1" t="s">
        <v>93</v>
      </c>
      <c r="C61" s="1" t="s">
        <v>136</v>
      </c>
      <c r="D61" s="1" t="s">
        <v>60</v>
      </c>
      <c r="E61" s="1" t="s">
        <v>66</v>
      </c>
      <c r="F61" s="1">
        <v>235333.45</v>
      </c>
      <c r="G61" s="1">
        <v>0</v>
      </c>
      <c r="H61" s="1">
        <v>41066.39</v>
      </c>
      <c r="I61" s="1">
        <v>0</v>
      </c>
      <c r="J61" s="1">
        <v>310000</v>
      </c>
      <c r="K61" s="1">
        <v>310000</v>
      </c>
      <c r="L61" s="1">
        <v>29569.47</v>
      </c>
      <c r="M61" s="1">
        <v>91796.23</v>
      </c>
      <c r="N61" s="1">
        <v>35000.54</v>
      </c>
    </row>
    <row r="62" spans="1:14" x14ac:dyDescent="0.25">
      <c r="A62" s="1" t="s">
        <v>161</v>
      </c>
      <c r="B62" s="1" t="s">
        <v>93</v>
      </c>
      <c r="C62" s="1" t="s">
        <v>64</v>
      </c>
      <c r="D62" s="1" t="s">
        <v>64</v>
      </c>
      <c r="E62" s="1" t="s">
        <v>68</v>
      </c>
      <c r="F62" s="1">
        <v>276874.21000000002</v>
      </c>
      <c r="G62" s="1">
        <v>0</v>
      </c>
      <c r="H62" s="1">
        <v>9818.33</v>
      </c>
      <c r="I62" s="1">
        <v>0</v>
      </c>
      <c r="J62" s="1">
        <v>350000</v>
      </c>
      <c r="K62" s="1">
        <v>350000</v>
      </c>
      <c r="L62" s="1">
        <v>34373.54</v>
      </c>
      <c r="M62" s="1">
        <v>93837.42</v>
      </c>
      <c r="N62" s="1">
        <v>42843.76</v>
      </c>
    </row>
    <row r="63" spans="1:14" x14ac:dyDescent="0.25">
      <c r="A63" s="1" t="s">
        <v>162</v>
      </c>
      <c r="B63" s="1" t="s">
        <v>93</v>
      </c>
      <c r="C63" s="1" t="s">
        <v>163</v>
      </c>
      <c r="D63" s="1" t="s">
        <v>74</v>
      </c>
      <c r="E63" s="1" t="s">
        <v>76</v>
      </c>
      <c r="F63" s="1">
        <v>207187.78</v>
      </c>
      <c r="G63" s="1">
        <v>0</v>
      </c>
      <c r="H63" s="1">
        <v>11128.42</v>
      </c>
      <c r="I63" s="1">
        <v>0</v>
      </c>
      <c r="J63" s="1">
        <v>306240</v>
      </c>
      <c r="K63" s="1">
        <v>306240</v>
      </c>
      <c r="L63" s="1">
        <v>29331.4</v>
      </c>
      <c r="M63" s="1">
        <v>70283.45</v>
      </c>
      <c r="N63" s="1">
        <v>52707.86</v>
      </c>
    </row>
    <row r="73" spans="13:13" x14ac:dyDescent="0.25">
      <c r="M73" s="3"/>
    </row>
  </sheetData>
  <autoFilter ref="A1:N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2897-D9D4-462E-B2CA-8EBB627F4134}">
  <sheetPr>
    <tabColor rgb="FFFFFF00"/>
  </sheetPr>
  <dimension ref="A1:R24"/>
  <sheetViews>
    <sheetView showGridLines="0" tabSelected="1" workbookViewId="0">
      <selection activeCell="H18" sqref="H18"/>
    </sheetView>
    <sheetView workbookViewId="1">
      <selection activeCell="D10" sqref="D10"/>
    </sheetView>
  </sheetViews>
  <sheetFormatPr defaultRowHeight="15" x14ac:dyDescent="0.25"/>
  <cols>
    <col min="1" max="1" width="7.7109375" bestFit="1" customWidth="1"/>
    <col min="2" max="2" width="16.85546875" bestFit="1" customWidth="1"/>
    <col min="3" max="3" width="15.85546875" bestFit="1" customWidth="1"/>
    <col min="4" max="4" width="16.85546875" bestFit="1" customWidth="1"/>
    <col min="5" max="5" width="15.85546875" bestFit="1" customWidth="1"/>
    <col min="6" max="6" width="16.85546875" bestFit="1" customWidth="1"/>
    <col min="7" max="9" width="15.85546875" bestFit="1" customWidth="1"/>
    <col min="10" max="11" width="16.85546875" bestFit="1" customWidth="1"/>
    <col min="12" max="13" width="15.85546875" bestFit="1" customWidth="1"/>
    <col min="14" max="14" width="14.28515625" bestFit="1" customWidth="1"/>
    <col min="15" max="17" width="15.85546875" bestFit="1" customWidth="1"/>
    <col min="18" max="18" width="7.7109375" bestFit="1" customWidth="1"/>
  </cols>
  <sheetData>
    <row r="1" spans="1:18" x14ac:dyDescent="0.25">
      <c r="A1" s="18" t="s">
        <v>172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5">
      <c r="A2" s="5" t="s">
        <v>171</v>
      </c>
      <c r="B2" s="6" t="s">
        <v>170</v>
      </c>
      <c r="C2" s="6" t="s">
        <v>170</v>
      </c>
      <c r="D2" s="6" t="s">
        <v>170</v>
      </c>
      <c r="E2" s="6" t="s">
        <v>170</v>
      </c>
      <c r="F2" s="8" t="s">
        <v>169</v>
      </c>
      <c r="G2" s="8" t="s">
        <v>169</v>
      </c>
      <c r="H2" s="8" t="s">
        <v>169</v>
      </c>
      <c r="I2" s="8" t="s">
        <v>169</v>
      </c>
      <c r="J2" s="8" t="s">
        <v>169</v>
      </c>
      <c r="K2" s="8" t="s">
        <v>169</v>
      </c>
      <c r="L2" s="8" t="s">
        <v>169</v>
      </c>
      <c r="M2" s="8" t="s">
        <v>169</v>
      </c>
      <c r="N2" s="8" t="s">
        <v>169</v>
      </c>
      <c r="O2" s="7" t="s">
        <v>167</v>
      </c>
      <c r="P2" s="7" t="s">
        <v>167</v>
      </c>
      <c r="Q2" s="7" t="s">
        <v>167</v>
      </c>
      <c r="R2" s="7" t="s">
        <v>167</v>
      </c>
    </row>
    <row r="3" spans="1:18" ht="38.25" x14ac:dyDescent="0.25">
      <c r="A3" s="9" t="s">
        <v>3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83</v>
      </c>
      <c r="G3" s="9" t="s">
        <v>84</v>
      </c>
      <c r="H3" s="9" t="s">
        <v>85</v>
      </c>
      <c r="I3" s="9" t="s">
        <v>86</v>
      </c>
      <c r="J3" s="9" t="s">
        <v>87</v>
      </c>
      <c r="K3" s="9" t="s">
        <v>88</v>
      </c>
      <c r="L3" s="9" t="s">
        <v>89</v>
      </c>
      <c r="M3" s="9" t="s">
        <v>90</v>
      </c>
      <c r="N3" s="9" t="s">
        <v>91</v>
      </c>
      <c r="O3" s="10" t="s">
        <v>164</v>
      </c>
      <c r="P3" s="10" t="s">
        <v>165</v>
      </c>
      <c r="Q3" s="10" t="s">
        <v>166</v>
      </c>
      <c r="R3" s="10" t="s">
        <v>168</v>
      </c>
    </row>
    <row r="4" spans="1:18" x14ac:dyDescent="0.25">
      <c r="A4" s="11">
        <v>0</v>
      </c>
      <c r="B4" s="11">
        <v>9712092</v>
      </c>
      <c r="C4" s="11">
        <v>3777094.24</v>
      </c>
      <c r="D4" s="11">
        <v>1885216.68</v>
      </c>
      <c r="E4" s="11">
        <v>1265556.1000000001</v>
      </c>
      <c r="F4" s="13">
        <f>SUM(Unidades!F$2:F$63)</f>
        <v>12893898.98</v>
      </c>
      <c r="G4" s="13">
        <f>SUM(Unidades!G$2:G$63)</f>
        <v>25182</v>
      </c>
      <c r="H4" s="13">
        <f>SUM(Unidades!H$2:H$63)</f>
        <v>756311.76999999979</v>
      </c>
      <c r="I4" s="13">
        <f>SUM(Unidades!I$2:I$63)</f>
        <v>0</v>
      </c>
      <c r="J4" s="13">
        <f>SUM(Unidades!J$2:J$63)</f>
        <v>17332251</v>
      </c>
      <c r="K4" s="13">
        <f>SUM(Unidades!K$2:K$63)</f>
        <v>17374502</v>
      </c>
      <c r="L4" s="13">
        <f>SUM(Unidades!L$2:L$63)</f>
        <v>1889811.1600000011</v>
      </c>
      <c r="M4" s="13">
        <f>SUM(Unidades!M$2:M$63)</f>
        <v>4383056.8299999991</v>
      </c>
      <c r="N4" s="13">
        <f>SUM(Unidades!N$2:N$63)</f>
        <v>622107.75</v>
      </c>
      <c r="O4" s="12">
        <f>SUM(Consolidado!C2:C43)</f>
        <v>6272867.9899999993</v>
      </c>
      <c r="P4" s="12">
        <f>SUM(Consolidado!D2:D43)</f>
        <v>6175899.71</v>
      </c>
      <c r="Q4" s="12">
        <f>SUM(Consolidado!E2:E43)</f>
        <v>622107.75</v>
      </c>
      <c r="R4" s="12">
        <f>SUM(Consolidado!F2:F43)</f>
        <v>0</v>
      </c>
    </row>
    <row r="6" spans="1:18" x14ac:dyDescent="0.25">
      <c r="D6" t="s">
        <v>176</v>
      </c>
      <c r="G6" s="14">
        <f>D4+R4-N4</f>
        <v>1263108.93</v>
      </c>
      <c r="Q6" s="3"/>
    </row>
    <row r="7" spans="1:18" x14ac:dyDescent="0.25">
      <c r="D7" t="s">
        <v>177</v>
      </c>
      <c r="G7" s="14">
        <f>E4-G6</f>
        <v>2447.1700000001583</v>
      </c>
      <c r="H7" s="19">
        <f>G7/E4</f>
        <v>1.9336716878850001E-3</v>
      </c>
      <c r="O7" s="15" t="s">
        <v>174</v>
      </c>
      <c r="P7" s="15"/>
      <c r="Q7" s="16">
        <f>L4+M4</f>
        <v>6272867.9900000002</v>
      </c>
    </row>
    <row r="9" spans="1:18" x14ac:dyDescent="0.25">
      <c r="B9" t="s">
        <v>175</v>
      </c>
      <c r="D9" s="4">
        <f>B4-C4</f>
        <v>5934997.7599999998</v>
      </c>
    </row>
    <row r="12" spans="1:18" x14ac:dyDescent="0.25">
      <c r="A12" s="18" t="s">
        <v>173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x14ac:dyDescent="0.25">
      <c r="A13" s="5" t="s">
        <v>171</v>
      </c>
      <c r="B13" s="6" t="s">
        <v>170</v>
      </c>
      <c r="C13" s="6" t="s">
        <v>170</v>
      </c>
      <c r="D13" s="6" t="s">
        <v>170</v>
      </c>
      <c r="E13" s="6" t="s">
        <v>170</v>
      </c>
      <c r="F13" s="8" t="s">
        <v>169</v>
      </c>
      <c r="G13" s="8" t="s">
        <v>169</v>
      </c>
      <c r="H13" s="8" t="s">
        <v>169</v>
      </c>
      <c r="I13" s="8" t="s">
        <v>169</v>
      </c>
      <c r="J13" s="8" t="s">
        <v>169</v>
      </c>
      <c r="K13" s="8" t="s">
        <v>169</v>
      </c>
      <c r="L13" s="8" t="s">
        <v>169</v>
      </c>
      <c r="M13" s="8" t="s">
        <v>169</v>
      </c>
      <c r="N13" s="8" t="s">
        <v>169</v>
      </c>
      <c r="O13" s="7" t="s">
        <v>167</v>
      </c>
      <c r="P13" s="7" t="s">
        <v>167</v>
      </c>
      <c r="Q13" s="7" t="s">
        <v>167</v>
      </c>
      <c r="R13" s="7" t="s">
        <v>167</v>
      </c>
    </row>
    <row r="14" spans="1:18" ht="38.25" x14ac:dyDescent="0.25">
      <c r="A14" s="9" t="s">
        <v>3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83</v>
      </c>
      <c r="G14" s="9" t="s">
        <v>84</v>
      </c>
      <c r="H14" s="9" t="s">
        <v>85</v>
      </c>
      <c r="I14" s="9" t="s">
        <v>86</v>
      </c>
      <c r="J14" s="9" t="s">
        <v>87</v>
      </c>
      <c r="K14" s="9" t="s">
        <v>88</v>
      </c>
      <c r="L14" s="9" t="s">
        <v>89</v>
      </c>
      <c r="M14" s="9" t="s">
        <v>90</v>
      </c>
      <c r="N14" s="9" t="s">
        <v>91</v>
      </c>
      <c r="O14" s="10" t="s">
        <v>164</v>
      </c>
      <c r="P14" s="10" t="s">
        <v>165</v>
      </c>
      <c r="Q14" s="10" t="s">
        <v>166</v>
      </c>
      <c r="R14" s="10" t="s">
        <v>168</v>
      </c>
    </row>
    <row r="15" spans="1:18" x14ac:dyDescent="0.25">
      <c r="A15" s="11">
        <v>0</v>
      </c>
      <c r="B15" s="11">
        <v>27607680</v>
      </c>
      <c r="C15" s="11">
        <v>2542543.2400000002</v>
      </c>
      <c r="D15" s="11">
        <v>928463.72</v>
      </c>
      <c r="E15" s="11">
        <v>928768.46</v>
      </c>
      <c r="F15" s="13">
        <f>SUM([1]Unidades!$F$2:$F$73)</f>
        <v>17354524.290000003</v>
      </c>
      <c r="G15" s="13">
        <f>SUM([1]Unidades!$G$2:$G$73)</f>
        <v>9351</v>
      </c>
      <c r="H15" s="13">
        <f>SUM([1]Unidades!$H$2:$H$73)</f>
        <v>1312607.2599999998</v>
      </c>
      <c r="I15" s="13">
        <f>SUM([1]Unidades!$I$2:$I$73)</f>
        <v>0</v>
      </c>
      <c r="J15" s="13">
        <f>SUM([1]Unidades!$J$2:$J$73)</f>
        <v>23331000</v>
      </c>
      <c r="K15" s="13">
        <f>SUM([1]Unidades!$K$2:$K$73)</f>
        <v>23331000</v>
      </c>
      <c r="L15" s="13">
        <f>SUM([1]Unidades!$L$2:$L$73)</f>
        <v>3241716.2299999991</v>
      </c>
      <c r="M15" s="13">
        <f>SUM([1]Unidades!$M$2:$M$73)</f>
        <v>546390.59999999986</v>
      </c>
      <c r="N15" s="13">
        <f>SUM([1]Unidades!$N$2:$N$73)</f>
        <v>0</v>
      </c>
      <c r="O15" s="12">
        <f>SUM([1]Consolidado!$C$2:$C$8)</f>
        <v>3788106.83</v>
      </c>
      <c r="P15" s="12">
        <f>SUM([1]Consolidado!$D$2:$D$8)</f>
        <v>3428126.5</v>
      </c>
      <c r="Q15" s="12">
        <f>SUM([1]Consolidado!$E$2:$E$8)</f>
        <v>0</v>
      </c>
      <c r="R15" s="12">
        <f>SUM([1]Consolidado!$F$2:$F$8)</f>
        <v>0</v>
      </c>
    </row>
    <row r="17" spans="2:17" x14ac:dyDescent="0.25">
      <c r="D17" t="s">
        <v>176</v>
      </c>
      <c r="G17" s="14">
        <f>D15+R15-N15</f>
        <v>928463.72</v>
      </c>
      <c r="Q17" s="3"/>
    </row>
    <row r="18" spans="2:17" x14ac:dyDescent="0.25">
      <c r="D18" t="s">
        <v>177</v>
      </c>
      <c r="G18" s="14">
        <f>E15-G17</f>
        <v>304.73999999999069</v>
      </c>
      <c r="H18" s="19">
        <f>G18/E15</f>
        <v>3.2811191715100951E-4</v>
      </c>
      <c r="O18" s="15" t="s">
        <v>174</v>
      </c>
      <c r="P18" s="15"/>
      <c r="Q18" s="16">
        <f>L15+M15</f>
        <v>3788106.8299999991</v>
      </c>
    </row>
    <row r="20" spans="2:17" x14ac:dyDescent="0.25">
      <c r="B20" t="s">
        <v>175</v>
      </c>
      <c r="D20" s="4">
        <f>B15-C15</f>
        <v>25065136.759999998</v>
      </c>
    </row>
    <row r="24" spans="2:17" x14ac:dyDescent="0.25">
      <c r="I24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951CE44A-FD76-4AF4-AB57-BF3B29CBCD5A}"/>
</file>

<file path=customXml/itemProps2.xml><?xml version="1.0" encoding="utf-8"?>
<ds:datastoreItem xmlns:ds="http://schemas.openxmlformats.org/officeDocument/2006/customXml" ds:itemID="{B7BA607A-BE72-4E49-9F47-71F9346F7E83}"/>
</file>

<file path=customXml/itemProps3.xml><?xml version="1.0" encoding="utf-8"?>
<ds:datastoreItem xmlns:ds="http://schemas.openxmlformats.org/officeDocument/2006/customXml" ds:itemID="{17DEC62D-A370-4EDA-BE42-0402EABCF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Empreendimento</vt:lpstr>
      <vt:lpstr>Emprestimo PJ</vt:lpstr>
      <vt:lpstr>Consolidado</vt:lpstr>
      <vt:lpstr>Unidades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</dc:creator>
  <cp:lastModifiedBy>Vitor Taira - Ampla Incorporadora</cp:lastModifiedBy>
  <dcterms:created xsi:type="dcterms:W3CDTF">2025-02-03T23:09:48Z</dcterms:created>
  <dcterms:modified xsi:type="dcterms:W3CDTF">2025-02-11T19:22:30Z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0x0101006C56FB2846673243A9735D5EC6051572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