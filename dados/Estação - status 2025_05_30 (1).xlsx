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corporadoraampla.sharepoint.com/sites/Controladoria/Documentos Compartilhados/amplaGitHub/dados/"/>
    </mc:Choice>
  </mc:AlternateContent>
  <xr:revisionPtr revIDLastSave="2" documentId="13_ncr:20001_{557D122D-0488-4809-AA68-F085EC2F11C5}" xr6:coauthVersionLast="47" xr6:coauthVersionMax="47" xr10:uidLastSave="{F45A875E-D2FF-46C6-9BB7-4D447C32F5BA}"/>
  <bookViews>
    <workbookView xWindow="-43155" yWindow="-3555" windowWidth="14355" windowHeight="15600" activeTab="1" xr2:uid="{240890F9-D451-4B7D-B96D-9A56BDF9E0C9}"/>
  </bookViews>
  <sheets>
    <sheet name="Estação" sheetId="1" r:id="rId1"/>
    <sheet name="DRE gerencial" sheetId="4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4" l="1"/>
  <c r="K9" i="4"/>
  <c r="J9" i="4"/>
  <c r="I10" i="4"/>
  <c r="I3" i="4" s="1"/>
  <c r="B15" i="4"/>
  <c r="K10" i="4" s="1"/>
  <c r="B14" i="4"/>
  <c r="B11" i="4"/>
  <c r="J3" i="4"/>
  <c r="J8" i="4"/>
  <c r="L8" i="4"/>
  <c r="B13" i="4"/>
  <c r="J10" i="4" s="1"/>
  <c r="L10" i="4" l="1"/>
  <c r="I4" i="4"/>
  <c r="J2" i="4"/>
  <c r="I8" i="4"/>
  <c r="K8" i="4"/>
  <c r="B16" i="4"/>
  <c r="J4" i="4"/>
  <c r="B17" i="1"/>
  <c r="B23" i="1"/>
</calcChain>
</file>

<file path=xl/sharedStrings.xml><?xml version="1.0" encoding="utf-8"?>
<sst xmlns="http://schemas.openxmlformats.org/spreadsheetml/2006/main" count="143" uniqueCount="70">
  <si>
    <t>% Obra a executar</t>
  </si>
  <si>
    <t>FGTS</t>
  </si>
  <si>
    <t>Subsídio</t>
  </si>
  <si>
    <t>= Financiamento das UH agregadas na contratação + FGTS das UH agregadas na contratação + Subsídios das UH agregadas na contratação + FIT + Aporte de recusos próprios</t>
  </si>
  <si>
    <t>Financiamento das UH agregadas na contratação</t>
  </si>
  <si>
    <t>FIT</t>
  </si>
  <si>
    <t>Aporte de recursos próprios</t>
  </si>
  <si>
    <t>Unidades vendidas mas não repassadas</t>
  </si>
  <si>
    <t>A receber</t>
  </si>
  <si>
    <t>Recebido</t>
  </si>
  <si>
    <t>Valor utilizado PJ</t>
  </si>
  <si>
    <t>Fonte</t>
  </si>
  <si>
    <t>Variável</t>
  </si>
  <si>
    <t>Valor</t>
  </si>
  <si>
    <t>DCD</t>
  </si>
  <si>
    <t>ECN</t>
  </si>
  <si>
    <t>Valor liberado terreno</t>
  </si>
  <si>
    <t>Valor liberado obra</t>
  </si>
  <si>
    <t>Informakon</t>
  </si>
  <si>
    <t>Receitas de pró soluto</t>
  </si>
  <si>
    <t>Saldo mutuário (PJ)</t>
  </si>
  <si>
    <t>Saldo mutuário (PF)</t>
  </si>
  <si>
    <t>Custo total da obra</t>
  </si>
  <si>
    <t>Custo total da obra * %Obra a executar</t>
  </si>
  <si>
    <t>Valor sobre gestão caixa</t>
  </si>
  <si>
    <t>VGV</t>
  </si>
  <si>
    <t>Viabilidade</t>
  </si>
  <si>
    <t>Natureza</t>
  </si>
  <si>
    <t>Estimativa</t>
  </si>
  <si>
    <t>Status</t>
  </si>
  <si>
    <t>A realizar</t>
  </si>
  <si>
    <t>CEF (ECN)</t>
  </si>
  <si>
    <t>Receitas de repasse (PF)</t>
  </si>
  <si>
    <t>Entrada</t>
  </si>
  <si>
    <t>Realizado</t>
  </si>
  <si>
    <t>CEF (DCD)</t>
  </si>
  <si>
    <t>Saída</t>
  </si>
  <si>
    <t>Lucro estimado</t>
  </si>
  <si>
    <t>Essa tabela</t>
  </si>
  <si>
    <t>Planilha do Renato</t>
  </si>
  <si>
    <t>Viabilidade + Planilha do Renato</t>
  </si>
  <si>
    <t>Receitas de repasse (PF) pendentes</t>
  </si>
  <si>
    <t>Informakon (???)</t>
  </si>
  <si>
    <t>Cor</t>
  </si>
  <si>
    <t>black</t>
  </si>
  <si>
    <t>lightgreen</t>
  </si>
  <si>
    <t>green</t>
  </si>
  <si>
    <t>red</t>
  </si>
  <si>
    <t>blue</t>
  </si>
  <si>
    <t>orange</t>
  </si>
  <si>
    <t>yellow</t>
  </si>
  <si>
    <t>Estoque</t>
  </si>
  <si>
    <t>Anapro</t>
  </si>
  <si>
    <t>Saldo empréstimo (PJ)</t>
  </si>
  <si>
    <t>R$ Realizado</t>
  </si>
  <si>
    <t>% Realizado</t>
  </si>
  <si>
    <t>% A realizar</t>
  </si>
  <si>
    <t>R$ a realizar</t>
  </si>
  <si>
    <t>Receitas</t>
  </si>
  <si>
    <t>Despesas obra</t>
  </si>
  <si>
    <t>Despesas não-obra</t>
  </si>
  <si>
    <t>Vendido (receitas realizadas + receitas a realizar - estoque)</t>
  </si>
  <si>
    <t>VGV (deveria ser muito próximo de vendido + estoque)</t>
  </si>
  <si>
    <t>Total de despesas</t>
  </si>
  <si>
    <t>Total de despesas não-obra</t>
  </si>
  <si>
    <t>Total de despesas obra</t>
  </si>
  <si>
    <t>Sob gestão da CEF</t>
  </si>
  <si>
    <t>CEF + Informakon</t>
  </si>
  <si>
    <t>% do VGV</t>
  </si>
  <si>
    <t>R$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</si>
</sst>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_-[$R$-416]\ * #,##0_-;\-[$R$-416]\ * #,##0_-;_-[$R$-416]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2" borderId="0" xfId="0" quotePrefix="1" applyFill="1"/>
    <xf numFmtId="44" fontId="0" fillId="0" borderId="0" xfId="1" applyFont="1"/>
    <xf numFmtId="0" fontId="0" fillId="3" borderId="0" xfId="0" applyFill="1"/>
    <xf numFmtId="164" fontId="0" fillId="2" borderId="0" xfId="0" applyNumberFormat="1" applyFill="1"/>
    <xf numFmtId="0" fontId="0" fillId="4" borderId="0" xfId="0" applyFill="1"/>
    <xf numFmtId="164" fontId="0" fillId="4" borderId="0" xfId="0" applyNumberFormat="1" applyFill="1"/>
    <xf numFmtId="9" fontId="0" fillId="2" borderId="0" xfId="0" applyNumberFormat="1" applyFill="1"/>
    <xf numFmtId="42" fontId="0" fillId="0" borderId="0" xfId="0" applyNumberFormat="1"/>
    <xf numFmtId="0" fontId="0" fillId="3" borderId="0" xfId="0" applyFill="1" applyAlignment="1">
      <alignment horizontal="center" vertical="center"/>
    </xf>
    <xf numFmtId="0" fontId="2" fillId="0" borderId="0" xfId="0" applyFont="1"/>
    <xf numFmtId="0" fontId="2" fillId="2" borderId="0" xfId="0" applyFont="1" applyFill="1"/>
    <xf numFmtId="0" fontId="2" fillId="5" borderId="0" xfId="0" applyFont="1" applyFill="1"/>
    <xf numFmtId="0" fontId="2" fillId="6" borderId="0" xfId="0" applyFont="1" applyFill="1"/>
    <xf numFmtId="165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3" fillId="0" borderId="1" xfId="0" applyFont="1" applyBorder="1"/>
    <xf numFmtId="10" fontId="3" fillId="0" borderId="1" xfId="2" applyNumberFormat="1" applyFont="1" applyFill="1" applyBorder="1"/>
    <xf numFmtId="165" fontId="3" fillId="0" borderId="1" xfId="0" applyNumberFormat="1" applyFont="1" applyBorder="1"/>
    <xf numFmtId="10" fontId="0" fillId="2" borderId="1" xfId="2" applyNumberFormat="1" applyFont="1" applyFill="1" applyBorder="1"/>
    <xf numFmtId="165" fontId="0" fillId="2" borderId="1" xfId="0" applyNumberFormat="1" applyFill="1" applyBorder="1"/>
    <xf numFmtId="10" fontId="3" fillId="6" borderId="1" xfId="2" applyNumberFormat="1" applyFont="1" applyFill="1" applyBorder="1"/>
    <xf numFmtId="165" fontId="3" fillId="6" borderId="1" xfId="0" applyNumberFormat="1" applyFont="1" applyFill="1" applyBorder="1"/>
    <xf numFmtId="42" fontId="0" fillId="0" borderId="1" xfId="0" applyNumberFormat="1" applyBorder="1"/>
    <xf numFmtId="10" fontId="0" fillId="6" borderId="1" xfId="2" applyNumberFormat="1" applyFont="1" applyFill="1" applyBorder="1"/>
    <xf numFmtId="165" fontId="0" fillId="6" borderId="1" xfId="0" applyNumberFormat="1" applyFill="1" applyBorder="1"/>
    <xf numFmtId="10" fontId="0" fillId="5" borderId="1" xfId="2" applyNumberFormat="1" applyFont="1" applyFill="1" applyBorder="1"/>
    <xf numFmtId="165" fontId="0" fillId="5" borderId="1" xfId="0" applyNumberFormat="1" applyFill="1" applyBorder="1"/>
    <xf numFmtId="10" fontId="0" fillId="0" borderId="1" xfId="0" applyNumberFormat="1" applyBorder="1"/>
  </cellXfs>
  <cellStyles count="3">
    <cellStyle name="Moeda" xfId="1" builtinId="4"/>
    <cellStyle name="Normal" xfId="0" builtinId="0"/>
    <cellStyle name="Porcentagem" xfId="2" builtinId="5"/>
  </cellStyles>
  <dxfs count="7">
    <dxf>
      <font>
        <color rgb="FF00B0F0"/>
      </font>
    </dxf>
    <dxf>
      <font>
        <color rgb="FF002060"/>
      </font>
    </dxf>
    <dxf>
      <font>
        <color rgb="FF00B050"/>
      </font>
    </dxf>
    <dxf>
      <font>
        <color rgb="FFC00000"/>
      </font>
    </dxf>
    <dxf>
      <numFmt numFmtId="32" formatCode="_-&quot;R$&quot;\ * #,##0_-;\-&quot;R$&quot;\ * #,##0_-;_-&quot;R$&quot;\ * &quot;-&quot;_-;_-@_-"/>
    </dxf>
    <dxf>
      <font>
        <b val="0"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A349DC-E756-4DF7-B9FC-B9380BCF9FFD}" name="Tabela1" displayName="Tabela1" ref="A1:F16" totalsRowShown="0" headerRowDxfId="6">
  <autoFilter ref="A1:F16" xr:uid="{F2A349DC-E756-4DF7-B9FC-B9380BCF9FFD}"/>
  <tableColumns count="6">
    <tableColumn id="1" xr3:uid="{F45AFD39-9BD8-4DBE-8C33-CEC4A94BA852}" name="Variável" dataDxfId="5"/>
    <tableColumn id="2" xr3:uid="{0E743F29-CE0F-479A-8A74-06568B1A78E2}" name="Valor" dataDxfId="4"/>
    <tableColumn id="3" xr3:uid="{63CA617D-416F-4841-BFF8-13E67BA82AA1}" name="Natureza"/>
    <tableColumn id="4" xr3:uid="{97EC728A-08AA-48B4-BCA6-70ABDDE9B795}" name="Status"/>
    <tableColumn id="5" xr3:uid="{21AF76FD-5DE1-490B-A0B0-67EAFBF8A356}" name="Fonte"/>
    <tableColumn id="6" xr3:uid="{A0205F09-A49A-4462-90D8-68993E3A5F12}" name="Co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821AB-3D55-4EC7-97EA-6560C36FE8E7}">
  <dimension ref="A1:H28"/>
  <sheetViews>
    <sheetView showGridLines="0" workbookViewId="0">
      <selection activeCell="B14" sqref="B14"/>
    </sheetView>
  </sheetViews>
  <sheetFormatPr defaultRowHeight="15" x14ac:dyDescent="0.25"/>
  <cols>
    <col min="1" max="1" width="11.28515625" bestFit="1" customWidth="1"/>
    <col min="2" max="2" width="45.7109375" bestFit="1" customWidth="1"/>
    <col min="3" max="5" width="16.85546875" bestFit="1" customWidth="1"/>
    <col min="6" max="6" width="18.5703125" bestFit="1" customWidth="1"/>
    <col min="7" max="7" width="16.85546875" bestFit="1" customWidth="1"/>
  </cols>
  <sheetData>
    <row r="1" spans="1:8" x14ac:dyDescent="0.25">
      <c r="A1" s="2" t="s">
        <v>23</v>
      </c>
      <c r="B1" s="2"/>
      <c r="C1" s="2"/>
      <c r="D1" s="2"/>
      <c r="E1" s="2"/>
      <c r="F1" s="2"/>
      <c r="G1" s="2"/>
      <c r="H1" s="2"/>
    </row>
    <row r="2" spans="1:8" x14ac:dyDescent="0.25">
      <c r="A2" s="3" t="s">
        <v>3</v>
      </c>
      <c r="B2" s="2"/>
      <c r="C2" s="2"/>
      <c r="D2" s="2"/>
      <c r="E2" s="2"/>
      <c r="F2" s="2"/>
      <c r="G2" s="2"/>
      <c r="H2" s="2"/>
    </row>
    <row r="3" spans="1:8" x14ac:dyDescent="0.25">
      <c r="A3" s="5" t="s">
        <v>11</v>
      </c>
      <c r="B3" s="5" t="s">
        <v>12</v>
      </c>
      <c r="C3" s="5"/>
      <c r="D3" s="5"/>
      <c r="E3" s="5" t="s">
        <v>13</v>
      </c>
    </row>
    <row r="4" spans="1:8" x14ac:dyDescent="0.25">
      <c r="A4" t="s">
        <v>14</v>
      </c>
      <c r="B4" t="s">
        <v>22</v>
      </c>
      <c r="E4" s="6">
        <v>40458120</v>
      </c>
      <c r="G4" s="1"/>
    </row>
    <row r="5" spans="1:8" x14ac:dyDescent="0.25">
      <c r="A5" t="s">
        <v>14</v>
      </c>
      <c r="B5" t="s">
        <v>24</v>
      </c>
      <c r="E5" s="6">
        <v>37884983.57</v>
      </c>
    </row>
    <row r="6" spans="1:8" x14ac:dyDescent="0.25">
      <c r="A6" t="s">
        <v>14</v>
      </c>
      <c r="B6" t="s">
        <v>0</v>
      </c>
      <c r="E6" s="9">
        <v>1</v>
      </c>
    </row>
    <row r="7" spans="1:8" x14ac:dyDescent="0.25">
      <c r="A7" t="s">
        <v>14</v>
      </c>
      <c r="B7" t="s">
        <v>4</v>
      </c>
      <c r="E7" s="1">
        <v>29209178.98</v>
      </c>
    </row>
    <row r="8" spans="1:8" x14ac:dyDescent="0.25">
      <c r="A8" t="s">
        <v>14</v>
      </c>
      <c r="B8" t="s">
        <v>1</v>
      </c>
      <c r="E8" s="4">
        <v>2045373.9</v>
      </c>
    </row>
    <row r="9" spans="1:8" x14ac:dyDescent="0.25">
      <c r="A9" t="s">
        <v>14</v>
      </c>
      <c r="B9" t="s">
        <v>2</v>
      </c>
      <c r="E9" s="1">
        <v>15862</v>
      </c>
    </row>
    <row r="10" spans="1:8" x14ac:dyDescent="0.25">
      <c r="A10" t="s">
        <v>14</v>
      </c>
      <c r="B10" t="s">
        <v>5</v>
      </c>
      <c r="E10" s="1">
        <v>5388898.2599999998</v>
      </c>
    </row>
    <row r="11" spans="1:8" x14ac:dyDescent="0.25">
      <c r="A11" t="s">
        <v>14</v>
      </c>
      <c r="B11" t="s">
        <v>6</v>
      </c>
      <c r="E11" s="1">
        <v>0</v>
      </c>
    </row>
    <row r="13" spans="1:8" x14ac:dyDescent="0.25">
      <c r="A13" s="2" t="s">
        <v>7</v>
      </c>
      <c r="B13" s="2"/>
    </row>
    <row r="17" spans="1:7" x14ac:dyDescent="0.25">
      <c r="A17" s="7" t="s">
        <v>8</v>
      </c>
      <c r="B17" s="8">
        <f>SUM(C19:C20)</f>
        <v>71596281.780000001</v>
      </c>
    </row>
    <row r="18" spans="1:7" x14ac:dyDescent="0.25">
      <c r="A18" s="5" t="s">
        <v>11</v>
      </c>
      <c r="B18" s="5" t="s">
        <v>12</v>
      </c>
      <c r="C18" s="5" t="s">
        <v>13</v>
      </c>
      <c r="E18" s="2" t="s">
        <v>14</v>
      </c>
      <c r="F18" s="2" t="s">
        <v>20</v>
      </c>
      <c r="G18" s="6">
        <v>13649530.609999999</v>
      </c>
    </row>
    <row r="19" spans="1:7" x14ac:dyDescent="0.25">
      <c r="A19" t="s">
        <v>14</v>
      </c>
      <c r="B19" t="s">
        <v>21</v>
      </c>
      <c r="C19" s="1">
        <v>24235452.960000001</v>
      </c>
    </row>
    <row r="20" spans="1:7" x14ac:dyDescent="0.25">
      <c r="A20" t="s">
        <v>18</v>
      </c>
      <c r="B20" s="2" t="s">
        <v>19</v>
      </c>
      <c r="C20" s="1">
        <v>47360828.82</v>
      </c>
    </row>
    <row r="23" spans="1:7" x14ac:dyDescent="0.25">
      <c r="A23" s="7" t="s">
        <v>9</v>
      </c>
      <c r="B23" s="8">
        <f>SUM(C25:C28)</f>
        <v>18489153.759999998</v>
      </c>
    </row>
    <row r="24" spans="1:7" x14ac:dyDescent="0.25">
      <c r="A24" s="5" t="s">
        <v>11</v>
      </c>
      <c r="B24" s="5" t="s">
        <v>12</v>
      </c>
      <c r="C24" s="5" t="s">
        <v>13</v>
      </c>
    </row>
    <row r="25" spans="1:7" x14ac:dyDescent="0.25">
      <c r="A25" t="s">
        <v>15</v>
      </c>
      <c r="B25" t="s">
        <v>16</v>
      </c>
      <c r="C25" s="1">
        <v>5388898.2599999998</v>
      </c>
    </row>
    <row r="26" spans="1:7" x14ac:dyDescent="0.25">
      <c r="A26" t="s">
        <v>15</v>
      </c>
      <c r="B26" t="s">
        <v>17</v>
      </c>
      <c r="C26" s="1">
        <v>1646063.66</v>
      </c>
    </row>
    <row r="27" spans="1:7" x14ac:dyDescent="0.25">
      <c r="A27" t="s">
        <v>15</v>
      </c>
      <c r="B27" t="s">
        <v>10</v>
      </c>
      <c r="C27" s="1">
        <v>1438405.41</v>
      </c>
    </row>
    <row r="28" spans="1:7" x14ac:dyDescent="0.25">
      <c r="A28" t="s">
        <v>18</v>
      </c>
      <c r="B28" s="2" t="s">
        <v>19</v>
      </c>
      <c r="C28" s="1">
        <v>10015786.43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254D7-A6B7-4428-971C-74D00997435D}">
  <dimension ref="A1:L16"/>
  <sheetViews>
    <sheetView showGridLines="0" tabSelected="1" zoomScale="82" zoomScaleNormal="82" workbookViewId="0">
      <selection activeCell="H24" sqref="H24"/>
    </sheetView>
  </sheetViews>
  <sheetFormatPr defaultRowHeight="15" x14ac:dyDescent="0.25"/>
  <cols>
    <col min="1" max="1" width="35.140625" bestFit="1" customWidth="1"/>
    <col min="2" max="2" width="19" bestFit="1" customWidth="1"/>
    <col min="3" max="3" width="12.7109375" customWidth="1"/>
    <col min="4" max="4" width="10.7109375" customWidth="1"/>
    <col min="5" max="5" width="30.42578125" bestFit="1" customWidth="1"/>
    <col min="6" max="6" width="0" hidden="1" customWidth="1"/>
    <col min="7" max="7" width="3.7109375" customWidth="1"/>
    <col min="8" max="8" width="54.5703125" bestFit="1" customWidth="1"/>
    <col min="9" max="9" width="17.42578125" bestFit="1" customWidth="1"/>
    <col min="10" max="10" width="14.28515625" bestFit="1" customWidth="1"/>
    <col min="11" max="11" width="16.42578125" bestFit="1" customWidth="1"/>
    <col min="12" max="12" width="14.28515625" bestFit="1" customWidth="1"/>
  </cols>
  <sheetData>
    <row r="1" spans="1:12" x14ac:dyDescent="0.25">
      <c r="A1" s="11" t="s">
        <v>12</v>
      </c>
      <c r="B1" s="11" t="s">
        <v>13</v>
      </c>
      <c r="C1" s="11" t="s">
        <v>27</v>
      </c>
      <c r="D1" s="11" t="s">
        <v>29</v>
      </c>
      <c r="E1" s="11" t="s">
        <v>11</v>
      </c>
      <c r="F1" s="11" t="s">
        <v>43</v>
      </c>
      <c r="I1" t="s">
        <v>68</v>
      </c>
      <c r="J1" t="s">
        <v>69</v>
      </c>
      <c r="K1" t="s">
        <v>11</v>
      </c>
    </row>
    <row r="2" spans="1:12" ht="15.75" x14ac:dyDescent="0.25">
      <c r="A2" s="12" t="s">
        <v>25</v>
      </c>
      <c r="B2" s="10">
        <v>58847199.720000006</v>
      </c>
      <c r="C2" t="s">
        <v>28</v>
      </c>
      <c r="D2" t="s">
        <v>28</v>
      </c>
      <c r="E2" t="s">
        <v>26</v>
      </c>
      <c r="F2" t="s">
        <v>44</v>
      </c>
      <c r="H2" s="17" t="s">
        <v>62</v>
      </c>
      <c r="I2" s="31">
        <v>1</v>
      </c>
      <c r="J2" s="26">
        <f>B2</f>
        <v>58847199.720000006</v>
      </c>
      <c r="K2" s="17" t="s">
        <v>26</v>
      </c>
    </row>
    <row r="3" spans="1:12" ht="15.75" x14ac:dyDescent="0.25">
      <c r="A3" s="13" t="s">
        <v>51</v>
      </c>
      <c r="B3" s="16">
        <v>3928182.12</v>
      </c>
      <c r="C3" t="s">
        <v>33</v>
      </c>
      <c r="D3" t="s">
        <v>30</v>
      </c>
      <c r="E3" t="s">
        <v>52</v>
      </c>
      <c r="H3" s="19" t="s">
        <v>61</v>
      </c>
      <c r="I3" s="24">
        <f>SUM(B4:B8)/B2</f>
        <v>1.5063933466977208</v>
      </c>
      <c r="J3" s="25">
        <f>SUM(B4:B8)</f>
        <v>88647030.129999995</v>
      </c>
      <c r="K3" s="17" t="s">
        <v>67</v>
      </c>
    </row>
    <row r="4" spans="1:12" ht="15.75" x14ac:dyDescent="0.25">
      <c r="A4" s="13" t="s">
        <v>19</v>
      </c>
      <c r="B4" s="16">
        <v>10015786.43</v>
      </c>
      <c r="C4" t="s">
        <v>33</v>
      </c>
      <c r="D4" t="s">
        <v>34</v>
      </c>
      <c r="E4" t="s">
        <v>18</v>
      </c>
      <c r="F4" t="s">
        <v>45</v>
      </c>
      <c r="H4" s="19" t="s">
        <v>51</v>
      </c>
      <c r="I4" s="20">
        <f>B3/B2</f>
        <v>6.6752235258272702E-2</v>
      </c>
      <c r="J4" s="21">
        <f>B3</f>
        <v>3928182.12</v>
      </c>
      <c r="K4" s="17" t="s">
        <v>52</v>
      </c>
    </row>
    <row r="5" spans="1:12" ht="15.75" x14ac:dyDescent="0.25">
      <c r="A5" s="12" t="s">
        <v>32</v>
      </c>
      <c r="B5" s="16">
        <v>7034961.9199999999</v>
      </c>
      <c r="C5" t="s">
        <v>33</v>
      </c>
      <c r="D5" t="s">
        <v>34</v>
      </c>
      <c r="E5" t="s">
        <v>31</v>
      </c>
      <c r="F5" t="s">
        <v>46</v>
      </c>
    </row>
    <row r="6" spans="1:12" ht="15.75" x14ac:dyDescent="0.25">
      <c r="A6" s="13" t="s">
        <v>19</v>
      </c>
      <c r="B6" s="16">
        <v>47360828.82</v>
      </c>
      <c r="C6" t="s">
        <v>33</v>
      </c>
      <c r="D6" t="s">
        <v>30</v>
      </c>
      <c r="E6" t="s">
        <v>18</v>
      </c>
      <c r="F6" t="s">
        <v>45</v>
      </c>
    </row>
    <row r="7" spans="1:12" ht="15.75" x14ac:dyDescent="0.25">
      <c r="A7" s="12" t="s">
        <v>32</v>
      </c>
      <c r="B7" s="16">
        <v>24235452.960000001</v>
      </c>
      <c r="C7" t="s">
        <v>33</v>
      </c>
      <c r="D7" t="s">
        <v>30</v>
      </c>
      <c r="E7" t="s">
        <v>35</v>
      </c>
      <c r="F7" t="s">
        <v>46</v>
      </c>
      <c r="I7" t="s">
        <v>55</v>
      </c>
      <c r="J7" t="s">
        <v>54</v>
      </c>
      <c r="K7" t="s">
        <v>56</v>
      </c>
      <c r="L7" t="s">
        <v>57</v>
      </c>
    </row>
    <row r="8" spans="1:12" ht="15.75" x14ac:dyDescent="0.25">
      <c r="A8" s="15" t="s">
        <v>41</v>
      </c>
      <c r="B8" s="16">
        <v>0</v>
      </c>
      <c r="C8" t="s">
        <v>33</v>
      </c>
      <c r="D8" t="s">
        <v>30</v>
      </c>
      <c r="E8" t="s">
        <v>42</v>
      </c>
      <c r="F8" t="s">
        <v>47</v>
      </c>
      <c r="H8" s="17" t="s">
        <v>58</v>
      </c>
      <c r="I8" s="22">
        <f>SUM(B4:B5)/B2</f>
        <v>0.28974612948668615</v>
      </c>
      <c r="J8" s="23">
        <f>SUM(B4:B5)</f>
        <v>17050748.350000001</v>
      </c>
      <c r="K8" s="27">
        <f>SUM(B6:B8)/B2</f>
        <v>1.216647217211035</v>
      </c>
      <c r="L8" s="28">
        <f>SUM(B6:B8)</f>
        <v>71596281.780000001</v>
      </c>
    </row>
    <row r="9" spans="1:12" ht="15.75" x14ac:dyDescent="0.25">
      <c r="A9" s="12" t="s">
        <v>63</v>
      </c>
      <c r="B9" s="10">
        <v>56633497.8864685</v>
      </c>
      <c r="C9" t="s">
        <v>28</v>
      </c>
      <c r="D9" t="s">
        <v>28</v>
      </c>
      <c r="E9" t="s">
        <v>26</v>
      </c>
      <c r="H9" s="17" t="s">
        <v>59</v>
      </c>
      <c r="I9" s="22">
        <v>0.11177029034846615</v>
      </c>
      <c r="J9" s="23">
        <f>B12</f>
        <v>3834818</v>
      </c>
      <c r="K9" s="29">
        <f>B14/B10</f>
        <v>0.88822970965153381</v>
      </c>
      <c r="L9" s="30">
        <f>B14</f>
        <v>30474997.140000001</v>
      </c>
    </row>
    <row r="10" spans="1:12" ht="15.75" x14ac:dyDescent="0.25">
      <c r="A10" s="12" t="s">
        <v>65</v>
      </c>
      <c r="B10" s="10">
        <v>34309815.140000001</v>
      </c>
      <c r="C10" t="s">
        <v>28</v>
      </c>
      <c r="D10" t="s">
        <v>28</v>
      </c>
      <c r="E10" t="s">
        <v>26</v>
      </c>
      <c r="H10" s="17" t="s">
        <v>60</v>
      </c>
      <c r="I10" s="22">
        <f>B13/B11</f>
        <v>0.44614639229163772</v>
      </c>
      <c r="J10" s="23">
        <f>B13</f>
        <v>9959630.5199999996</v>
      </c>
      <c r="K10" s="29">
        <f>B15/B11</f>
        <v>0.55385360770836234</v>
      </c>
      <c r="L10" s="30">
        <f>B15</f>
        <v>12364052.2264685</v>
      </c>
    </row>
    <row r="11" spans="1:12" ht="15.75" x14ac:dyDescent="0.25">
      <c r="A11" s="12" t="s">
        <v>64</v>
      </c>
      <c r="B11" s="10">
        <f>B9-B10</f>
        <v>22323682.746468499</v>
      </c>
      <c r="C11" t="s">
        <v>28</v>
      </c>
      <c r="D11" t="s">
        <v>28</v>
      </c>
      <c r="E11" t="s">
        <v>26</v>
      </c>
    </row>
    <row r="12" spans="1:12" ht="15.75" x14ac:dyDescent="0.25">
      <c r="A12" s="13" t="s">
        <v>59</v>
      </c>
      <c r="B12" s="16">
        <v>3834818</v>
      </c>
      <c r="C12" t="s">
        <v>36</v>
      </c>
      <c r="D12" t="s">
        <v>34</v>
      </c>
      <c r="E12" t="s">
        <v>39</v>
      </c>
      <c r="F12" t="s">
        <v>49</v>
      </c>
    </row>
    <row r="13" spans="1:12" ht="15.75" x14ac:dyDescent="0.25">
      <c r="A13" s="13" t="s">
        <v>60</v>
      </c>
      <c r="B13" s="16">
        <f>13794448.52-B12</f>
        <v>9959630.5199999996</v>
      </c>
      <c r="C13" t="s">
        <v>36</v>
      </c>
      <c r="D13" t="s">
        <v>34</v>
      </c>
      <c r="E13" t="s">
        <v>39</v>
      </c>
      <c r="F13" t="s">
        <v>50</v>
      </c>
      <c r="I13" t="s">
        <v>13</v>
      </c>
      <c r="J13" t="s">
        <v>11</v>
      </c>
    </row>
    <row r="14" spans="1:12" ht="15.75" x14ac:dyDescent="0.25">
      <c r="A14" s="14" t="s">
        <v>59</v>
      </c>
      <c r="B14" s="16">
        <f>B10-B12</f>
        <v>30474997.140000001</v>
      </c>
      <c r="C14" t="s">
        <v>36</v>
      </c>
      <c r="D14" t="s">
        <v>30</v>
      </c>
      <c r="E14" t="s">
        <v>40</v>
      </c>
      <c r="F14" t="s">
        <v>49</v>
      </c>
      <c r="H14" s="17" t="s">
        <v>66</v>
      </c>
      <c r="I14" s="18">
        <v>37884983.57</v>
      </c>
      <c r="J14" s="17" t="s">
        <v>35</v>
      </c>
    </row>
    <row r="15" spans="1:12" ht="15.75" x14ac:dyDescent="0.25">
      <c r="A15" s="14" t="s">
        <v>60</v>
      </c>
      <c r="B15" s="16">
        <f>B11-B13</f>
        <v>12364052.2264685</v>
      </c>
      <c r="C15" t="s">
        <v>36</v>
      </c>
      <c r="D15" t="s">
        <v>30</v>
      </c>
      <c r="E15" t="s">
        <v>40</v>
      </c>
      <c r="F15" t="s">
        <v>50</v>
      </c>
      <c r="H15" s="17" t="s">
        <v>53</v>
      </c>
      <c r="I15" s="18">
        <v>13649530.609999999</v>
      </c>
      <c r="J15" s="17" t="s">
        <v>35</v>
      </c>
    </row>
    <row r="16" spans="1:12" ht="15.75" x14ac:dyDescent="0.25">
      <c r="A16" s="14" t="s">
        <v>37</v>
      </c>
      <c r="B16" s="16">
        <f>SUM(B4:B8)-SUM(B12:B15)</f>
        <v>32013532.243531495</v>
      </c>
      <c r="C16" t="s">
        <v>36</v>
      </c>
      <c r="D16" t="s">
        <v>30</v>
      </c>
      <c r="E16" t="s">
        <v>38</v>
      </c>
      <c r="F16" t="s">
        <v>48</v>
      </c>
    </row>
  </sheetData>
  <conditionalFormatting sqref="B2:C2 C3 B4:C16">
    <cfRule type="expression" dxfId="3" priority="3" stopIfTrue="1">
      <formula>$C2="Saída"</formula>
    </cfRule>
    <cfRule type="expression" dxfId="2" priority="4">
      <formula>$C2="Entrada"</formula>
    </cfRule>
  </conditionalFormatting>
  <conditionalFormatting sqref="D2:D16">
    <cfRule type="expression" dxfId="1" priority="1">
      <formula>$D2="A realizar"</formula>
    </cfRule>
    <cfRule type="expression" dxfId="0" priority="2">
      <formula>$D2="Realizado"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4F0FA7-E385-4DF8-BB02-2E14BD59FC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5f483f-f768-438e-b4ef-63f46a7558dd"/>
    <ds:schemaRef ds:uri="dd8c73df-45bd-468c-aae5-f3faedcbd5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76F8A2-EA3D-4868-B462-521B28C98BF6}">
  <ds:schemaRefs>
    <ds:schemaRef ds:uri="http://schemas.microsoft.com/office/2006/metadata/properties"/>
    <ds:schemaRef ds:uri="http://schemas.microsoft.com/office/infopath/2007/PartnerControls"/>
    <ds:schemaRef ds:uri="5a5f483f-f768-438e-b4ef-63f46a7558dd"/>
    <ds:schemaRef ds:uri="dd8c73df-45bd-468c-aae5-f3faedcbd5e2"/>
  </ds:schemaRefs>
</ds:datastoreItem>
</file>

<file path=customXml/itemProps3.xml><?xml version="1.0" encoding="utf-8"?>
<ds:datastoreItem xmlns:ds="http://schemas.openxmlformats.org/officeDocument/2006/customXml" ds:itemID="{F50EC92D-BDE3-4863-955F-38F9F00603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Estação</vt:lpstr>
      <vt:lpstr>DRE gerencial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Taira - Ampla Incorporadora</dc:creator>
  <cp:lastModifiedBy>Vitor Taira - Ampla Incorporadora</cp:lastModifiedBy>
  <dcterms:created xsi:type="dcterms:W3CDTF">2025-05-30T13:35:45Z</dcterms:created>
  <dcterms:modified xsi:type="dcterms:W3CDTF">2025-08-28T19:16:15Z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0x0101006C56FB2846673243A9735D5EC6051572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